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theme/themeOverride1.xml" ContentType="application/vnd.openxmlformats-officedocument.themeOverride+xml"/>
  <Override PartName="/xl/drawings/drawing6.xml" ContentType="application/vnd.openxmlformats-officedocument.drawing+xml"/>
  <Override PartName="/xl/charts/chart8.xml" ContentType="application/vnd.openxmlformats-officedocument.drawingml.chart+xml"/>
  <Override PartName="/xl/drawings/drawing7.xml" ContentType="application/vnd.openxmlformats-officedocument.drawing+xml"/>
  <Override PartName="/xl/charts/chart9.xml" ContentType="application/vnd.openxmlformats-officedocument.drawingml.chart+xml"/>
  <Override PartName="/xl/theme/themeOverride2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240" yWindow="105" windowWidth="14805" windowHeight="8010" activeTab="7"/>
  </bookViews>
  <sheets>
    <sheet name="中大 &amp; 中债" sheetId="1" r:id="rId1"/>
    <sheet name="历史收益率比较" sheetId="4" r:id="rId2"/>
    <sheet name="中债收益率曲线（银行间）" sheetId="2" r:id="rId3"/>
    <sheet name="Sheet1" sheetId="5" r:id="rId4"/>
    <sheet name="test" sheetId="6" r:id="rId5"/>
    <sheet name="Bumped Curves" sheetId="7" r:id="rId6"/>
    <sheet name="Bumped Curve Snap" sheetId="8" r:id="rId7"/>
    <sheet name="portfolio Analysis" sheetId="9" r:id="rId8"/>
  </sheets>
  <functionGroups builtInGroupCount="17"/>
  <definedNames>
    <definedName name="curveStart">'Bumped Curves'!$A$6</definedName>
    <definedName name="solver_adj" localSheetId="7" hidden="1">'portfolio Analysis'!$E$40:$E$41</definedName>
    <definedName name="solver_cvg" localSheetId="7" hidden="1">0.0001</definedName>
    <definedName name="solver_drv" localSheetId="7" hidden="1">2</definedName>
    <definedName name="solver_eng" localSheetId="7" hidden="1">1</definedName>
    <definedName name="solver_est" localSheetId="7" hidden="1">1</definedName>
    <definedName name="solver_itr" localSheetId="7" hidden="1">2147483647</definedName>
    <definedName name="solver_mip" localSheetId="7" hidden="1">2147483647</definedName>
    <definedName name="solver_mni" localSheetId="7" hidden="1">30</definedName>
    <definedName name="solver_mrt" localSheetId="7" hidden="1">0.075</definedName>
    <definedName name="solver_msl" localSheetId="7" hidden="1">2</definedName>
    <definedName name="solver_neg" localSheetId="7" hidden="1">1</definedName>
    <definedName name="solver_nod" localSheetId="7" hidden="1">2147483647</definedName>
    <definedName name="solver_num" localSheetId="7" hidden="1">0</definedName>
    <definedName name="solver_nwt" localSheetId="7" hidden="1">1</definedName>
    <definedName name="solver_opt" localSheetId="7" hidden="1">'portfolio Analysis'!$F$48</definedName>
    <definedName name="solver_pre" localSheetId="7" hidden="1">0.000001</definedName>
    <definedName name="solver_rbv" localSheetId="7" hidden="1">2</definedName>
    <definedName name="solver_rlx" localSheetId="7" hidden="1">2</definedName>
    <definedName name="solver_rsd" localSheetId="7" hidden="1">0</definedName>
    <definedName name="solver_scl" localSheetId="7" hidden="1">2</definedName>
    <definedName name="solver_sho" localSheetId="7" hidden="1">2</definedName>
    <definedName name="solver_ssz" localSheetId="7" hidden="1">100</definedName>
    <definedName name="solver_tim" localSheetId="7" hidden="1">2147483647</definedName>
    <definedName name="solver_tol" localSheetId="7" hidden="1">0.01</definedName>
    <definedName name="solver_typ" localSheetId="7" hidden="1">2</definedName>
    <definedName name="solver_val" localSheetId="7" hidden="1">0</definedName>
    <definedName name="solver_ver" localSheetId="7" hidden="1">3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G1213" i="9" l="1"/>
  <c r="G1214" i="9"/>
  <c r="G1215" i="9"/>
  <c r="G1216" i="9"/>
  <c r="G1217" i="9"/>
  <c r="G1218" i="9"/>
  <c r="G1219" i="9"/>
  <c r="G1220" i="9"/>
  <c r="G1221" i="9"/>
  <c r="G1222" i="9"/>
  <c r="G1223" i="9"/>
  <c r="G1224" i="9"/>
  <c r="G1225" i="9"/>
  <c r="G1226" i="9"/>
  <c r="G1227" i="9"/>
  <c r="G1228" i="9"/>
  <c r="G1229" i="9"/>
  <c r="G1230" i="9"/>
  <c r="G1231" i="9"/>
  <c r="G1232" i="9"/>
  <c r="G1233" i="9"/>
  <c r="G1234" i="9"/>
  <c r="G1235" i="9"/>
  <c r="G1236" i="9"/>
  <c r="G1237" i="9"/>
  <c r="G1238" i="9"/>
  <c r="G1240" i="9"/>
  <c r="G1241" i="9"/>
  <c r="G1242" i="9"/>
  <c r="G1243" i="9"/>
  <c r="G1244" i="9"/>
  <c r="G1245" i="9"/>
  <c r="G1246" i="9"/>
  <c r="G1247" i="9"/>
  <c r="G1248" i="9"/>
  <c r="G1249" i="9"/>
  <c r="G1250" i="9"/>
  <c r="G1251" i="9"/>
  <c r="G1252" i="9"/>
  <c r="G1253" i="9"/>
  <c r="G1254" i="9"/>
  <c r="G1255" i="9"/>
  <c r="G1256" i="9"/>
  <c r="G1257" i="9"/>
  <c r="G1258" i="9"/>
  <c r="G1260" i="9"/>
  <c r="G1261" i="9"/>
  <c r="G1262" i="9"/>
  <c r="G1263" i="9"/>
  <c r="G1264" i="9"/>
  <c r="G1265" i="9"/>
  <c r="G1212" i="9"/>
  <c r="H1213" i="9"/>
  <c r="H1214" i="9"/>
  <c r="H1215" i="9"/>
  <c r="H1216" i="9"/>
  <c r="H1217" i="9"/>
  <c r="H1218" i="9"/>
  <c r="H1219" i="9"/>
  <c r="H1220" i="9"/>
  <c r="H1221" i="9"/>
  <c r="H1222" i="9"/>
  <c r="H1223" i="9"/>
  <c r="H1224" i="9"/>
  <c r="H1225" i="9"/>
  <c r="H1226" i="9"/>
  <c r="H1227" i="9"/>
  <c r="H1228" i="9"/>
  <c r="H1229" i="9"/>
  <c r="H1230" i="9"/>
  <c r="H1231" i="9"/>
  <c r="H1232" i="9"/>
  <c r="H1233" i="9"/>
  <c r="H1234" i="9"/>
  <c r="H1235" i="9"/>
  <c r="H1236" i="9"/>
  <c r="H1237" i="9"/>
  <c r="H1238" i="9"/>
  <c r="H1239" i="9"/>
  <c r="H1240" i="9"/>
  <c r="H1241" i="9"/>
  <c r="H1242" i="9"/>
  <c r="H1243" i="9"/>
  <c r="H1244" i="9"/>
  <c r="H1245" i="9"/>
  <c r="H1246" i="9"/>
  <c r="H1247" i="9"/>
  <c r="H1248" i="9"/>
  <c r="H1249" i="9"/>
  <c r="H1250" i="9"/>
  <c r="H1251" i="9"/>
  <c r="H1252" i="9"/>
  <c r="H1253" i="9"/>
  <c r="H1254" i="9"/>
  <c r="H1255" i="9"/>
  <c r="H1256" i="9"/>
  <c r="H1257" i="9"/>
  <c r="H1258" i="9"/>
  <c r="H1259" i="9"/>
  <c r="H1260" i="9"/>
  <c r="H1261" i="9"/>
  <c r="H1262" i="9"/>
  <c r="H1263" i="9"/>
  <c r="H1264" i="9"/>
  <c r="H1265" i="9"/>
  <c r="H1212" i="9"/>
  <c r="F1213" i="9"/>
  <c r="F1214" i="9"/>
  <c r="F1215" i="9"/>
  <c r="F1216" i="9"/>
  <c r="F1217" i="9"/>
  <c r="F1218" i="9"/>
  <c r="F1219" i="9"/>
  <c r="F1220" i="9"/>
  <c r="F1221" i="9"/>
  <c r="F1222" i="9"/>
  <c r="F1223" i="9"/>
  <c r="F1224" i="9"/>
  <c r="F1225" i="9"/>
  <c r="F1226" i="9"/>
  <c r="F1227" i="9"/>
  <c r="F1228" i="9"/>
  <c r="F1229" i="9"/>
  <c r="F1230" i="9"/>
  <c r="F1231" i="9"/>
  <c r="F1232" i="9"/>
  <c r="F1233" i="9"/>
  <c r="F1234" i="9"/>
  <c r="F1235" i="9"/>
  <c r="F1236" i="9"/>
  <c r="F1237" i="9"/>
  <c r="F1238" i="9"/>
  <c r="F1239" i="9"/>
  <c r="F1240" i="9"/>
  <c r="F1241" i="9"/>
  <c r="F1242" i="9"/>
  <c r="F1243" i="9"/>
  <c r="F1244" i="9"/>
  <c r="F1245" i="9"/>
  <c r="F1246" i="9"/>
  <c r="F1247" i="9"/>
  <c r="F1248" i="9"/>
  <c r="F1249" i="9"/>
  <c r="F1250" i="9"/>
  <c r="F1251" i="9"/>
  <c r="F1252" i="9"/>
  <c r="F1253" i="9"/>
  <c r="F1254" i="9"/>
  <c r="F1255" i="9"/>
  <c r="F1256" i="9"/>
  <c r="F1257" i="9"/>
  <c r="F1258" i="9"/>
  <c r="F1259" i="9"/>
  <c r="F1260" i="9"/>
  <c r="F1261" i="9"/>
  <c r="F1262" i="9"/>
  <c r="F1263" i="9"/>
  <c r="F1264" i="9"/>
  <c r="F1265" i="9"/>
  <c r="F1212" i="9"/>
  <c r="B2421" i="9"/>
  <c r="G1259" i="9" s="1"/>
  <c r="B2401" i="9"/>
  <c r="G1239" i="9" s="1"/>
  <c r="Q80" i="9" l="1"/>
  <c r="S95" i="9"/>
  <c r="S85" i="9"/>
  <c r="O1212" i="9"/>
  <c r="O1211" i="9"/>
  <c r="S68" i="9"/>
  <c r="Q63" i="9"/>
  <c r="Q90" i="9" s="1"/>
  <c r="Q62" i="9"/>
  <c r="Q89" i="9" s="1"/>
  <c r="Q52" i="9"/>
  <c r="Q79" i="9" s="1"/>
  <c r="S58" i="9"/>
  <c r="Q1173" i="9"/>
  <c r="R1173" i="9"/>
  <c r="P1173" i="9"/>
  <c r="O1173" i="9"/>
  <c r="N1173" i="9"/>
  <c r="M1173" i="9"/>
  <c r="L1173" i="9"/>
  <c r="K1173" i="9"/>
  <c r="K1175" i="9"/>
  <c r="L1175" i="9"/>
  <c r="M1175" i="9"/>
  <c r="N1175" i="9"/>
  <c r="O1175" i="9"/>
  <c r="P1175" i="9"/>
  <c r="Q1175" i="9"/>
  <c r="R1175" i="9"/>
  <c r="K1176" i="9"/>
  <c r="L1176" i="9"/>
  <c r="M1176" i="9"/>
  <c r="N1176" i="9"/>
  <c r="O1176" i="9"/>
  <c r="P1176" i="9"/>
  <c r="Q1176" i="9"/>
  <c r="R1176" i="9"/>
  <c r="K1177" i="9"/>
  <c r="L1177" i="9"/>
  <c r="M1177" i="9"/>
  <c r="N1177" i="9"/>
  <c r="O1177" i="9"/>
  <c r="P1177" i="9"/>
  <c r="Q1177" i="9"/>
  <c r="R1177" i="9"/>
  <c r="K1178" i="9"/>
  <c r="L1178" i="9"/>
  <c r="M1178" i="9"/>
  <c r="N1178" i="9"/>
  <c r="O1178" i="9"/>
  <c r="P1178" i="9"/>
  <c r="Q1178" i="9"/>
  <c r="R1178" i="9"/>
  <c r="K1179" i="9"/>
  <c r="L1179" i="9"/>
  <c r="M1179" i="9"/>
  <c r="N1179" i="9"/>
  <c r="O1179" i="9"/>
  <c r="P1179" i="9"/>
  <c r="Q1179" i="9"/>
  <c r="R1179" i="9"/>
  <c r="K1180" i="9"/>
  <c r="L1180" i="9"/>
  <c r="M1180" i="9"/>
  <c r="N1180" i="9"/>
  <c r="O1180" i="9"/>
  <c r="P1180" i="9"/>
  <c r="Q1180" i="9"/>
  <c r="R1180" i="9"/>
  <c r="K1181" i="9"/>
  <c r="L1181" i="9"/>
  <c r="M1181" i="9"/>
  <c r="N1181" i="9"/>
  <c r="O1181" i="9"/>
  <c r="P1181" i="9"/>
  <c r="Q1181" i="9"/>
  <c r="R1181" i="9"/>
  <c r="K1182" i="9"/>
  <c r="L1182" i="9"/>
  <c r="M1182" i="9"/>
  <c r="N1182" i="9"/>
  <c r="O1182" i="9"/>
  <c r="P1182" i="9"/>
  <c r="Q1182" i="9"/>
  <c r="R1182" i="9"/>
  <c r="K1183" i="9"/>
  <c r="L1183" i="9"/>
  <c r="M1183" i="9"/>
  <c r="N1183" i="9"/>
  <c r="O1183" i="9"/>
  <c r="P1183" i="9"/>
  <c r="Q1183" i="9"/>
  <c r="R1183" i="9"/>
  <c r="K1184" i="9"/>
  <c r="L1184" i="9"/>
  <c r="M1184" i="9"/>
  <c r="N1184" i="9"/>
  <c r="O1184" i="9"/>
  <c r="P1184" i="9"/>
  <c r="Q1184" i="9"/>
  <c r="R1184" i="9"/>
  <c r="K1185" i="9"/>
  <c r="L1185" i="9"/>
  <c r="M1185" i="9"/>
  <c r="N1185" i="9"/>
  <c r="O1185" i="9"/>
  <c r="P1185" i="9"/>
  <c r="Q1185" i="9"/>
  <c r="R1185" i="9"/>
  <c r="K1186" i="9"/>
  <c r="L1186" i="9"/>
  <c r="M1186" i="9"/>
  <c r="N1186" i="9"/>
  <c r="O1186" i="9"/>
  <c r="P1186" i="9"/>
  <c r="Q1186" i="9"/>
  <c r="R1186" i="9"/>
  <c r="K1187" i="9"/>
  <c r="L1187" i="9"/>
  <c r="M1187" i="9"/>
  <c r="N1187" i="9"/>
  <c r="O1187" i="9"/>
  <c r="P1187" i="9"/>
  <c r="Q1187" i="9"/>
  <c r="R1187" i="9"/>
  <c r="K1188" i="9"/>
  <c r="L1188" i="9"/>
  <c r="M1188" i="9"/>
  <c r="N1188" i="9"/>
  <c r="O1188" i="9"/>
  <c r="P1188" i="9"/>
  <c r="Q1188" i="9"/>
  <c r="R1188" i="9"/>
  <c r="K1189" i="9"/>
  <c r="L1189" i="9"/>
  <c r="M1189" i="9"/>
  <c r="N1189" i="9"/>
  <c r="O1189" i="9"/>
  <c r="P1189" i="9"/>
  <c r="Q1189" i="9"/>
  <c r="R1189" i="9"/>
  <c r="K1190" i="9"/>
  <c r="L1190" i="9"/>
  <c r="M1190" i="9"/>
  <c r="N1190" i="9"/>
  <c r="O1190" i="9"/>
  <c r="P1190" i="9"/>
  <c r="Q1190" i="9"/>
  <c r="R1190" i="9"/>
  <c r="K1191" i="9"/>
  <c r="L1191" i="9"/>
  <c r="M1191" i="9"/>
  <c r="N1191" i="9"/>
  <c r="O1191" i="9"/>
  <c r="P1191" i="9"/>
  <c r="Q1191" i="9"/>
  <c r="R1191" i="9"/>
  <c r="K1192" i="9"/>
  <c r="L1192" i="9"/>
  <c r="M1192" i="9"/>
  <c r="N1192" i="9"/>
  <c r="O1192" i="9"/>
  <c r="P1192" i="9"/>
  <c r="Q1192" i="9"/>
  <c r="R1192" i="9"/>
  <c r="K1193" i="9"/>
  <c r="L1193" i="9"/>
  <c r="M1193" i="9"/>
  <c r="N1193" i="9"/>
  <c r="O1193" i="9"/>
  <c r="P1193" i="9"/>
  <c r="Q1193" i="9"/>
  <c r="R1193" i="9"/>
  <c r="K1194" i="9"/>
  <c r="L1194" i="9"/>
  <c r="M1194" i="9"/>
  <c r="N1194" i="9"/>
  <c r="O1194" i="9"/>
  <c r="P1194" i="9"/>
  <c r="Q1194" i="9"/>
  <c r="R1194" i="9"/>
  <c r="K1195" i="9"/>
  <c r="L1195" i="9"/>
  <c r="M1195" i="9"/>
  <c r="N1195" i="9"/>
  <c r="O1195" i="9"/>
  <c r="P1195" i="9"/>
  <c r="Q1195" i="9"/>
  <c r="R1195" i="9"/>
  <c r="K1196" i="9"/>
  <c r="L1196" i="9"/>
  <c r="M1196" i="9"/>
  <c r="N1196" i="9"/>
  <c r="O1196" i="9"/>
  <c r="P1196" i="9"/>
  <c r="Q1196" i="9"/>
  <c r="R1196" i="9"/>
  <c r="K1197" i="9"/>
  <c r="L1197" i="9"/>
  <c r="M1197" i="9"/>
  <c r="N1197" i="9"/>
  <c r="O1197" i="9"/>
  <c r="P1197" i="9"/>
  <c r="Q1197" i="9"/>
  <c r="R1197" i="9"/>
  <c r="K1198" i="9"/>
  <c r="L1198" i="9"/>
  <c r="M1198" i="9"/>
  <c r="N1198" i="9"/>
  <c r="O1198" i="9"/>
  <c r="P1198" i="9"/>
  <c r="Q1198" i="9"/>
  <c r="R1198" i="9"/>
  <c r="K1199" i="9"/>
  <c r="L1199" i="9"/>
  <c r="M1199" i="9"/>
  <c r="N1199" i="9"/>
  <c r="O1199" i="9"/>
  <c r="P1199" i="9"/>
  <c r="Q1199" i="9"/>
  <c r="R1199" i="9"/>
  <c r="K1200" i="9"/>
  <c r="L1200" i="9"/>
  <c r="M1200" i="9"/>
  <c r="N1200" i="9"/>
  <c r="O1200" i="9"/>
  <c r="P1200" i="9"/>
  <c r="Q1200" i="9"/>
  <c r="R1200" i="9"/>
  <c r="K1201" i="9"/>
  <c r="L1201" i="9"/>
  <c r="M1201" i="9"/>
  <c r="N1201" i="9"/>
  <c r="O1201" i="9"/>
  <c r="P1201" i="9"/>
  <c r="Q1201" i="9"/>
  <c r="R1201" i="9"/>
  <c r="K1202" i="9"/>
  <c r="L1202" i="9"/>
  <c r="M1202" i="9"/>
  <c r="N1202" i="9"/>
  <c r="O1202" i="9"/>
  <c r="P1202" i="9"/>
  <c r="Q1202" i="9"/>
  <c r="R1202" i="9"/>
  <c r="K1203" i="9"/>
  <c r="L1203" i="9"/>
  <c r="M1203" i="9"/>
  <c r="N1203" i="9"/>
  <c r="O1203" i="9"/>
  <c r="P1203" i="9"/>
  <c r="Q1203" i="9"/>
  <c r="R1203" i="9"/>
  <c r="L1174" i="9"/>
  <c r="M1174" i="9"/>
  <c r="N1174" i="9"/>
  <c r="O1174" i="9"/>
  <c r="P1174" i="9"/>
  <c r="Q1174" i="9"/>
  <c r="R1174" i="9"/>
  <c r="K1174" i="9"/>
  <c r="W1174" i="9" l="1"/>
  <c r="V1174" i="9"/>
  <c r="D40" i="9"/>
  <c r="J30" i="9"/>
  <c r="G30" i="9"/>
  <c r="W1175" i="9" l="1"/>
  <c r="W1176" i="9" s="1"/>
  <c r="W1177" i="9" s="1"/>
  <c r="W1178" i="9" s="1"/>
  <c r="W1179" i="9" s="1"/>
  <c r="W1180" i="9" s="1"/>
  <c r="W1181" i="9" s="1"/>
  <c r="W1182" i="9" s="1"/>
  <c r="W1183" i="9" s="1"/>
  <c r="W1184" i="9" s="1"/>
  <c r="W1185" i="9" s="1"/>
  <c r="W1186" i="9" s="1"/>
  <c r="W1187" i="9" s="1"/>
  <c r="W1188" i="9" s="1"/>
  <c r="W1189" i="9" s="1"/>
  <c r="W1190" i="9" s="1"/>
  <c r="W1191" i="9" s="1"/>
  <c r="W1192" i="9" s="1"/>
  <c r="W1193" i="9" s="1"/>
  <c r="W1194" i="9" s="1"/>
  <c r="W1195" i="9" s="1"/>
  <c r="W1196" i="9" s="1"/>
  <c r="W1197" i="9" s="1"/>
  <c r="W1198" i="9" s="1"/>
  <c r="W1199" i="9" s="1"/>
  <c r="W1200" i="9" s="1"/>
  <c r="W1201" i="9" s="1"/>
  <c r="W1202" i="9" s="1"/>
  <c r="W1203" i="9" s="1"/>
  <c r="V1175" i="9"/>
  <c r="M35" i="9"/>
  <c r="D41" i="9" s="1"/>
  <c r="M30" i="9"/>
  <c r="E29" i="9" s="1"/>
  <c r="M26" i="9"/>
  <c r="M27" i="9"/>
  <c r="M28" i="9"/>
  <c r="M29" i="9"/>
  <c r="M25" i="9"/>
  <c r="A4" i="8"/>
  <c r="A3" i="8"/>
  <c r="D3" i="8" s="1"/>
  <c r="B1" i="8"/>
  <c r="J14" i="9"/>
  <c r="J11" i="9"/>
  <c r="K11" i="9"/>
  <c r="J13" i="9"/>
  <c r="J7" i="9"/>
  <c r="J12" i="9"/>
  <c r="H3" i="9"/>
  <c r="J9" i="9"/>
  <c r="J8" i="9"/>
  <c r="L11" i="9"/>
  <c r="D3" i="9"/>
  <c r="J10" i="9"/>
  <c r="W1206" i="9" l="1"/>
  <c r="P1212" i="9" s="1"/>
  <c r="W1205" i="9"/>
  <c r="P1211" i="9" s="1"/>
  <c r="V1176" i="9"/>
  <c r="V1177" i="9" s="1"/>
  <c r="V1178" i="9" s="1"/>
  <c r="V1179" i="9" s="1"/>
  <c r="V1180" i="9" s="1"/>
  <c r="V1181" i="9" s="1"/>
  <c r="V1182" i="9" s="1"/>
  <c r="V1183" i="9" s="1"/>
  <c r="V1184" i="9" s="1"/>
  <c r="V1185" i="9" s="1"/>
  <c r="V1186" i="9" s="1"/>
  <c r="V1187" i="9" s="1"/>
  <c r="V1188" i="9" s="1"/>
  <c r="V1189" i="9" s="1"/>
  <c r="V1190" i="9" s="1"/>
  <c r="V1191" i="9" s="1"/>
  <c r="V1192" i="9" s="1"/>
  <c r="V1193" i="9" s="1"/>
  <c r="V1194" i="9" s="1"/>
  <c r="V1195" i="9" s="1"/>
  <c r="V1196" i="9" s="1"/>
  <c r="V1197" i="9" s="1"/>
  <c r="V1198" i="9" s="1"/>
  <c r="V1199" i="9" s="1"/>
  <c r="V1200" i="9" s="1"/>
  <c r="V1201" i="9" s="1"/>
  <c r="V1202" i="9" s="1"/>
  <c r="V1203" i="9" s="1"/>
  <c r="A2" i="8"/>
  <c r="C3" i="8"/>
  <c r="G3" i="8"/>
  <c r="J3" i="8"/>
  <c r="F3" i="8"/>
  <c r="I3" i="8"/>
  <c r="E3" i="8"/>
  <c r="H3" i="8"/>
  <c r="C4" i="1"/>
  <c r="A4" i="1"/>
  <c r="H218" i="8"/>
  <c r="D218" i="8"/>
  <c r="J218" i="8"/>
  <c r="I218" i="8"/>
  <c r="C218" i="8"/>
  <c r="E218" i="8"/>
  <c r="G218" i="8"/>
  <c r="F218" i="8"/>
  <c r="K13" i="9"/>
  <c r="L13" i="9" s="1"/>
  <c r="K14" i="9"/>
  <c r="L14" i="9" s="1"/>
  <c r="O11" i="9"/>
  <c r="K8" i="9"/>
  <c r="Q11" i="9"/>
  <c r="M11" i="9"/>
  <c r="K12" i="9"/>
  <c r="K9" i="9"/>
  <c r="S11" i="9"/>
  <c r="N11" i="9"/>
  <c r="T11" i="9"/>
  <c r="K10" i="9"/>
  <c r="R11" i="9"/>
  <c r="K7" i="9"/>
  <c r="P11" i="9"/>
  <c r="V1206" i="9" l="1"/>
  <c r="N1212" i="9" s="1"/>
  <c r="V1205" i="9"/>
  <c r="N1211" i="9" s="1"/>
  <c r="U30" i="9"/>
  <c r="N30" i="9"/>
  <c r="P30" i="9"/>
  <c r="S30" i="9"/>
  <c r="Q30" i="9"/>
  <c r="O30" i="9"/>
  <c r="R30" i="9"/>
  <c r="T30" i="9"/>
  <c r="I1" i="7"/>
  <c r="A5" i="8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A71" i="8" s="1"/>
  <c r="A72" i="8" s="1"/>
  <c r="A73" i="8" s="1"/>
  <c r="A74" i="8" s="1"/>
  <c r="A75" i="8" s="1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A201" i="8" s="1"/>
  <c r="A202" i="8" s="1"/>
  <c r="A203" i="8" s="1"/>
  <c r="A204" i="8" s="1"/>
  <c r="A205" i="8" s="1"/>
  <c r="A206" i="8" s="1"/>
  <c r="A207" i="8" s="1"/>
  <c r="A208" i="8" s="1"/>
  <c r="A209" i="8" s="1"/>
  <c r="A210" i="8" s="1"/>
  <c r="A211" i="8" s="1"/>
  <c r="A212" i="8" s="1"/>
  <c r="A213" i="8" s="1"/>
  <c r="A214" i="8" s="1"/>
  <c r="A215" i="8" s="1"/>
  <c r="G4" i="8" a="1"/>
  <c r="D4" i="8" a="1"/>
  <c r="F4" i="8" a="1"/>
  <c r="I4" i="8" a="1"/>
  <c r="J4" i="8" a="1"/>
  <c r="E4" i="8" a="1"/>
  <c r="C4" i="8" a="1"/>
  <c r="H4" i="8" a="1"/>
  <c r="L10" i="9"/>
  <c r="S14" i="9"/>
  <c r="O14" i="9"/>
  <c r="P13" i="9"/>
  <c r="R13" i="9"/>
  <c r="L9" i="9"/>
  <c r="P14" i="9"/>
  <c r="T14" i="9"/>
  <c r="N13" i="9"/>
  <c r="M13" i="9"/>
  <c r="L12" i="9"/>
  <c r="M14" i="9"/>
  <c r="Q14" i="9"/>
  <c r="T13" i="9"/>
  <c r="Q13" i="9"/>
  <c r="L7" i="9"/>
  <c r="L8" i="9"/>
  <c r="N14" i="9"/>
  <c r="R14" i="9"/>
  <c r="O13" i="9"/>
  <c r="S13" i="9"/>
  <c r="S35" i="9" l="1"/>
  <c r="O35" i="9"/>
  <c r="R34" i="9"/>
  <c r="R36" i="9" s="1"/>
  <c r="N34" i="9"/>
  <c r="N36" i="9" s="1"/>
  <c r="Q35" i="9"/>
  <c r="U35" i="9"/>
  <c r="T35" i="9"/>
  <c r="Q34" i="9"/>
  <c r="N35" i="9"/>
  <c r="T34" i="9"/>
  <c r="T36" i="9" s="1"/>
  <c r="U34" i="9"/>
  <c r="U36" i="9" s="1"/>
  <c r="P34" i="9"/>
  <c r="R35" i="9"/>
  <c r="P35" i="9"/>
  <c r="O34" i="9"/>
  <c r="O36" i="9" s="1"/>
  <c r="S34" i="9"/>
  <c r="S36" i="9" s="1"/>
  <c r="P36" i="9"/>
  <c r="Q36" i="9"/>
  <c r="J4" i="8"/>
  <c r="J6" i="8"/>
  <c r="J8" i="8"/>
  <c r="J10" i="8"/>
  <c r="J12" i="8"/>
  <c r="J14" i="8"/>
  <c r="J16" i="8"/>
  <c r="J18" i="8"/>
  <c r="J20" i="8"/>
  <c r="J22" i="8"/>
  <c r="J24" i="8"/>
  <c r="J26" i="8"/>
  <c r="J28" i="8"/>
  <c r="J30" i="8"/>
  <c r="J32" i="8"/>
  <c r="J34" i="8"/>
  <c r="J36" i="8"/>
  <c r="J38" i="8"/>
  <c r="J40" i="8"/>
  <c r="J42" i="8"/>
  <c r="J44" i="8"/>
  <c r="J46" i="8"/>
  <c r="J48" i="8"/>
  <c r="J50" i="8"/>
  <c r="J52" i="8"/>
  <c r="J54" i="8"/>
  <c r="J56" i="8"/>
  <c r="J58" i="8"/>
  <c r="J60" i="8"/>
  <c r="J62" i="8"/>
  <c r="J64" i="8"/>
  <c r="J66" i="8"/>
  <c r="J68" i="8"/>
  <c r="J70" i="8"/>
  <c r="J72" i="8"/>
  <c r="J74" i="8"/>
  <c r="J76" i="8"/>
  <c r="J78" i="8"/>
  <c r="J80" i="8"/>
  <c r="J82" i="8"/>
  <c r="J84" i="8"/>
  <c r="J86" i="8"/>
  <c r="J5" i="8"/>
  <c r="J7" i="8"/>
  <c r="J9" i="8"/>
  <c r="J11" i="8"/>
  <c r="J13" i="8"/>
  <c r="J15" i="8"/>
  <c r="J17" i="8"/>
  <c r="J19" i="8"/>
  <c r="J21" i="8"/>
  <c r="J23" i="8"/>
  <c r="J25" i="8"/>
  <c r="J27" i="8"/>
  <c r="J29" i="8"/>
  <c r="J31" i="8"/>
  <c r="J33" i="8"/>
  <c r="J35" i="8"/>
  <c r="J37" i="8"/>
  <c r="J39" i="8"/>
  <c r="J41" i="8"/>
  <c r="J43" i="8"/>
  <c r="J45" i="8"/>
  <c r="J47" i="8"/>
  <c r="J49" i="8"/>
  <c r="J51" i="8"/>
  <c r="J53" i="8"/>
  <c r="J55" i="8"/>
  <c r="J57" i="8"/>
  <c r="J59" i="8"/>
  <c r="J61" i="8"/>
  <c r="J63" i="8"/>
  <c r="J65" i="8"/>
  <c r="J67" i="8"/>
  <c r="J69" i="8"/>
  <c r="J71" i="8"/>
  <c r="J73" i="8"/>
  <c r="J75" i="8"/>
  <c r="J77" i="8"/>
  <c r="J79" i="8"/>
  <c r="J81" i="8"/>
  <c r="J83" i="8"/>
  <c r="J85" i="8"/>
  <c r="J87" i="8"/>
  <c r="J89" i="8"/>
  <c r="J91" i="8"/>
  <c r="J93" i="8"/>
  <c r="J95" i="8"/>
  <c r="J97" i="8"/>
  <c r="J99" i="8"/>
  <c r="J101" i="8"/>
  <c r="J103" i="8"/>
  <c r="J105" i="8"/>
  <c r="J107" i="8"/>
  <c r="J109" i="8"/>
  <c r="J111" i="8"/>
  <c r="J113" i="8"/>
  <c r="J115" i="8"/>
  <c r="J117" i="8"/>
  <c r="J119" i="8"/>
  <c r="J121" i="8"/>
  <c r="J123" i="8"/>
  <c r="J125" i="8"/>
  <c r="J127" i="8"/>
  <c r="J129" i="8"/>
  <c r="J131" i="8"/>
  <c r="J133" i="8"/>
  <c r="J135" i="8"/>
  <c r="J137" i="8"/>
  <c r="J139" i="8"/>
  <c r="J141" i="8"/>
  <c r="J143" i="8"/>
  <c r="J145" i="8"/>
  <c r="J147" i="8"/>
  <c r="J149" i="8"/>
  <c r="J151" i="8"/>
  <c r="J153" i="8"/>
  <c r="J155" i="8"/>
  <c r="J157" i="8"/>
  <c r="J159" i="8"/>
  <c r="J161" i="8"/>
  <c r="J163" i="8"/>
  <c r="J165" i="8"/>
  <c r="J167" i="8"/>
  <c r="J169" i="8"/>
  <c r="J171" i="8"/>
  <c r="J173" i="8"/>
  <c r="J175" i="8"/>
  <c r="J177" i="8"/>
  <c r="J179" i="8"/>
  <c r="J181" i="8"/>
  <c r="J183" i="8"/>
  <c r="J185" i="8"/>
  <c r="J187" i="8"/>
  <c r="J189" i="8"/>
  <c r="J191" i="8"/>
  <c r="J193" i="8"/>
  <c r="J88" i="8"/>
  <c r="J92" i="8"/>
  <c r="J96" i="8"/>
  <c r="J100" i="8"/>
  <c r="J104" i="8"/>
  <c r="J108" i="8"/>
  <c r="J112" i="8"/>
  <c r="J116" i="8"/>
  <c r="J120" i="8"/>
  <c r="J124" i="8"/>
  <c r="J128" i="8"/>
  <c r="J132" i="8"/>
  <c r="J136" i="8"/>
  <c r="J140" i="8"/>
  <c r="J144" i="8"/>
  <c r="J148" i="8"/>
  <c r="J152" i="8"/>
  <c r="J156" i="8"/>
  <c r="J160" i="8"/>
  <c r="J164" i="8"/>
  <c r="J168" i="8"/>
  <c r="J172" i="8"/>
  <c r="J176" i="8"/>
  <c r="J180" i="8"/>
  <c r="J184" i="8"/>
  <c r="J188" i="8"/>
  <c r="J192" i="8"/>
  <c r="J195" i="8"/>
  <c r="J197" i="8"/>
  <c r="J199" i="8"/>
  <c r="J201" i="8"/>
  <c r="J203" i="8"/>
  <c r="J205" i="8"/>
  <c r="J207" i="8"/>
  <c r="J209" i="8"/>
  <c r="J211" i="8"/>
  <c r="J213" i="8"/>
  <c r="J215" i="8"/>
  <c r="J90" i="8"/>
  <c r="J94" i="8"/>
  <c r="J98" i="8"/>
  <c r="J102" i="8"/>
  <c r="J106" i="8"/>
  <c r="J110" i="8"/>
  <c r="J114" i="8"/>
  <c r="J118" i="8"/>
  <c r="J122" i="8"/>
  <c r="J126" i="8"/>
  <c r="J130" i="8"/>
  <c r="J134" i="8"/>
  <c r="J138" i="8"/>
  <c r="J142" i="8"/>
  <c r="J146" i="8"/>
  <c r="J150" i="8"/>
  <c r="J154" i="8"/>
  <c r="J158" i="8"/>
  <c r="J162" i="8"/>
  <c r="J166" i="8"/>
  <c r="J170" i="8"/>
  <c r="J174" i="8"/>
  <c r="J178" i="8"/>
  <c r="J182" i="8"/>
  <c r="J186" i="8"/>
  <c r="J190" i="8"/>
  <c r="J194" i="8"/>
  <c r="J196" i="8"/>
  <c r="J198" i="8"/>
  <c r="J200" i="8"/>
  <c r="J202" i="8"/>
  <c r="J204" i="8"/>
  <c r="J206" i="8"/>
  <c r="J208" i="8"/>
  <c r="J210" i="8"/>
  <c r="J212" i="8"/>
  <c r="J214" i="8"/>
  <c r="H4" i="8"/>
  <c r="H6" i="8"/>
  <c r="H8" i="8"/>
  <c r="H10" i="8"/>
  <c r="H12" i="8"/>
  <c r="H14" i="8"/>
  <c r="H16" i="8"/>
  <c r="H18" i="8"/>
  <c r="H20" i="8"/>
  <c r="H22" i="8"/>
  <c r="H24" i="8"/>
  <c r="H26" i="8"/>
  <c r="H28" i="8"/>
  <c r="H30" i="8"/>
  <c r="H32" i="8"/>
  <c r="H34" i="8"/>
  <c r="H36" i="8"/>
  <c r="H38" i="8"/>
  <c r="H40" i="8"/>
  <c r="H42" i="8"/>
  <c r="H44" i="8"/>
  <c r="H46" i="8"/>
  <c r="H48" i="8"/>
  <c r="H50" i="8"/>
  <c r="H52" i="8"/>
  <c r="H54" i="8"/>
  <c r="H56" i="8"/>
  <c r="H58" i="8"/>
  <c r="H60" i="8"/>
  <c r="H62" i="8"/>
  <c r="H64" i="8"/>
  <c r="H66" i="8"/>
  <c r="H68" i="8"/>
  <c r="H70" i="8"/>
  <c r="H72" i="8"/>
  <c r="H74" i="8"/>
  <c r="H76" i="8"/>
  <c r="H78" i="8"/>
  <c r="H80" i="8"/>
  <c r="H82" i="8"/>
  <c r="H84" i="8"/>
  <c r="H86" i="8"/>
  <c r="H88" i="8"/>
  <c r="H90" i="8"/>
  <c r="H92" i="8"/>
  <c r="H94" i="8"/>
  <c r="H96" i="8"/>
  <c r="H98" i="8"/>
  <c r="H100" i="8"/>
  <c r="H102" i="8"/>
  <c r="H104" i="8"/>
  <c r="H106" i="8"/>
  <c r="H108" i="8"/>
  <c r="H110" i="8"/>
  <c r="H112" i="8"/>
  <c r="H114" i="8"/>
  <c r="H116" i="8"/>
  <c r="H118" i="8"/>
  <c r="H120" i="8"/>
  <c r="H122" i="8"/>
  <c r="H124" i="8"/>
  <c r="H126" i="8"/>
  <c r="H128" i="8"/>
  <c r="H130" i="8"/>
  <c r="H132" i="8"/>
  <c r="H134" i="8"/>
  <c r="H136" i="8"/>
  <c r="H138" i="8"/>
  <c r="H140" i="8"/>
  <c r="H142" i="8"/>
  <c r="H144" i="8"/>
  <c r="H146" i="8"/>
  <c r="H148" i="8"/>
  <c r="H150" i="8"/>
  <c r="H152" i="8"/>
  <c r="H154" i="8"/>
  <c r="H156" i="8"/>
  <c r="H158" i="8"/>
  <c r="H160" i="8"/>
  <c r="H162" i="8"/>
  <c r="H164" i="8"/>
  <c r="H166" i="8"/>
  <c r="H168" i="8"/>
  <c r="H170" i="8"/>
  <c r="H172" i="8"/>
  <c r="H174" i="8"/>
  <c r="H176" i="8"/>
  <c r="H178" i="8"/>
  <c r="H180" i="8"/>
  <c r="H182" i="8"/>
  <c r="H184" i="8"/>
  <c r="H186" i="8"/>
  <c r="H188" i="8"/>
  <c r="H190" i="8"/>
  <c r="H192" i="8"/>
  <c r="H194" i="8"/>
  <c r="H196" i="8"/>
  <c r="H198" i="8"/>
  <c r="H200" i="8"/>
  <c r="H202" i="8"/>
  <c r="H204" i="8"/>
  <c r="H206" i="8"/>
  <c r="H208" i="8"/>
  <c r="H210" i="8"/>
  <c r="H212" i="8"/>
  <c r="H214" i="8"/>
  <c r="H5" i="8"/>
  <c r="H7" i="8"/>
  <c r="H9" i="8"/>
  <c r="H11" i="8"/>
  <c r="H13" i="8"/>
  <c r="H15" i="8"/>
  <c r="H17" i="8"/>
  <c r="H19" i="8"/>
  <c r="H21" i="8"/>
  <c r="H23" i="8"/>
  <c r="H25" i="8"/>
  <c r="H27" i="8"/>
  <c r="H29" i="8"/>
  <c r="H31" i="8"/>
  <c r="H33" i="8"/>
  <c r="H35" i="8"/>
  <c r="H37" i="8"/>
  <c r="H39" i="8"/>
  <c r="H41" i="8"/>
  <c r="H43" i="8"/>
  <c r="H45" i="8"/>
  <c r="H47" i="8"/>
  <c r="H49" i="8"/>
  <c r="H51" i="8"/>
  <c r="H53" i="8"/>
  <c r="H55" i="8"/>
  <c r="H57" i="8"/>
  <c r="H59" i="8"/>
  <c r="H61" i="8"/>
  <c r="H63" i="8"/>
  <c r="H65" i="8"/>
  <c r="H67" i="8"/>
  <c r="H69" i="8"/>
  <c r="H71" i="8"/>
  <c r="H73" i="8"/>
  <c r="H75" i="8"/>
  <c r="H77" i="8"/>
  <c r="H79" i="8"/>
  <c r="H81" i="8"/>
  <c r="H83" i="8"/>
  <c r="H85" i="8"/>
  <c r="H87" i="8"/>
  <c r="H89" i="8"/>
  <c r="H91" i="8"/>
  <c r="H93" i="8"/>
  <c r="H95" i="8"/>
  <c r="H97" i="8"/>
  <c r="H99" i="8"/>
  <c r="H101" i="8"/>
  <c r="H103" i="8"/>
  <c r="H105" i="8"/>
  <c r="H107" i="8"/>
  <c r="H109" i="8"/>
  <c r="H111" i="8"/>
  <c r="H113" i="8"/>
  <c r="H115" i="8"/>
  <c r="H117" i="8"/>
  <c r="H119" i="8"/>
  <c r="H121" i="8"/>
  <c r="H123" i="8"/>
  <c r="H125" i="8"/>
  <c r="H127" i="8"/>
  <c r="H129" i="8"/>
  <c r="H131" i="8"/>
  <c r="H133" i="8"/>
  <c r="H135" i="8"/>
  <c r="H137" i="8"/>
  <c r="H139" i="8"/>
  <c r="H141" i="8"/>
  <c r="H143" i="8"/>
  <c r="H145" i="8"/>
  <c r="H147" i="8"/>
  <c r="H149" i="8"/>
  <c r="H151" i="8"/>
  <c r="H153" i="8"/>
  <c r="H155" i="8"/>
  <c r="H157" i="8"/>
  <c r="H159" i="8"/>
  <c r="H161" i="8"/>
  <c r="H163" i="8"/>
  <c r="H165" i="8"/>
  <c r="H167" i="8"/>
  <c r="H169" i="8"/>
  <c r="H171" i="8"/>
  <c r="H173" i="8"/>
  <c r="H175" i="8"/>
  <c r="H177" i="8"/>
  <c r="H179" i="8"/>
  <c r="H181" i="8"/>
  <c r="H183" i="8"/>
  <c r="H185" i="8"/>
  <c r="H187" i="8"/>
  <c r="H189" i="8"/>
  <c r="H191" i="8"/>
  <c r="H193" i="8"/>
  <c r="H195" i="8"/>
  <c r="H197" i="8"/>
  <c r="H199" i="8"/>
  <c r="H201" i="8"/>
  <c r="H203" i="8"/>
  <c r="H205" i="8"/>
  <c r="H207" i="8"/>
  <c r="H209" i="8"/>
  <c r="H211" i="8"/>
  <c r="H213" i="8"/>
  <c r="H215" i="8"/>
  <c r="I5" i="8"/>
  <c r="I7" i="8"/>
  <c r="I9" i="8"/>
  <c r="I11" i="8"/>
  <c r="I13" i="8"/>
  <c r="I15" i="8"/>
  <c r="I17" i="8"/>
  <c r="I19" i="8"/>
  <c r="I21" i="8"/>
  <c r="I23" i="8"/>
  <c r="I25" i="8"/>
  <c r="I27" i="8"/>
  <c r="I29" i="8"/>
  <c r="I31" i="8"/>
  <c r="I33" i="8"/>
  <c r="I35" i="8"/>
  <c r="I37" i="8"/>
  <c r="I39" i="8"/>
  <c r="I41" i="8"/>
  <c r="I43" i="8"/>
  <c r="I45" i="8"/>
  <c r="I47" i="8"/>
  <c r="I49" i="8"/>
  <c r="I51" i="8"/>
  <c r="I53" i="8"/>
  <c r="I55" i="8"/>
  <c r="I57" i="8"/>
  <c r="I59" i="8"/>
  <c r="I61" i="8"/>
  <c r="I63" i="8"/>
  <c r="I65" i="8"/>
  <c r="I67" i="8"/>
  <c r="I69" i="8"/>
  <c r="I71" i="8"/>
  <c r="I73" i="8"/>
  <c r="I75" i="8"/>
  <c r="I77" i="8"/>
  <c r="I79" i="8"/>
  <c r="I81" i="8"/>
  <c r="I83" i="8"/>
  <c r="I85" i="8"/>
  <c r="I87" i="8"/>
  <c r="I89" i="8"/>
  <c r="I91" i="8"/>
  <c r="I93" i="8"/>
  <c r="I95" i="8"/>
  <c r="I97" i="8"/>
  <c r="I99" i="8"/>
  <c r="I101" i="8"/>
  <c r="I103" i="8"/>
  <c r="I105" i="8"/>
  <c r="I107" i="8"/>
  <c r="I109" i="8"/>
  <c r="I111" i="8"/>
  <c r="I113" i="8"/>
  <c r="I115" i="8"/>
  <c r="I117" i="8"/>
  <c r="I119" i="8"/>
  <c r="I121" i="8"/>
  <c r="I123" i="8"/>
  <c r="I125" i="8"/>
  <c r="I127" i="8"/>
  <c r="I129" i="8"/>
  <c r="I131" i="8"/>
  <c r="I133" i="8"/>
  <c r="I135" i="8"/>
  <c r="I137" i="8"/>
  <c r="I139" i="8"/>
  <c r="I141" i="8"/>
  <c r="I143" i="8"/>
  <c r="I145" i="8"/>
  <c r="I147" i="8"/>
  <c r="I149" i="8"/>
  <c r="I151" i="8"/>
  <c r="I153" i="8"/>
  <c r="I155" i="8"/>
  <c r="I157" i="8"/>
  <c r="I159" i="8"/>
  <c r="I161" i="8"/>
  <c r="I163" i="8"/>
  <c r="I165" i="8"/>
  <c r="I167" i="8"/>
  <c r="I169" i="8"/>
  <c r="I171" i="8"/>
  <c r="I173" i="8"/>
  <c r="I175" i="8"/>
  <c r="I177" i="8"/>
  <c r="I179" i="8"/>
  <c r="I181" i="8"/>
  <c r="I183" i="8"/>
  <c r="I185" i="8"/>
  <c r="I187" i="8"/>
  <c r="I189" i="8"/>
  <c r="I191" i="8"/>
  <c r="I193" i="8"/>
  <c r="I195" i="8"/>
  <c r="I197" i="8"/>
  <c r="I199" i="8"/>
  <c r="I201" i="8"/>
  <c r="I203" i="8"/>
  <c r="I205" i="8"/>
  <c r="I207" i="8"/>
  <c r="I209" i="8"/>
  <c r="I211" i="8"/>
  <c r="I213" i="8"/>
  <c r="I215" i="8"/>
  <c r="I4" i="8"/>
  <c r="I6" i="8"/>
  <c r="I8" i="8"/>
  <c r="I10" i="8"/>
  <c r="I12" i="8"/>
  <c r="I14" i="8"/>
  <c r="I16" i="8"/>
  <c r="I18" i="8"/>
  <c r="I20" i="8"/>
  <c r="I22" i="8"/>
  <c r="I24" i="8"/>
  <c r="I26" i="8"/>
  <c r="I28" i="8"/>
  <c r="I30" i="8"/>
  <c r="I32" i="8"/>
  <c r="I34" i="8"/>
  <c r="I36" i="8"/>
  <c r="I38" i="8"/>
  <c r="I40" i="8"/>
  <c r="I42" i="8"/>
  <c r="I44" i="8"/>
  <c r="I46" i="8"/>
  <c r="I48" i="8"/>
  <c r="I50" i="8"/>
  <c r="I52" i="8"/>
  <c r="I54" i="8"/>
  <c r="I56" i="8"/>
  <c r="I58" i="8"/>
  <c r="I60" i="8"/>
  <c r="I62" i="8"/>
  <c r="I64" i="8"/>
  <c r="I66" i="8"/>
  <c r="I68" i="8"/>
  <c r="I70" i="8"/>
  <c r="I72" i="8"/>
  <c r="I74" i="8"/>
  <c r="I76" i="8"/>
  <c r="I78" i="8"/>
  <c r="I80" i="8"/>
  <c r="I82" i="8"/>
  <c r="I84" i="8"/>
  <c r="I86" i="8"/>
  <c r="I88" i="8"/>
  <c r="I90" i="8"/>
  <c r="I92" i="8"/>
  <c r="I94" i="8"/>
  <c r="I96" i="8"/>
  <c r="I98" i="8"/>
  <c r="I100" i="8"/>
  <c r="I102" i="8"/>
  <c r="I104" i="8"/>
  <c r="I106" i="8"/>
  <c r="I108" i="8"/>
  <c r="I110" i="8"/>
  <c r="I112" i="8"/>
  <c r="I114" i="8"/>
  <c r="I116" i="8"/>
  <c r="I118" i="8"/>
  <c r="I120" i="8"/>
  <c r="I122" i="8"/>
  <c r="I124" i="8"/>
  <c r="I126" i="8"/>
  <c r="I128" i="8"/>
  <c r="I130" i="8"/>
  <c r="I132" i="8"/>
  <c r="I134" i="8"/>
  <c r="I136" i="8"/>
  <c r="I138" i="8"/>
  <c r="I140" i="8"/>
  <c r="I142" i="8"/>
  <c r="I144" i="8"/>
  <c r="I146" i="8"/>
  <c r="I148" i="8"/>
  <c r="I150" i="8"/>
  <c r="I152" i="8"/>
  <c r="I154" i="8"/>
  <c r="I156" i="8"/>
  <c r="I158" i="8"/>
  <c r="I160" i="8"/>
  <c r="I162" i="8"/>
  <c r="I164" i="8"/>
  <c r="I166" i="8"/>
  <c r="I168" i="8"/>
  <c r="I170" i="8"/>
  <c r="I172" i="8"/>
  <c r="I174" i="8"/>
  <c r="I176" i="8"/>
  <c r="I178" i="8"/>
  <c r="I180" i="8"/>
  <c r="I182" i="8"/>
  <c r="I184" i="8"/>
  <c r="I186" i="8"/>
  <c r="I188" i="8"/>
  <c r="I190" i="8"/>
  <c r="I192" i="8"/>
  <c r="I194" i="8"/>
  <c r="I196" i="8"/>
  <c r="I198" i="8"/>
  <c r="I200" i="8"/>
  <c r="I202" i="8"/>
  <c r="I204" i="8"/>
  <c r="I206" i="8"/>
  <c r="I208" i="8"/>
  <c r="I210" i="8"/>
  <c r="I212" i="8"/>
  <c r="I214" i="8"/>
  <c r="G4" i="8"/>
  <c r="G6" i="8"/>
  <c r="G8" i="8"/>
  <c r="G10" i="8"/>
  <c r="G12" i="8"/>
  <c r="G14" i="8"/>
  <c r="G16" i="8"/>
  <c r="G18" i="8"/>
  <c r="G20" i="8"/>
  <c r="G22" i="8"/>
  <c r="G24" i="8"/>
  <c r="G26" i="8"/>
  <c r="G28" i="8"/>
  <c r="G30" i="8"/>
  <c r="G32" i="8"/>
  <c r="G34" i="8"/>
  <c r="G36" i="8"/>
  <c r="G38" i="8"/>
  <c r="G40" i="8"/>
  <c r="G42" i="8"/>
  <c r="G44" i="8"/>
  <c r="G46" i="8"/>
  <c r="G48" i="8"/>
  <c r="G50" i="8"/>
  <c r="G52" i="8"/>
  <c r="G54" i="8"/>
  <c r="G56" i="8"/>
  <c r="G58" i="8"/>
  <c r="G60" i="8"/>
  <c r="G62" i="8"/>
  <c r="G64" i="8"/>
  <c r="G66" i="8"/>
  <c r="G68" i="8"/>
  <c r="G70" i="8"/>
  <c r="G72" i="8"/>
  <c r="G74" i="8"/>
  <c r="G76" i="8"/>
  <c r="G78" i="8"/>
  <c r="G80" i="8"/>
  <c r="G82" i="8"/>
  <c r="G84" i="8"/>
  <c r="G86" i="8"/>
  <c r="G88" i="8"/>
  <c r="G90" i="8"/>
  <c r="G92" i="8"/>
  <c r="G94" i="8"/>
  <c r="G96" i="8"/>
  <c r="G98" i="8"/>
  <c r="G100" i="8"/>
  <c r="G102" i="8"/>
  <c r="G104" i="8"/>
  <c r="G106" i="8"/>
  <c r="G108" i="8"/>
  <c r="G110" i="8"/>
  <c r="G5" i="8"/>
  <c r="G7" i="8"/>
  <c r="G9" i="8"/>
  <c r="G11" i="8"/>
  <c r="G13" i="8"/>
  <c r="G15" i="8"/>
  <c r="G17" i="8"/>
  <c r="G19" i="8"/>
  <c r="G21" i="8"/>
  <c r="G23" i="8"/>
  <c r="G25" i="8"/>
  <c r="G27" i="8"/>
  <c r="G29" i="8"/>
  <c r="G31" i="8"/>
  <c r="G33" i="8"/>
  <c r="G35" i="8"/>
  <c r="G37" i="8"/>
  <c r="G39" i="8"/>
  <c r="G41" i="8"/>
  <c r="G43" i="8"/>
  <c r="G45" i="8"/>
  <c r="G47" i="8"/>
  <c r="G49" i="8"/>
  <c r="G51" i="8"/>
  <c r="G53" i="8"/>
  <c r="G55" i="8"/>
  <c r="G57" i="8"/>
  <c r="G59" i="8"/>
  <c r="G61" i="8"/>
  <c r="G63" i="8"/>
  <c r="G65" i="8"/>
  <c r="G67" i="8"/>
  <c r="G69" i="8"/>
  <c r="G71" i="8"/>
  <c r="G73" i="8"/>
  <c r="G75" i="8"/>
  <c r="G77" i="8"/>
  <c r="G79" i="8"/>
  <c r="G81" i="8"/>
  <c r="G83" i="8"/>
  <c r="G85" i="8"/>
  <c r="G87" i="8"/>
  <c r="G89" i="8"/>
  <c r="G91" i="8"/>
  <c r="G93" i="8"/>
  <c r="G95" i="8"/>
  <c r="G97" i="8"/>
  <c r="G99" i="8"/>
  <c r="G101" i="8"/>
  <c r="G103" i="8"/>
  <c r="G105" i="8"/>
  <c r="G107" i="8"/>
  <c r="G109" i="8"/>
  <c r="G111" i="8"/>
  <c r="G113" i="8"/>
  <c r="G115" i="8"/>
  <c r="G117" i="8"/>
  <c r="G119" i="8"/>
  <c r="G121" i="8"/>
  <c r="G123" i="8"/>
  <c r="G125" i="8"/>
  <c r="G127" i="8"/>
  <c r="G129" i="8"/>
  <c r="G131" i="8"/>
  <c r="G133" i="8"/>
  <c r="G135" i="8"/>
  <c r="G137" i="8"/>
  <c r="G139" i="8"/>
  <c r="G141" i="8"/>
  <c r="G143" i="8"/>
  <c r="G145" i="8"/>
  <c r="G147" i="8"/>
  <c r="G149" i="8"/>
  <c r="G151" i="8"/>
  <c r="G153" i="8"/>
  <c r="G155" i="8"/>
  <c r="G157" i="8"/>
  <c r="G159" i="8"/>
  <c r="G161" i="8"/>
  <c r="G163" i="8"/>
  <c r="G165" i="8"/>
  <c r="G167" i="8"/>
  <c r="G169" i="8"/>
  <c r="G171" i="8"/>
  <c r="G173" i="8"/>
  <c r="G175" i="8"/>
  <c r="G177" i="8"/>
  <c r="G179" i="8"/>
  <c r="G181" i="8"/>
  <c r="G183" i="8"/>
  <c r="G185" i="8"/>
  <c r="G112" i="8"/>
  <c r="G116" i="8"/>
  <c r="G120" i="8"/>
  <c r="G124" i="8"/>
  <c r="G128" i="8"/>
  <c r="G132" i="8"/>
  <c r="G136" i="8"/>
  <c r="G140" i="8"/>
  <c r="G144" i="8"/>
  <c r="G148" i="8"/>
  <c r="G152" i="8"/>
  <c r="G156" i="8"/>
  <c r="G160" i="8"/>
  <c r="G164" i="8"/>
  <c r="G168" i="8"/>
  <c r="G172" i="8"/>
  <c r="G176" i="8"/>
  <c r="G180" i="8"/>
  <c r="G184" i="8"/>
  <c r="G187" i="8"/>
  <c r="G189" i="8"/>
  <c r="G191" i="8"/>
  <c r="G193" i="8"/>
  <c r="G195" i="8"/>
  <c r="G197" i="8"/>
  <c r="G199" i="8"/>
  <c r="G201" i="8"/>
  <c r="G203" i="8"/>
  <c r="G205" i="8"/>
  <c r="G207" i="8"/>
  <c r="G209" i="8"/>
  <c r="G211" i="8"/>
  <c r="G213" i="8"/>
  <c r="G215" i="8"/>
  <c r="G114" i="8"/>
  <c r="G118" i="8"/>
  <c r="G122" i="8"/>
  <c r="G126" i="8"/>
  <c r="G130" i="8"/>
  <c r="G134" i="8"/>
  <c r="G138" i="8"/>
  <c r="G142" i="8"/>
  <c r="G146" i="8"/>
  <c r="G150" i="8"/>
  <c r="G154" i="8"/>
  <c r="G158" i="8"/>
  <c r="G162" i="8"/>
  <c r="G166" i="8"/>
  <c r="G170" i="8"/>
  <c r="G174" i="8"/>
  <c r="G178" i="8"/>
  <c r="G182" i="8"/>
  <c r="G186" i="8"/>
  <c r="G188" i="8"/>
  <c r="G190" i="8"/>
  <c r="G192" i="8"/>
  <c r="G194" i="8"/>
  <c r="G196" i="8"/>
  <c r="G198" i="8"/>
  <c r="G200" i="8"/>
  <c r="G202" i="8"/>
  <c r="G204" i="8"/>
  <c r="G206" i="8"/>
  <c r="G208" i="8"/>
  <c r="G210" i="8"/>
  <c r="G212" i="8"/>
  <c r="G214" i="8"/>
  <c r="F4" i="8"/>
  <c r="F6" i="8"/>
  <c r="F8" i="8"/>
  <c r="F10" i="8"/>
  <c r="F12" i="8"/>
  <c r="F14" i="8"/>
  <c r="F16" i="8"/>
  <c r="F18" i="8"/>
  <c r="F20" i="8"/>
  <c r="F22" i="8"/>
  <c r="F24" i="8"/>
  <c r="F26" i="8"/>
  <c r="F28" i="8"/>
  <c r="F30" i="8"/>
  <c r="F32" i="8"/>
  <c r="F34" i="8"/>
  <c r="F36" i="8"/>
  <c r="F38" i="8"/>
  <c r="F40" i="8"/>
  <c r="F42" i="8"/>
  <c r="F44" i="8"/>
  <c r="F46" i="8"/>
  <c r="F48" i="8"/>
  <c r="F50" i="8"/>
  <c r="F52" i="8"/>
  <c r="F54" i="8"/>
  <c r="F56" i="8"/>
  <c r="F5" i="8"/>
  <c r="F9" i="8"/>
  <c r="F13" i="8"/>
  <c r="F17" i="8"/>
  <c r="F21" i="8"/>
  <c r="F25" i="8"/>
  <c r="F29" i="8"/>
  <c r="F33" i="8"/>
  <c r="F37" i="8"/>
  <c r="F41" i="8"/>
  <c r="F45" i="8"/>
  <c r="F49" i="8"/>
  <c r="F53" i="8"/>
  <c r="F57" i="8"/>
  <c r="F59" i="8"/>
  <c r="F61" i="8"/>
  <c r="F63" i="8"/>
  <c r="F65" i="8"/>
  <c r="F67" i="8"/>
  <c r="F69" i="8"/>
  <c r="F71" i="8"/>
  <c r="F73" i="8"/>
  <c r="F75" i="8"/>
  <c r="F77" i="8"/>
  <c r="F79" i="8"/>
  <c r="F81" i="8"/>
  <c r="F83" i="8"/>
  <c r="F85" i="8"/>
  <c r="F87" i="8"/>
  <c r="F89" i="8"/>
  <c r="F91" i="8"/>
  <c r="F93" i="8"/>
  <c r="F95" i="8"/>
  <c r="F97" i="8"/>
  <c r="F99" i="8"/>
  <c r="F101" i="8"/>
  <c r="F103" i="8"/>
  <c r="F105" i="8"/>
  <c r="F107" i="8"/>
  <c r="F109" i="8"/>
  <c r="F111" i="8"/>
  <c r="F113" i="8"/>
  <c r="F115" i="8"/>
  <c r="F117" i="8"/>
  <c r="F119" i="8"/>
  <c r="F121" i="8"/>
  <c r="F123" i="8"/>
  <c r="F125" i="8"/>
  <c r="F127" i="8"/>
  <c r="F129" i="8"/>
  <c r="F131" i="8"/>
  <c r="F133" i="8"/>
  <c r="F135" i="8"/>
  <c r="F137" i="8"/>
  <c r="F139" i="8"/>
  <c r="F141" i="8"/>
  <c r="F143" i="8"/>
  <c r="F145" i="8"/>
  <c r="F147" i="8"/>
  <c r="F149" i="8"/>
  <c r="F151" i="8"/>
  <c r="F153" i="8"/>
  <c r="F155" i="8"/>
  <c r="F157" i="8"/>
  <c r="F159" i="8"/>
  <c r="F161" i="8"/>
  <c r="F163" i="8"/>
  <c r="F165" i="8"/>
  <c r="F167" i="8"/>
  <c r="F169" i="8"/>
  <c r="F171" i="8"/>
  <c r="F173" i="8"/>
  <c r="F175" i="8"/>
  <c r="F177" i="8"/>
  <c r="F179" i="8"/>
  <c r="F181" i="8"/>
  <c r="F183" i="8"/>
  <c r="F185" i="8"/>
  <c r="F187" i="8"/>
  <c r="F189" i="8"/>
  <c r="F191" i="8"/>
  <c r="F193" i="8"/>
  <c r="F195" i="8"/>
  <c r="F197" i="8"/>
  <c r="F199" i="8"/>
  <c r="F201" i="8"/>
  <c r="F203" i="8"/>
  <c r="F205" i="8"/>
  <c r="F207" i="8"/>
  <c r="F209" i="8"/>
  <c r="F211" i="8"/>
  <c r="F213" i="8"/>
  <c r="F215" i="8"/>
  <c r="F7" i="8"/>
  <c r="F11" i="8"/>
  <c r="F15" i="8"/>
  <c r="F19" i="8"/>
  <c r="F23" i="8"/>
  <c r="F27" i="8"/>
  <c r="F31" i="8"/>
  <c r="F35" i="8"/>
  <c r="F39" i="8"/>
  <c r="F43" i="8"/>
  <c r="F47" i="8"/>
  <c r="F51" i="8"/>
  <c r="F55" i="8"/>
  <c r="F58" i="8"/>
  <c r="F60" i="8"/>
  <c r="F62" i="8"/>
  <c r="F64" i="8"/>
  <c r="F66" i="8"/>
  <c r="F68" i="8"/>
  <c r="F70" i="8"/>
  <c r="F72" i="8"/>
  <c r="F74" i="8"/>
  <c r="F76" i="8"/>
  <c r="F78" i="8"/>
  <c r="F80" i="8"/>
  <c r="F82" i="8"/>
  <c r="F84" i="8"/>
  <c r="F86" i="8"/>
  <c r="F88" i="8"/>
  <c r="F90" i="8"/>
  <c r="F92" i="8"/>
  <c r="F94" i="8"/>
  <c r="F96" i="8"/>
  <c r="F98" i="8"/>
  <c r="F100" i="8"/>
  <c r="F102" i="8"/>
  <c r="F104" i="8"/>
  <c r="F106" i="8"/>
  <c r="F108" i="8"/>
  <c r="F110" i="8"/>
  <c r="F112" i="8"/>
  <c r="F114" i="8"/>
  <c r="F116" i="8"/>
  <c r="F118" i="8"/>
  <c r="F120" i="8"/>
  <c r="F122" i="8"/>
  <c r="F124" i="8"/>
  <c r="F126" i="8"/>
  <c r="F128" i="8"/>
  <c r="F130" i="8"/>
  <c r="F132" i="8"/>
  <c r="F134" i="8"/>
  <c r="F136" i="8"/>
  <c r="F138" i="8"/>
  <c r="F140" i="8"/>
  <c r="F142" i="8"/>
  <c r="F144" i="8"/>
  <c r="F146" i="8"/>
  <c r="F148" i="8"/>
  <c r="F150" i="8"/>
  <c r="F152" i="8"/>
  <c r="F154" i="8"/>
  <c r="F156" i="8"/>
  <c r="F158" i="8"/>
  <c r="F160" i="8"/>
  <c r="F162" i="8"/>
  <c r="F164" i="8"/>
  <c r="F166" i="8"/>
  <c r="F168" i="8"/>
  <c r="F170" i="8"/>
  <c r="F172" i="8"/>
  <c r="F174" i="8"/>
  <c r="F176" i="8"/>
  <c r="F178" i="8"/>
  <c r="F180" i="8"/>
  <c r="F182" i="8"/>
  <c r="F184" i="8"/>
  <c r="F186" i="8"/>
  <c r="F188" i="8"/>
  <c r="F190" i="8"/>
  <c r="F192" i="8"/>
  <c r="F194" i="8"/>
  <c r="F196" i="8"/>
  <c r="F198" i="8"/>
  <c r="F200" i="8"/>
  <c r="F202" i="8"/>
  <c r="F204" i="8"/>
  <c r="F206" i="8"/>
  <c r="F208" i="8"/>
  <c r="F210" i="8"/>
  <c r="F212" i="8"/>
  <c r="F214" i="8"/>
  <c r="E4" i="8"/>
  <c r="E6" i="8"/>
  <c r="E8" i="8"/>
  <c r="E10" i="8"/>
  <c r="E12" i="8"/>
  <c r="E14" i="8"/>
  <c r="E16" i="8"/>
  <c r="E18" i="8"/>
  <c r="E20" i="8"/>
  <c r="E22" i="8"/>
  <c r="E24" i="8"/>
  <c r="E26" i="8"/>
  <c r="E28" i="8"/>
  <c r="E30" i="8"/>
  <c r="E32" i="8"/>
  <c r="E34" i="8"/>
  <c r="E36" i="8"/>
  <c r="E38" i="8"/>
  <c r="E40" i="8"/>
  <c r="E42" i="8"/>
  <c r="E44" i="8"/>
  <c r="E46" i="8"/>
  <c r="E48" i="8"/>
  <c r="E50" i="8"/>
  <c r="E52" i="8"/>
  <c r="E54" i="8"/>
  <c r="E56" i="8"/>
  <c r="E58" i="8"/>
  <c r="E60" i="8"/>
  <c r="E62" i="8"/>
  <c r="E64" i="8"/>
  <c r="E66" i="8"/>
  <c r="E68" i="8"/>
  <c r="E70" i="8"/>
  <c r="E72" i="8"/>
  <c r="E74" i="8"/>
  <c r="E76" i="8"/>
  <c r="E78" i="8"/>
  <c r="E80" i="8"/>
  <c r="E82" i="8"/>
  <c r="E84" i="8"/>
  <c r="E86" i="8"/>
  <c r="E88" i="8"/>
  <c r="E90" i="8"/>
  <c r="E92" i="8"/>
  <c r="E94" i="8"/>
  <c r="E96" i="8"/>
  <c r="E98" i="8"/>
  <c r="E100" i="8"/>
  <c r="E102" i="8"/>
  <c r="E104" i="8"/>
  <c r="E106" i="8"/>
  <c r="E108" i="8"/>
  <c r="E110" i="8"/>
  <c r="E112" i="8"/>
  <c r="E114" i="8"/>
  <c r="E116" i="8"/>
  <c r="E118" i="8"/>
  <c r="E120" i="8"/>
  <c r="E122" i="8"/>
  <c r="E124" i="8"/>
  <c r="E5" i="8"/>
  <c r="E7" i="8"/>
  <c r="E9" i="8"/>
  <c r="E11" i="8"/>
  <c r="E13" i="8"/>
  <c r="E15" i="8"/>
  <c r="E17" i="8"/>
  <c r="E19" i="8"/>
  <c r="E21" i="8"/>
  <c r="E23" i="8"/>
  <c r="E25" i="8"/>
  <c r="E27" i="8"/>
  <c r="E29" i="8"/>
  <c r="E31" i="8"/>
  <c r="E33" i="8"/>
  <c r="E35" i="8"/>
  <c r="E37" i="8"/>
  <c r="E39" i="8"/>
  <c r="E41" i="8"/>
  <c r="E43" i="8"/>
  <c r="E45" i="8"/>
  <c r="E47" i="8"/>
  <c r="E49" i="8"/>
  <c r="E51" i="8"/>
  <c r="E53" i="8"/>
  <c r="E55" i="8"/>
  <c r="E57" i="8"/>
  <c r="E59" i="8"/>
  <c r="E61" i="8"/>
  <c r="E63" i="8"/>
  <c r="E65" i="8"/>
  <c r="E67" i="8"/>
  <c r="E69" i="8"/>
  <c r="E71" i="8"/>
  <c r="E73" i="8"/>
  <c r="E75" i="8"/>
  <c r="E77" i="8"/>
  <c r="E79" i="8"/>
  <c r="E81" i="8"/>
  <c r="E83" i="8"/>
  <c r="E85" i="8"/>
  <c r="E87" i="8"/>
  <c r="E89" i="8"/>
  <c r="E91" i="8"/>
  <c r="E93" i="8"/>
  <c r="E95" i="8"/>
  <c r="E97" i="8"/>
  <c r="E99" i="8"/>
  <c r="E101" i="8"/>
  <c r="E103" i="8"/>
  <c r="E105" i="8"/>
  <c r="E107" i="8"/>
  <c r="E109" i="8"/>
  <c r="E111" i="8"/>
  <c r="E113" i="8"/>
  <c r="E115" i="8"/>
  <c r="E117" i="8"/>
  <c r="E119" i="8"/>
  <c r="E121" i="8"/>
  <c r="E123" i="8"/>
  <c r="E125" i="8"/>
  <c r="E127" i="8"/>
  <c r="E129" i="8"/>
  <c r="E131" i="8"/>
  <c r="E133" i="8"/>
  <c r="E135" i="8"/>
  <c r="E137" i="8"/>
  <c r="E139" i="8"/>
  <c r="E141" i="8"/>
  <c r="E143" i="8"/>
  <c r="E145" i="8"/>
  <c r="E147" i="8"/>
  <c r="E149" i="8"/>
  <c r="E151" i="8"/>
  <c r="E153" i="8"/>
  <c r="E155" i="8"/>
  <c r="E157" i="8"/>
  <c r="E159" i="8"/>
  <c r="E161" i="8"/>
  <c r="E163" i="8"/>
  <c r="E165" i="8"/>
  <c r="E167" i="8"/>
  <c r="E169" i="8"/>
  <c r="E171" i="8"/>
  <c r="E173" i="8"/>
  <c r="E175" i="8"/>
  <c r="E177" i="8"/>
  <c r="E179" i="8"/>
  <c r="E181" i="8"/>
  <c r="E183" i="8"/>
  <c r="E185" i="8"/>
  <c r="E187" i="8"/>
  <c r="E189" i="8"/>
  <c r="E191" i="8"/>
  <c r="E193" i="8"/>
  <c r="E195" i="8"/>
  <c r="E197" i="8"/>
  <c r="E199" i="8"/>
  <c r="E201" i="8"/>
  <c r="E203" i="8"/>
  <c r="E205" i="8"/>
  <c r="E207" i="8"/>
  <c r="E209" i="8"/>
  <c r="E211" i="8"/>
  <c r="E213" i="8"/>
  <c r="E215" i="8"/>
  <c r="E126" i="8"/>
  <c r="E130" i="8"/>
  <c r="E134" i="8"/>
  <c r="E138" i="8"/>
  <c r="E142" i="8"/>
  <c r="E146" i="8"/>
  <c r="E150" i="8"/>
  <c r="E154" i="8"/>
  <c r="E158" i="8"/>
  <c r="E162" i="8"/>
  <c r="E166" i="8"/>
  <c r="E170" i="8"/>
  <c r="E174" i="8"/>
  <c r="E178" i="8"/>
  <c r="E182" i="8"/>
  <c r="E186" i="8"/>
  <c r="E190" i="8"/>
  <c r="E194" i="8"/>
  <c r="E198" i="8"/>
  <c r="E202" i="8"/>
  <c r="E206" i="8"/>
  <c r="E210" i="8"/>
  <c r="E214" i="8"/>
  <c r="E128" i="8"/>
  <c r="E132" i="8"/>
  <c r="E136" i="8"/>
  <c r="E140" i="8"/>
  <c r="E144" i="8"/>
  <c r="E148" i="8"/>
  <c r="E152" i="8"/>
  <c r="E156" i="8"/>
  <c r="E160" i="8"/>
  <c r="E164" i="8"/>
  <c r="E168" i="8"/>
  <c r="E172" i="8"/>
  <c r="E176" i="8"/>
  <c r="E180" i="8"/>
  <c r="E184" i="8"/>
  <c r="E188" i="8"/>
  <c r="E192" i="8"/>
  <c r="E196" i="8"/>
  <c r="E200" i="8"/>
  <c r="E204" i="8"/>
  <c r="E208" i="8"/>
  <c r="E212" i="8"/>
  <c r="D5" i="8"/>
  <c r="D7" i="8"/>
  <c r="D9" i="8"/>
  <c r="D11" i="8"/>
  <c r="D13" i="8"/>
  <c r="D15" i="8"/>
  <c r="D17" i="8"/>
  <c r="D19" i="8"/>
  <c r="D21" i="8"/>
  <c r="D23" i="8"/>
  <c r="D25" i="8"/>
  <c r="D27" i="8"/>
  <c r="D29" i="8"/>
  <c r="D31" i="8"/>
  <c r="D33" i="8"/>
  <c r="D35" i="8"/>
  <c r="D37" i="8"/>
  <c r="D39" i="8"/>
  <c r="D41" i="8"/>
  <c r="D43" i="8"/>
  <c r="D45" i="8"/>
  <c r="D47" i="8"/>
  <c r="D49" i="8"/>
  <c r="D51" i="8"/>
  <c r="D53" i="8"/>
  <c r="D55" i="8"/>
  <c r="D57" i="8"/>
  <c r="D59" i="8"/>
  <c r="D61" i="8"/>
  <c r="D63" i="8"/>
  <c r="D65" i="8"/>
  <c r="D67" i="8"/>
  <c r="D4" i="8"/>
  <c r="D6" i="8"/>
  <c r="D8" i="8"/>
  <c r="D10" i="8"/>
  <c r="D12" i="8"/>
  <c r="D14" i="8"/>
  <c r="D16" i="8"/>
  <c r="D18" i="8"/>
  <c r="D20" i="8"/>
  <c r="D22" i="8"/>
  <c r="D24" i="8"/>
  <c r="D26" i="8"/>
  <c r="D28" i="8"/>
  <c r="D30" i="8"/>
  <c r="D32" i="8"/>
  <c r="D34" i="8"/>
  <c r="D36" i="8"/>
  <c r="D38" i="8"/>
  <c r="D40" i="8"/>
  <c r="D42" i="8"/>
  <c r="D44" i="8"/>
  <c r="D46" i="8"/>
  <c r="D48" i="8"/>
  <c r="D50" i="8"/>
  <c r="D52" i="8"/>
  <c r="D54" i="8"/>
  <c r="D56" i="8"/>
  <c r="D58" i="8"/>
  <c r="D60" i="8"/>
  <c r="D62" i="8"/>
  <c r="D64" i="8"/>
  <c r="D66" i="8"/>
  <c r="D68" i="8"/>
  <c r="D70" i="8"/>
  <c r="D72" i="8"/>
  <c r="D74" i="8"/>
  <c r="D76" i="8"/>
  <c r="D78" i="8"/>
  <c r="D80" i="8"/>
  <c r="D82" i="8"/>
  <c r="D84" i="8"/>
  <c r="D86" i="8"/>
  <c r="D88" i="8"/>
  <c r="D90" i="8"/>
  <c r="D92" i="8"/>
  <c r="D94" i="8"/>
  <c r="D96" i="8"/>
  <c r="D98" i="8"/>
  <c r="D100" i="8"/>
  <c r="D102" i="8"/>
  <c r="D104" i="8"/>
  <c r="D106" i="8"/>
  <c r="D108" i="8"/>
  <c r="D110" i="8"/>
  <c r="D112" i="8"/>
  <c r="D114" i="8"/>
  <c r="D116" i="8"/>
  <c r="D118" i="8"/>
  <c r="D120" i="8"/>
  <c r="D122" i="8"/>
  <c r="D124" i="8"/>
  <c r="D126" i="8"/>
  <c r="D128" i="8"/>
  <c r="D130" i="8"/>
  <c r="D132" i="8"/>
  <c r="D134" i="8"/>
  <c r="D136" i="8"/>
  <c r="D138" i="8"/>
  <c r="D140" i="8"/>
  <c r="D142" i="8"/>
  <c r="D144" i="8"/>
  <c r="D146" i="8"/>
  <c r="D148" i="8"/>
  <c r="D150" i="8"/>
  <c r="D152" i="8"/>
  <c r="D154" i="8"/>
  <c r="D156" i="8"/>
  <c r="D158" i="8"/>
  <c r="D160" i="8"/>
  <c r="D162" i="8"/>
  <c r="D164" i="8"/>
  <c r="D166" i="8"/>
  <c r="D168" i="8"/>
  <c r="D170" i="8"/>
  <c r="D172" i="8"/>
  <c r="D174" i="8"/>
  <c r="D176" i="8"/>
  <c r="D178" i="8"/>
  <c r="D180" i="8"/>
  <c r="D182" i="8"/>
  <c r="D184" i="8"/>
  <c r="D186" i="8"/>
  <c r="D188" i="8"/>
  <c r="D190" i="8"/>
  <c r="D192" i="8"/>
  <c r="D194" i="8"/>
  <c r="D196" i="8"/>
  <c r="D198" i="8"/>
  <c r="D200" i="8"/>
  <c r="D202" i="8"/>
  <c r="D204" i="8"/>
  <c r="D206" i="8"/>
  <c r="D208" i="8"/>
  <c r="D210" i="8"/>
  <c r="D212" i="8"/>
  <c r="D214" i="8"/>
  <c r="D69" i="8"/>
  <c r="D73" i="8"/>
  <c r="D77" i="8"/>
  <c r="D81" i="8"/>
  <c r="D85" i="8"/>
  <c r="D89" i="8"/>
  <c r="D93" i="8"/>
  <c r="D97" i="8"/>
  <c r="D101" i="8"/>
  <c r="D105" i="8"/>
  <c r="D109" i="8"/>
  <c r="D113" i="8"/>
  <c r="D117" i="8"/>
  <c r="D121" i="8"/>
  <c r="D125" i="8"/>
  <c r="D129" i="8"/>
  <c r="D133" i="8"/>
  <c r="D137" i="8"/>
  <c r="D141" i="8"/>
  <c r="D145" i="8"/>
  <c r="D149" i="8"/>
  <c r="D153" i="8"/>
  <c r="D157" i="8"/>
  <c r="D161" i="8"/>
  <c r="D165" i="8"/>
  <c r="D169" i="8"/>
  <c r="D173" i="8"/>
  <c r="D177" i="8"/>
  <c r="D181" i="8"/>
  <c r="D185" i="8"/>
  <c r="D189" i="8"/>
  <c r="D193" i="8"/>
  <c r="D197" i="8"/>
  <c r="D201" i="8"/>
  <c r="D205" i="8"/>
  <c r="D209" i="8"/>
  <c r="D213" i="8"/>
  <c r="D71" i="8"/>
  <c r="D75" i="8"/>
  <c r="D79" i="8"/>
  <c r="D83" i="8"/>
  <c r="D87" i="8"/>
  <c r="D91" i="8"/>
  <c r="D95" i="8"/>
  <c r="D99" i="8"/>
  <c r="D103" i="8"/>
  <c r="D107" i="8"/>
  <c r="D111" i="8"/>
  <c r="D115" i="8"/>
  <c r="D119" i="8"/>
  <c r="D123" i="8"/>
  <c r="D127" i="8"/>
  <c r="D131" i="8"/>
  <c r="D135" i="8"/>
  <c r="D139" i="8"/>
  <c r="D143" i="8"/>
  <c r="D147" i="8"/>
  <c r="D151" i="8"/>
  <c r="D155" i="8"/>
  <c r="D159" i="8"/>
  <c r="D163" i="8"/>
  <c r="D167" i="8"/>
  <c r="D171" i="8"/>
  <c r="D175" i="8"/>
  <c r="D179" i="8"/>
  <c r="D183" i="8"/>
  <c r="D187" i="8"/>
  <c r="D191" i="8"/>
  <c r="D195" i="8"/>
  <c r="D199" i="8"/>
  <c r="D203" i="8"/>
  <c r="D207" i="8"/>
  <c r="D211" i="8"/>
  <c r="D215" i="8"/>
  <c r="C5" i="8"/>
  <c r="C7" i="8"/>
  <c r="C9" i="8"/>
  <c r="C11" i="8"/>
  <c r="C13" i="8"/>
  <c r="C15" i="8"/>
  <c r="C17" i="8"/>
  <c r="C19" i="8"/>
  <c r="C21" i="8"/>
  <c r="C23" i="8"/>
  <c r="C25" i="8"/>
  <c r="C27" i="8"/>
  <c r="C29" i="8"/>
  <c r="C31" i="8"/>
  <c r="C33" i="8"/>
  <c r="C35" i="8"/>
  <c r="C37" i="8"/>
  <c r="C39" i="8"/>
  <c r="C41" i="8"/>
  <c r="C43" i="8"/>
  <c r="C45" i="8"/>
  <c r="C47" i="8"/>
  <c r="C49" i="8"/>
  <c r="C4" i="8"/>
  <c r="C6" i="8"/>
  <c r="C8" i="8"/>
  <c r="C10" i="8"/>
  <c r="C12" i="8"/>
  <c r="C14" i="8"/>
  <c r="C16" i="8"/>
  <c r="C18" i="8"/>
  <c r="C20" i="8"/>
  <c r="C22" i="8"/>
  <c r="C24" i="8"/>
  <c r="C26" i="8"/>
  <c r="C28" i="8"/>
  <c r="C30" i="8"/>
  <c r="C32" i="8"/>
  <c r="C34" i="8"/>
  <c r="C36" i="8"/>
  <c r="C38" i="8"/>
  <c r="C40" i="8"/>
  <c r="C42" i="8"/>
  <c r="C44" i="8"/>
  <c r="C46" i="8"/>
  <c r="C48" i="8"/>
  <c r="C50" i="8"/>
  <c r="C52" i="8"/>
  <c r="C54" i="8"/>
  <c r="C56" i="8"/>
  <c r="C58" i="8"/>
  <c r="C60" i="8"/>
  <c r="C62" i="8"/>
  <c r="C64" i="8"/>
  <c r="C66" i="8"/>
  <c r="C68" i="8"/>
  <c r="C70" i="8"/>
  <c r="C72" i="8"/>
  <c r="C74" i="8"/>
  <c r="C76" i="8"/>
  <c r="C78" i="8"/>
  <c r="C80" i="8"/>
  <c r="C82" i="8"/>
  <c r="C84" i="8"/>
  <c r="C86" i="8"/>
  <c r="C88" i="8"/>
  <c r="C90" i="8"/>
  <c r="C92" i="8"/>
  <c r="C94" i="8"/>
  <c r="C96" i="8"/>
  <c r="C98" i="8"/>
  <c r="C100" i="8"/>
  <c r="C102" i="8"/>
  <c r="C104" i="8"/>
  <c r="C106" i="8"/>
  <c r="C108" i="8"/>
  <c r="C110" i="8"/>
  <c r="C112" i="8"/>
  <c r="C114" i="8"/>
  <c r="C116" i="8"/>
  <c r="C118" i="8"/>
  <c r="C120" i="8"/>
  <c r="C122" i="8"/>
  <c r="C124" i="8"/>
  <c r="C126" i="8"/>
  <c r="C128" i="8"/>
  <c r="C130" i="8"/>
  <c r="C132" i="8"/>
  <c r="C134" i="8"/>
  <c r="C136" i="8"/>
  <c r="C138" i="8"/>
  <c r="C140" i="8"/>
  <c r="C142" i="8"/>
  <c r="C144" i="8"/>
  <c r="C146" i="8"/>
  <c r="C148" i="8"/>
  <c r="C150" i="8"/>
  <c r="C152" i="8"/>
  <c r="C154" i="8"/>
  <c r="C156" i="8"/>
  <c r="C158" i="8"/>
  <c r="C160" i="8"/>
  <c r="C162" i="8"/>
  <c r="C164" i="8"/>
  <c r="C166" i="8"/>
  <c r="C168" i="8"/>
  <c r="C170" i="8"/>
  <c r="C172" i="8"/>
  <c r="C51" i="8"/>
  <c r="C55" i="8"/>
  <c r="C59" i="8"/>
  <c r="C63" i="8"/>
  <c r="C67" i="8"/>
  <c r="C71" i="8"/>
  <c r="C75" i="8"/>
  <c r="C79" i="8"/>
  <c r="C83" i="8"/>
  <c r="C87" i="8"/>
  <c r="C91" i="8"/>
  <c r="C95" i="8"/>
  <c r="C99" i="8"/>
  <c r="C103" i="8"/>
  <c r="C107" i="8"/>
  <c r="C111" i="8"/>
  <c r="C115" i="8"/>
  <c r="C119" i="8"/>
  <c r="C123" i="8"/>
  <c r="C127" i="8"/>
  <c r="C131" i="8"/>
  <c r="C135" i="8"/>
  <c r="C139" i="8"/>
  <c r="C143" i="8"/>
  <c r="C147" i="8"/>
  <c r="C151" i="8"/>
  <c r="C155" i="8"/>
  <c r="C159" i="8"/>
  <c r="C163" i="8"/>
  <c r="C167" i="8"/>
  <c r="C171" i="8"/>
  <c r="C174" i="8"/>
  <c r="C176" i="8"/>
  <c r="C178" i="8"/>
  <c r="C180" i="8"/>
  <c r="C182" i="8"/>
  <c r="C184" i="8"/>
  <c r="C186" i="8"/>
  <c r="C188" i="8"/>
  <c r="C190" i="8"/>
  <c r="C192" i="8"/>
  <c r="C194" i="8"/>
  <c r="C196" i="8"/>
  <c r="C198" i="8"/>
  <c r="C200" i="8"/>
  <c r="C202" i="8"/>
  <c r="C204" i="8"/>
  <c r="C206" i="8"/>
  <c r="C208" i="8"/>
  <c r="C210" i="8"/>
  <c r="C212" i="8"/>
  <c r="C214" i="8"/>
  <c r="C53" i="8"/>
  <c r="C57" i="8"/>
  <c r="C61" i="8"/>
  <c r="C65" i="8"/>
  <c r="C69" i="8"/>
  <c r="C73" i="8"/>
  <c r="C77" i="8"/>
  <c r="C81" i="8"/>
  <c r="C85" i="8"/>
  <c r="C89" i="8"/>
  <c r="C93" i="8"/>
  <c r="C97" i="8"/>
  <c r="C101" i="8"/>
  <c r="C105" i="8"/>
  <c r="C109" i="8"/>
  <c r="C113" i="8"/>
  <c r="C117" i="8"/>
  <c r="C121" i="8"/>
  <c r="C125" i="8"/>
  <c r="C129" i="8"/>
  <c r="C133" i="8"/>
  <c r="C137" i="8"/>
  <c r="C141" i="8"/>
  <c r="C145" i="8"/>
  <c r="C149" i="8"/>
  <c r="C153" i="8"/>
  <c r="C157" i="8"/>
  <c r="C161" i="8"/>
  <c r="C165" i="8"/>
  <c r="C169" i="8"/>
  <c r="C173" i="8"/>
  <c r="C175" i="8"/>
  <c r="C177" i="8"/>
  <c r="C179" i="8"/>
  <c r="C181" i="8"/>
  <c r="C183" i="8"/>
  <c r="C185" i="8"/>
  <c r="C187" i="8"/>
  <c r="C189" i="8"/>
  <c r="C191" i="8"/>
  <c r="C193" i="8"/>
  <c r="C195" i="8"/>
  <c r="C197" i="8"/>
  <c r="C199" i="8"/>
  <c r="C201" i="8"/>
  <c r="C203" i="8"/>
  <c r="C205" i="8"/>
  <c r="C207" i="8"/>
  <c r="C209" i="8"/>
  <c r="C211" i="8"/>
  <c r="C213" i="8"/>
  <c r="C215" i="8"/>
  <c r="B3" i="5"/>
  <c r="C9" i="5"/>
  <c r="B9" i="5"/>
  <c r="O8" i="9"/>
  <c r="P8" i="9"/>
  <c r="O7" i="9"/>
  <c r="N7" i="9"/>
  <c r="T12" i="9"/>
  <c r="N12" i="9"/>
  <c r="P9" i="9"/>
  <c r="S9" i="9"/>
  <c r="Q10" i="9"/>
  <c r="R10" i="9"/>
  <c r="R8" i="9"/>
  <c r="S8" i="9"/>
  <c r="M7" i="9"/>
  <c r="R7" i="9"/>
  <c r="M12" i="9"/>
  <c r="P12" i="9"/>
  <c r="O9" i="9"/>
  <c r="N9" i="9"/>
  <c r="M10" i="9"/>
  <c r="S10" i="9"/>
  <c r="N8" i="9"/>
  <c r="M8" i="9"/>
  <c r="T7" i="9"/>
  <c r="Q7" i="9"/>
  <c r="O12" i="9"/>
  <c r="Q12" i="9"/>
  <c r="T9" i="9"/>
  <c r="R9" i="9"/>
  <c r="N10" i="9"/>
  <c r="T10" i="9"/>
  <c r="Q8" i="9"/>
  <c r="T8" i="9"/>
  <c r="S7" i="9"/>
  <c r="P7" i="9"/>
  <c r="R12" i="9"/>
  <c r="S12" i="9"/>
  <c r="M9" i="9"/>
  <c r="Q9" i="9"/>
  <c r="P10" i="9"/>
  <c r="O10" i="9"/>
  <c r="O28" i="9" l="1"/>
  <c r="P28" i="9"/>
  <c r="Q27" i="9"/>
  <c r="S29" i="9"/>
  <c r="R29" i="9"/>
  <c r="P25" i="9"/>
  <c r="H38" i="9" s="1"/>
  <c r="O54" i="9" s="1"/>
  <c r="O81" i="9" s="1"/>
  <c r="S25" i="9"/>
  <c r="S31" i="9" s="1"/>
  <c r="U26" i="9"/>
  <c r="Q26" i="9"/>
  <c r="U28" i="9"/>
  <c r="N28" i="9"/>
  <c r="T28" i="9" s="1"/>
  <c r="R27" i="9"/>
  <c r="U27" i="9"/>
  <c r="Q29" i="9"/>
  <c r="O29" i="9"/>
  <c r="Q25" i="9"/>
  <c r="I38" i="9" s="1"/>
  <c r="O55" i="9" s="1"/>
  <c r="O82" i="9" s="1"/>
  <c r="U25" i="9"/>
  <c r="U31" i="9" s="1"/>
  <c r="N26" i="9"/>
  <c r="T26" i="9" s="1"/>
  <c r="S28" i="9"/>
  <c r="N27" i="9"/>
  <c r="T27" i="9" s="1"/>
  <c r="O27" i="9"/>
  <c r="P29" i="9"/>
  <c r="R25" i="9"/>
  <c r="J38" i="9" s="1"/>
  <c r="O56" i="9" s="1"/>
  <c r="O83" i="9" s="1"/>
  <c r="S26" i="9"/>
  <c r="R26" i="9"/>
  <c r="R28" i="9"/>
  <c r="Q28" i="9"/>
  <c r="S27" i="9"/>
  <c r="P27" i="9"/>
  <c r="N29" i="9"/>
  <c r="T29" i="9" s="1"/>
  <c r="U29" i="9"/>
  <c r="N25" i="9"/>
  <c r="N31" i="9" s="1"/>
  <c r="O25" i="9"/>
  <c r="G38" i="9" s="1"/>
  <c r="O53" i="9" s="1"/>
  <c r="O80" i="9" s="1"/>
  <c r="P26" i="9"/>
  <c r="O26" i="9"/>
  <c r="T25" i="9"/>
  <c r="K160" i="8"/>
  <c r="K144" i="8"/>
  <c r="K128" i="8"/>
  <c r="K112" i="8"/>
  <c r="K96" i="8"/>
  <c r="K211" i="8"/>
  <c r="K188" i="8"/>
  <c r="K172" i="8"/>
  <c r="K140" i="8"/>
  <c r="K212" i="8"/>
  <c r="K204" i="8"/>
  <c r="K196" i="8"/>
  <c r="K184" i="8"/>
  <c r="K168" i="8"/>
  <c r="K152" i="8"/>
  <c r="K136" i="8"/>
  <c r="K120" i="8"/>
  <c r="K104" i="8"/>
  <c r="K88" i="8"/>
  <c r="K207" i="8"/>
  <c r="K199" i="8"/>
  <c r="K190" i="8"/>
  <c r="K174" i="8"/>
  <c r="K158" i="8"/>
  <c r="K142" i="8"/>
  <c r="K126" i="8"/>
  <c r="K110" i="8"/>
  <c r="K94" i="8"/>
  <c r="K189" i="8"/>
  <c r="K181" i="8"/>
  <c r="K173" i="8"/>
  <c r="K165" i="8"/>
  <c r="K157" i="8"/>
  <c r="K149" i="8"/>
  <c r="K141" i="8"/>
  <c r="K133" i="8"/>
  <c r="K125" i="8"/>
  <c r="K117" i="8"/>
  <c r="K109" i="8"/>
  <c r="K101" i="8"/>
  <c r="K93" i="8"/>
  <c r="K85" i="8"/>
  <c r="K77" i="8"/>
  <c r="K69" i="8"/>
  <c r="K61" i="8"/>
  <c r="K53" i="8"/>
  <c r="K45" i="8"/>
  <c r="K37" i="8"/>
  <c r="K29" i="8"/>
  <c r="K21" i="8"/>
  <c r="K13" i="8"/>
  <c r="K5" i="8"/>
  <c r="K80" i="8"/>
  <c r="K72" i="8"/>
  <c r="K64" i="8"/>
  <c r="K56" i="8"/>
  <c r="K48" i="8"/>
  <c r="K40" i="8"/>
  <c r="K32" i="8"/>
  <c r="K24" i="8"/>
  <c r="K16" i="8"/>
  <c r="K8" i="8"/>
  <c r="K156" i="8"/>
  <c r="K210" i="8"/>
  <c r="K202" i="8"/>
  <c r="K194" i="8"/>
  <c r="K180" i="8"/>
  <c r="K164" i="8"/>
  <c r="K148" i="8"/>
  <c r="K132" i="8"/>
  <c r="K116" i="8"/>
  <c r="K100" i="8"/>
  <c r="K213" i="8"/>
  <c r="K205" i="8"/>
  <c r="K197" i="8"/>
  <c r="K186" i="8"/>
  <c r="K170" i="8"/>
  <c r="K154" i="8"/>
  <c r="K138" i="8"/>
  <c r="K122" i="8"/>
  <c r="K106" i="8"/>
  <c r="K90" i="8"/>
  <c r="K187" i="8"/>
  <c r="K179" i="8"/>
  <c r="K171" i="8"/>
  <c r="K163" i="8"/>
  <c r="K155" i="8"/>
  <c r="K147" i="8"/>
  <c r="K139" i="8"/>
  <c r="K131" i="8"/>
  <c r="K123" i="8"/>
  <c r="K115" i="8"/>
  <c r="K107" i="8"/>
  <c r="K99" i="8"/>
  <c r="K91" i="8"/>
  <c r="K83" i="8"/>
  <c r="K75" i="8"/>
  <c r="K67" i="8"/>
  <c r="K59" i="8"/>
  <c r="K51" i="8"/>
  <c r="K43" i="8"/>
  <c r="K35" i="8"/>
  <c r="K27" i="8"/>
  <c r="K19" i="8"/>
  <c r="K11" i="8"/>
  <c r="K3" i="8"/>
  <c r="K78" i="8"/>
  <c r="K70" i="8"/>
  <c r="K62" i="8"/>
  <c r="K54" i="8"/>
  <c r="K46" i="8"/>
  <c r="K38" i="8"/>
  <c r="K30" i="8"/>
  <c r="K22" i="8"/>
  <c r="K14" i="8"/>
  <c r="K6" i="8"/>
  <c r="K208" i="8"/>
  <c r="K200" i="8"/>
  <c r="K192" i="8"/>
  <c r="K176" i="8"/>
  <c r="K203" i="8"/>
  <c r="K195" i="8"/>
  <c r="K182" i="8"/>
  <c r="K166" i="8"/>
  <c r="K150" i="8"/>
  <c r="K134" i="8"/>
  <c r="K118" i="8"/>
  <c r="K102" i="8"/>
  <c r="K86" i="8"/>
  <c r="K185" i="8"/>
  <c r="K177" i="8"/>
  <c r="K169" i="8"/>
  <c r="K161" i="8"/>
  <c r="K153" i="8"/>
  <c r="K145" i="8"/>
  <c r="K137" i="8"/>
  <c r="K129" i="8"/>
  <c r="K121" i="8"/>
  <c r="K113" i="8"/>
  <c r="K105" i="8"/>
  <c r="K97" i="8"/>
  <c r="K89" i="8"/>
  <c r="K81" i="8"/>
  <c r="K73" i="8"/>
  <c r="K65" i="8"/>
  <c r="K57" i="8"/>
  <c r="K49" i="8"/>
  <c r="K41" i="8"/>
  <c r="K33" i="8"/>
  <c r="K25" i="8"/>
  <c r="K17" i="8"/>
  <c r="K9" i="8"/>
  <c r="K84" i="8"/>
  <c r="K76" i="8"/>
  <c r="K68" i="8"/>
  <c r="K60" i="8"/>
  <c r="K52" i="8"/>
  <c r="K44" i="8"/>
  <c r="K36" i="8"/>
  <c r="K28" i="8"/>
  <c r="K20" i="8"/>
  <c r="K12" i="8"/>
  <c r="K4" i="8"/>
  <c r="K206" i="8"/>
  <c r="K198" i="8"/>
  <c r="K124" i="8"/>
  <c r="K108" i="8"/>
  <c r="K92" i="8"/>
  <c r="K209" i="8"/>
  <c r="K201" i="8"/>
  <c r="K193" i="8"/>
  <c r="K178" i="8"/>
  <c r="K162" i="8"/>
  <c r="K146" i="8"/>
  <c r="K130" i="8"/>
  <c r="K114" i="8"/>
  <c r="K98" i="8"/>
  <c r="K191" i="8"/>
  <c r="K183" i="8"/>
  <c r="K175" i="8"/>
  <c r="K167" i="8"/>
  <c r="K159" i="8"/>
  <c r="K151" i="8"/>
  <c r="K143" i="8"/>
  <c r="K135" i="8"/>
  <c r="K127" i="8"/>
  <c r="K119" i="8"/>
  <c r="K111" i="8"/>
  <c r="K103" i="8"/>
  <c r="K95" i="8"/>
  <c r="K87" i="8"/>
  <c r="K79" i="8"/>
  <c r="K71" i="8"/>
  <c r="K63" i="8"/>
  <c r="K55" i="8"/>
  <c r="K47" i="8"/>
  <c r="K39" i="8"/>
  <c r="K31" i="8"/>
  <c r="K23" i="8"/>
  <c r="K15" i="8"/>
  <c r="K7" i="8"/>
  <c r="K82" i="8"/>
  <c r="K74" i="8"/>
  <c r="K66" i="8"/>
  <c r="K58" i="8"/>
  <c r="K50" i="8"/>
  <c r="K42" i="8"/>
  <c r="K34" i="8"/>
  <c r="K26" i="8"/>
  <c r="K18" i="8"/>
  <c r="K10" i="8"/>
  <c r="K2" i="8"/>
  <c r="F77" i="5"/>
  <c r="E70" i="5"/>
  <c r="E77" i="5"/>
  <c r="C14" i="5"/>
  <c r="C58" i="5"/>
  <c r="C23" i="5"/>
  <c r="C39" i="5"/>
  <c r="C51" i="5"/>
  <c r="C13" i="5"/>
  <c r="C16" i="5"/>
  <c r="C20" i="5"/>
  <c r="C24" i="5"/>
  <c r="C28" i="5"/>
  <c r="C32" i="5"/>
  <c r="C36" i="5"/>
  <c r="C40" i="5"/>
  <c r="C44" i="5"/>
  <c r="C48" i="5"/>
  <c r="C52" i="5"/>
  <c r="C56" i="5"/>
  <c r="C60" i="5"/>
  <c r="C22" i="5"/>
  <c r="C26" i="5"/>
  <c r="C34" i="5"/>
  <c r="C42" i="5"/>
  <c r="C50" i="5"/>
  <c r="C62" i="5"/>
  <c r="C19" i="5"/>
  <c r="C31" i="5"/>
  <c r="C43" i="5"/>
  <c r="C55" i="5"/>
  <c r="C17" i="5"/>
  <c r="C21" i="5"/>
  <c r="C25" i="5"/>
  <c r="C29" i="5"/>
  <c r="C33" i="5"/>
  <c r="C37" i="5"/>
  <c r="C41" i="5"/>
  <c r="C45" i="5"/>
  <c r="C49" i="5"/>
  <c r="C53" i="5"/>
  <c r="C57" i="5"/>
  <c r="C61" i="5"/>
  <c r="C18" i="5"/>
  <c r="C30" i="5"/>
  <c r="C38" i="5"/>
  <c r="C46" i="5"/>
  <c r="C54" i="5"/>
  <c r="C15" i="5"/>
  <c r="C27" i="5"/>
  <c r="C35" i="5"/>
  <c r="C47" i="5"/>
  <c r="C59" i="5"/>
  <c r="F38" i="9" l="1"/>
  <c r="O52" i="9" s="1"/>
  <c r="O58" i="9" s="1"/>
  <c r="O85" i="9" s="1"/>
  <c r="Q31" i="9"/>
  <c r="K38" i="9"/>
  <c r="O57" i="9" s="1"/>
  <c r="O84" i="9" s="1"/>
  <c r="R31" i="9"/>
  <c r="P31" i="9"/>
  <c r="O31" i="9"/>
  <c r="T31" i="9"/>
  <c r="M38" i="9"/>
  <c r="L38" i="9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13" i="5"/>
  <c r="B66" i="5" s="1"/>
  <c r="B67" i="5"/>
  <c r="B68" i="5" s="1"/>
  <c r="B69" i="5" s="1"/>
  <c r="B70" i="5" s="1"/>
  <c r="B71" i="5" s="1"/>
  <c r="B72" i="5" s="1"/>
  <c r="B73" i="5" s="1"/>
  <c r="B74" i="5" s="1"/>
  <c r="B75" i="5" s="1"/>
  <c r="B76" i="5" s="1"/>
  <c r="B77" i="5" s="1"/>
  <c r="B78" i="5" s="1"/>
  <c r="B79" i="5" s="1"/>
  <c r="B80" i="5" s="1"/>
  <c r="B81" i="5" s="1"/>
  <c r="B82" i="5" s="1"/>
  <c r="B83" i="5" s="1"/>
  <c r="B84" i="5" s="1"/>
  <c r="B85" i="5" s="1"/>
  <c r="B86" i="5" s="1"/>
  <c r="B87" i="5" s="1"/>
  <c r="B88" i="5" s="1"/>
  <c r="B89" i="5" s="1"/>
  <c r="B90" i="5" s="1"/>
  <c r="B91" i="5" s="1"/>
  <c r="B92" i="5" s="1"/>
  <c r="B93" i="5" s="1"/>
  <c r="B94" i="5" s="1"/>
  <c r="B95" i="5" s="1"/>
  <c r="B96" i="5" s="1"/>
  <c r="B97" i="5" s="1"/>
  <c r="B98" i="5" s="1"/>
  <c r="B99" i="5" s="1"/>
  <c r="B100" i="5" s="1"/>
  <c r="B101" i="5" s="1"/>
  <c r="B102" i="5" s="1"/>
  <c r="B103" i="5" s="1"/>
  <c r="B104" i="5" s="1"/>
  <c r="B105" i="5" s="1"/>
  <c r="B106" i="5" s="1"/>
  <c r="B107" i="5" s="1"/>
  <c r="B108" i="5" s="1"/>
  <c r="B109" i="5" s="1"/>
  <c r="B110" i="5" s="1"/>
  <c r="B111" i="5" s="1"/>
  <c r="B112" i="5" s="1"/>
  <c r="B113" i="5" s="1"/>
  <c r="B114" i="5" s="1"/>
  <c r="B115" i="5" s="1"/>
  <c r="B116" i="5" s="1"/>
  <c r="B117" i="5" s="1"/>
  <c r="B118" i="5" s="1"/>
  <c r="B119" i="5" s="1"/>
  <c r="B120" i="5" s="1"/>
  <c r="B121" i="5" s="1"/>
  <c r="B122" i="5" s="1"/>
  <c r="B123" i="5" s="1"/>
  <c r="B124" i="5" s="1"/>
  <c r="B125" i="5" s="1"/>
  <c r="B126" i="5" s="1"/>
  <c r="B127" i="5" s="1"/>
  <c r="B128" i="5" s="1"/>
  <c r="B129" i="5" s="1"/>
  <c r="B130" i="5" s="1"/>
  <c r="B131" i="5" s="1"/>
  <c r="B132" i="5" s="1"/>
  <c r="B133" i="5" s="1"/>
  <c r="B134" i="5" s="1"/>
  <c r="B135" i="5" s="1"/>
  <c r="B136" i="5" s="1"/>
  <c r="B137" i="5" s="1"/>
  <c r="B138" i="5" s="1"/>
  <c r="B139" i="5" s="1"/>
  <c r="B140" i="5" s="1"/>
  <c r="B141" i="5" s="1"/>
  <c r="B142" i="5" s="1"/>
  <c r="B143" i="5" s="1"/>
  <c r="B144" i="5" s="1"/>
  <c r="B145" i="5" s="1"/>
  <c r="B146" i="5" s="1"/>
  <c r="B147" i="5" s="1"/>
  <c r="B148" i="5" s="1"/>
  <c r="B149" i="5" s="1"/>
  <c r="B150" i="5" s="1"/>
  <c r="B151" i="5" s="1"/>
  <c r="B152" i="5" s="1"/>
  <c r="B153" i="5" s="1"/>
  <c r="B154" i="5" s="1"/>
  <c r="B155" i="5" s="1"/>
  <c r="B156" i="5" s="1"/>
  <c r="B157" i="5" s="1"/>
  <c r="B158" i="5" s="1"/>
  <c r="B159" i="5" s="1"/>
  <c r="B160" i="5" s="1"/>
  <c r="B161" i="5" s="1"/>
  <c r="B162" i="5" s="1"/>
  <c r="B163" i="5" s="1"/>
  <c r="B164" i="5" s="1"/>
  <c r="B165" i="5" s="1"/>
  <c r="B166" i="5" s="1"/>
  <c r="B167" i="5" s="1"/>
  <c r="B168" i="5" s="1"/>
  <c r="B169" i="5" s="1"/>
  <c r="B170" i="5" s="1"/>
  <c r="B171" i="5" s="1"/>
  <c r="B172" i="5" s="1"/>
  <c r="B173" i="5" s="1"/>
  <c r="B174" i="5" s="1"/>
  <c r="B175" i="5" s="1"/>
  <c r="B176" i="5" s="1"/>
  <c r="B177" i="5" s="1"/>
  <c r="B178" i="5" s="1"/>
  <c r="B179" i="5" s="1"/>
  <c r="B180" i="5" s="1"/>
  <c r="B181" i="5" s="1"/>
  <c r="B182" i="5" s="1"/>
  <c r="B183" i="5" s="1"/>
  <c r="B184" i="5" s="1"/>
  <c r="B185" i="5" s="1"/>
  <c r="B186" i="5" s="1"/>
  <c r="B187" i="5" s="1"/>
  <c r="B188" i="5" s="1"/>
  <c r="B189" i="5" s="1"/>
  <c r="B190" i="5" s="1"/>
  <c r="B191" i="5" s="1"/>
  <c r="B192" i="5" s="1"/>
  <c r="B193" i="5" s="1"/>
  <c r="B194" i="5" s="1"/>
  <c r="B195" i="5" s="1"/>
  <c r="B196" i="5" s="1"/>
  <c r="B197" i="5" s="1"/>
  <c r="B198" i="5" s="1"/>
  <c r="B199" i="5" s="1"/>
  <c r="B200" i="5" s="1"/>
  <c r="B201" i="5" s="1"/>
  <c r="B202" i="5" s="1"/>
  <c r="B203" i="5" s="1"/>
  <c r="B204" i="5" s="1"/>
  <c r="B205" i="5" s="1"/>
  <c r="B206" i="5" s="1"/>
  <c r="B207" i="5" s="1"/>
  <c r="B208" i="5" s="1"/>
  <c r="B209" i="5" s="1"/>
  <c r="B210" i="5" s="1"/>
  <c r="B211" i="5" s="1"/>
  <c r="B212" i="5" s="1"/>
  <c r="B213" i="5" s="1"/>
  <c r="B214" i="5" s="1"/>
  <c r="B215" i="5" s="1"/>
  <c r="B216" i="5" s="1"/>
  <c r="B217" i="5" s="1"/>
  <c r="B218" i="5" s="1"/>
  <c r="B219" i="5" s="1"/>
  <c r="B220" i="5" s="1"/>
  <c r="B221" i="5" s="1"/>
  <c r="B222" i="5" s="1"/>
  <c r="B223" i="5" s="1"/>
  <c r="B224" i="5" s="1"/>
  <c r="B225" i="5" s="1"/>
  <c r="B226" i="5" s="1"/>
  <c r="B227" i="5" s="1"/>
  <c r="B228" i="5" s="1"/>
  <c r="B229" i="5" s="1"/>
  <c r="B230" i="5" s="1"/>
  <c r="B231" i="5" s="1"/>
  <c r="B232" i="5" s="1"/>
  <c r="B233" i="5" s="1"/>
  <c r="B234" i="5" s="1"/>
  <c r="B235" i="5" s="1"/>
  <c r="B236" i="5" s="1"/>
  <c r="B237" i="5" s="1"/>
  <c r="B238" i="5" s="1"/>
  <c r="B239" i="5" s="1"/>
  <c r="B240" i="5" s="1"/>
  <c r="B241" i="5" s="1"/>
  <c r="B242" i="5" s="1"/>
  <c r="B243" i="5" s="1"/>
  <c r="B244" i="5" s="1"/>
  <c r="B245" i="5" s="1"/>
  <c r="B246" i="5" s="1"/>
  <c r="B247" i="5" s="1"/>
  <c r="B248" i="5" s="1"/>
  <c r="B249" i="5" s="1"/>
  <c r="B250" i="5" s="1"/>
  <c r="B251" i="5" s="1"/>
  <c r="B252" i="5" s="1"/>
  <c r="B253" i="5" s="1"/>
  <c r="B254" i="5" s="1"/>
  <c r="B255" i="5" s="1"/>
  <c r="B256" i="5" s="1"/>
  <c r="B257" i="5" s="1"/>
  <c r="B258" i="5" s="1"/>
  <c r="B259" i="5" s="1"/>
  <c r="B260" i="5" s="1"/>
  <c r="B261" i="5" s="1"/>
  <c r="B262" i="5" s="1"/>
  <c r="B263" i="5" s="1"/>
  <c r="B264" i="5" s="1"/>
  <c r="B265" i="5" s="1"/>
  <c r="B266" i="5" s="1"/>
  <c r="B267" i="5" s="1"/>
  <c r="B268" i="5" s="1"/>
  <c r="B269" i="5" s="1"/>
  <c r="B270" i="5" s="1"/>
  <c r="B271" i="5" s="1"/>
  <c r="B272" i="5" s="1"/>
  <c r="B273" i="5" s="1"/>
  <c r="B274" i="5" s="1"/>
  <c r="B275" i="5" s="1"/>
  <c r="B276" i="5" s="1"/>
  <c r="B277" i="5" s="1"/>
  <c r="B278" i="5" s="1"/>
  <c r="B279" i="5" s="1"/>
  <c r="B280" i="5" s="1"/>
  <c r="B281" i="5" s="1"/>
  <c r="B282" i="5" s="1"/>
  <c r="B283" i="5" s="1"/>
  <c r="B284" i="5" s="1"/>
  <c r="B285" i="5" s="1"/>
  <c r="B286" i="5" s="1"/>
  <c r="B287" i="5" s="1"/>
  <c r="B288" i="5" s="1"/>
  <c r="B289" i="5" s="1"/>
  <c r="B290" i="5" s="1"/>
  <c r="B291" i="5" s="1"/>
  <c r="B292" i="5" s="1"/>
  <c r="B293" i="5" s="1"/>
  <c r="B294" i="5" s="1"/>
  <c r="B295" i="5" s="1"/>
  <c r="B296" i="5" s="1"/>
  <c r="B297" i="5" s="1"/>
  <c r="B298" i="5" s="1"/>
  <c r="B299" i="5" s="1"/>
  <c r="B300" i="5" s="1"/>
  <c r="B301" i="5" s="1"/>
  <c r="B302" i="5" s="1"/>
  <c r="B303" i="5" s="1"/>
  <c r="B304" i="5" s="1"/>
  <c r="B305" i="5" s="1"/>
  <c r="B306" i="5" s="1"/>
  <c r="B307" i="5" s="1"/>
  <c r="B308" i="5" s="1"/>
  <c r="B309" i="5" s="1"/>
  <c r="B310" i="5" s="1"/>
  <c r="B311" i="5" s="1"/>
  <c r="B312" i="5" s="1"/>
  <c r="B313" i="5" s="1"/>
  <c r="B314" i="5" s="1"/>
  <c r="B315" i="5" s="1"/>
  <c r="B316" i="5" s="1"/>
  <c r="B317" i="5" s="1"/>
  <c r="B318" i="5" s="1"/>
  <c r="B319" i="5" s="1"/>
  <c r="B320" i="5" s="1"/>
  <c r="B321" i="5" s="1"/>
  <c r="B322" i="5" s="1"/>
  <c r="B323" i="5" s="1"/>
  <c r="B324" i="5" s="1"/>
  <c r="B325" i="5" s="1"/>
  <c r="B326" i="5" s="1"/>
  <c r="B327" i="5" s="1"/>
  <c r="B328" i="5" s="1"/>
  <c r="B329" i="5" s="1"/>
  <c r="B330" i="5" s="1"/>
  <c r="B331" i="5" s="1"/>
  <c r="B332" i="5" s="1"/>
  <c r="B333" i="5" s="1"/>
  <c r="B334" i="5" s="1"/>
  <c r="B335" i="5" s="1"/>
  <c r="B336" i="5" s="1"/>
  <c r="B337" i="5" s="1"/>
  <c r="B338" i="5" s="1"/>
  <c r="B339" i="5" s="1"/>
  <c r="B340" i="5" s="1"/>
  <c r="B341" i="5" s="1"/>
  <c r="B342" i="5" s="1"/>
  <c r="B343" i="5" s="1"/>
  <c r="B344" i="5" s="1"/>
  <c r="B345" i="5" s="1"/>
  <c r="B346" i="5" s="1"/>
  <c r="B347" i="5" s="1"/>
  <c r="B348" i="5" s="1"/>
  <c r="B349" i="5" s="1"/>
  <c r="B350" i="5" s="1"/>
  <c r="B351" i="5" s="1"/>
  <c r="B352" i="5" s="1"/>
  <c r="B353" i="5" s="1"/>
  <c r="B354" i="5" s="1"/>
  <c r="B355" i="5" s="1"/>
  <c r="B356" i="5" s="1"/>
  <c r="B357" i="5" s="1"/>
  <c r="B358" i="5" s="1"/>
  <c r="B359" i="5" s="1"/>
  <c r="B360" i="5" s="1"/>
  <c r="B361" i="5" s="1"/>
  <c r="B362" i="5" s="1"/>
  <c r="B363" i="5" s="1"/>
  <c r="B364" i="5" s="1"/>
  <c r="B365" i="5" s="1"/>
  <c r="B366" i="5" s="1"/>
  <c r="B367" i="5" s="1"/>
  <c r="B368" i="5" s="1"/>
  <c r="B369" i="5" s="1"/>
  <c r="B370" i="5" s="1"/>
  <c r="B371" i="5" s="1"/>
  <c r="B372" i="5" s="1"/>
  <c r="B373" i="5" s="1"/>
  <c r="B374" i="5" s="1"/>
  <c r="B375" i="5" s="1"/>
  <c r="B376" i="5" s="1"/>
  <c r="B377" i="5" s="1"/>
  <c r="B378" i="5" s="1"/>
  <c r="B379" i="5" s="1"/>
  <c r="B380" i="5" s="1"/>
  <c r="B381" i="5" s="1"/>
  <c r="B382" i="5" s="1"/>
  <c r="B383" i="5" s="1"/>
  <c r="B384" i="5" s="1"/>
  <c r="B385" i="5" s="1"/>
  <c r="B386" i="5" s="1"/>
  <c r="B387" i="5" s="1"/>
  <c r="B388" i="5" s="1"/>
  <c r="B389" i="5" s="1"/>
  <c r="B390" i="5" s="1"/>
  <c r="B391" i="5" s="1"/>
  <c r="B392" i="5" s="1"/>
  <c r="B393" i="5" s="1"/>
  <c r="B394" i="5" s="1"/>
  <c r="B395" i="5" s="1"/>
  <c r="B396" i="5" s="1"/>
  <c r="B397" i="5" s="1"/>
  <c r="B398" i="5" s="1"/>
  <c r="B399" i="5" s="1"/>
  <c r="B400" i="5" s="1"/>
  <c r="B401" i="5" s="1"/>
  <c r="B402" i="5" s="1"/>
  <c r="B403" i="5" s="1"/>
  <c r="B404" i="5" s="1"/>
  <c r="B405" i="5" s="1"/>
  <c r="B406" i="5" s="1"/>
  <c r="B407" i="5" s="1"/>
  <c r="B408" i="5" s="1"/>
  <c r="B409" i="5" s="1"/>
  <c r="B410" i="5" s="1"/>
  <c r="B411" i="5" s="1"/>
  <c r="B412" i="5" s="1"/>
  <c r="B413" i="5" s="1"/>
  <c r="B414" i="5" s="1"/>
  <c r="B415" i="5" s="1"/>
  <c r="B416" i="5" s="1"/>
  <c r="B417" i="5" s="1"/>
  <c r="B418" i="5" s="1"/>
  <c r="B419" i="5" s="1"/>
  <c r="B420" i="5" s="1"/>
  <c r="B421" i="5" s="1"/>
  <c r="B422" i="5" s="1"/>
  <c r="B423" i="5" s="1"/>
  <c r="B424" i="5" s="1"/>
  <c r="B425" i="5" s="1"/>
  <c r="B426" i="5" s="1"/>
  <c r="B427" i="5" s="1"/>
  <c r="B428" i="5" s="1"/>
  <c r="B429" i="5" s="1"/>
  <c r="B430" i="5" s="1"/>
  <c r="B431" i="5" s="1"/>
  <c r="B432" i="5" s="1"/>
  <c r="B433" i="5" s="1"/>
  <c r="B434" i="5" s="1"/>
  <c r="B435" i="5" s="1"/>
  <c r="B436" i="5" s="1"/>
  <c r="B437" i="5" s="1"/>
  <c r="B438" i="5" s="1"/>
  <c r="B439" i="5" s="1"/>
  <c r="B440" i="5" s="1"/>
  <c r="B441" i="5" s="1"/>
  <c r="B442" i="5" s="1"/>
  <c r="B443" i="5" s="1"/>
  <c r="B444" i="5" s="1"/>
  <c r="B445" i="5" s="1"/>
  <c r="B446" i="5" s="1"/>
  <c r="B447" i="5" s="1"/>
  <c r="B448" i="5" s="1"/>
  <c r="B449" i="5" s="1"/>
  <c r="B450" i="5" s="1"/>
  <c r="B451" i="5" s="1"/>
  <c r="B452" i="5" s="1"/>
  <c r="B453" i="5" s="1"/>
  <c r="B454" i="5" s="1"/>
  <c r="B455" i="5" s="1"/>
  <c r="B456" i="5" s="1"/>
  <c r="B457" i="5" s="1"/>
  <c r="B458" i="5" s="1"/>
  <c r="B459" i="5" s="1"/>
  <c r="B460" i="5" s="1"/>
  <c r="B461" i="5" s="1"/>
  <c r="B462" i="5" s="1"/>
  <c r="B463" i="5" s="1"/>
  <c r="B464" i="5" s="1"/>
  <c r="B465" i="5" s="1"/>
  <c r="B466" i="5" s="1"/>
  <c r="B467" i="5" s="1"/>
  <c r="B468" i="5" s="1"/>
  <c r="B469" i="5" s="1"/>
  <c r="B470" i="5" s="1"/>
  <c r="B471" i="5" s="1"/>
  <c r="B472" i="5" s="1"/>
  <c r="B473" i="5" s="1"/>
  <c r="B474" i="5" s="1"/>
  <c r="B475" i="5" s="1"/>
  <c r="B476" i="5" s="1"/>
  <c r="B477" i="5" s="1"/>
  <c r="B478" i="5" s="1"/>
  <c r="B479" i="5" s="1"/>
  <c r="B480" i="5" s="1"/>
  <c r="B481" i="5" s="1"/>
  <c r="B482" i="5" s="1"/>
  <c r="B483" i="5" s="1"/>
  <c r="B484" i="5" s="1"/>
  <c r="B485" i="5" s="1"/>
  <c r="B486" i="5" s="1"/>
  <c r="B487" i="5" s="1"/>
  <c r="B488" i="5" s="1"/>
  <c r="B489" i="5" s="1"/>
  <c r="B490" i="5" s="1"/>
  <c r="B491" i="5" s="1"/>
  <c r="B492" i="5" s="1"/>
  <c r="B493" i="5" s="1"/>
  <c r="B494" i="5" s="1"/>
  <c r="B495" i="5" s="1"/>
  <c r="B496" i="5" s="1"/>
  <c r="B497" i="5" s="1"/>
  <c r="B498" i="5" s="1"/>
  <c r="B499" i="5" s="1"/>
  <c r="B500" i="5" s="1"/>
  <c r="B501" i="5" s="1"/>
  <c r="B502" i="5" s="1"/>
  <c r="B503" i="5" s="1"/>
  <c r="B504" i="5" s="1"/>
  <c r="B505" i="5" s="1"/>
  <c r="B506" i="5" s="1"/>
  <c r="B507" i="5" s="1"/>
  <c r="B508" i="5" s="1"/>
  <c r="B509" i="5" s="1"/>
  <c r="B510" i="5" s="1"/>
  <c r="B511" i="5" s="1"/>
  <c r="B512" i="5" s="1"/>
  <c r="B513" i="5" s="1"/>
  <c r="B514" i="5" s="1"/>
  <c r="B515" i="5" s="1"/>
  <c r="B516" i="5" s="1"/>
  <c r="B517" i="5" s="1"/>
  <c r="B518" i="5" s="1"/>
  <c r="B519" i="5" s="1"/>
  <c r="B520" i="5" s="1"/>
  <c r="B521" i="5" s="1"/>
  <c r="B522" i="5" s="1"/>
  <c r="B523" i="5" s="1"/>
  <c r="B524" i="5" s="1"/>
  <c r="B525" i="5" s="1"/>
  <c r="B526" i="5" s="1"/>
  <c r="B527" i="5" s="1"/>
  <c r="B528" i="5" s="1"/>
  <c r="B529" i="5" s="1"/>
  <c r="B530" i="5" s="1"/>
  <c r="B531" i="5" s="1"/>
  <c r="B532" i="5" s="1"/>
  <c r="B533" i="5" s="1"/>
  <c r="B534" i="5" s="1"/>
  <c r="B535" i="5" s="1"/>
  <c r="B536" i="5" s="1"/>
  <c r="B537" i="5" s="1"/>
  <c r="B538" i="5" s="1"/>
  <c r="B539" i="5" s="1"/>
  <c r="B540" i="5" s="1"/>
  <c r="B541" i="5" s="1"/>
  <c r="B542" i="5" s="1"/>
  <c r="B543" i="5" s="1"/>
  <c r="B544" i="5" s="1"/>
  <c r="B545" i="5" s="1"/>
  <c r="B546" i="5" s="1"/>
  <c r="B547" i="5" s="1"/>
  <c r="B548" i="5" s="1"/>
  <c r="B549" i="5" s="1"/>
  <c r="B550" i="5" s="1"/>
  <c r="B551" i="5" s="1"/>
  <c r="B552" i="5" s="1"/>
  <c r="B553" i="5" s="1"/>
  <c r="B554" i="5" s="1"/>
  <c r="B555" i="5" s="1"/>
  <c r="B556" i="5" s="1"/>
  <c r="B557" i="5" s="1"/>
  <c r="B558" i="5" s="1"/>
  <c r="B559" i="5" s="1"/>
  <c r="B560" i="5" s="1"/>
  <c r="B561" i="5" s="1"/>
  <c r="B562" i="5" s="1"/>
  <c r="B563" i="5" s="1"/>
  <c r="B564" i="5" s="1"/>
  <c r="B565" i="5" s="1"/>
  <c r="B566" i="5" s="1"/>
  <c r="B567" i="5" s="1"/>
  <c r="B568" i="5" s="1"/>
  <c r="B569" i="5" s="1"/>
  <c r="B570" i="5" s="1"/>
  <c r="B571" i="5" s="1"/>
  <c r="B572" i="5" s="1"/>
  <c r="B573" i="5" s="1"/>
  <c r="B574" i="5" s="1"/>
  <c r="B575" i="5" s="1"/>
  <c r="B576" i="5" s="1"/>
  <c r="B577" i="5" s="1"/>
  <c r="B578" i="5" s="1"/>
  <c r="B579" i="5" s="1"/>
  <c r="B580" i="5" s="1"/>
  <c r="B581" i="5" s="1"/>
  <c r="B582" i="5" s="1"/>
  <c r="B583" i="5" s="1"/>
  <c r="B584" i="5" s="1"/>
  <c r="B585" i="5" s="1"/>
  <c r="B586" i="5" s="1"/>
  <c r="B587" i="5" s="1"/>
  <c r="B588" i="5" s="1"/>
  <c r="B589" i="5" s="1"/>
  <c r="B590" i="5" s="1"/>
  <c r="B591" i="5" s="1"/>
  <c r="B592" i="5" s="1"/>
  <c r="B593" i="5" s="1"/>
  <c r="B594" i="5" s="1"/>
  <c r="B595" i="5" s="1"/>
  <c r="B596" i="5" s="1"/>
  <c r="B597" i="5" s="1"/>
  <c r="B598" i="5" s="1"/>
  <c r="B599" i="5" s="1"/>
  <c r="B600" i="5" s="1"/>
  <c r="B601" i="5" s="1"/>
  <c r="B602" i="5" s="1"/>
  <c r="B603" i="5" s="1"/>
  <c r="B604" i="5" s="1"/>
  <c r="B605" i="5" s="1"/>
  <c r="B606" i="5" s="1"/>
  <c r="B607" i="5" s="1"/>
  <c r="B608" i="5" s="1"/>
  <c r="B609" i="5" s="1"/>
  <c r="B610" i="5" s="1"/>
  <c r="B611" i="5" s="1"/>
  <c r="B612" i="5" s="1"/>
  <c r="B613" i="5" s="1"/>
  <c r="B614" i="5" s="1"/>
  <c r="B615" i="5" s="1"/>
  <c r="B616" i="5" s="1"/>
  <c r="B617" i="5" s="1"/>
  <c r="B618" i="5" s="1"/>
  <c r="B619" i="5" s="1"/>
  <c r="B620" i="5" s="1"/>
  <c r="B621" i="5" s="1"/>
  <c r="B622" i="5" s="1"/>
  <c r="B623" i="5" s="1"/>
  <c r="B624" i="5" s="1"/>
  <c r="B625" i="5" s="1"/>
  <c r="B626" i="5" s="1"/>
  <c r="B627" i="5" s="1"/>
  <c r="B628" i="5" s="1"/>
  <c r="B629" i="5" s="1"/>
  <c r="B630" i="5" s="1"/>
  <c r="B631" i="5" s="1"/>
  <c r="B632" i="5" s="1"/>
  <c r="B633" i="5" s="1"/>
  <c r="B634" i="5" s="1"/>
  <c r="B635" i="5" s="1"/>
  <c r="B636" i="5" s="1"/>
  <c r="B637" i="5" s="1"/>
  <c r="B638" i="5" s="1"/>
  <c r="B639" i="5" s="1"/>
  <c r="B640" i="5" s="1"/>
  <c r="B641" i="5" s="1"/>
  <c r="B642" i="5" s="1"/>
  <c r="B643" i="5" s="1"/>
  <c r="B644" i="5" s="1"/>
  <c r="B645" i="5" s="1"/>
  <c r="B646" i="5" s="1"/>
  <c r="B647" i="5" s="1"/>
  <c r="B648" i="5" s="1"/>
  <c r="B649" i="5" s="1"/>
  <c r="B650" i="5" s="1"/>
  <c r="B651" i="5" s="1"/>
  <c r="B652" i="5" s="1"/>
  <c r="B653" i="5" s="1"/>
  <c r="B654" i="5" s="1"/>
  <c r="B655" i="5" s="1"/>
  <c r="B656" i="5" s="1"/>
  <c r="B657" i="5" s="1"/>
  <c r="B658" i="5" s="1"/>
  <c r="B659" i="5" s="1"/>
  <c r="B660" i="5" s="1"/>
  <c r="B661" i="5" s="1"/>
  <c r="B662" i="5" s="1"/>
  <c r="B663" i="5" s="1"/>
  <c r="B664" i="5" s="1"/>
  <c r="B665" i="5" s="1"/>
  <c r="B666" i="5" s="1"/>
  <c r="B667" i="5" s="1"/>
  <c r="B668" i="5" s="1"/>
  <c r="B669" i="5" s="1"/>
  <c r="B670" i="5" s="1"/>
  <c r="B671" i="5" s="1"/>
  <c r="B672" i="5" s="1"/>
  <c r="B673" i="5" s="1"/>
  <c r="B674" i="5" s="1"/>
  <c r="B675" i="5" s="1"/>
  <c r="B676" i="5" s="1"/>
  <c r="B677" i="5" s="1"/>
  <c r="B678" i="5" s="1"/>
  <c r="B679" i="5" s="1"/>
  <c r="B680" i="5" s="1"/>
  <c r="B681" i="5" s="1"/>
  <c r="B682" i="5" s="1"/>
  <c r="B683" i="5" s="1"/>
  <c r="B684" i="5" s="1"/>
  <c r="B685" i="5" s="1"/>
  <c r="B686" i="5" s="1"/>
  <c r="B687" i="5" s="1"/>
  <c r="B688" i="5" s="1"/>
  <c r="B689" i="5" s="1"/>
  <c r="B690" i="5" s="1"/>
  <c r="B691" i="5" s="1"/>
  <c r="B692" i="5" s="1"/>
  <c r="B693" i="5" s="1"/>
  <c r="B694" i="5" s="1"/>
  <c r="B695" i="5" s="1"/>
  <c r="B696" i="5" s="1"/>
  <c r="B697" i="5" s="1"/>
  <c r="B698" i="5" s="1"/>
  <c r="B699" i="5" s="1"/>
  <c r="B700" i="5" s="1"/>
  <c r="B701" i="5" s="1"/>
  <c r="B702" i="5" s="1"/>
  <c r="B703" i="5" s="1"/>
  <c r="B704" i="5" s="1"/>
  <c r="B705" i="5" s="1"/>
  <c r="B706" i="5" s="1"/>
  <c r="B707" i="5" s="1"/>
  <c r="B708" i="5" s="1"/>
  <c r="B709" i="5" s="1"/>
  <c r="B710" i="5" s="1"/>
  <c r="B711" i="5" s="1"/>
  <c r="B712" i="5" s="1"/>
  <c r="B713" i="5" s="1"/>
  <c r="B714" i="5" s="1"/>
  <c r="B715" i="5" s="1"/>
  <c r="B716" i="5" s="1"/>
  <c r="B717" i="5" s="1"/>
  <c r="B718" i="5" s="1"/>
  <c r="B719" i="5" s="1"/>
  <c r="B720" i="5" s="1"/>
  <c r="B721" i="5" s="1"/>
  <c r="B722" i="5" s="1"/>
  <c r="B723" i="5" s="1"/>
  <c r="B724" i="5" s="1"/>
  <c r="B725" i="5" s="1"/>
  <c r="B726" i="5" s="1"/>
  <c r="B727" i="5" s="1"/>
  <c r="B728" i="5" s="1"/>
  <c r="B729" i="5" s="1"/>
  <c r="B730" i="5" s="1"/>
  <c r="B731" i="5" s="1"/>
  <c r="B732" i="5" s="1"/>
  <c r="B733" i="5" s="1"/>
  <c r="B734" i="5" s="1"/>
  <c r="B735" i="5" s="1"/>
  <c r="B736" i="5" s="1"/>
  <c r="B737" i="5" s="1"/>
  <c r="B738" i="5" s="1"/>
  <c r="B739" i="5" s="1"/>
  <c r="B740" i="5" s="1"/>
  <c r="B741" i="5" s="1"/>
  <c r="B742" i="5" s="1"/>
  <c r="B743" i="5" s="1"/>
  <c r="B744" i="5" s="1"/>
  <c r="B745" i="5" s="1"/>
  <c r="B746" i="5" s="1"/>
  <c r="B747" i="5" s="1"/>
  <c r="B748" i="5" s="1"/>
  <c r="B749" i="5" s="1"/>
  <c r="B750" i="5" s="1"/>
  <c r="B751" i="5" s="1"/>
  <c r="B752" i="5" s="1"/>
  <c r="B753" i="5" s="1"/>
  <c r="B754" i="5" s="1"/>
  <c r="B755" i="5" s="1"/>
  <c r="B756" i="5" s="1"/>
  <c r="B757" i="5" s="1"/>
  <c r="B758" i="5" s="1"/>
  <c r="B759" i="5" s="1"/>
  <c r="B760" i="5" s="1"/>
  <c r="B761" i="5" s="1"/>
  <c r="B762" i="5" s="1"/>
  <c r="B763" i="5" s="1"/>
  <c r="B764" i="5" s="1"/>
  <c r="B765" i="5" s="1"/>
  <c r="B766" i="5" s="1"/>
  <c r="B767" i="5" s="1"/>
  <c r="B768" i="5" s="1"/>
  <c r="B769" i="5" s="1"/>
  <c r="B770" i="5" s="1"/>
  <c r="B771" i="5" s="1"/>
  <c r="B772" i="5" s="1"/>
  <c r="B773" i="5" s="1"/>
  <c r="B774" i="5" s="1"/>
  <c r="B775" i="5" s="1"/>
  <c r="B776" i="5" s="1"/>
  <c r="B777" i="5" s="1"/>
  <c r="B778" i="5" s="1"/>
  <c r="B779" i="5" s="1"/>
  <c r="B780" i="5" s="1"/>
  <c r="B781" i="5" s="1"/>
  <c r="B782" i="5" s="1"/>
  <c r="B783" i="5" s="1"/>
  <c r="B784" i="5" s="1"/>
  <c r="B785" i="5" s="1"/>
  <c r="B786" i="5" s="1"/>
  <c r="B787" i="5" s="1"/>
  <c r="B788" i="5" s="1"/>
  <c r="B789" i="5" s="1"/>
  <c r="B790" i="5" s="1"/>
  <c r="B791" i="5" s="1"/>
  <c r="B792" i="5" s="1"/>
  <c r="B793" i="5" s="1"/>
  <c r="B794" i="5" s="1"/>
  <c r="B795" i="5" s="1"/>
  <c r="B796" i="5" s="1"/>
  <c r="B797" i="5" s="1"/>
  <c r="B798" i="5" s="1"/>
  <c r="B799" i="5" s="1"/>
  <c r="B800" i="5" s="1"/>
  <c r="B801" i="5" s="1"/>
  <c r="B802" i="5" s="1"/>
  <c r="B803" i="5" s="1"/>
  <c r="B804" i="5" s="1"/>
  <c r="B805" i="5" s="1"/>
  <c r="B806" i="5" s="1"/>
  <c r="B807" i="5" s="1"/>
  <c r="B808" i="5" s="1"/>
  <c r="B809" i="5" s="1"/>
  <c r="B810" i="5" s="1"/>
  <c r="B811" i="5" s="1"/>
  <c r="B812" i="5" s="1"/>
  <c r="B813" i="5" s="1"/>
  <c r="B814" i="5" s="1"/>
  <c r="B815" i="5" s="1"/>
  <c r="C66" i="5" a="1"/>
  <c r="D1" i="5"/>
  <c r="D46" i="5"/>
  <c r="D19" i="5"/>
  <c r="D18" i="5"/>
  <c r="D25" i="5"/>
  <c r="D45" i="5"/>
  <c r="D52" i="5"/>
  <c r="D56" i="5"/>
  <c r="D21" i="5"/>
  <c r="D58" i="5"/>
  <c r="D49" i="5"/>
  <c r="D47" i="5"/>
  <c r="D13" i="5"/>
  <c r="E13" i="5" s="1"/>
  <c r="F13" i="5" s="1"/>
  <c r="D48" i="5"/>
  <c r="D55" i="5"/>
  <c r="D37" i="5"/>
  <c r="D40" i="5"/>
  <c r="D39" i="5"/>
  <c r="D30" i="5"/>
  <c r="D44" i="5"/>
  <c r="D54" i="5"/>
  <c r="D29" i="5"/>
  <c r="D32" i="5"/>
  <c r="D41" i="5"/>
  <c r="D14" i="5"/>
  <c r="D33" i="5"/>
  <c r="D38" i="5"/>
  <c r="D15" i="5"/>
  <c r="D61" i="5"/>
  <c r="D31" i="5"/>
  <c r="D57" i="5"/>
  <c r="D59" i="5"/>
  <c r="D62" i="5"/>
  <c r="D28" i="5"/>
  <c r="D36" i="5"/>
  <c r="D26" i="5"/>
  <c r="D24" i="5"/>
  <c r="D23" i="5"/>
  <c r="D34" i="5"/>
  <c r="D35" i="5"/>
  <c r="D51" i="5"/>
  <c r="D27" i="5"/>
  <c r="D16" i="5"/>
  <c r="D60" i="5"/>
  <c r="D17" i="5"/>
  <c r="D22" i="5"/>
  <c r="D20" i="5"/>
  <c r="D50" i="5"/>
  <c r="D43" i="5"/>
  <c r="D53" i="5"/>
  <c r="D42" i="5"/>
  <c r="O79" i="9" l="1"/>
  <c r="C66" i="5"/>
  <c r="C70" i="5"/>
  <c r="C74" i="5"/>
  <c r="C78" i="5"/>
  <c r="C82" i="5"/>
  <c r="C86" i="5"/>
  <c r="C90" i="5"/>
  <c r="C94" i="5"/>
  <c r="C98" i="5"/>
  <c r="C102" i="5"/>
  <c r="C106" i="5"/>
  <c r="C110" i="5"/>
  <c r="C114" i="5"/>
  <c r="C118" i="5"/>
  <c r="C122" i="5"/>
  <c r="C126" i="5"/>
  <c r="C130" i="5"/>
  <c r="C134" i="5"/>
  <c r="C138" i="5"/>
  <c r="C142" i="5"/>
  <c r="C146" i="5"/>
  <c r="C150" i="5"/>
  <c r="C154" i="5"/>
  <c r="C158" i="5"/>
  <c r="C162" i="5"/>
  <c r="C166" i="5"/>
  <c r="C170" i="5"/>
  <c r="C174" i="5"/>
  <c r="C178" i="5"/>
  <c r="C182" i="5"/>
  <c r="C186" i="5"/>
  <c r="C190" i="5"/>
  <c r="C194" i="5"/>
  <c r="C198" i="5"/>
  <c r="C202" i="5"/>
  <c r="C206" i="5"/>
  <c r="C210" i="5"/>
  <c r="C214" i="5"/>
  <c r="C218" i="5"/>
  <c r="C222" i="5"/>
  <c r="C226" i="5"/>
  <c r="C230" i="5"/>
  <c r="C234" i="5"/>
  <c r="C238" i="5"/>
  <c r="C242" i="5"/>
  <c r="C246" i="5"/>
  <c r="C250" i="5"/>
  <c r="C254" i="5"/>
  <c r="C258" i="5"/>
  <c r="C262" i="5"/>
  <c r="C266" i="5"/>
  <c r="C270" i="5"/>
  <c r="C274" i="5"/>
  <c r="C278" i="5"/>
  <c r="C282" i="5"/>
  <c r="C286" i="5"/>
  <c r="C290" i="5"/>
  <c r="C294" i="5"/>
  <c r="C298" i="5"/>
  <c r="C302" i="5"/>
  <c r="C306" i="5"/>
  <c r="C310" i="5"/>
  <c r="C314" i="5"/>
  <c r="C318" i="5"/>
  <c r="C322" i="5"/>
  <c r="C326" i="5"/>
  <c r="C330" i="5"/>
  <c r="C334" i="5"/>
  <c r="C338" i="5"/>
  <c r="C342" i="5"/>
  <c r="C346" i="5"/>
  <c r="C350" i="5"/>
  <c r="C354" i="5"/>
  <c r="C358" i="5"/>
  <c r="C362" i="5"/>
  <c r="C366" i="5"/>
  <c r="C370" i="5"/>
  <c r="C374" i="5"/>
  <c r="C378" i="5"/>
  <c r="C382" i="5"/>
  <c r="C386" i="5"/>
  <c r="C390" i="5"/>
  <c r="C394" i="5"/>
  <c r="C398" i="5"/>
  <c r="C402" i="5"/>
  <c r="C67" i="5"/>
  <c r="C72" i="5"/>
  <c r="C77" i="5"/>
  <c r="C83" i="5"/>
  <c r="C88" i="5"/>
  <c r="C93" i="5"/>
  <c r="C99" i="5"/>
  <c r="C104" i="5"/>
  <c r="C109" i="5"/>
  <c r="C115" i="5"/>
  <c r="C120" i="5"/>
  <c r="C125" i="5"/>
  <c r="C131" i="5"/>
  <c r="C136" i="5"/>
  <c r="C141" i="5"/>
  <c r="C147" i="5"/>
  <c r="C152" i="5"/>
  <c r="C157" i="5"/>
  <c r="C163" i="5"/>
  <c r="C168" i="5"/>
  <c r="C173" i="5"/>
  <c r="C179" i="5"/>
  <c r="C184" i="5"/>
  <c r="C189" i="5"/>
  <c r="C195" i="5"/>
  <c r="C200" i="5"/>
  <c r="C205" i="5"/>
  <c r="C211" i="5"/>
  <c r="C216" i="5"/>
  <c r="C221" i="5"/>
  <c r="C227" i="5"/>
  <c r="C232" i="5"/>
  <c r="C237" i="5"/>
  <c r="C243" i="5"/>
  <c r="C248" i="5"/>
  <c r="C253" i="5"/>
  <c r="C259" i="5"/>
  <c r="C264" i="5"/>
  <c r="C269" i="5"/>
  <c r="C275" i="5"/>
  <c r="C280" i="5"/>
  <c r="C285" i="5"/>
  <c r="C291" i="5"/>
  <c r="C296" i="5"/>
  <c r="C301" i="5"/>
  <c r="C307" i="5"/>
  <c r="C312" i="5"/>
  <c r="C317" i="5"/>
  <c r="C323" i="5"/>
  <c r="C328" i="5"/>
  <c r="C333" i="5"/>
  <c r="C339" i="5"/>
  <c r="C344" i="5"/>
  <c r="C349" i="5"/>
  <c r="C355" i="5"/>
  <c r="C360" i="5"/>
  <c r="C365" i="5"/>
  <c r="C371" i="5"/>
  <c r="C376" i="5"/>
  <c r="C381" i="5"/>
  <c r="C387" i="5"/>
  <c r="C392" i="5"/>
  <c r="C397" i="5"/>
  <c r="C403" i="5"/>
  <c r="C407" i="5"/>
  <c r="C411" i="5"/>
  <c r="C415" i="5"/>
  <c r="C419" i="5"/>
  <c r="C423" i="5"/>
  <c r="C427" i="5"/>
  <c r="C431" i="5"/>
  <c r="C435" i="5"/>
  <c r="C439" i="5"/>
  <c r="C443" i="5"/>
  <c r="C447" i="5"/>
  <c r="C451" i="5"/>
  <c r="C455" i="5"/>
  <c r="C459" i="5"/>
  <c r="C463" i="5"/>
  <c r="C467" i="5"/>
  <c r="C471" i="5"/>
  <c r="C475" i="5"/>
  <c r="C479" i="5"/>
  <c r="C483" i="5"/>
  <c r="C487" i="5"/>
  <c r="C69" i="5"/>
  <c r="C75" i="5"/>
  <c r="C80" i="5"/>
  <c r="C85" i="5"/>
  <c r="C91" i="5"/>
  <c r="C96" i="5"/>
  <c r="C101" i="5"/>
  <c r="C107" i="5"/>
  <c r="C112" i="5"/>
  <c r="C117" i="5"/>
  <c r="C123" i="5"/>
  <c r="C128" i="5"/>
  <c r="C133" i="5"/>
  <c r="C139" i="5"/>
  <c r="C144" i="5"/>
  <c r="C149" i="5"/>
  <c r="C155" i="5"/>
  <c r="C160" i="5"/>
  <c r="C165" i="5"/>
  <c r="C171" i="5"/>
  <c r="C176" i="5"/>
  <c r="C181" i="5"/>
  <c r="C187" i="5"/>
  <c r="C192" i="5"/>
  <c r="C197" i="5"/>
  <c r="C203" i="5"/>
  <c r="C208" i="5"/>
  <c r="C213" i="5"/>
  <c r="C219" i="5"/>
  <c r="C224" i="5"/>
  <c r="C229" i="5"/>
  <c r="C235" i="5"/>
  <c r="C240" i="5"/>
  <c r="C245" i="5"/>
  <c r="C251" i="5"/>
  <c r="C256" i="5"/>
  <c r="C261" i="5"/>
  <c r="C267" i="5"/>
  <c r="C272" i="5"/>
  <c r="C277" i="5"/>
  <c r="C283" i="5"/>
  <c r="C288" i="5"/>
  <c r="C293" i="5"/>
  <c r="C299" i="5"/>
  <c r="C304" i="5"/>
  <c r="C309" i="5"/>
  <c r="C315" i="5"/>
  <c r="C320" i="5"/>
  <c r="C325" i="5"/>
  <c r="C331" i="5"/>
  <c r="C336" i="5"/>
  <c r="C341" i="5"/>
  <c r="C347" i="5"/>
  <c r="C352" i="5"/>
  <c r="C357" i="5"/>
  <c r="C363" i="5"/>
  <c r="C368" i="5"/>
  <c r="C373" i="5"/>
  <c r="C379" i="5"/>
  <c r="C68" i="5"/>
  <c r="C79" i="5"/>
  <c r="C89" i="5"/>
  <c r="C100" i="5"/>
  <c r="C111" i="5"/>
  <c r="C121" i="5"/>
  <c r="C132" i="5"/>
  <c r="C143" i="5"/>
  <c r="C153" i="5"/>
  <c r="C164" i="5"/>
  <c r="C175" i="5"/>
  <c r="C185" i="5"/>
  <c r="C196" i="5"/>
  <c r="C207" i="5"/>
  <c r="C217" i="5"/>
  <c r="C228" i="5"/>
  <c r="C239" i="5"/>
  <c r="C249" i="5"/>
  <c r="C260" i="5"/>
  <c r="C271" i="5"/>
  <c r="C281" i="5"/>
  <c r="C292" i="5"/>
  <c r="C303" i="5"/>
  <c r="C313" i="5"/>
  <c r="C324" i="5"/>
  <c r="C335" i="5"/>
  <c r="C345" i="5"/>
  <c r="C356" i="5"/>
  <c r="C367" i="5"/>
  <c r="C377" i="5"/>
  <c r="C385" i="5"/>
  <c r="C393" i="5"/>
  <c r="C400" i="5"/>
  <c r="C406" i="5"/>
  <c r="C412" i="5"/>
  <c r="C417" i="5"/>
  <c r="C422" i="5"/>
  <c r="C428" i="5"/>
  <c r="C433" i="5"/>
  <c r="C438" i="5"/>
  <c r="C444" i="5"/>
  <c r="C449" i="5"/>
  <c r="C454" i="5"/>
  <c r="C460" i="5"/>
  <c r="C465" i="5"/>
  <c r="C470" i="5"/>
  <c r="C476" i="5"/>
  <c r="C481" i="5"/>
  <c r="C486" i="5"/>
  <c r="C491" i="5"/>
  <c r="C495" i="5"/>
  <c r="C499" i="5"/>
  <c r="C503" i="5"/>
  <c r="C507" i="5"/>
  <c r="C511" i="5"/>
  <c r="C515" i="5"/>
  <c r="C519" i="5"/>
  <c r="C523" i="5"/>
  <c r="C527" i="5"/>
  <c r="C531" i="5"/>
  <c r="C535" i="5"/>
  <c r="C539" i="5"/>
  <c r="C543" i="5"/>
  <c r="C547" i="5"/>
  <c r="C551" i="5"/>
  <c r="C555" i="5"/>
  <c r="C559" i="5"/>
  <c r="C563" i="5"/>
  <c r="C567" i="5"/>
  <c r="C571" i="5"/>
  <c r="C575" i="5"/>
  <c r="C579" i="5"/>
  <c r="C583" i="5"/>
  <c r="C587" i="5"/>
  <c r="C591" i="5"/>
  <c r="C595" i="5"/>
  <c r="C599" i="5"/>
  <c r="C603" i="5"/>
  <c r="C607" i="5"/>
  <c r="C611" i="5"/>
  <c r="C615" i="5"/>
  <c r="C619" i="5"/>
  <c r="C623" i="5"/>
  <c r="C627" i="5"/>
  <c r="C631" i="5"/>
  <c r="C635" i="5"/>
  <c r="C639" i="5"/>
  <c r="C643" i="5"/>
  <c r="C647" i="5"/>
  <c r="C651" i="5"/>
  <c r="C655" i="5"/>
  <c r="C659" i="5"/>
  <c r="C663" i="5"/>
  <c r="C667" i="5"/>
  <c r="C671" i="5"/>
  <c r="C675" i="5"/>
  <c r="C679" i="5"/>
  <c r="C683" i="5"/>
  <c r="C687" i="5"/>
  <c r="C691" i="5"/>
  <c r="C695" i="5"/>
  <c r="C699" i="5"/>
  <c r="C703" i="5"/>
  <c r="C707" i="5"/>
  <c r="C711" i="5"/>
  <c r="C715" i="5"/>
  <c r="C719" i="5"/>
  <c r="C723" i="5"/>
  <c r="C727" i="5"/>
  <c r="C731" i="5"/>
  <c r="C735" i="5"/>
  <c r="C739" i="5"/>
  <c r="C743" i="5"/>
  <c r="C747" i="5"/>
  <c r="C751" i="5"/>
  <c r="C755" i="5"/>
  <c r="C759" i="5"/>
  <c r="C763" i="5"/>
  <c r="C767" i="5"/>
  <c r="C771" i="5"/>
  <c r="C775" i="5"/>
  <c r="C779" i="5"/>
  <c r="C783" i="5"/>
  <c r="C787" i="5"/>
  <c r="C791" i="5"/>
  <c r="C795" i="5"/>
  <c r="C799" i="5"/>
  <c r="C803" i="5"/>
  <c r="C807" i="5"/>
  <c r="C811" i="5"/>
  <c r="C815" i="5"/>
  <c r="C819" i="5"/>
  <c r="C823" i="5"/>
  <c r="C827" i="5"/>
  <c r="C831" i="5"/>
  <c r="C835" i="5"/>
  <c r="C839" i="5"/>
  <c r="C843" i="5"/>
  <c r="C847" i="5"/>
  <c r="C851" i="5"/>
  <c r="C855" i="5"/>
  <c r="C859" i="5"/>
  <c r="C863" i="5"/>
  <c r="C867" i="5"/>
  <c r="C871" i="5"/>
  <c r="C875" i="5"/>
  <c r="C879" i="5"/>
  <c r="C73" i="5"/>
  <c r="C84" i="5"/>
  <c r="C95" i="5"/>
  <c r="C105" i="5"/>
  <c r="C116" i="5"/>
  <c r="C127" i="5"/>
  <c r="C137" i="5"/>
  <c r="C148" i="5"/>
  <c r="C159" i="5"/>
  <c r="C169" i="5"/>
  <c r="C180" i="5"/>
  <c r="C191" i="5"/>
  <c r="C201" i="5"/>
  <c r="C212" i="5"/>
  <c r="C223" i="5"/>
  <c r="C233" i="5"/>
  <c r="C244" i="5"/>
  <c r="C255" i="5"/>
  <c r="C265" i="5"/>
  <c r="C276" i="5"/>
  <c r="C287" i="5"/>
  <c r="C297" i="5"/>
  <c r="C308" i="5"/>
  <c r="C319" i="5"/>
  <c r="C329" i="5"/>
  <c r="C340" i="5"/>
  <c r="C351" i="5"/>
  <c r="C361" i="5"/>
  <c r="C372" i="5"/>
  <c r="C383" i="5"/>
  <c r="C389" i="5"/>
  <c r="C396" i="5"/>
  <c r="C404" i="5"/>
  <c r="C409" i="5"/>
  <c r="C414" i="5"/>
  <c r="C420" i="5"/>
  <c r="C425" i="5"/>
  <c r="C430" i="5"/>
  <c r="C436" i="5"/>
  <c r="C441" i="5"/>
  <c r="C446" i="5"/>
  <c r="C452" i="5"/>
  <c r="C457" i="5"/>
  <c r="C462" i="5"/>
  <c r="C468" i="5"/>
  <c r="C473" i="5"/>
  <c r="C478" i="5"/>
  <c r="C484" i="5"/>
  <c r="C489" i="5"/>
  <c r="C493" i="5"/>
  <c r="C497" i="5"/>
  <c r="C501" i="5"/>
  <c r="C505" i="5"/>
  <c r="C509" i="5"/>
  <c r="C513" i="5"/>
  <c r="C517" i="5"/>
  <c r="C521" i="5"/>
  <c r="C525" i="5"/>
  <c r="C529" i="5"/>
  <c r="C533" i="5"/>
  <c r="C537" i="5"/>
  <c r="C541" i="5"/>
  <c r="C545" i="5"/>
  <c r="C549" i="5"/>
  <c r="C553" i="5"/>
  <c r="C557" i="5"/>
  <c r="C561" i="5"/>
  <c r="C565" i="5"/>
  <c r="C569" i="5"/>
  <c r="C573" i="5"/>
  <c r="C577" i="5"/>
  <c r="C581" i="5"/>
  <c r="C585" i="5"/>
  <c r="C589" i="5"/>
  <c r="C593" i="5"/>
  <c r="C597" i="5"/>
  <c r="C601" i="5"/>
  <c r="C605" i="5"/>
  <c r="C609" i="5"/>
  <c r="C613" i="5"/>
  <c r="C617" i="5"/>
  <c r="C621" i="5"/>
  <c r="C625" i="5"/>
  <c r="C629" i="5"/>
  <c r="C633" i="5"/>
  <c r="C637" i="5"/>
  <c r="C641" i="5"/>
  <c r="C645" i="5"/>
  <c r="C649" i="5"/>
  <c r="C653" i="5"/>
  <c r="C657" i="5"/>
  <c r="C661" i="5"/>
  <c r="C665" i="5"/>
  <c r="C669" i="5"/>
  <c r="C673" i="5"/>
  <c r="C677" i="5"/>
  <c r="C681" i="5"/>
  <c r="C685" i="5"/>
  <c r="C689" i="5"/>
  <c r="C693" i="5"/>
  <c r="C697" i="5"/>
  <c r="C701" i="5"/>
  <c r="C705" i="5"/>
  <c r="C709" i="5"/>
  <c r="C713" i="5"/>
  <c r="C717" i="5"/>
  <c r="C721" i="5"/>
  <c r="C725" i="5"/>
  <c r="C729" i="5"/>
  <c r="C733" i="5"/>
  <c r="C737" i="5"/>
  <c r="C741" i="5"/>
  <c r="C745" i="5"/>
  <c r="C749" i="5"/>
  <c r="C753" i="5"/>
  <c r="C757" i="5"/>
  <c r="C761" i="5"/>
  <c r="C765" i="5"/>
  <c r="C769" i="5"/>
  <c r="C773" i="5"/>
  <c r="C777" i="5"/>
  <c r="C781" i="5"/>
  <c r="C785" i="5"/>
  <c r="C789" i="5"/>
  <c r="C793" i="5"/>
  <c r="C797" i="5"/>
  <c r="C801" i="5"/>
  <c r="C805" i="5"/>
  <c r="C809" i="5"/>
  <c r="C813" i="5"/>
  <c r="C817" i="5"/>
  <c r="C821" i="5"/>
  <c r="C825" i="5"/>
  <c r="C829" i="5"/>
  <c r="C833" i="5"/>
  <c r="C837" i="5"/>
  <c r="C841" i="5"/>
  <c r="C845" i="5"/>
  <c r="C849" i="5"/>
  <c r="C853" i="5"/>
  <c r="C857" i="5"/>
  <c r="C861" i="5"/>
  <c r="C865" i="5"/>
  <c r="C869" i="5"/>
  <c r="C873" i="5"/>
  <c r="C877" i="5"/>
  <c r="C881" i="5"/>
  <c r="C885" i="5"/>
  <c r="C889" i="5"/>
  <c r="C893" i="5"/>
  <c r="C897" i="5"/>
  <c r="C901" i="5"/>
  <c r="C905" i="5"/>
  <c r="C909" i="5"/>
  <c r="C913" i="5"/>
  <c r="C917" i="5"/>
  <c r="C921" i="5"/>
  <c r="C925" i="5"/>
  <c r="C929" i="5"/>
  <c r="C933" i="5"/>
  <c r="C937" i="5"/>
  <c r="C941" i="5"/>
  <c r="C945" i="5"/>
  <c r="C949" i="5"/>
  <c r="C953" i="5"/>
  <c r="C957" i="5"/>
  <c r="C961" i="5"/>
  <c r="C965" i="5"/>
  <c r="C969" i="5"/>
  <c r="C973" i="5"/>
  <c r="C71" i="5"/>
  <c r="C92" i="5"/>
  <c r="C113" i="5"/>
  <c r="C135" i="5"/>
  <c r="C156" i="5"/>
  <c r="C177" i="5"/>
  <c r="C199" i="5"/>
  <c r="C220" i="5"/>
  <c r="C241" i="5"/>
  <c r="C263" i="5"/>
  <c r="C284" i="5"/>
  <c r="C305" i="5"/>
  <c r="C327" i="5"/>
  <c r="C348" i="5"/>
  <c r="C369" i="5"/>
  <c r="C388" i="5"/>
  <c r="C401" i="5"/>
  <c r="C413" i="5"/>
  <c r="C424" i="5"/>
  <c r="C434" i="5"/>
  <c r="C445" i="5"/>
  <c r="C456" i="5"/>
  <c r="C466" i="5"/>
  <c r="C477" i="5"/>
  <c r="C488" i="5"/>
  <c r="C496" i="5"/>
  <c r="C504" i="5"/>
  <c r="C512" i="5"/>
  <c r="C520" i="5"/>
  <c r="C528" i="5"/>
  <c r="C536" i="5"/>
  <c r="C544" i="5"/>
  <c r="C552" i="5"/>
  <c r="C560" i="5"/>
  <c r="C568" i="5"/>
  <c r="C576" i="5"/>
  <c r="C584" i="5"/>
  <c r="C592" i="5"/>
  <c r="C600" i="5"/>
  <c r="C608" i="5"/>
  <c r="C616" i="5"/>
  <c r="C624" i="5"/>
  <c r="C632" i="5"/>
  <c r="C640" i="5"/>
  <c r="C648" i="5"/>
  <c r="C656" i="5"/>
  <c r="C664" i="5"/>
  <c r="C672" i="5"/>
  <c r="C680" i="5"/>
  <c r="C688" i="5"/>
  <c r="C696" i="5"/>
  <c r="C704" i="5"/>
  <c r="C712" i="5"/>
  <c r="C720" i="5"/>
  <c r="C728" i="5"/>
  <c r="C736" i="5"/>
  <c r="C744" i="5"/>
  <c r="C752" i="5"/>
  <c r="C760" i="5"/>
  <c r="C768" i="5"/>
  <c r="C776" i="5"/>
  <c r="C784" i="5"/>
  <c r="C792" i="5"/>
  <c r="C800" i="5"/>
  <c r="C808" i="5"/>
  <c r="C816" i="5"/>
  <c r="C824" i="5"/>
  <c r="C832" i="5"/>
  <c r="C840" i="5"/>
  <c r="C848" i="5"/>
  <c r="C856" i="5"/>
  <c r="C864" i="5"/>
  <c r="C872" i="5"/>
  <c r="C880" i="5"/>
  <c r="C886" i="5"/>
  <c r="C891" i="5"/>
  <c r="C896" i="5"/>
  <c r="C902" i="5"/>
  <c r="C907" i="5"/>
  <c r="C912" i="5"/>
  <c r="C918" i="5"/>
  <c r="C923" i="5"/>
  <c r="C928" i="5"/>
  <c r="C934" i="5"/>
  <c r="C939" i="5"/>
  <c r="C944" i="5"/>
  <c r="C950" i="5"/>
  <c r="C955" i="5"/>
  <c r="C960" i="5"/>
  <c r="C966" i="5"/>
  <c r="C971" i="5"/>
  <c r="C976" i="5"/>
  <c r="C980" i="5"/>
  <c r="C984" i="5"/>
  <c r="C988" i="5"/>
  <c r="C992" i="5"/>
  <c r="C996" i="5"/>
  <c r="C1000" i="5"/>
  <c r="C1004" i="5"/>
  <c r="C1008" i="5"/>
  <c r="C1012" i="5"/>
  <c r="C1016" i="5"/>
  <c r="C1020" i="5"/>
  <c r="C1024" i="5"/>
  <c r="C1028" i="5"/>
  <c r="C1032" i="5"/>
  <c r="C1036" i="5"/>
  <c r="C1040" i="5"/>
  <c r="C1044" i="5"/>
  <c r="C1048" i="5"/>
  <c r="C1052" i="5"/>
  <c r="C1056" i="5"/>
  <c r="C1060" i="5"/>
  <c r="C1064" i="5"/>
  <c r="C1068" i="5"/>
  <c r="C1072" i="5"/>
  <c r="C1076" i="5"/>
  <c r="C1080" i="5"/>
  <c r="C1084" i="5"/>
  <c r="C1088" i="5"/>
  <c r="C76" i="5"/>
  <c r="C97" i="5"/>
  <c r="C119" i="5"/>
  <c r="C140" i="5"/>
  <c r="C161" i="5"/>
  <c r="C183" i="5"/>
  <c r="C204" i="5"/>
  <c r="C225" i="5"/>
  <c r="C247" i="5"/>
  <c r="C268" i="5"/>
  <c r="C289" i="5"/>
  <c r="C311" i="5"/>
  <c r="C332" i="5"/>
  <c r="C353" i="5"/>
  <c r="C375" i="5"/>
  <c r="C391" i="5"/>
  <c r="C405" i="5"/>
  <c r="C416" i="5"/>
  <c r="C426" i="5"/>
  <c r="C437" i="5"/>
  <c r="C448" i="5"/>
  <c r="C458" i="5"/>
  <c r="C469" i="5"/>
  <c r="C480" i="5"/>
  <c r="C490" i="5"/>
  <c r="C498" i="5"/>
  <c r="C506" i="5"/>
  <c r="C514" i="5"/>
  <c r="C522" i="5"/>
  <c r="C530" i="5"/>
  <c r="C538" i="5"/>
  <c r="C546" i="5"/>
  <c r="C554" i="5"/>
  <c r="C562" i="5"/>
  <c r="C570" i="5"/>
  <c r="C578" i="5"/>
  <c r="C586" i="5"/>
  <c r="C594" i="5"/>
  <c r="C602" i="5"/>
  <c r="C610" i="5"/>
  <c r="C618" i="5"/>
  <c r="C626" i="5"/>
  <c r="C634" i="5"/>
  <c r="C642" i="5"/>
  <c r="C650" i="5"/>
  <c r="C658" i="5"/>
  <c r="C666" i="5"/>
  <c r="C674" i="5"/>
  <c r="C682" i="5"/>
  <c r="C690" i="5"/>
  <c r="C81" i="5"/>
  <c r="C103" i="5"/>
  <c r="C124" i="5"/>
  <c r="C145" i="5"/>
  <c r="C167" i="5"/>
  <c r="C188" i="5"/>
  <c r="C209" i="5"/>
  <c r="C231" i="5"/>
  <c r="C252" i="5"/>
  <c r="C273" i="5"/>
  <c r="C295" i="5"/>
  <c r="C316" i="5"/>
  <c r="C337" i="5"/>
  <c r="C359" i="5"/>
  <c r="C380" i="5"/>
  <c r="C395" i="5"/>
  <c r="C408" i="5"/>
  <c r="C418" i="5"/>
  <c r="C429" i="5"/>
  <c r="C440" i="5"/>
  <c r="C450" i="5"/>
  <c r="C461" i="5"/>
  <c r="C472" i="5"/>
  <c r="C482" i="5"/>
  <c r="C492" i="5"/>
  <c r="C500" i="5"/>
  <c r="C508" i="5"/>
  <c r="C516" i="5"/>
  <c r="C524" i="5"/>
  <c r="C532" i="5"/>
  <c r="C540" i="5"/>
  <c r="C548" i="5"/>
  <c r="C556" i="5"/>
  <c r="C564" i="5"/>
  <c r="C572" i="5"/>
  <c r="C580" i="5"/>
  <c r="C588" i="5"/>
  <c r="C596" i="5"/>
  <c r="C604" i="5"/>
  <c r="C612" i="5"/>
  <c r="C620" i="5"/>
  <c r="C628" i="5"/>
  <c r="C636" i="5"/>
  <c r="C644" i="5"/>
  <c r="C652" i="5"/>
  <c r="C660" i="5"/>
  <c r="C668" i="5"/>
  <c r="C676" i="5"/>
  <c r="C684" i="5"/>
  <c r="C692" i="5"/>
  <c r="C700" i="5"/>
  <c r="C708" i="5"/>
  <c r="C716" i="5"/>
  <c r="C724" i="5"/>
  <c r="C732" i="5"/>
  <c r="C740" i="5"/>
  <c r="C748" i="5"/>
  <c r="C756" i="5"/>
  <c r="C764" i="5"/>
  <c r="C772" i="5"/>
  <c r="C780" i="5"/>
  <c r="C788" i="5"/>
  <c r="C796" i="5"/>
  <c r="C804" i="5"/>
  <c r="C812" i="5"/>
  <c r="C820" i="5"/>
  <c r="C828" i="5"/>
  <c r="C836" i="5"/>
  <c r="C844" i="5"/>
  <c r="C852" i="5"/>
  <c r="C860" i="5"/>
  <c r="C868" i="5"/>
  <c r="C876" i="5"/>
  <c r="C883" i="5"/>
  <c r="C888" i="5"/>
  <c r="C894" i="5"/>
  <c r="C899" i="5"/>
  <c r="C904" i="5"/>
  <c r="C910" i="5"/>
  <c r="C915" i="5"/>
  <c r="C920" i="5"/>
  <c r="C926" i="5"/>
  <c r="C931" i="5"/>
  <c r="C936" i="5"/>
  <c r="C942" i="5"/>
  <c r="C947" i="5"/>
  <c r="C952" i="5"/>
  <c r="C958" i="5"/>
  <c r="C963" i="5"/>
  <c r="C968" i="5"/>
  <c r="C974" i="5"/>
  <c r="C978" i="5"/>
  <c r="C982" i="5"/>
  <c r="C986" i="5"/>
  <c r="C990" i="5"/>
  <c r="C994" i="5"/>
  <c r="C998" i="5"/>
  <c r="C1002" i="5"/>
  <c r="C1006" i="5"/>
  <c r="C1010" i="5"/>
  <c r="C1014" i="5"/>
  <c r="C1018" i="5"/>
  <c r="C1022" i="5"/>
  <c r="C1026" i="5"/>
  <c r="C1030" i="5"/>
  <c r="C1034" i="5"/>
  <c r="C1038" i="5"/>
  <c r="C1042" i="5"/>
  <c r="C1046" i="5"/>
  <c r="C1050" i="5"/>
  <c r="C1054" i="5"/>
  <c r="C1058" i="5"/>
  <c r="C1062" i="5"/>
  <c r="C1066" i="5"/>
  <c r="C1070" i="5"/>
  <c r="C1074" i="5"/>
  <c r="C1078" i="5"/>
  <c r="C1082" i="5"/>
  <c r="C1086" i="5"/>
  <c r="C87" i="5"/>
  <c r="C108" i="5"/>
  <c r="C129" i="5"/>
  <c r="C151" i="5"/>
  <c r="C172" i="5"/>
  <c r="C193" i="5"/>
  <c r="C215" i="5"/>
  <c r="C236" i="5"/>
  <c r="C257" i="5"/>
  <c r="C279" i="5"/>
  <c r="C300" i="5"/>
  <c r="C321" i="5"/>
  <c r="C364" i="5"/>
  <c r="C421" i="5"/>
  <c r="C464" i="5"/>
  <c r="C502" i="5"/>
  <c r="C534" i="5"/>
  <c r="C566" i="5"/>
  <c r="C598" i="5"/>
  <c r="C630" i="5"/>
  <c r="C662" i="5"/>
  <c r="C694" i="5"/>
  <c r="C710" i="5"/>
  <c r="C726" i="5"/>
  <c r="C742" i="5"/>
  <c r="C758" i="5"/>
  <c r="C774" i="5"/>
  <c r="C790" i="5"/>
  <c r="C806" i="5"/>
  <c r="C822" i="5"/>
  <c r="C838" i="5"/>
  <c r="C854" i="5"/>
  <c r="C870" i="5"/>
  <c r="C884" i="5"/>
  <c r="C895" i="5"/>
  <c r="C906" i="5"/>
  <c r="C916" i="5"/>
  <c r="C927" i="5"/>
  <c r="C938" i="5"/>
  <c r="C948" i="5"/>
  <c r="C959" i="5"/>
  <c r="C970" i="5"/>
  <c r="C979" i="5"/>
  <c r="C987" i="5"/>
  <c r="C995" i="5"/>
  <c r="C1003" i="5"/>
  <c r="C1011" i="5"/>
  <c r="C1019" i="5"/>
  <c r="C1027" i="5"/>
  <c r="C1035" i="5"/>
  <c r="C1043" i="5"/>
  <c r="C1051" i="5"/>
  <c r="C1059" i="5"/>
  <c r="C1067" i="5"/>
  <c r="C1075" i="5"/>
  <c r="C1083" i="5"/>
  <c r="C384" i="5"/>
  <c r="C432" i="5"/>
  <c r="C510" i="5"/>
  <c r="C542" i="5"/>
  <c r="C574" i="5"/>
  <c r="C606" i="5"/>
  <c r="C670" i="5"/>
  <c r="C698" i="5"/>
  <c r="C730" i="5"/>
  <c r="C762" i="5"/>
  <c r="C794" i="5"/>
  <c r="C826" i="5"/>
  <c r="C858" i="5"/>
  <c r="C887" i="5"/>
  <c r="C908" i="5"/>
  <c r="C930" i="5"/>
  <c r="C951" i="5"/>
  <c r="C972" i="5"/>
  <c r="C989" i="5"/>
  <c r="C1005" i="5"/>
  <c r="C1021" i="5"/>
  <c r="C1037" i="5"/>
  <c r="C1053" i="5"/>
  <c r="C1069" i="5"/>
  <c r="C1085" i="5"/>
  <c r="C399" i="5"/>
  <c r="C442" i="5"/>
  <c r="C485" i="5"/>
  <c r="C518" i="5"/>
  <c r="C550" i="5"/>
  <c r="C582" i="5"/>
  <c r="C614" i="5"/>
  <c r="C646" i="5"/>
  <c r="C678" i="5"/>
  <c r="C702" i="5"/>
  <c r="C718" i="5"/>
  <c r="C734" i="5"/>
  <c r="C750" i="5"/>
  <c r="C766" i="5"/>
  <c r="C782" i="5"/>
  <c r="C798" i="5"/>
  <c r="C814" i="5"/>
  <c r="C830" i="5"/>
  <c r="C846" i="5"/>
  <c r="C862" i="5"/>
  <c r="C878" i="5"/>
  <c r="C890" i="5"/>
  <c r="C900" i="5"/>
  <c r="C911" i="5"/>
  <c r="C922" i="5"/>
  <c r="C932" i="5"/>
  <c r="C943" i="5"/>
  <c r="C954" i="5"/>
  <c r="C964" i="5"/>
  <c r="C975" i="5"/>
  <c r="C983" i="5"/>
  <c r="C991" i="5"/>
  <c r="C999" i="5"/>
  <c r="C1007" i="5"/>
  <c r="C1015" i="5"/>
  <c r="C1023" i="5"/>
  <c r="C1031" i="5"/>
  <c r="C1039" i="5"/>
  <c r="C1047" i="5"/>
  <c r="C1055" i="5"/>
  <c r="C1063" i="5"/>
  <c r="C1071" i="5"/>
  <c r="C1079" i="5"/>
  <c r="C1087" i="5"/>
  <c r="C343" i="5"/>
  <c r="C410" i="5"/>
  <c r="C453" i="5"/>
  <c r="C494" i="5"/>
  <c r="C526" i="5"/>
  <c r="C558" i="5"/>
  <c r="C590" i="5"/>
  <c r="C622" i="5"/>
  <c r="C654" i="5"/>
  <c r="C686" i="5"/>
  <c r="C706" i="5"/>
  <c r="C722" i="5"/>
  <c r="C738" i="5"/>
  <c r="C754" i="5"/>
  <c r="C770" i="5"/>
  <c r="C786" i="5"/>
  <c r="C802" i="5"/>
  <c r="C818" i="5"/>
  <c r="C834" i="5"/>
  <c r="C850" i="5"/>
  <c r="C866" i="5"/>
  <c r="C882" i="5"/>
  <c r="C892" i="5"/>
  <c r="C903" i="5"/>
  <c r="C914" i="5"/>
  <c r="C924" i="5"/>
  <c r="C935" i="5"/>
  <c r="C946" i="5"/>
  <c r="C956" i="5"/>
  <c r="C967" i="5"/>
  <c r="C977" i="5"/>
  <c r="C985" i="5"/>
  <c r="C993" i="5"/>
  <c r="C1001" i="5"/>
  <c r="C1009" i="5"/>
  <c r="C1017" i="5"/>
  <c r="C1025" i="5"/>
  <c r="C1033" i="5"/>
  <c r="C1041" i="5"/>
  <c r="C1049" i="5"/>
  <c r="C1057" i="5"/>
  <c r="C1065" i="5"/>
  <c r="C1073" i="5"/>
  <c r="C1081" i="5"/>
  <c r="C1089" i="5"/>
  <c r="C474" i="5"/>
  <c r="C638" i="5"/>
  <c r="C714" i="5"/>
  <c r="C746" i="5"/>
  <c r="C778" i="5"/>
  <c r="C810" i="5"/>
  <c r="C842" i="5"/>
  <c r="C874" i="5"/>
  <c r="C898" i="5"/>
  <c r="C919" i="5"/>
  <c r="C940" i="5"/>
  <c r="C962" i="5"/>
  <c r="C981" i="5"/>
  <c r="C997" i="5"/>
  <c r="C1013" i="5"/>
  <c r="C1029" i="5"/>
  <c r="C1045" i="5"/>
  <c r="C1061" i="5"/>
  <c r="C1077" i="5"/>
  <c r="A46" i="4"/>
  <c r="B46" i="4" s="1"/>
  <c r="A47" i="4"/>
  <c r="B47" i="4" s="1"/>
  <c r="A48" i="4"/>
  <c r="B48" i="4" s="1"/>
  <c r="A49" i="4"/>
  <c r="B49" i="4" s="1"/>
  <c r="A50" i="4"/>
  <c r="B50" i="4" s="1"/>
  <c r="A51" i="4"/>
  <c r="B51" i="4" s="1"/>
  <c r="A52" i="4"/>
  <c r="B52" i="4" s="1"/>
  <c r="A53" i="4"/>
  <c r="B53" i="4" s="1"/>
  <c r="A54" i="4"/>
  <c r="B54" i="4" s="1"/>
  <c r="A55" i="4"/>
  <c r="B55" i="4" s="1"/>
  <c r="A56" i="4"/>
  <c r="B56" i="4" s="1"/>
  <c r="A57" i="4"/>
  <c r="B57" i="4" s="1"/>
  <c r="A58" i="4"/>
  <c r="B58" i="4" s="1"/>
  <c r="A59" i="4"/>
  <c r="B59" i="4" s="1"/>
  <c r="A60" i="4"/>
  <c r="B60" i="4" s="1"/>
  <c r="A61" i="4"/>
  <c r="B61" i="4" s="1"/>
  <c r="A62" i="4"/>
  <c r="B62" i="4" s="1"/>
  <c r="A63" i="4"/>
  <c r="B63" i="4" s="1"/>
  <c r="A64" i="4"/>
  <c r="B64" i="4" s="1"/>
  <c r="A65" i="4"/>
  <c r="B65" i="4" s="1"/>
  <c r="A66" i="4"/>
  <c r="B66" i="4" s="1"/>
  <c r="A67" i="4"/>
  <c r="B67" i="4" s="1"/>
  <c r="A68" i="4"/>
  <c r="B68" i="4" s="1"/>
  <c r="A69" i="4"/>
  <c r="B69" i="4" s="1"/>
  <c r="A70" i="4"/>
  <c r="B70" i="4" s="1"/>
  <c r="A71" i="4"/>
  <c r="B71" i="4" s="1"/>
  <c r="A72" i="4"/>
  <c r="B72" i="4" s="1"/>
  <c r="A73" i="4"/>
  <c r="B73" i="4" s="1"/>
  <c r="A74" i="4"/>
  <c r="B74" i="4" s="1"/>
  <c r="A75" i="4"/>
  <c r="B75" i="4" s="1"/>
  <c r="A45" i="4"/>
  <c r="B45" i="4" s="1"/>
  <c r="A2" i="4"/>
  <c r="E14" i="5"/>
  <c r="F14" i="5" s="1"/>
  <c r="E51" i="5"/>
  <c r="F51" i="5" s="1"/>
  <c r="E37" i="5"/>
  <c r="F37" i="5" s="1"/>
  <c r="E18" i="5"/>
  <c r="F18" i="5" s="1"/>
  <c r="E32" i="5"/>
  <c r="F32" i="5" s="1"/>
  <c r="E39" i="5"/>
  <c r="F39" i="5" s="1"/>
  <c r="E41" i="5"/>
  <c r="F41" i="5" s="1"/>
  <c r="E22" i="5"/>
  <c r="F22" i="5" s="1"/>
  <c r="E36" i="5"/>
  <c r="F36" i="5" s="1"/>
  <c r="E57" i="5"/>
  <c r="F57" i="5" s="1"/>
  <c r="E35" i="5"/>
  <c r="F35" i="5" s="1"/>
  <c r="E55" i="5"/>
  <c r="F55" i="5" s="1"/>
  <c r="E56" i="5"/>
  <c r="F56" i="5" s="1"/>
  <c r="E52" i="5"/>
  <c r="F52" i="5" s="1"/>
  <c r="E49" i="5"/>
  <c r="F49" i="5" s="1"/>
  <c r="E30" i="5"/>
  <c r="F30" i="5" s="1"/>
  <c r="E60" i="5"/>
  <c r="F60" i="5" s="1"/>
  <c r="E24" i="5"/>
  <c r="F24" i="5" s="1"/>
  <c r="E53" i="5"/>
  <c r="F53" i="5" s="1"/>
  <c r="E50" i="5"/>
  <c r="F50" i="5" s="1"/>
  <c r="E19" i="5"/>
  <c r="F19" i="5" s="1"/>
  <c r="E28" i="5"/>
  <c r="F28" i="5" s="1"/>
  <c r="E31" i="5"/>
  <c r="F31" i="5" s="1"/>
  <c r="E58" i="5"/>
  <c r="F58" i="5" s="1"/>
  <c r="E48" i="5"/>
  <c r="F48" i="5" s="1"/>
  <c r="E47" i="5"/>
  <c r="F47" i="5" s="1"/>
  <c r="E44" i="5"/>
  <c r="F44" i="5" s="1"/>
  <c r="E27" i="5"/>
  <c r="F27" i="5" s="1"/>
  <c r="E34" i="5"/>
  <c r="F34" i="5" s="1"/>
  <c r="E16" i="5"/>
  <c r="F16" i="5" s="1"/>
  <c r="E46" i="5"/>
  <c r="F46" i="5" s="1"/>
  <c r="E45" i="5"/>
  <c r="F45" i="5" s="1"/>
  <c r="E17" i="5"/>
  <c r="F17" i="5" s="1"/>
  <c r="E62" i="5"/>
  <c r="F62" i="5" s="1"/>
  <c r="E61" i="5"/>
  <c r="F61" i="5" s="1"/>
  <c r="E33" i="5"/>
  <c r="F33" i="5" s="1"/>
  <c r="E21" i="5"/>
  <c r="F21" i="5" s="1"/>
  <c r="E40" i="5"/>
  <c r="F40" i="5" s="1"/>
  <c r="E54" i="5"/>
  <c r="F54" i="5" s="1"/>
  <c r="E23" i="5"/>
  <c r="F23" i="5" s="1"/>
  <c r="E25" i="5"/>
  <c r="F25" i="5" s="1"/>
  <c r="E29" i="5"/>
  <c r="F29" i="5" s="1"/>
  <c r="E42" i="5"/>
  <c r="F42" i="5" s="1"/>
  <c r="E43" i="5"/>
  <c r="F43" i="5" s="1"/>
  <c r="E20" i="5"/>
  <c r="F20" i="5" s="1"/>
  <c r="E26" i="5"/>
  <c r="F26" i="5" s="1"/>
  <c r="E59" i="5"/>
  <c r="F59" i="5" s="1"/>
  <c r="E15" i="5"/>
  <c r="F15" i="5" s="1"/>
  <c r="E38" i="5"/>
  <c r="F38" i="5" s="1"/>
  <c r="B38" i="4"/>
  <c r="B36" i="4"/>
  <c r="E2" i="4"/>
  <c r="F34" i="4"/>
  <c r="F36" i="4"/>
  <c r="B33" i="4"/>
  <c r="B31" i="4"/>
  <c r="F37" i="4"/>
  <c r="F8" i="4"/>
  <c r="B14" i="4"/>
  <c r="B12" i="4"/>
  <c r="F9" i="4"/>
  <c r="F11" i="4"/>
  <c r="B26" i="4"/>
  <c r="B24" i="4"/>
  <c r="F13" i="4"/>
  <c r="F15" i="4"/>
  <c r="B37" i="4"/>
  <c r="F35" i="4"/>
  <c r="Q2" i="4"/>
  <c r="F38" i="4"/>
  <c r="R37" i="4"/>
  <c r="F10" i="4"/>
  <c r="B25" i="4"/>
  <c r="R19" i="4"/>
  <c r="R8" i="4"/>
  <c r="B22" i="4"/>
  <c r="B20" i="4"/>
  <c r="F17" i="4"/>
  <c r="F19" i="4"/>
  <c r="F4" i="4"/>
  <c r="B17" i="4"/>
  <c r="B15" i="4"/>
  <c r="F22" i="4"/>
  <c r="F24" i="4"/>
  <c r="R27" i="4"/>
  <c r="R29" i="4"/>
  <c r="B29" i="4"/>
  <c r="B27" i="4"/>
  <c r="F25" i="4"/>
  <c r="F27" i="4"/>
  <c r="R30" i="4"/>
  <c r="R32" i="4"/>
  <c r="B10" i="4"/>
  <c r="B8" i="4"/>
  <c r="F29" i="4"/>
  <c r="F31" i="4"/>
  <c r="R34" i="4"/>
  <c r="R36" i="4"/>
  <c r="R33" i="4"/>
  <c r="R24" i="4"/>
  <c r="R22" i="4"/>
  <c r="F33" i="4"/>
  <c r="B34" i="4"/>
  <c r="R12" i="4"/>
  <c r="B11" i="4"/>
  <c r="F12" i="4"/>
  <c r="B23" i="4"/>
  <c r="F16" i="4"/>
  <c r="R4" i="4"/>
  <c r="B4" i="4"/>
  <c r="B21" i="4"/>
  <c r="B19" i="4"/>
  <c r="F18" i="4"/>
  <c r="F20" i="4"/>
  <c r="B18" i="4"/>
  <c r="B16" i="4"/>
  <c r="F21" i="4"/>
  <c r="F23" i="4"/>
  <c r="R26" i="4"/>
  <c r="R28" i="4"/>
  <c r="B30" i="4"/>
  <c r="B28" i="4"/>
  <c r="M2" i="4"/>
  <c r="F26" i="4"/>
  <c r="F28" i="4"/>
  <c r="R31" i="4"/>
  <c r="N33" i="4"/>
  <c r="N8" i="4"/>
  <c r="B9" i="4"/>
  <c r="I2" i="4"/>
  <c r="J28" i="4"/>
  <c r="J30" i="4"/>
  <c r="F30" i="4"/>
  <c r="F32" i="4"/>
  <c r="R35" i="4"/>
  <c r="N22" i="4"/>
  <c r="R25" i="4"/>
  <c r="R23" i="4"/>
  <c r="N20" i="4"/>
  <c r="N16" i="4"/>
  <c r="N14" i="4"/>
  <c r="N21" i="4"/>
  <c r="N28" i="4"/>
  <c r="N26" i="4"/>
  <c r="J26" i="4"/>
  <c r="J24" i="4"/>
  <c r="J38" i="4"/>
  <c r="J36" i="4"/>
  <c r="J34" i="4"/>
  <c r="J32" i="4"/>
  <c r="J8" i="4"/>
  <c r="J20" i="4"/>
  <c r="J16" i="4"/>
  <c r="B35" i="4"/>
  <c r="B32" i="4"/>
  <c r="R10" i="4"/>
  <c r="B13" i="4"/>
  <c r="R15" i="4"/>
  <c r="R17" i="4"/>
  <c r="J12" i="4"/>
  <c r="F14" i="4"/>
  <c r="R21" i="4"/>
  <c r="N32" i="4"/>
  <c r="N18" i="4"/>
  <c r="N9" i="4"/>
  <c r="J21" i="4"/>
  <c r="J15" i="4"/>
  <c r="R38" i="4"/>
  <c r="R9" i="4"/>
  <c r="R20" i="4"/>
  <c r="R18" i="4"/>
  <c r="R16" i="4"/>
  <c r="R14" i="4"/>
  <c r="R13" i="4"/>
  <c r="R11" i="4"/>
  <c r="N11" i="4"/>
  <c r="N30" i="4"/>
  <c r="N38" i="4"/>
  <c r="N37" i="4"/>
  <c r="N25" i="4"/>
  <c r="N27" i="4"/>
  <c r="N35" i="4"/>
  <c r="N13" i="4"/>
  <c r="N15" i="4"/>
  <c r="N17" i="4"/>
  <c r="N36" i="4"/>
  <c r="N23" i="4"/>
  <c r="N10" i="4"/>
  <c r="N12" i="4"/>
  <c r="N4" i="4"/>
  <c r="N29" i="4"/>
  <c r="N31" i="4"/>
  <c r="N34" i="4"/>
  <c r="N24" i="4"/>
  <c r="N19" i="4"/>
  <c r="J17" i="4"/>
  <c r="J4" i="4"/>
  <c r="J31" i="4"/>
  <c r="J33" i="4"/>
  <c r="J35" i="4"/>
  <c r="J37" i="4"/>
  <c r="J23" i="4"/>
  <c r="J25" i="4"/>
  <c r="J29" i="4"/>
  <c r="J27" i="4"/>
  <c r="J19" i="4"/>
  <c r="J9" i="4"/>
  <c r="J14" i="4"/>
  <c r="J18" i="4"/>
  <c r="J22" i="4"/>
  <c r="J10" i="4"/>
  <c r="J13" i="4"/>
  <c r="J11" i="4"/>
  <c r="C7" i="4" l="1"/>
  <c r="C44" i="4" s="1"/>
  <c r="C4" i="4"/>
  <c r="O4" i="4"/>
  <c r="S4" i="4"/>
  <c r="G4" i="4"/>
  <c r="K4" i="4"/>
  <c r="S7" i="4"/>
  <c r="G44" i="4" s="1"/>
  <c r="O7" i="4"/>
  <c r="F44" i="4" s="1"/>
  <c r="K7" i="4"/>
  <c r="E44" i="4" s="1"/>
  <c r="G7" i="4"/>
  <c r="D44" i="4" s="1"/>
  <c r="D2" i="1"/>
  <c r="B10" i="1"/>
  <c r="O5" i="4"/>
  <c r="S5" i="4"/>
  <c r="C5" i="4"/>
  <c r="G5" i="4"/>
  <c r="K5" i="4"/>
  <c r="B11" i="1"/>
  <c r="E2" i="1"/>
  <c r="D74" i="1" l="1"/>
  <c r="D70" i="1"/>
  <c r="D66" i="1"/>
  <c r="D62" i="1"/>
  <c r="D58" i="1"/>
  <c r="D54" i="1"/>
  <c r="D50" i="1"/>
  <c r="D46" i="1"/>
  <c r="D73" i="1"/>
  <c r="D69" i="1"/>
  <c r="D65" i="1"/>
  <c r="D61" i="1"/>
  <c r="D57" i="1"/>
  <c r="D53" i="1"/>
  <c r="D49" i="1"/>
  <c r="D45" i="1"/>
  <c r="D72" i="1"/>
  <c r="D68" i="1"/>
  <c r="D64" i="1"/>
  <c r="D60" i="1"/>
  <c r="D56" i="1"/>
  <c r="D52" i="1"/>
  <c r="D48" i="1"/>
  <c r="D71" i="1"/>
  <c r="D67" i="1"/>
  <c r="D63" i="1"/>
  <c r="D59" i="1"/>
  <c r="D55" i="1"/>
  <c r="D51" i="1"/>
  <c r="D47" i="1"/>
  <c r="D44" i="1"/>
  <c r="D40" i="1"/>
  <c r="F40" i="1" s="1"/>
  <c r="D36" i="1"/>
  <c r="F36" i="1" s="1"/>
  <c r="D32" i="1"/>
  <c r="F32" i="1" s="1"/>
  <c r="D28" i="1"/>
  <c r="F28" i="1" s="1"/>
  <c r="D24" i="1"/>
  <c r="F24" i="1" s="1"/>
  <c r="D20" i="1"/>
  <c r="F20" i="1" s="1"/>
  <c r="D16" i="1"/>
  <c r="F16" i="1" s="1"/>
  <c r="D12" i="1"/>
  <c r="F12" i="1" s="1"/>
  <c r="D37" i="1"/>
  <c r="F37" i="1" s="1"/>
  <c r="D25" i="1"/>
  <c r="F25" i="1" s="1"/>
  <c r="D13" i="1"/>
  <c r="F13" i="1" s="1"/>
  <c r="D39" i="1"/>
  <c r="F39" i="1" s="1"/>
  <c r="D35" i="1"/>
  <c r="F35" i="1" s="1"/>
  <c r="D31" i="1"/>
  <c r="F31" i="1" s="1"/>
  <c r="D27" i="1"/>
  <c r="F27" i="1" s="1"/>
  <c r="D23" i="1"/>
  <c r="F23" i="1" s="1"/>
  <c r="D19" i="1"/>
  <c r="F19" i="1" s="1"/>
  <c r="D15" i="1"/>
  <c r="F15" i="1" s="1"/>
  <c r="D11" i="1"/>
  <c r="F11" i="1" s="1"/>
  <c r="D29" i="1"/>
  <c r="F29" i="1" s="1"/>
  <c r="D17" i="1"/>
  <c r="F17" i="1" s="1"/>
  <c r="D38" i="1"/>
  <c r="F38" i="1" s="1"/>
  <c r="D34" i="1"/>
  <c r="F34" i="1" s="1"/>
  <c r="D30" i="1"/>
  <c r="F30" i="1" s="1"/>
  <c r="D26" i="1"/>
  <c r="F26" i="1" s="1"/>
  <c r="D22" i="1"/>
  <c r="F22" i="1" s="1"/>
  <c r="D18" i="1"/>
  <c r="F18" i="1" s="1"/>
  <c r="D14" i="1"/>
  <c r="F14" i="1" s="1"/>
  <c r="D10" i="1"/>
  <c r="F10" i="1" s="1"/>
  <c r="D33" i="1"/>
  <c r="F33" i="1" s="1"/>
  <c r="D21" i="1"/>
  <c r="F21" i="1" s="1"/>
  <c r="O8" i="4" a="1"/>
  <c r="K8" i="4" a="1"/>
  <c r="S8" i="4" a="1"/>
  <c r="G8" i="4" a="1"/>
  <c r="C8" i="4" a="1"/>
  <c r="B12" i="1"/>
  <c r="C19" i="4" l="1"/>
  <c r="C35" i="4"/>
  <c r="C20" i="4"/>
  <c r="C36" i="4"/>
  <c r="C21" i="4"/>
  <c r="C37" i="4"/>
  <c r="C22" i="4"/>
  <c r="C38" i="4"/>
  <c r="C23" i="4"/>
  <c r="C8" i="4"/>
  <c r="C24" i="4"/>
  <c r="C9" i="4"/>
  <c r="C25" i="4"/>
  <c r="C10" i="4"/>
  <c r="C26" i="4"/>
  <c r="C11" i="4"/>
  <c r="C27" i="4"/>
  <c r="C12" i="4"/>
  <c r="C28" i="4"/>
  <c r="C13" i="4"/>
  <c r="C29" i="4"/>
  <c r="C14" i="4"/>
  <c r="C30" i="4"/>
  <c r="C15" i="4"/>
  <c r="C31" i="4"/>
  <c r="C16" i="4"/>
  <c r="C32" i="4"/>
  <c r="C17" i="4"/>
  <c r="C33" i="4"/>
  <c r="C18" i="4"/>
  <c r="C34" i="4"/>
  <c r="S15" i="4"/>
  <c r="S31" i="4"/>
  <c r="S16" i="4"/>
  <c r="S32" i="4"/>
  <c r="S17" i="4"/>
  <c r="S33" i="4"/>
  <c r="S18" i="4"/>
  <c r="S34" i="4"/>
  <c r="S19" i="4"/>
  <c r="S35" i="4"/>
  <c r="S20" i="4"/>
  <c r="S36" i="4"/>
  <c r="S21" i="4"/>
  <c r="S37" i="4"/>
  <c r="S22" i="4"/>
  <c r="S38" i="4"/>
  <c r="S23" i="4"/>
  <c r="S8" i="4"/>
  <c r="S24" i="4"/>
  <c r="S9" i="4"/>
  <c r="S25" i="4"/>
  <c r="S10" i="4"/>
  <c r="S26" i="4"/>
  <c r="S11" i="4"/>
  <c r="S27" i="4"/>
  <c r="S12" i="4"/>
  <c r="S28" i="4"/>
  <c r="S13" i="4"/>
  <c r="S29" i="4"/>
  <c r="S14" i="4"/>
  <c r="S30" i="4"/>
  <c r="K21" i="4"/>
  <c r="K37" i="4"/>
  <c r="K22" i="4"/>
  <c r="K38" i="4"/>
  <c r="K23" i="4"/>
  <c r="K8" i="4"/>
  <c r="K24" i="4"/>
  <c r="K9" i="4"/>
  <c r="K25" i="4"/>
  <c r="K10" i="4"/>
  <c r="K26" i="4"/>
  <c r="K11" i="4"/>
  <c r="K27" i="4"/>
  <c r="K12" i="4"/>
  <c r="K28" i="4"/>
  <c r="K13" i="4"/>
  <c r="K29" i="4"/>
  <c r="K14" i="4"/>
  <c r="K30" i="4"/>
  <c r="K15" i="4"/>
  <c r="K31" i="4"/>
  <c r="K16" i="4"/>
  <c r="K32" i="4"/>
  <c r="K17" i="4"/>
  <c r="K33" i="4"/>
  <c r="K18" i="4"/>
  <c r="K34" i="4"/>
  <c r="K19" i="4"/>
  <c r="K35" i="4"/>
  <c r="K20" i="4"/>
  <c r="K36" i="4"/>
  <c r="O20" i="4"/>
  <c r="O36" i="4"/>
  <c r="O21" i="4"/>
  <c r="O37" i="4"/>
  <c r="O22" i="4"/>
  <c r="O38" i="4"/>
  <c r="O23" i="4"/>
  <c r="O8" i="4"/>
  <c r="O24" i="4"/>
  <c r="O9" i="4"/>
  <c r="O25" i="4"/>
  <c r="O10" i="4"/>
  <c r="O26" i="4"/>
  <c r="O11" i="4"/>
  <c r="O27" i="4"/>
  <c r="O12" i="4"/>
  <c r="O28" i="4"/>
  <c r="O13" i="4"/>
  <c r="O29" i="4"/>
  <c r="O14" i="4"/>
  <c r="O30" i="4"/>
  <c r="O15" i="4"/>
  <c r="O31" i="4"/>
  <c r="O16" i="4"/>
  <c r="O32" i="4"/>
  <c r="O17" i="4"/>
  <c r="O33" i="4"/>
  <c r="O18" i="4"/>
  <c r="O34" i="4"/>
  <c r="O19" i="4"/>
  <c r="O35" i="4"/>
  <c r="G10" i="4"/>
  <c r="G26" i="4"/>
  <c r="G11" i="4"/>
  <c r="G27" i="4"/>
  <c r="G12" i="4"/>
  <c r="G28" i="4"/>
  <c r="G13" i="4"/>
  <c r="G29" i="4"/>
  <c r="G14" i="4"/>
  <c r="G30" i="4"/>
  <c r="G15" i="4"/>
  <c r="G31" i="4"/>
  <c r="G16" i="4"/>
  <c r="G32" i="4"/>
  <c r="G17" i="4"/>
  <c r="G33" i="4"/>
  <c r="G18" i="4"/>
  <c r="G34" i="4"/>
  <c r="G19" i="4"/>
  <c r="G35" i="4"/>
  <c r="G20" i="4"/>
  <c r="G36" i="4"/>
  <c r="G21" i="4"/>
  <c r="G37" i="4"/>
  <c r="G22" i="4"/>
  <c r="G38" i="4"/>
  <c r="G23" i="4"/>
  <c r="G8" i="4"/>
  <c r="G24" i="4"/>
  <c r="G9" i="4"/>
  <c r="G25" i="4"/>
  <c r="B13" i="1"/>
  <c r="L40" i="9" l="1"/>
  <c r="E66" i="5"/>
  <c r="G13" i="5"/>
  <c r="G14" i="5"/>
  <c r="G51" i="5"/>
  <c r="G37" i="5"/>
  <c r="G18" i="5"/>
  <c r="G32" i="5"/>
  <c r="G39" i="5"/>
  <c r="G41" i="5"/>
  <c r="G22" i="5"/>
  <c r="G36" i="5"/>
  <c r="G57" i="5"/>
  <c r="G35" i="5"/>
  <c r="G55" i="5"/>
  <c r="G56" i="5"/>
  <c r="G52" i="5"/>
  <c r="G49" i="5"/>
  <c r="G30" i="5"/>
  <c r="G60" i="5"/>
  <c r="G24" i="5"/>
  <c r="G53" i="5"/>
  <c r="G50" i="5"/>
  <c r="G19" i="5"/>
  <c r="G28" i="5"/>
  <c r="G31" i="5"/>
  <c r="G58" i="5"/>
  <c r="G48" i="5"/>
  <c r="G47" i="5"/>
  <c r="G44" i="5"/>
  <c r="G27" i="5"/>
  <c r="G34" i="5"/>
  <c r="G16" i="5"/>
  <c r="G46" i="5"/>
  <c r="G45" i="5"/>
  <c r="G17" i="5"/>
  <c r="G62" i="5"/>
  <c r="G61" i="5"/>
  <c r="G33" i="5"/>
  <c r="G21" i="5"/>
  <c r="G40" i="5"/>
  <c r="G54" i="5"/>
  <c r="G23" i="5"/>
  <c r="G25" i="5"/>
  <c r="G29" i="5"/>
  <c r="G42" i="5"/>
  <c r="G43" i="5"/>
  <c r="G20" i="5"/>
  <c r="G26" i="5"/>
  <c r="G59" i="5"/>
  <c r="G15" i="5"/>
  <c r="G38" i="5"/>
  <c r="D67" i="5" a="1"/>
  <c r="D67" i="5"/>
  <c r="D87" i="5"/>
  <c r="D104" i="5"/>
  <c r="D105" i="5"/>
  <c r="D74" i="5"/>
  <c r="D72" i="5"/>
  <c r="D115" i="5"/>
  <c r="D90" i="5"/>
  <c r="D106" i="5"/>
  <c r="D109" i="5"/>
  <c r="D76" i="5"/>
  <c r="D80" i="5"/>
  <c r="D102" i="5"/>
  <c r="D81" i="5"/>
  <c r="D112" i="5"/>
  <c r="D89" i="5"/>
  <c r="D113" i="5"/>
  <c r="D108" i="5"/>
  <c r="D69" i="5"/>
  <c r="D84" i="5"/>
  <c r="D100" i="5"/>
  <c r="D71" i="5"/>
  <c r="D116" i="5"/>
  <c r="D94" i="5"/>
  <c r="D68" i="5"/>
  <c r="D110" i="5"/>
  <c r="D77" i="5"/>
  <c r="D73" i="5"/>
  <c r="D70" i="5"/>
  <c r="D82" i="5"/>
  <c r="D92" i="5"/>
  <c r="D75" i="5"/>
  <c r="D88" i="5"/>
  <c r="D85" i="5"/>
  <c r="D83" i="5"/>
  <c r="D111" i="5"/>
  <c r="D99" i="5"/>
  <c r="D79" i="5"/>
  <c r="D91" i="5"/>
  <c r="D93" i="5"/>
  <c r="D103" i="5"/>
  <c r="D114" i="5"/>
  <c r="D78" i="5"/>
  <c r="D86" i="5"/>
  <c r="D97" i="5"/>
  <c r="D107" i="5"/>
  <c r="D96" i="5"/>
  <c r="D95" i="5"/>
  <c r="D98" i="5"/>
  <c r="D101" i="5"/>
  <c r="B14" i="1"/>
  <c r="B15" i="1" s="1"/>
  <c r="F40" i="9" l="1"/>
  <c r="F43" i="9" s="1"/>
  <c r="K40" i="9"/>
  <c r="K43" i="9" s="1"/>
  <c r="G40" i="9"/>
  <c r="G43" i="9" s="1"/>
  <c r="I40" i="9"/>
  <c r="I43" i="9" s="1"/>
  <c r="J40" i="9"/>
  <c r="J43" i="9" s="1"/>
  <c r="H40" i="9"/>
  <c r="H43" i="9" s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E10" i="1" a="1"/>
  <c r="C10" i="1" a="1"/>
  <c r="M44" i="9" l="1"/>
  <c r="M40" i="9"/>
  <c r="M42" i="9" s="1"/>
  <c r="C13" i="1"/>
  <c r="C10" i="1"/>
  <c r="C39" i="1"/>
  <c r="C15" i="1"/>
  <c r="C23" i="1"/>
  <c r="C16" i="1"/>
  <c r="C33" i="1"/>
  <c r="C19" i="1"/>
  <c r="C18" i="1"/>
  <c r="C37" i="1"/>
  <c r="C26" i="1"/>
  <c r="C36" i="1"/>
  <c r="C35" i="1"/>
  <c r="C34" i="1"/>
  <c r="C17" i="1"/>
  <c r="C11" i="1"/>
  <c r="C31" i="1"/>
  <c r="C40" i="1"/>
  <c r="C22" i="1"/>
  <c r="C30" i="1"/>
  <c r="C12" i="1"/>
  <c r="C20" i="1"/>
  <c r="C27" i="1"/>
  <c r="C14" i="1"/>
  <c r="C29" i="1"/>
  <c r="C28" i="1"/>
  <c r="C25" i="1"/>
  <c r="C21" i="1"/>
  <c r="C24" i="1"/>
  <c r="C32" i="1"/>
  <c r="C38" i="1"/>
  <c r="E37" i="1"/>
  <c r="E15" i="1"/>
  <c r="E12" i="1"/>
  <c r="E21" i="1"/>
  <c r="E27" i="1"/>
  <c r="E25" i="1"/>
  <c r="E33" i="1"/>
  <c r="E20" i="1"/>
  <c r="E13" i="1"/>
  <c r="E39" i="1"/>
  <c r="E19" i="1"/>
  <c r="E30" i="1"/>
  <c r="E26" i="1"/>
  <c r="E28" i="1"/>
  <c r="E18" i="1"/>
  <c r="E23" i="1"/>
  <c r="E31" i="1"/>
  <c r="E10" i="1"/>
  <c r="E40" i="1"/>
  <c r="E24" i="1"/>
  <c r="E16" i="1"/>
  <c r="E32" i="1"/>
  <c r="E36" i="1"/>
  <c r="E22" i="1"/>
  <c r="E34" i="1"/>
  <c r="E11" i="1"/>
  <c r="E17" i="1"/>
  <c r="E29" i="1"/>
  <c r="E35" i="1"/>
  <c r="E38" i="1"/>
  <c r="E14" i="1"/>
</calcChain>
</file>

<file path=xl/sharedStrings.xml><?xml version="1.0" encoding="utf-8"?>
<sst xmlns="http://schemas.openxmlformats.org/spreadsheetml/2006/main" count="8843" uniqueCount="2241">
  <si>
    <t>银行间固定利率国债收益率曲线(中债即期)</t>
  </si>
  <si>
    <t>0.00 年</t>
  </si>
  <si>
    <t>1.0 年</t>
  </si>
  <si>
    <t>2.0 年</t>
  </si>
  <si>
    <t>3.0 年</t>
  </si>
  <si>
    <t>4.0 年</t>
  </si>
  <si>
    <t>5.0 年</t>
  </si>
  <si>
    <t>6.0 年</t>
  </si>
  <si>
    <t>7.0 年</t>
  </si>
  <si>
    <t>8.0 年</t>
  </si>
  <si>
    <t>9.0 年</t>
  </si>
  <si>
    <t>10.0 年</t>
  </si>
  <si>
    <t>11.0 年</t>
  </si>
  <si>
    <t>12.0 年</t>
  </si>
  <si>
    <t>13.0 年</t>
  </si>
  <si>
    <t>14.0 年</t>
  </si>
  <si>
    <t>15.0 年</t>
  </si>
  <si>
    <t>16.0 年</t>
  </si>
  <si>
    <t>17.0 年</t>
  </si>
  <si>
    <t>18.0 年</t>
  </si>
  <si>
    <t>19.0 年</t>
  </si>
  <si>
    <t>20.0 年</t>
  </si>
  <si>
    <t>21.0 年</t>
  </si>
  <si>
    <t>22.0 年</t>
  </si>
  <si>
    <t>23.0 年</t>
  </si>
  <si>
    <t>24.0 年</t>
  </si>
  <si>
    <t>25.0 年</t>
  </si>
  <si>
    <t>26.0 年</t>
  </si>
  <si>
    <t>27.0 年</t>
  </si>
  <si>
    <t>28.0 年</t>
  </si>
  <si>
    <t>29.0 年</t>
  </si>
  <si>
    <t>30.0 年</t>
  </si>
  <si>
    <r>
      <rPr>
        <sz val="11"/>
        <color theme="1"/>
        <rFont val="宋体"/>
        <family val="2"/>
      </rPr>
      <t>报告时间</t>
    </r>
    <phoneticPr fontId="4" type="noConversion"/>
  </si>
  <si>
    <r>
      <rPr>
        <sz val="11"/>
        <color theme="1"/>
        <rFont val="宋体"/>
        <family val="2"/>
      </rPr>
      <t>路径</t>
    </r>
    <phoneticPr fontId="4" type="noConversion"/>
  </si>
  <si>
    <r>
      <rPr>
        <sz val="11"/>
        <color theme="1"/>
        <rFont val="宋体"/>
        <family val="2"/>
      </rPr>
      <t>收益率曲线</t>
    </r>
    <phoneticPr fontId="4" type="noConversion"/>
  </si>
  <si>
    <r>
      <rPr>
        <sz val="11"/>
        <color theme="1"/>
        <rFont val="宋体"/>
        <family val="2"/>
      </rPr>
      <t>读取收益率曲线</t>
    </r>
    <phoneticPr fontId="4" type="noConversion"/>
  </si>
  <si>
    <r>
      <rPr>
        <sz val="11"/>
        <color theme="1"/>
        <rFont val="宋体"/>
        <family val="2"/>
      </rPr>
      <t>时间</t>
    </r>
    <phoneticPr fontId="4" type="noConversion"/>
  </si>
  <si>
    <t>中债公司即期收益率</t>
    <phoneticPr fontId="4" type="noConversion"/>
  </si>
  <si>
    <t>中债公司折现因子</t>
    <phoneticPr fontId="4" type="noConversion"/>
  </si>
  <si>
    <t>中大期货即期收益率</t>
    <phoneticPr fontId="4" type="noConversion"/>
  </si>
  <si>
    <t>中大期货折现因子</t>
    <phoneticPr fontId="4" type="noConversion"/>
  </si>
  <si>
    <r>
      <rPr>
        <sz val="11"/>
        <color theme="1"/>
        <rFont val="宋体"/>
        <family val="2"/>
      </rPr>
      <t>报告时间</t>
    </r>
    <phoneticPr fontId="4" type="noConversion"/>
  </si>
  <si>
    <r>
      <rPr>
        <sz val="11"/>
        <color theme="1"/>
        <rFont val="宋体"/>
        <family val="2"/>
      </rPr>
      <t>一周前</t>
    </r>
    <phoneticPr fontId="4" type="noConversion"/>
  </si>
  <si>
    <r>
      <rPr>
        <sz val="11"/>
        <color theme="1"/>
        <rFont val="宋体"/>
        <family val="2"/>
      </rPr>
      <t>一月前</t>
    </r>
    <phoneticPr fontId="4" type="noConversion"/>
  </si>
  <si>
    <r>
      <rPr>
        <sz val="11"/>
        <color theme="1"/>
        <rFont val="宋体"/>
        <family val="2"/>
      </rPr>
      <t>一季前</t>
    </r>
    <phoneticPr fontId="4" type="noConversion"/>
  </si>
  <si>
    <r>
      <rPr>
        <sz val="11"/>
        <color theme="1"/>
        <rFont val="宋体"/>
        <family val="2"/>
      </rPr>
      <t>一年前</t>
    </r>
    <phoneticPr fontId="4" type="noConversion"/>
  </si>
  <si>
    <r>
      <rPr>
        <sz val="11"/>
        <color theme="1"/>
        <rFont val="宋体"/>
        <family val="2"/>
      </rPr>
      <t>读取曲线</t>
    </r>
    <phoneticPr fontId="4" type="noConversion"/>
  </si>
  <si>
    <r>
      <rPr>
        <sz val="11"/>
        <color theme="1"/>
        <rFont val="宋体"/>
        <family val="2"/>
      </rPr>
      <t>日期</t>
    </r>
    <phoneticPr fontId="4" type="noConversion"/>
  </si>
  <si>
    <r>
      <rPr>
        <b/>
        <sz val="11"/>
        <color theme="1"/>
        <rFont val="宋体"/>
        <family val="3"/>
        <charset val="134"/>
      </rPr>
      <t>期限</t>
    </r>
    <phoneticPr fontId="4" type="noConversion"/>
  </si>
  <si>
    <r>
      <rPr>
        <b/>
        <sz val="11"/>
        <color theme="1"/>
        <rFont val="宋体"/>
        <family val="3"/>
        <charset val="134"/>
      </rPr>
      <t>日期</t>
    </r>
    <phoneticPr fontId="4" type="noConversion"/>
  </si>
  <si>
    <t>Issue Date</t>
    <phoneticPr fontId="4" type="noConversion"/>
  </si>
  <si>
    <t>1Y</t>
    <phoneticPr fontId="4" type="noConversion"/>
  </si>
  <si>
    <t>2Y</t>
    <phoneticPr fontId="4" type="noConversion"/>
  </si>
  <si>
    <t>3Y</t>
    <phoneticPr fontId="4" type="noConversion"/>
  </si>
  <si>
    <t>5Y</t>
  </si>
  <si>
    <t>7Y</t>
  </si>
  <si>
    <t>10Y</t>
  </si>
  <si>
    <t>15Y</t>
  </si>
  <si>
    <t>20Y</t>
  </si>
  <si>
    <t>4Y</t>
  </si>
  <si>
    <t>6Y</t>
  </si>
  <si>
    <t>8Y</t>
  </si>
  <si>
    <t>9Y</t>
  </si>
  <si>
    <t>11Y</t>
  </si>
  <si>
    <t>12Y</t>
  </si>
  <si>
    <t>13Y</t>
  </si>
  <si>
    <t>14Y</t>
  </si>
  <si>
    <t>16Y</t>
  </si>
  <si>
    <t>17Y</t>
  </si>
  <si>
    <t>18Y</t>
  </si>
  <si>
    <t>19Y</t>
  </si>
  <si>
    <t>21Y</t>
  </si>
  <si>
    <t>22Y</t>
  </si>
  <si>
    <t>23Y</t>
  </si>
  <si>
    <t>24Y</t>
  </si>
  <si>
    <t>25Y</t>
  </si>
  <si>
    <t>26Y</t>
  </si>
  <si>
    <t>27Y</t>
  </si>
  <si>
    <t>28Y</t>
  </si>
  <si>
    <t>29Y</t>
  </si>
  <si>
    <t>30Y</t>
  </si>
  <si>
    <t>31Y</t>
  </si>
  <si>
    <t>32Y</t>
  </si>
  <si>
    <t>33Y</t>
  </si>
  <si>
    <t>34Y</t>
  </si>
  <si>
    <t>35Y</t>
  </si>
  <si>
    <t>36Y</t>
  </si>
  <si>
    <t>37Y</t>
  </si>
  <si>
    <t>38Y</t>
  </si>
  <si>
    <t>39Y</t>
  </si>
  <si>
    <t>40Y</t>
  </si>
  <si>
    <t>41Y</t>
  </si>
  <si>
    <t>42Y</t>
  </si>
  <si>
    <t>43Y</t>
  </si>
  <si>
    <t>44Y</t>
  </si>
  <si>
    <t>45Y</t>
  </si>
  <si>
    <t>46Y</t>
  </si>
  <si>
    <t>47Y</t>
  </si>
  <si>
    <t>48Y</t>
  </si>
  <si>
    <t>49Y</t>
  </si>
  <si>
    <t>50Y</t>
  </si>
  <si>
    <t>Expiry</t>
    <phoneticPr fontId="4" type="noConversion"/>
  </si>
  <si>
    <t>Schedule</t>
    <phoneticPr fontId="4" type="noConversion"/>
  </si>
  <si>
    <t>Bond</t>
    <phoneticPr fontId="4" type="noConversion"/>
  </si>
  <si>
    <t>Evaluation Date</t>
    <phoneticPr fontId="4" type="noConversion"/>
  </si>
  <si>
    <t>Settlement Date</t>
    <phoneticPr fontId="4" type="noConversion"/>
  </si>
  <si>
    <t>Flat curve</t>
    <phoneticPr fontId="4" type="noConversion"/>
  </si>
  <si>
    <t>Tenor</t>
    <phoneticPr fontId="4" type="noConversion"/>
  </si>
  <si>
    <t>Date</t>
    <phoneticPr fontId="4" type="noConversion"/>
  </si>
  <si>
    <t>Clean Price 1</t>
    <phoneticPr fontId="4" type="noConversion"/>
  </si>
  <si>
    <t>Clean Price 2</t>
    <phoneticPr fontId="4" type="noConversion"/>
  </si>
  <si>
    <t>3M</t>
    <phoneticPr fontId="4" type="noConversion"/>
  </si>
  <si>
    <t>Discount</t>
    <phoneticPr fontId="4" type="noConversion"/>
  </si>
  <si>
    <t>Date</t>
    <phoneticPr fontId="4" type="noConversion"/>
  </si>
  <si>
    <t>Save Path</t>
    <phoneticPr fontId="4" type="noConversion"/>
  </si>
  <si>
    <t>Load Path</t>
    <phoneticPr fontId="4" type="noConversion"/>
  </si>
  <si>
    <t>Built Curves</t>
    <phoneticPr fontId="4" type="noConversion"/>
  </si>
  <si>
    <t>Base Curve</t>
    <phoneticPr fontId="4" type="noConversion"/>
  </si>
  <si>
    <t>CNY_Treasury_Live_Curve_2008-9-25_Calibrated_Curve_7</t>
    <phoneticPr fontId="4" type="noConversion"/>
  </si>
  <si>
    <t>CNY_Treasury_Live_Curve_2008-9-26_Calibrated_Curve_7</t>
    <phoneticPr fontId="4" type="noConversion"/>
  </si>
  <si>
    <t>CNY_Treasury_Live_Curve_2008-9-27_Calibrated_Curve_7</t>
    <phoneticPr fontId="4" type="noConversion"/>
  </si>
  <si>
    <t>CNY_Treasury_Live_Curve_2008-9-28_Calibrated_Curve_7</t>
    <phoneticPr fontId="4" type="noConversion"/>
  </si>
  <si>
    <t>CNY_Treasury_Live_Curve_2008-9-3_Calibrated_Curve_7</t>
    <phoneticPr fontId="4" type="noConversion"/>
  </si>
  <si>
    <t>CNY_Treasury_Live_Curve_2008-9-4_Calibrated_Curve_7</t>
    <phoneticPr fontId="4" type="noConversion"/>
  </si>
  <si>
    <t>CNY_Treasury_Live_Curve_2008-9-5_Calibrated_Curve_7</t>
    <phoneticPr fontId="4" type="noConversion"/>
  </si>
  <si>
    <t>CNY_Treasury_Live_Curve_2008-9-8_Calibrated_Curve_7</t>
    <phoneticPr fontId="4" type="noConversion"/>
  </si>
  <si>
    <t>CNY_Treasury_Live_Curve_2008-9-9_Calibrated_Curve_7</t>
    <phoneticPr fontId="4" type="noConversion"/>
  </si>
  <si>
    <t>CNY_Treasury_Live_Curve_2009-1-12_Calibrated_Curve_7</t>
    <phoneticPr fontId="4" type="noConversion"/>
  </si>
  <si>
    <t>CNY_Treasury_Live_Curve_2009-1-13_Calibrated_Curve_7</t>
    <phoneticPr fontId="4" type="noConversion"/>
  </si>
  <si>
    <t>CNY_Treasury_Live_Curve_2009-1-14_Calibrated_Curve_7</t>
    <phoneticPr fontId="4" type="noConversion"/>
  </si>
  <si>
    <t>CNY_Treasury_Live_Curve_2009-1-15_Calibrated_Curve_7</t>
    <phoneticPr fontId="4" type="noConversion"/>
  </si>
  <si>
    <t>CNY_Treasury_Live_Curve_2009-1-16_Calibrated_Curve_7</t>
    <phoneticPr fontId="4" type="noConversion"/>
  </si>
  <si>
    <t>CNY_Treasury_Live_Curve_2009-1-19_Calibrated_Curve_7</t>
    <phoneticPr fontId="4" type="noConversion"/>
  </si>
  <si>
    <t>CNY_Treasury_Live_Curve_2009-1-20_Calibrated_Curve_7</t>
    <phoneticPr fontId="4" type="noConversion"/>
  </si>
  <si>
    <t>CNY_Treasury_Live_Curve_2009-1-21_Calibrated_Curve_7</t>
    <phoneticPr fontId="4" type="noConversion"/>
  </si>
  <si>
    <t>CNY_Treasury_Live_Curve_2009-1-22_Calibrated_Curve_7</t>
    <phoneticPr fontId="4" type="noConversion"/>
  </si>
  <si>
    <t>CNY_Treasury_Live_Curve_2009-1-23_Calibrated_Curve_7</t>
    <phoneticPr fontId="4" type="noConversion"/>
  </si>
  <si>
    <t>CNY_Treasury_Live_Curve_2009-1-24_Calibrated_Curve_7</t>
    <phoneticPr fontId="4" type="noConversion"/>
  </si>
  <si>
    <t>CNY_Treasury_Live_Curve_2009-1-4_Calibrated_Curve_7</t>
    <phoneticPr fontId="4" type="noConversion"/>
  </si>
  <si>
    <t>CNY_Treasury_Live_Curve_2009-1-5_Calibrated_Curve_7</t>
    <phoneticPr fontId="4" type="noConversion"/>
  </si>
  <si>
    <t>CNY_Treasury_Live_Curve_2009-1-6_Calibrated_Curve_7</t>
    <phoneticPr fontId="4" type="noConversion"/>
  </si>
  <si>
    <t>CNY_Treasury_Live_Curve_2009-1-7_Calibrated_Curve_7</t>
    <phoneticPr fontId="4" type="noConversion"/>
  </si>
  <si>
    <t>CNY_Treasury_Live_Curve_2009-1-8_Calibrated_Curve_7</t>
    <phoneticPr fontId="4" type="noConversion"/>
  </si>
  <si>
    <t>CNY_Treasury_Live_Curve_2009-1-9_Calibrated_Curve_7</t>
    <phoneticPr fontId="4" type="noConversion"/>
  </si>
  <si>
    <t>CNY_Treasury_Live_Curve_2009-10-10_Calibrated_Curve_7</t>
    <phoneticPr fontId="4" type="noConversion"/>
  </si>
  <si>
    <t>CNY_Treasury_Live_Curve_2009-10-12_Calibrated_Curve_7</t>
    <phoneticPr fontId="4" type="noConversion"/>
  </si>
  <si>
    <t>CNY_Treasury_Live_Curve_2009-10-13_Calibrated_Curve_7</t>
    <phoneticPr fontId="4" type="noConversion"/>
  </si>
  <si>
    <t>CNY_Treasury_Live_Curve_2009-10-14_Calibrated_Curve_7</t>
    <phoneticPr fontId="4" type="noConversion"/>
  </si>
  <si>
    <t>CNY_Treasury_Live_Curve_2009-10-15_Calibrated_Curve_7</t>
    <phoneticPr fontId="4" type="noConversion"/>
  </si>
  <si>
    <t>CNY_Treasury_Live_Curve_2009-10-16_Calibrated_Curve_7</t>
    <phoneticPr fontId="4" type="noConversion"/>
  </si>
  <si>
    <t>CNY_Treasury_Live_Curve_2009-10-19_Calibrated_Curve_7</t>
    <phoneticPr fontId="4" type="noConversion"/>
  </si>
  <si>
    <t>CNY_Treasury_Live_Curve_2009-10-20_Calibrated_Curve_7</t>
    <phoneticPr fontId="4" type="noConversion"/>
  </si>
  <si>
    <t>CNY_Treasury_Live_Curve_2009-10-21_Calibrated_Curve_7</t>
    <phoneticPr fontId="4" type="noConversion"/>
  </si>
  <si>
    <t>CNY_Treasury_Live_Curve_2009-10-22_Calibrated_Curve_7</t>
    <phoneticPr fontId="4" type="noConversion"/>
  </si>
  <si>
    <t>CNY_Treasury_Live_Curve_2009-10-23_Calibrated_Curve_7</t>
    <phoneticPr fontId="4" type="noConversion"/>
  </si>
  <si>
    <t>CNY_Treasury_Live_Curve_2009-10-26_Calibrated_Curve_7</t>
    <phoneticPr fontId="4" type="noConversion"/>
  </si>
  <si>
    <t>CNY_Treasury_Live_Curve_2009-10-27_Calibrated_Curve_7</t>
    <phoneticPr fontId="4" type="noConversion"/>
  </si>
  <si>
    <t>CNY_Treasury_Live_Curve_2009-10-28_Calibrated_Curve_7</t>
    <phoneticPr fontId="4" type="noConversion"/>
  </si>
  <si>
    <t>CNY_Treasury_Live_Curve_2009-10-29_Calibrated_Curve_7</t>
    <phoneticPr fontId="4" type="noConversion"/>
  </si>
  <si>
    <t>CNY_Treasury_Live_Curve_2009-10-30_Calibrated_Curve_7</t>
    <phoneticPr fontId="4" type="noConversion"/>
  </si>
  <si>
    <t>CNY_Treasury_Live_Curve_2009-10-9_Calibrated_Curve_7</t>
    <phoneticPr fontId="4" type="noConversion"/>
  </si>
  <si>
    <t>CNY_Treasury_Live_Curve_2009-11-10_Calibrated_Curve_7</t>
    <phoneticPr fontId="4" type="noConversion"/>
  </si>
  <si>
    <t>CNY_Treasury_Live_Curve_2009-11-11_Calibrated_Curve_7</t>
    <phoneticPr fontId="4" type="noConversion"/>
  </si>
  <si>
    <t>CNY_Treasury_Live_Curve_2009-11-12_Calibrated_Curve_7</t>
    <phoneticPr fontId="4" type="noConversion"/>
  </si>
  <si>
    <t>CNY_Treasury_Live_Curve_2009-11-13_Calibrated_Curve_7</t>
    <phoneticPr fontId="4" type="noConversion"/>
  </si>
  <si>
    <t>CNY_Treasury_Live_Curve_2009-11-16_Calibrated_Curve_7</t>
    <phoneticPr fontId="4" type="noConversion"/>
  </si>
  <si>
    <t>CNY_Treasury_Live_Curve_2009-11-17_Calibrated_Curve_7</t>
    <phoneticPr fontId="4" type="noConversion"/>
  </si>
  <si>
    <t>CNY_Treasury_Live_Curve_2009-11-18_Calibrated_Curve_7</t>
    <phoneticPr fontId="4" type="noConversion"/>
  </si>
  <si>
    <t>CNY_Treasury_Live_Curve_2009-11-19_Calibrated_Curve_7</t>
    <phoneticPr fontId="4" type="noConversion"/>
  </si>
  <si>
    <t>CNY_Treasury_Live_Curve_2009-11-2_Calibrated_Curve_7</t>
    <phoneticPr fontId="4" type="noConversion"/>
  </si>
  <si>
    <t>CNY_Treasury_Live_Curve_2009-11-20_Calibrated_Curve_7</t>
    <phoneticPr fontId="4" type="noConversion"/>
  </si>
  <si>
    <t>CNY_Treasury_Live_Curve_2009-11-23_Calibrated_Curve_7</t>
    <phoneticPr fontId="4" type="noConversion"/>
  </si>
  <si>
    <t>CNY_Treasury_Live_Curve_2009-11-24_Calibrated_Curve_7</t>
    <phoneticPr fontId="4" type="noConversion"/>
  </si>
  <si>
    <t>CNY_Treasury_Live_Curve_2009-11-25_Calibrated_Curve_7</t>
    <phoneticPr fontId="4" type="noConversion"/>
  </si>
  <si>
    <t>CNY_Treasury_Live_Curve_2009-11-26_Calibrated_Curve_7</t>
    <phoneticPr fontId="4" type="noConversion"/>
  </si>
  <si>
    <t>CNY_Treasury_Live_Curve_2009-11-27_Calibrated_Curve_7</t>
    <phoneticPr fontId="4" type="noConversion"/>
  </si>
  <si>
    <t>CNY_Treasury_Live_Curve_2009-11-3_Calibrated_Curve_7</t>
    <phoneticPr fontId="4" type="noConversion"/>
  </si>
  <si>
    <t>CNY_Treasury_Live_Curve_2009-11-30_Calibrated_Curve_7</t>
    <phoneticPr fontId="4" type="noConversion"/>
  </si>
  <si>
    <t>CNY_Treasury_Live_Curve_2009-11-4_Calibrated_Curve_7</t>
    <phoneticPr fontId="4" type="noConversion"/>
  </si>
  <si>
    <t>CNY_Treasury_Live_Curve_2009-11-5_Calibrated_Curve_7</t>
    <phoneticPr fontId="4" type="noConversion"/>
  </si>
  <si>
    <t>CNY_Treasury_Live_Curve_2009-11-6_Calibrated_Curve_7</t>
    <phoneticPr fontId="4" type="noConversion"/>
  </si>
  <si>
    <t>CNY_Treasury_Live_Curve_2009-11-9_Calibrated_Curve_7</t>
    <phoneticPr fontId="4" type="noConversion"/>
  </si>
  <si>
    <t>CNY_Treasury_Live_Curve_2009-12-1_Calibrated_Curve_7</t>
    <phoneticPr fontId="4" type="noConversion"/>
  </si>
  <si>
    <t>CNY_Treasury_Live_Curve_2009-12-10_Calibrated_Curve_7</t>
    <phoneticPr fontId="4" type="noConversion"/>
  </si>
  <si>
    <t>CNY_Treasury_Live_Curve_2009-12-11_Calibrated_Curve_7</t>
    <phoneticPr fontId="4" type="noConversion"/>
  </si>
  <si>
    <t>CNY_Treasury_Live_Curve_2009-12-14_Calibrated_Curve_7</t>
    <phoneticPr fontId="4" type="noConversion"/>
  </si>
  <si>
    <t>CNY_Treasury_Live_Curve_2009-12-15_Calibrated_Curve_7</t>
    <phoneticPr fontId="4" type="noConversion"/>
  </si>
  <si>
    <t>CNY_Treasury_Live_Curve_2009-12-16_Calibrated_Curve_7</t>
    <phoneticPr fontId="4" type="noConversion"/>
  </si>
  <si>
    <t>CNY_Treasury_Live_Curve_2009-12-17_Calibrated_Curve_7</t>
    <phoneticPr fontId="4" type="noConversion"/>
  </si>
  <si>
    <t>CNY_Treasury_Live_Curve_2009-12-18_Calibrated_Curve_7</t>
    <phoneticPr fontId="4" type="noConversion"/>
  </si>
  <si>
    <t>CNY_Treasury_Live_Curve_2009-12-2_Calibrated_Curve_7</t>
    <phoneticPr fontId="4" type="noConversion"/>
  </si>
  <si>
    <t>CNY_Treasury_Live_Curve_2009-12-21_Calibrated_Curve_7</t>
    <phoneticPr fontId="4" type="noConversion"/>
  </si>
  <si>
    <t>CNY_Treasury_Live_Curve_2009-12-22_Calibrated_Curve_7</t>
    <phoneticPr fontId="4" type="noConversion"/>
  </si>
  <si>
    <t>CNY_Treasury_Live_Curve_2009-12-23_Calibrated_Curve_7</t>
    <phoneticPr fontId="4" type="noConversion"/>
  </si>
  <si>
    <t>CNY_Treasury_Live_Curve_2009-12-24_Calibrated_Curve_7</t>
    <phoneticPr fontId="4" type="noConversion"/>
  </si>
  <si>
    <t>CNY_Treasury_Live_Curve_2009-12-25_Calibrated_Curve_7</t>
    <phoneticPr fontId="4" type="noConversion"/>
  </si>
  <si>
    <t>CNY_Treasury_Live_Curve_2009-12-28_Calibrated_Curve_7</t>
    <phoneticPr fontId="4" type="noConversion"/>
  </si>
  <si>
    <t>CNY_Treasury_Live_Curve_2009-12-29_Calibrated_Curve_7</t>
    <phoneticPr fontId="4" type="noConversion"/>
  </si>
  <si>
    <t>CNY_Treasury_Live_Curve_2009-12-3_Calibrated_Curve_7</t>
    <phoneticPr fontId="4" type="noConversion"/>
  </si>
  <si>
    <t>CNY_Treasury_Live_Curve_2009-12-30_Calibrated_Curve_7</t>
    <phoneticPr fontId="4" type="noConversion"/>
  </si>
  <si>
    <t>CNY_Treasury_Live_Curve_2009-12-31_Calibrated_Curve_7</t>
    <phoneticPr fontId="4" type="noConversion"/>
  </si>
  <si>
    <t>CNY_Treasury_Live_Curve_2009-12-4_Calibrated_Curve_7</t>
    <phoneticPr fontId="4" type="noConversion"/>
  </si>
  <si>
    <t>CNY_Treasury_Live_Curve_2009-12-7_Calibrated_Curve_7</t>
    <phoneticPr fontId="4" type="noConversion"/>
  </si>
  <si>
    <t>CNY_Treasury_Live_Curve_2009-12-8_Calibrated_Curve_7</t>
    <phoneticPr fontId="4" type="noConversion"/>
  </si>
  <si>
    <t>CNY_Treasury_Live_Curve_2009-12-9_Calibrated_Curve_7</t>
    <phoneticPr fontId="4" type="noConversion"/>
  </si>
  <si>
    <t>CNY_Treasury_Live_Curve_2009-2-1_Calibrated_Curve_7</t>
    <phoneticPr fontId="4" type="noConversion"/>
  </si>
  <si>
    <t>CNY_Treasury_Live_Curve_2009-2-10_Calibrated_Curve_7</t>
    <phoneticPr fontId="4" type="noConversion"/>
  </si>
  <si>
    <t>CNY_Treasury_Live_Curve_2009-2-11_Calibrated_Curve_7</t>
    <phoneticPr fontId="4" type="noConversion"/>
  </si>
  <si>
    <t>CNY_Treasury_Live_Curve_2009-2-12_Calibrated_Curve_7</t>
    <phoneticPr fontId="4" type="noConversion"/>
  </si>
  <si>
    <t>CNY_Treasury_Live_Curve_2009-2-13_Calibrated_Curve_7</t>
    <phoneticPr fontId="4" type="noConversion"/>
  </si>
  <si>
    <t>CNY_Treasury_Live_Curve_2009-2-16_Calibrated_Curve_7</t>
    <phoneticPr fontId="4" type="noConversion"/>
  </si>
  <si>
    <t>CNY_Treasury_Live_Curve_2009-2-17_Calibrated_Curve_7</t>
    <phoneticPr fontId="4" type="noConversion"/>
  </si>
  <si>
    <t>CNY_Treasury_Live_Curve_2009-2-18_Calibrated_Curve_7</t>
    <phoneticPr fontId="4" type="noConversion"/>
  </si>
  <si>
    <t>CNY_Treasury_Live_Curve_2009-2-19_Calibrated_Curve_7</t>
    <phoneticPr fontId="4" type="noConversion"/>
  </si>
  <si>
    <t>CNY_Treasury_Live_Curve_2009-2-2_Calibrated_Curve_7</t>
    <phoneticPr fontId="4" type="noConversion"/>
  </si>
  <si>
    <t>CNY_Treasury_Live_Curve_2009-2-20_Calibrated_Curve_7</t>
    <phoneticPr fontId="4" type="noConversion"/>
  </si>
  <si>
    <t>CNY_Treasury_Live_Curve_2009-2-23_Calibrated_Curve_7</t>
    <phoneticPr fontId="4" type="noConversion"/>
  </si>
  <si>
    <t>CNY_Treasury_Live_Curve_2009-2-24_Calibrated_Curve_7</t>
    <phoneticPr fontId="4" type="noConversion"/>
  </si>
  <si>
    <t>CNY_Treasury_Live_Curve_2009-2-25_Calibrated_Curve_7</t>
    <phoneticPr fontId="4" type="noConversion"/>
  </si>
  <si>
    <t>CNY_Treasury_Live_Curve_2009-2-26_Calibrated_Curve_7</t>
    <phoneticPr fontId="4" type="noConversion"/>
  </si>
  <si>
    <t>CNY_Treasury_Live_Curve_2009-2-27_Calibrated_Curve_7</t>
    <phoneticPr fontId="4" type="noConversion"/>
  </si>
  <si>
    <t>CNY_Treasury_Live_Curve_2009-2-3_Calibrated_Curve_7</t>
    <phoneticPr fontId="4" type="noConversion"/>
  </si>
  <si>
    <t>CNY_Treasury_Live_Curve_2009-2-4_Calibrated_Curve_7</t>
    <phoneticPr fontId="4" type="noConversion"/>
  </si>
  <si>
    <t>CNY_Treasury_Live_Curve_2009-2-5_Calibrated_Curve_7</t>
    <phoneticPr fontId="4" type="noConversion"/>
  </si>
  <si>
    <t>CNY_Treasury_Live_Curve_2009-2-6_Calibrated_Curve_7</t>
    <phoneticPr fontId="4" type="noConversion"/>
  </si>
  <si>
    <t>CNY_Treasury_Live_Curve_2009-2-9_Calibrated_Curve_7</t>
    <phoneticPr fontId="4" type="noConversion"/>
  </si>
  <si>
    <t>CNY_Treasury_Live_Curve_2009-3-10_Calibrated_Curve_7</t>
    <phoneticPr fontId="4" type="noConversion"/>
  </si>
  <si>
    <t>CNY_Treasury_Live_Curve_2009-3-11_Calibrated_Curve_7</t>
    <phoneticPr fontId="4" type="noConversion"/>
  </si>
  <si>
    <t>CNY_Treasury_Live_Curve_2009-3-12_Calibrated_Curve_7</t>
    <phoneticPr fontId="4" type="noConversion"/>
  </si>
  <si>
    <t>CNY_Treasury_Live_Curve_2009-3-13_Calibrated_Curve_7</t>
    <phoneticPr fontId="4" type="noConversion"/>
  </si>
  <si>
    <t>CNY_Treasury_Live_Curve_2009-3-16_Calibrated_Curve_7</t>
    <phoneticPr fontId="4" type="noConversion"/>
  </si>
  <si>
    <t>CNY_Treasury_Live_Curve_2009-3-17_Calibrated_Curve_7</t>
    <phoneticPr fontId="4" type="noConversion"/>
  </si>
  <si>
    <t>CNY_Treasury_Live_Curve_2009-3-18_Calibrated_Curve_7</t>
    <phoneticPr fontId="4" type="noConversion"/>
  </si>
  <si>
    <t>CNY_Treasury_Live_Curve_2009-3-19_Calibrated_Curve_7</t>
    <phoneticPr fontId="4" type="noConversion"/>
  </si>
  <si>
    <t>CNY_Treasury_Live_Curve_2009-3-2_Calibrated_Curve_7</t>
    <phoneticPr fontId="4" type="noConversion"/>
  </si>
  <si>
    <t>CNY_Treasury_Live_Curve_2009-3-20_Calibrated_Curve_7</t>
    <phoneticPr fontId="4" type="noConversion"/>
  </si>
  <si>
    <t>CNY_Treasury_Live_Curve_2009-3-23_Calibrated_Curve_7</t>
    <phoneticPr fontId="4" type="noConversion"/>
  </si>
  <si>
    <t>CNY_Treasury_Live_Curve_2009-3-24_Calibrated_Curve_7</t>
    <phoneticPr fontId="4" type="noConversion"/>
  </si>
  <si>
    <t>CNY_Treasury_Live_Curve_2009-3-25_Calibrated_Curve_7</t>
    <phoneticPr fontId="4" type="noConversion"/>
  </si>
  <si>
    <t>CNY_Treasury_Live_Curve_2009-3-26_Calibrated_Curve_7</t>
    <phoneticPr fontId="4" type="noConversion"/>
  </si>
  <si>
    <t>CNY_Treasury_Live_Curve_2009-3-27_Calibrated_Curve_7</t>
    <phoneticPr fontId="4" type="noConversion"/>
  </si>
  <si>
    <t>CNY_Treasury_Live_Curve_2009-3-3_Calibrated_Curve_7</t>
    <phoneticPr fontId="4" type="noConversion"/>
  </si>
  <si>
    <t>CNY_Treasury_Live_Curve_2009-3-30_Calibrated_Curve_7</t>
    <phoneticPr fontId="4" type="noConversion"/>
  </si>
  <si>
    <t>CNY_Treasury_Live_Curve_2009-3-31_Calibrated_Curve_7</t>
    <phoneticPr fontId="4" type="noConversion"/>
  </si>
  <si>
    <t>CNY_Treasury_Live_Curve_2009-3-4_Calibrated_Curve_7</t>
    <phoneticPr fontId="4" type="noConversion"/>
  </si>
  <si>
    <t>CNY_Treasury_Live_Curve_2009-3-5_Calibrated_Curve_7</t>
    <phoneticPr fontId="4" type="noConversion"/>
  </si>
  <si>
    <t>CNY_Treasury_Live_Curve_2009-3-6_Calibrated_Curve_7</t>
    <phoneticPr fontId="4" type="noConversion"/>
  </si>
  <si>
    <t>CNY_Treasury_Live_Curve_2009-3-9_Calibrated_Curve_7</t>
    <phoneticPr fontId="4" type="noConversion"/>
  </si>
  <si>
    <t>CNY_Treasury_Live_Curve_2009-4-1_Calibrated_Curve_7</t>
    <phoneticPr fontId="4" type="noConversion"/>
  </si>
  <si>
    <t>CNY_Treasury_Live_Curve_2009-4-10_Calibrated_Curve_7</t>
    <phoneticPr fontId="4" type="noConversion"/>
  </si>
  <si>
    <t>CNY_Treasury_Live_Curve_2009-4-13_Calibrated_Curve_7</t>
    <phoneticPr fontId="4" type="noConversion"/>
  </si>
  <si>
    <t>CNY_Treasury_Live_Curve_2009-4-14_Calibrated_Curve_7</t>
    <phoneticPr fontId="4" type="noConversion"/>
  </si>
  <si>
    <t>CNY_Treasury_Live_Curve_2009-4-15_Calibrated_Curve_7</t>
    <phoneticPr fontId="4" type="noConversion"/>
  </si>
  <si>
    <t>CNY_Treasury_Live_Curve_2009-4-16_Calibrated_Curve_7</t>
    <phoneticPr fontId="4" type="noConversion"/>
  </si>
  <si>
    <t>CNY_Treasury_Live_Curve_2009-4-17_Calibrated_Curve_7</t>
    <phoneticPr fontId="4" type="noConversion"/>
  </si>
  <si>
    <t>CNY_Treasury_Live_Curve_2009-4-2_Calibrated_Curve_7</t>
    <phoneticPr fontId="4" type="noConversion"/>
  </si>
  <si>
    <t>CNY_Treasury_Live_Curve_2009-4-20_Calibrated_Curve_7</t>
    <phoneticPr fontId="4" type="noConversion"/>
  </si>
  <si>
    <t>CNY_Treasury_Live_Curve_2009-4-21_Calibrated_Curve_7</t>
    <phoneticPr fontId="4" type="noConversion"/>
  </si>
  <si>
    <t>CNY_Treasury_Live_Curve_2009-4-22_Calibrated_Curve_7</t>
    <phoneticPr fontId="4" type="noConversion"/>
  </si>
  <si>
    <t>CNY_Treasury_Live_Curve_2009-4-23_Calibrated_Curve_7</t>
    <phoneticPr fontId="4" type="noConversion"/>
  </si>
  <si>
    <t>CNY_Treasury_Live_Curve_2009-4-24_Calibrated_Curve_7</t>
    <phoneticPr fontId="4" type="noConversion"/>
  </si>
  <si>
    <t>CNY_Treasury_Live_Curve_2009-4-27_Calibrated_Curve_7</t>
    <phoneticPr fontId="4" type="noConversion"/>
  </si>
  <si>
    <t>CNY_Treasury_Live_Curve_2009-4-28_Calibrated_Curve_7</t>
    <phoneticPr fontId="4" type="noConversion"/>
  </si>
  <si>
    <t>CNY_Treasury_Live_Curve_2009-4-29_Calibrated_Curve_7</t>
    <phoneticPr fontId="4" type="noConversion"/>
  </si>
  <si>
    <t>CNY_Treasury_Live_Curve_2009-4-3_Calibrated_Curve_7</t>
    <phoneticPr fontId="4" type="noConversion"/>
  </si>
  <si>
    <t>CNY_Treasury_Live_Curve_2009-4-30_Calibrated_Curve_7</t>
    <phoneticPr fontId="4" type="noConversion"/>
  </si>
  <si>
    <t>CNY_Treasury_Live_Curve_2009-4-7_Calibrated_Curve_7</t>
    <phoneticPr fontId="4" type="noConversion"/>
  </si>
  <si>
    <t>CNY_Treasury_Live_Curve_2009-4-8_Calibrated_Curve_7</t>
    <phoneticPr fontId="4" type="noConversion"/>
  </si>
  <si>
    <t>CNY_Treasury_Live_Curve_2009-4-9_Calibrated_Curve_7</t>
    <phoneticPr fontId="4" type="noConversion"/>
  </si>
  <si>
    <t>CNY_Treasury_Live_Curve_2009-5-11_Calibrated_Curve_7</t>
    <phoneticPr fontId="4" type="noConversion"/>
  </si>
  <si>
    <t>CNY_Treasury_Live_Curve_2009-5-12_Calibrated_Curve_7</t>
    <phoneticPr fontId="4" type="noConversion"/>
  </si>
  <si>
    <t>CNY_Treasury_Live_Curve_2009-5-13_Calibrated_Curve_7</t>
    <phoneticPr fontId="4" type="noConversion"/>
  </si>
  <si>
    <t>CNY_Treasury_Live_Curve_2009-5-14_Calibrated_Curve_7</t>
    <phoneticPr fontId="4" type="noConversion"/>
  </si>
  <si>
    <t>CNY_Treasury_Live_Curve_2009-5-15_Calibrated_Curve_7</t>
    <phoneticPr fontId="4" type="noConversion"/>
  </si>
  <si>
    <t>CNY_Treasury_Live_Curve_2009-5-18_Calibrated_Curve_7</t>
    <phoneticPr fontId="4" type="noConversion"/>
  </si>
  <si>
    <t>CNY_Treasury_Live_Curve_2009-5-19_Calibrated_Curve_7</t>
    <phoneticPr fontId="4" type="noConversion"/>
  </si>
  <si>
    <t>CNY_Treasury_Live_Curve_2009-5-20_Calibrated_Curve_7</t>
    <phoneticPr fontId="4" type="noConversion"/>
  </si>
  <si>
    <t>CNY_Treasury_Live_Curve_2009-5-21_Calibrated_Curve_7</t>
    <phoneticPr fontId="4" type="noConversion"/>
  </si>
  <si>
    <t>CNY_Treasury_Live_Curve_2009-5-22_Calibrated_Curve_7</t>
    <phoneticPr fontId="4" type="noConversion"/>
  </si>
  <si>
    <t>CNY_Treasury_Live_Curve_2009-5-25_Calibrated_Curve_7</t>
    <phoneticPr fontId="4" type="noConversion"/>
  </si>
  <si>
    <t>CNY_Treasury_Live_Curve_2009-5-26_Calibrated_Curve_7</t>
    <phoneticPr fontId="4" type="noConversion"/>
  </si>
  <si>
    <t>CNY_Treasury_Live_Curve_2009-5-27_Calibrated_Curve_7</t>
    <phoneticPr fontId="4" type="noConversion"/>
  </si>
  <si>
    <t>CNY_Treasury_Live_Curve_2009-5-31_Calibrated_Curve_7</t>
    <phoneticPr fontId="4" type="noConversion"/>
  </si>
  <si>
    <t>CNY_Treasury_Live_Curve_2009-5-4_Calibrated_Curve_7</t>
    <phoneticPr fontId="4" type="noConversion"/>
  </si>
  <si>
    <t>CNY_Treasury_Live_Curve_2009-5-5_Calibrated_Curve_7</t>
    <phoneticPr fontId="4" type="noConversion"/>
  </si>
  <si>
    <t>CNY_Treasury_Live_Curve_2009-5-6_Calibrated_Curve_7</t>
    <phoneticPr fontId="4" type="noConversion"/>
  </si>
  <si>
    <t>CNY_Treasury_Live_Curve_2009-5-7_Calibrated_Curve_7</t>
    <phoneticPr fontId="4" type="noConversion"/>
  </si>
  <si>
    <t>CNY_Treasury_Live_Curve_2009-5-8_Calibrated_Curve_7</t>
    <phoneticPr fontId="4" type="noConversion"/>
  </si>
  <si>
    <t>CNY_Treasury_Live_Curve_2009-6-1_Calibrated_Curve_7</t>
    <phoneticPr fontId="4" type="noConversion"/>
  </si>
  <si>
    <t>CNY_Treasury_Live_Curve_2009-6-10_Calibrated_Curve_7</t>
    <phoneticPr fontId="4" type="noConversion"/>
  </si>
  <si>
    <t>CNY_Treasury_Live_Curve_2009-6-11_Calibrated_Curve_7</t>
    <phoneticPr fontId="4" type="noConversion"/>
  </si>
  <si>
    <t>CNY_Treasury_Live_Curve_2009-6-12_Calibrated_Curve_7</t>
    <phoneticPr fontId="4" type="noConversion"/>
  </si>
  <si>
    <t>CNY_Treasury_Live_Curve_2009-6-15_Calibrated_Curve_7</t>
    <phoneticPr fontId="4" type="noConversion"/>
  </si>
  <si>
    <t>CNY_Treasury_Live_Curve_2009-6-16_Calibrated_Curve_7</t>
    <phoneticPr fontId="4" type="noConversion"/>
  </si>
  <si>
    <t>CNY_Treasury_Live_Curve_2009-6-17_Calibrated_Curve_7</t>
    <phoneticPr fontId="4" type="noConversion"/>
  </si>
  <si>
    <t>CNY_Treasury_Live_Curve_2009-6-18_Calibrated_Curve_7</t>
    <phoneticPr fontId="4" type="noConversion"/>
  </si>
  <si>
    <t>CNY_Treasury_Live_Curve_2009-6-19_Calibrated_Curve_7</t>
    <phoneticPr fontId="4" type="noConversion"/>
  </si>
  <si>
    <t>CNY_Treasury_Live_Curve_2009-6-2_Calibrated_Curve_7</t>
    <phoneticPr fontId="4" type="noConversion"/>
  </si>
  <si>
    <t>CNY_Treasury_Live_Curve_2009-6-22_Calibrated_Curve_7</t>
    <phoneticPr fontId="4" type="noConversion"/>
  </si>
  <si>
    <t>CNY_Treasury_Live_Curve_2009-6-23_Calibrated_Curve_7</t>
    <phoneticPr fontId="4" type="noConversion"/>
  </si>
  <si>
    <t>CNY_Treasury_Live_Curve_2009-6-24_Calibrated_Curve_7</t>
    <phoneticPr fontId="4" type="noConversion"/>
  </si>
  <si>
    <t>CNY_Treasury_Live_Curve_2009-6-25_Calibrated_Curve_7</t>
    <phoneticPr fontId="4" type="noConversion"/>
  </si>
  <si>
    <t>CNY_Treasury_Live_Curve_2009-6-26_Calibrated_Curve_7</t>
    <phoneticPr fontId="4" type="noConversion"/>
  </si>
  <si>
    <t>CNY_Treasury_Live_Curve_2009-6-29_Calibrated_Curve_7</t>
    <phoneticPr fontId="4" type="noConversion"/>
  </si>
  <si>
    <t>CNY_Treasury_Live_Curve_2009-6-3_Calibrated_Curve_7</t>
    <phoneticPr fontId="4" type="noConversion"/>
  </si>
  <si>
    <t>CNY_Treasury_Live_Curve_2009-6-30_Calibrated_Curve_7</t>
    <phoneticPr fontId="4" type="noConversion"/>
  </si>
  <si>
    <t>CNY_Treasury_Live_Curve_2009-6-4_Calibrated_Curve_7</t>
    <phoneticPr fontId="4" type="noConversion"/>
  </si>
  <si>
    <t>CNY_Treasury_Live_Curve_2009-6-5_Calibrated_Curve_7</t>
    <phoneticPr fontId="4" type="noConversion"/>
  </si>
  <si>
    <t>CNY_Treasury_Live_Curve_2009-6-8_Calibrated_Curve_7</t>
    <phoneticPr fontId="4" type="noConversion"/>
  </si>
  <si>
    <t>CNY_Treasury_Live_Curve_2009-6-9_Calibrated_Curve_7</t>
    <phoneticPr fontId="4" type="noConversion"/>
  </si>
  <si>
    <t>CNY_Treasury_Live_Curve_2009-7-1_Calibrated_Curve_7</t>
    <phoneticPr fontId="4" type="noConversion"/>
  </si>
  <si>
    <t>CNY_Treasury_Live_Curve_2009-7-10_Calibrated_Curve_7</t>
    <phoneticPr fontId="4" type="noConversion"/>
  </si>
  <si>
    <t>CNY_Treasury_Live_Curve_2009-7-13_Calibrated_Curve_7</t>
    <phoneticPr fontId="4" type="noConversion"/>
  </si>
  <si>
    <t>CNY_Treasury_Live_Curve_2009-7-14_Calibrated_Curve_7</t>
    <phoneticPr fontId="4" type="noConversion"/>
  </si>
  <si>
    <t>CNY_Treasury_Live_Curve_2009-7-15_Calibrated_Curve_7</t>
    <phoneticPr fontId="4" type="noConversion"/>
  </si>
  <si>
    <t>CNY_Treasury_Live_Curve_2009-7-16_Calibrated_Curve_7</t>
    <phoneticPr fontId="4" type="noConversion"/>
  </si>
  <si>
    <t>CNY_Treasury_Live_Curve_2009-7-17_Calibrated_Curve_7</t>
    <phoneticPr fontId="4" type="noConversion"/>
  </si>
  <si>
    <t>CNY_Treasury_Live_Curve_2009-7-2_Calibrated_Curve_7</t>
    <phoneticPr fontId="4" type="noConversion"/>
  </si>
  <si>
    <t>CNY_Treasury_Live_Curve_2009-7-20_Calibrated_Curve_7</t>
    <phoneticPr fontId="4" type="noConversion"/>
  </si>
  <si>
    <t>CNY_Treasury_Live_Curve_2009-7-21_Calibrated_Curve_7</t>
    <phoneticPr fontId="4" type="noConversion"/>
  </si>
  <si>
    <t>CNY_Treasury_Live_Curve_2009-7-22_Calibrated_Curve_7</t>
    <phoneticPr fontId="4" type="noConversion"/>
  </si>
  <si>
    <t>CNY_Treasury_Live_Curve_2009-7-23_Calibrated_Curve_7</t>
    <phoneticPr fontId="4" type="noConversion"/>
  </si>
  <si>
    <t>CNY_Treasury_Live_Curve_2009-7-24_Calibrated_Curve_7</t>
    <phoneticPr fontId="4" type="noConversion"/>
  </si>
  <si>
    <t>CNY_Treasury_Live_Curve_2009-7-27_Calibrated_Curve_7</t>
    <phoneticPr fontId="4" type="noConversion"/>
  </si>
  <si>
    <t>CNY_Treasury_Live_Curve_2009-7-28_Calibrated_Curve_7</t>
    <phoneticPr fontId="4" type="noConversion"/>
  </si>
  <si>
    <t>CNY_Treasury_Live_Curve_2009-7-29_Calibrated_Curve_7</t>
    <phoneticPr fontId="4" type="noConversion"/>
  </si>
  <si>
    <t>CNY_Treasury_Live_Curve_2009-7-3_Calibrated_Curve_7</t>
    <phoneticPr fontId="4" type="noConversion"/>
  </si>
  <si>
    <t>CNY_Treasury_Live_Curve_2009-7-30_Calibrated_Curve_7</t>
    <phoneticPr fontId="4" type="noConversion"/>
  </si>
  <si>
    <t>CNY_Treasury_Live_Curve_2009-7-31_Calibrated_Curve_7</t>
    <phoneticPr fontId="4" type="noConversion"/>
  </si>
  <si>
    <t>CNY_Treasury_Live_Curve_2009-7-6_Calibrated_Curve_7</t>
    <phoneticPr fontId="4" type="noConversion"/>
  </si>
  <si>
    <t>CNY_Treasury_Live_Curve_2009-7-7_Calibrated_Curve_7</t>
    <phoneticPr fontId="4" type="noConversion"/>
  </si>
  <si>
    <t>CNY_Treasury_Live_Curve_2009-7-8_Calibrated_Curve_7</t>
    <phoneticPr fontId="4" type="noConversion"/>
  </si>
  <si>
    <t>CNY_Treasury_Live_Curve_2009-7-9_Calibrated_Curve_7</t>
    <phoneticPr fontId="4" type="noConversion"/>
  </si>
  <si>
    <t>CNY_Treasury_Live_Curve_2009-8-10_Calibrated_Curve_7</t>
    <phoneticPr fontId="4" type="noConversion"/>
  </si>
  <si>
    <t>CNY_Treasury_Live_Curve_2009-8-11_Calibrated_Curve_7</t>
    <phoneticPr fontId="4" type="noConversion"/>
  </si>
  <si>
    <t>CNY_Treasury_Live_Curve_2009-8-12_Calibrated_Curve_7</t>
    <phoneticPr fontId="4" type="noConversion"/>
  </si>
  <si>
    <t>CNY_Treasury_Live_Curve_2009-8-13_Calibrated_Curve_7</t>
    <phoneticPr fontId="4" type="noConversion"/>
  </si>
  <si>
    <t>CNY_Treasury_Live_Curve_2009-8-14_Calibrated_Curve_7</t>
    <phoneticPr fontId="4" type="noConversion"/>
  </si>
  <si>
    <t>CNY_Treasury_Live_Curve_2009-8-17_Calibrated_Curve_7</t>
    <phoneticPr fontId="4" type="noConversion"/>
  </si>
  <si>
    <t>CNY_Treasury_Live_Curve_2009-8-18_Calibrated_Curve_7</t>
    <phoneticPr fontId="4" type="noConversion"/>
  </si>
  <si>
    <t>CNY_Treasury_Live_Curve_2009-8-19_Calibrated_Curve_7</t>
    <phoneticPr fontId="4" type="noConversion"/>
  </si>
  <si>
    <t>CNY_Treasury_Live_Curve_2009-8-20_Calibrated_Curve_7</t>
    <phoneticPr fontId="4" type="noConversion"/>
  </si>
  <si>
    <t>CNY_Treasury_Live_Curve_2009-8-21_Calibrated_Curve_7</t>
    <phoneticPr fontId="4" type="noConversion"/>
  </si>
  <si>
    <t>CNY_Treasury_Live_Curve_2009-8-24_Calibrated_Curve_7</t>
    <phoneticPr fontId="4" type="noConversion"/>
  </si>
  <si>
    <t>CNY_Treasury_Live_Curve_2009-8-25_Calibrated_Curve_7</t>
    <phoneticPr fontId="4" type="noConversion"/>
  </si>
  <si>
    <t>CNY_Treasury_Live_Curve_2009-8-26_Calibrated_Curve_7</t>
    <phoneticPr fontId="4" type="noConversion"/>
  </si>
  <si>
    <t>CNY_Treasury_Live_Curve_2009-8-27_Calibrated_Curve_7</t>
    <phoneticPr fontId="4" type="noConversion"/>
  </si>
  <si>
    <t>CNY_Treasury_Live_Curve_2009-8-28_Calibrated_Curve_7</t>
    <phoneticPr fontId="4" type="noConversion"/>
  </si>
  <si>
    <t>CNY_Treasury_Live_Curve_2009-8-3_Calibrated_Curve_7</t>
    <phoneticPr fontId="4" type="noConversion"/>
  </si>
  <si>
    <t>CNY_Treasury_Live_Curve_2009-8-31_Calibrated_Curve_7</t>
    <phoneticPr fontId="4" type="noConversion"/>
  </si>
  <si>
    <t>CNY_Treasury_Live_Curve_2009-8-4_Calibrated_Curve_7</t>
    <phoneticPr fontId="4" type="noConversion"/>
  </si>
  <si>
    <t>CNY_Treasury_Live_Curve_2009-8-5_Calibrated_Curve_7</t>
    <phoneticPr fontId="4" type="noConversion"/>
  </si>
  <si>
    <t>CNY_Treasury_Live_Curve_2009-8-6_Calibrated_Curve_7</t>
    <phoneticPr fontId="4" type="noConversion"/>
  </si>
  <si>
    <t>CNY_Treasury_Live_Curve_2009-8-7_Calibrated_Curve_7</t>
    <phoneticPr fontId="4" type="noConversion"/>
  </si>
  <si>
    <t>CNY_Treasury_Live_Curve_2009-9-1_Calibrated_Curve_7</t>
    <phoneticPr fontId="4" type="noConversion"/>
  </si>
  <si>
    <t>CNY_Treasury_Live_Curve_2009-9-10_Calibrated_Curve_7</t>
    <phoneticPr fontId="4" type="noConversion"/>
  </si>
  <si>
    <t>CNY_Treasury_Live_Curve_2009-9-11_Calibrated_Curve_7</t>
    <phoneticPr fontId="4" type="noConversion"/>
  </si>
  <si>
    <t>CNY_Treasury_Live_Curve_2009-9-14_Calibrated_Curve_7</t>
    <phoneticPr fontId="4" type="noConversion"/>
  </si>
  <si>
    <t>CNY_Treasury_Live_Curve_2009-9-15_Calibrated_Curve_7</t>
    <phoneticPr fontId="4" type="noConversion"/>
  </si>
  <si>
    <t>CNY_Treasury_Live_Curve_2009-9-16_Calibrated_Curve_7</t>
    <phoneticPr fontId="4" type="noConversion"/>
  </si>
  <si>
    <t>CNY_Treasury_Live_Curve_2009-9-17_Calibrated_Curve_7</t>
    <phoneticPr fontId="4" type="noConversion"/>
  </si>
  <si>
    <t>CNY_Treasury_Live_Curve_2009-9-18_Calibrated_Curve_7</t>
    <phoneticPr fontId="4" type="noConversion"/>
  </si>
  <si>
    <t>CNY_Treasury_Live_Curve_2009-9-2_Calibrated_Curve_7</t>
    <phoneticPr fontId="4" type="noConversion"/>
  </si>
  <si>
    <t>CNY_Treasury_Live_Curve_2009-9-21_Calibrated_Curve_7</t>
    <phoneticPr fontId="4" type="noConversion"/>
  </si>
  <si>
    <t>CNY_Treasury_Live_Curve_2009-9-22_Calibrated_Curve_7</t>
    <phoneticPr fontId="4" type="noConversion"/>
  </si>
  <si>
    <t>CNY_Treasury_Live_Curve_2009-9-23_Calibrated_Curve_7</t>
    <phoneticPr fontId="4" type="noConversion"/>
  </si>
  <si>
    <t>CNY_Treasury_Live_Curve_2009-9-24_Calibrated_Curve_7</t>
    <phoneticPr fontId="4" type="noConversion"/>
  </si>
  <si>
    <t>CNY_Treasury_Live_Curve_2009-9-25_Calibrated_Curve_7</t>
    <phoneticPr fontId="4" type="noConversion"/>
  </si>
  <si>
    <t>CNY_Treasury_Live_Curve_2009-9-27_Calibrated_Curve_7</t>
    <phoneticPr fontId="4" type="noConversion"/>
  </si>
  <si>
    <t>CNY_Treasury_Live_Curve_2009-9-28_Calibrated_Curve_7</t>
    <phoneticPr fontId="4" type="noConversion"/>
  </si>
  <si>
    <t>CNY_Treasury_Live_Curve_2009-9-29_Calibrated_Curve_7</t>
    <phoneticPr fontId="4" type="noConversion"/>
  </si>
  <si>
    <t>CNY_Treasury_Live_Curve_2009-9-3_Calibrated_Curve_7</t>
    <phoneticPr fontId="4" type="noConversion"/>
  </si>
  <si>
    <t>CNY_Treasury_Live_Curve_2009-9-30_Calibrated_Curve_7</t>
    <phoneticPr fontId="4" type="noConversion"/>
  </si>
  <si>
    <t>CNY_Treasury_Live_Curve_2009-9-4_Calibrated_Curve_7</t>
    <phoneticPr fontId="4" type="noConversion"/>
  </si>
  <si>
    <t>CNY_Treasury_Live_Curve_2009-9-7_Calibrated_Curve_7</t>
    <phoneticPr fontId="4" type="noConversion"/>
  </si>
  <si>
    <t>CNY_Treasury_Live_Curve_2009-9-8_Calibrated_Curve_7</t>
    <phoneticPr fontId="4" type="noConversion"/>
  </si>
  <si>
    <t>CNY_Treasury_Live_Curve_2009-9-9_Calibrated_Curve_7</t>
    <phoneticPr fontId="4" type="noConversion"/>
  </si>
  <si>
    <t>CNY_Treasury_Live_Curve_2010-1-11_Calibrated_Curve_7</t>
    <phoneticPr fontId="4" type="noConversion"/>
  </si>
  <si>
    <t>CNY_Treasury_Live_Curve_2010-1-12_Calibrated_Curve_7</t>
    <phoneticPr fontId="4" type="noConversion"/>
  </si>
  <si>
    <t>CNY_Treasury_Live_Curve_2010-1-13_Calibrated_Curve_7</t>
    <phoneticPr fontId="4" type="noConversion"/>
  </si>
  <si>
    <t>CNY_Treasury_Live_Curve_2010-1-14_Calibrated_Curve_7</t>
    <phoneticPr fontId="4" type="noConversion"/>
  </si>
  <si>
    <t>CNY_Treasury_Live_Curve_2010-1-15_Calibrated_Curve_7</t>
    <phoneticPr fontId="4" type="noConversion"/>
  </si>
  <si>
    <t>CNY_Treasury_Live_Curve_2010-1-18_Calibrated_Curve_7</t>
    <phoneticPr fontId="4" type="noConversion"/>
  </si>
  <si>
    <t>CNY_Treasury_Live_Curve_2010-1-19_Calibrated_Curve_7</t>
    <phoneticPr fontId="4" type="noConversion"/>
  </si>
  <si>
    <t>CNY_Treasury_Live_Curve_2010-1-20_Calibrated_Curve_7</t>
    <phoneticPr fontId="4" type="noConversion"/>
  </si>
  <si>
    <t>CNY_Treasury_Live_Curve_2010-1-21_Calibrated_Curve_7</t>
    <phoneticPr fontId="4" type="noConversion"/>
  </si>
  <si>
    <t>CNY_Treasury_Live_Curve_2010-1-22_Calibrated_Curve_7</t>
    <phoneticPr fontId="4" type="noConversion"/>
  </si>
  <si>
    <t>CNY_Treasury_Live_Curve_2010-1-25_Calibrated_Curve_7</t>
    <phoneticPr fontId="4" type="noConversion"/>
  </si>
  <si>
    <t>CNY_Treasury_Live_Curve_2010-1-26_Calibrated_Curve_7</t>
    <phoneticPr fontId="4" type="noConversion"/>
  </si>
  <si>
    <t>CNY_Treasury_Live_Curve_2010-1-27_Calibrated_Curve_7</t>
    <phoneticPr fontId="4" type="noConversion"/>
  </si>
  <si>
    <t>CNY_Treasury_Live_Curve_2010-1-28_Calibrated_Curve_7</t>
    <phoneticPr fontId="4" type="noConversion"/>
  </si>
  <si>
    <t>CNY_Treasury_Live_Curve_2010-1-29_Calibrated_Curve_7</t>
    <phoneticPr fontId="4" type="noConversion"/>
  </si>
  <si>
    <t>CNY_Treasury_Live_Curve_2010-1-4_Calibrated_Curve_7</t>
    <phoneticPr fontId="4" type="noConversion"/>
  </si>
  <si>
    <t>CNY_Treasury_Live_Curve_2010-1-5_Calibrated_Curve_7</t>
    <phoneticPr fontId="4" type="noConversion"/>
  </si>
  <si>
    <t>CNY_Treasury_Live_Curve_2010-1-6_Calibrated_Curve_7</t>
    <phoneticPr fontId="4" type="noConversion"/>
  </si>
  <si>
    <t>CNY_Treasury_Live_Curve_2010-1-7_Calibrated_Curve_7</t>
    <phoneticPr fontId="4" type="noConversion"/>
  </si>
  <si>
    <t>CNY_Treasury_Live_Curve_2010-1-8_Calibrated_Curve_7</t>
    <phoneticPr fontId="4" type="noConversion"/>
  </si>
  <si>
    <t>CNY_Treasury_Live_Curve_2010-10-11_Calibrated_Curve_7</t>
    <phoneticPr fontId="4" type="noConversion"/>
  </si>
  <si>
    <t>CNY_Treasury_Live_Curve_2010-10-12_Calibrated_Curve_7</t>
    <phoneticPr fontId="4" type="noConversion"/>
  </si>
  <si>
    <t>CNY_Treasury_Live_Curve_2010-10-13_Calibrated_Curve_7</t>
    <phoneticPr fontId="4" type="noConversion"/>
  </si>
  <si>
    <t>CNY_Treasury_Live_Curve_2010-10-14_Calibrated_Curve_7</t>
    <phoneticPr fontId="4" type="noConversion"/>
  </si>
  <si>
    <t>CNY_Treasury_Live_Curve_2010-10-15_Calibrated_Curve_7</t>
    <phoneticPr fontId="4" type="noConversion"/>
  </si>
  <si>
    <t>CNY_Treasury_Live_Curve_2010-10-18_Calibrated_Curve_7</t>
    <phoneticPr fontId="4" type="noConversion"/>
  </si>
  <si>
    <t>CNY_Treasury_Live_Curve_2010-10-19_Calibrated_Curve_7</t>
    <phoneticPr fontId="4" type="noConversion"/>
  </si>
  <si>
    <t>CNY_Treasury_Live_Curve_2010-10-20_Calibrated_Curve_7</t>
    <phoneticPr fontId="4" type="noConversion"/>
  </si>
  <si>
    <t>CNY_Treasury_Live_Curve_2010-10-21_Calibrated_Curve_7</t>
    <phoneticPr fontId="4" type="noConversion"/>
  </si>
  <si>
    <t>CNY_Treasury_Live_Curve_2010-10-22_Calibrated_Curve_7</t>
    <phoneticPr fontId="4" type="noConversion"/>
  </si>
  <si>
    <t>CNY_Treasury_Live_Curve_2010-10-25_Calibrated_Curve_7</t>
    <phoneticPr fontId="4" type="noConversion"/>
  </si>
  <si>
    <t>CNY_Treasury_Live_Curve_2010-10-26_Calibrated_Curve_7</t>
    <phoneticPr fontId="4" type="noConversion"/>
  </si>
  <si>
    <t>CNY_Treasury_Live_Curve_2010-10-27_Calibrated_Curve_7</t>
    <phoneticPr fontId="4" type="noConversion"/>
  </si>
  <si>
    <t>CNY_Treasury_Live_Curve_2010-10-28_Calibrated_Curve_7</t>
    <phoneticPr fontId="4" type="noConversion"/>
  </si>
  <si>
    <t>CNY_Treasury_Live_Curve_2010-10-29_Calibrated_Curve_7</t>
    <phoneticPr fontId="4" type="noConversion"/>
  </si>
  <si>
    <t>CNY_Treasury_Live_Curve_2010-10-8_Calibrated_Curve_7</t>
    <phoneticPr fontId="4" type="noConversion"/>
  </si>
  <si>
    <t>CNY_Treasury_Live_Curve_2010-10-9_Calibrated_Curve_7</t>
    <phoneticPr fontId="4" type="noConversion"/>
  </si>
  <si>
    <t>CNY_Treasury_Live_Curve_2010-11-1_Calibrated_Curve_7</t>
    <phoneticPr fontId="4" type="noConversion"/>
  </si>
  <si>
    <t>CNY_Treasury_Live_Curve_2010-11-10_Calibrated_Curve_7</t>
    <phoneticPr fontId="4" type="noConversion"/>
  </si>
  <si>
    <t>CNY_Treasury_Live_Curve_2010-11-11_Calibrated_Curve_7</t>
    <phoneticPr fontId="4" type="noConversion"/>
  </si>
  <si>
    <t>CNY_Treasury_Live_Curve_2010-11-12_Calibrated_Curve_7</t>
    <phoneticPr fontId="4" type="noConversion"/>
  </si>
  <si>
    <t>CNY_Treasury_Live_Curve_2010-11-15_Calibrated_Curve_7</t>
    <phoneticPr fontId="4" type="noConversion"/>
  </si>
  <si>
    <t>CNY_Treasury_Live_Curve_2010-11-16_Calibrated_Curve_7</t>
    <phoneticPr fontId="4" type="noConversion"/>
  </si>
  <si>
    <t>CNY_Treasury_Live_Curve_2010-11-17_Calibrated_Curve_7</t>
    <phoneticPr fontId="4" type="noConversion"/>
  </si>
  <si>
    <t>CNY_Treasury_Live_Curve_2010-11-18_Calibrated_Curve_7</t>
    <phoneticPr fontId="4" type="noConversion"/>
  </si>
  <si>
    <t>CNY_Treasury_Live_Curve_2010-11-19_Calibrated_Curve_7</t>
    <phoneticPr fontId="4" type="noConversion"/>
  </si>
  <si>
    <t>CNY_Treasury_Live_Curve_2010-11-2_Calibrated_Curve_7</t>
    <phoneticPr fontId="4" type="noConversion"/>
  </si>
  <si>
    <t>CNY_Treasury_Live_Curve_2010-11-22_Calibrated_Curve_7</t>
    <phoneticPr fontId="4" type="noConversion"/>
  </si>
  <si>
    <t>CNY_Treasury_Live_Curve_2010-11-23_Calibrated_Curve_7</t>
    <phoneticPr fontId="4" type="noConversion"/>
  </si>
  <si>
    <t>CNY_Treasury_Live_Curve_2010-11-24_Calibrated_Curve_7</t>
    <phoneticPr fontId="4" type="noConversion"/>
  </si>
  <si>
    <t>CNY_Treasury_Live_Curve_2010-11-25_Calibrated_Curve_7</t>
    <phoneticPr fontId="4" type="noConversion"/>
  </si>
  <si>
    <t>CNY_Treasury_Live_Curve_2010-11-26_Calibrated_Curve_7</t>
    <phoneticPr fontId="4" type="noConversion"/>
  </si>
  <si>
    <t>CNY_Treasury_Live_Curve_2010-11-29_Calibrated_Curve_7</t>
    <phoneticPr fontId="4" type="noConversion"/>
  </si>
  <si>
    <t>CNY_Treasury_Live_Curve_2010-11-3_Calibrated_Curve_7</t>
    <phoneticPr fontId="4" type="noConversion"/>
  </si>
  <si>
    <t>CNY_Treasury_Live_Curve_2010-11-30_Calibrated_Curve_7</t>
    <phoneticPr fontId="4" type="noConversion"/>
  </si>
  <si>
    <t>CNY_Treasury_Live_Curve_2010-11-4_Calibrated_Curve_7</t>
    <phoneticPr fontId="4" type="noConversion"/>
  </si>
  <si>
    <t>CNY_Treasury_Live_Curve_2010-11-5_Calibrated_Curve_7</t>
    <phoneticPr fontId="4" type="noConversion"/>
  </si>
  <si>
    <t>CNY_Treasury_Live_Curve_2010-11-8_Calibrated_Curve_7</t>
    <phoneticPr fontId="4" type="noConversion"/>
  </si>
  <si>
    <t>CNY_Treasury_Live_Curve_2010-11-9_Calibrated_Curve_7</t>
    <phoneticPr fontId="4" type="noConversion"/>
  </si>
  <si>
    <t>CNY_Treasury_Live_Curve_2010-12-1_Calibrated_Curve_7</t>
    <phoneticPr fontId="4" type="noConversion"/>
  </si>
  <si>
    <t>CNY_Treasury_Live_Curve_2010-12-10_Calibrated_Curve_7</t>
    <phoneticPr fontId="4" type="noConversion"/>
  </si>
  <si>
    <t>CNY_Treasury_Live_Curve_2010-12-13_Calibrated_Curve_7</t>
    <phoneticPr fontId="4" type="noConversion"/>
  </si>
  <si>
    <t>CNY_Treasury_Live_Curve_2010-12-14_Calibrated_Curve_7</t>
    <phoneticPr fontId="4" type="noConversion"/>
  </si>
  <si>
    <t>CNY_Treasury_Live_Curve_2010-12-15_Calibrated_Curve_7</t>
    <phoneticPr fontId="4" type="noConversion"/>
  </si>
  <si>
    <t>CNY_Treasury_Live_Curve_2010-12-16_Calibrated_Curve_7</t>
    <phoneticPr fontId="4" type="noConversion"/>
  </si>
  <si>
    <t>CNY_Treasury_Live_Curve_2010-12-17_Calibrated_Curve_7</t>
    <phoneticPr fontId="4" type="noConversion"/>
  </si>
  <si>
    <t>CNY_Treasury_Live_Curve_2010-12-2_Calibrated_Curve_7</t>
    <phoneticPr fontId="4" type="noConversion"/>
  </si>
  <si>
    <t>CNY_Treasury_Live_Curve_2010-12-20_Calibrated_Curve_7</t>
    <phoneticPr fontId="4" type="noConversion"/>
  </si>
  <si>
    <t>CNY_Treasury_Live_Curve_2010-12-21_Calibrated_Curve_7</t>
    <phoneticPr fontId="4" type="noConversion"/>
  </si>
  <si>
    <t>CNY_Treasury_Live_Curve_2010-12-22_Calibrated_Curve_7</t>
    <phoneticPr fontId="4" type="noConversion"/>
  </si>
  <si>
    <t>CNY_Treasury_Live_Curve_2010-12-23_Calibrated_Curve_7</t>
    <phoneticPr fontId="4" type="noConversion"/>
  </si>
  <si>
    <t>CNY_Treasury_Live_Curve_2010-12-24_Calibrated_Curve_7</t>
    <phoneticPr fontId="4" type="noConversion"/>
  </si>
  <si>
    <t>CNY_Treasury_Live_Curve_2010-12-27_Calibrated_Curve_7</t>
    <phoneticPr fontId="4" type="noConversion"/>
  </si>
  <si>
    <t>CNY_Treasury_Live_Curve_2010-12-28_Calibrated_Curve_7</t>
    <phoneticPr fontId="4" type="noConversion"/>
  </si>
  <si>
    <t>CNY_Treasury_Live_Curve_2010-12-29_Calibrated_Curve_7</t>
    <phoneticPr fontId="4" type="noConversion"/>
  </si>
  <si>
    <t>CNY_Treasury_Live_Curve_2010-12-3_Calibrated_Curve_7</t>
    <phoneticPr fontId="4" type="noConversion"/>
  </si>
  <si>
    <t>CNY_Treasury_Live_Curve_2010-12-30_Calibrated_Curve_7</t>
    <phoneticPr fontId="4" type="noConversion"/>
  </si>
  <si>
    <t>CNY_Treasury_Live_Curve_2010-12-31_Calibrated_Curve_7</t>
    <phoneticPr fontId="4" type="noConversion"/>
  </si>
  <si>
    <t>CNY_Treasury_Live_Curve_2010-12-6_Calibrated_Curve_7</t>
    <phoneticPr fontId="4" type="noConversion"/>
  </si>
  <si>
    <t>CNY_Treasury_Live_Curve_2010-12-7_Calibrated_Curve_7</t>
    <phoneticPr fontId="4" type="noConversion"/>
  </si>
  <si>
    <t>CNY_Treasury_Live_Curve_2010-12-8_Calibrated_Curve_7</t>
    <phoneticPr fontId="4" type="noConversion"/>
  </si>
  <si>
    <t>CNY_Treasury_Live_Curve_2010-12-9_Calibrated_Curve_7</t>
    <phoneticPr fontId="4" type="noConversion"/>
  </si>
  <si>
    <t>CNY_Treasury_Live_Curve_2010-2-1_Calibrated_Curve_7</t>
    <phoneticPr fontId="4" type="noConversion"/>
  </si>
  <si>
    <t>CNY_Treasury_Live_Curve_2010-2-10_Calibrated_Curve_7</t>
    <phoneticPr fontId="4" type="noConversion"/>
  </si>
  <si>
    <t>CNY_Treasury_Live_Curve_2010-2-11_Calibrated_Curve_7</t>
    <phoneticPr fontId="4" type="noConversion"/>
  </si>
  <si>
    <t>CNY_Treasury_Live_Curve_2010-2-2_Calibrated_Curve_7</t>
    <phoneticPr fontId="4" type="noConversion"/>
  </si>
  <si>
    <t>CNY_Treasury_Live_Curve_2010-2-20_Calibrated_Curve_7</t>
    <phoneticPr fontId="4" type="noConversion"/>
  </si>
  <si>
    <t>CNY_Treasury_Live_Curve_2010-2-21_Calibrated_Curve_7</t>
    <phoneticPr fontId="4" type="noConversion"/>
  </si>
  <si>
    <t>CNY_Treasury_Live_Curve_2010-2-22_Calibrated_Curve_7</t>
    <phoneticPr fontId="4" type="noConversion"/>
  </si>
  <si>
    <t>CNY_Treasury_Live_Curve_2010-2-23_Calibrated_Curve_7</t>
    <phoneticPr fontId="4" type="noConversion"/>
  </si>
  <si>
    <t>CNY_Treasury_Live_Curve_2010-2-24_Calibrated_Curve_7</t>
    <phoneticPr fontId="4" type="noConversion"/>
  </si>
  <si>
    <t>CNY_Treasury_Live_Curve_2010-2-25_Calibrated_Curve_7</t>
    <phoneticPr fontId="4" type="noConversion"/>
  </si>
  <si>
    <t>CNY_Treasury_Live_Curve_2010-2-26_Calibrated_Curve_7</t>
    <phoneticPr fontId="4" type="noConversion"/>
  </si>
  <si>
    <t>CNY_Treasury_Live_Curve_2010-2-3_Calibrated_Curve_7</t>
    <phoneticPr fontId="4" type="noConversion"/>
  </si>
  <si>
    <t>CNY_Treasury_Live_Curve_2010-2-4_Calibrated_Curve_7</t>
    <phoneticPr fontId="4" type="noConversion"/>
  </si>
  <si>
    <t>CNY_Treasury_Live_Curve_2010-2-5_Calibrated_Curve_7</t>
    <phoneticPr fontId="4" type="noConversion"/>
  </si>
  <si>
    <t>CNY_Treasury_Live_Curve_2010-2-8_Calibrated_Curve_7</t>
    <phoneticPr fontId="4" type="noConversion"/>
  </si>
  <si>
    <t>CNY_Treasury_Live_Curve_2010-2-9_Calibrated_Curve_7</t>
    <phoneticPr fontId="4" type="noConversion"/>
  </si>
  <si>
    <t>CNY_Treasury_Live_Curve_2010-3-1_Calibrated_Curve_7</t>
    <phoneticPr fontId="4" type="noConversion"/>
  </si>
  <si>
    <t>CNY_Treasury_Live_Curve_2010-3-10_Calibrated_Curve_7</t>
    <phoneticPr fontId="4" type="noConversion"/>
  </si>
  <si>
    <t>CNY_Treasury_Live_Curve_2010-3-11_Calibrated_Curve_7</t>
    <phoneticPr fontId="4" type="noConversion"/>
  </si>
  <si>
    <t>CNY_Treasury_Live_Curve_2010-3-12_Calibrated_Curve_7</t>
    <phoneticPr fontId="4" type="noConversion"/>
  </si>
  <si>
    <t>CNY_Treasury_Live_Curve_2010-3-15_Calibrated_Curve_7</t>
    <phoneticPr fontId="4" type="noConversion"/>
  </si>
  <si>
    <t>CNY_Treasury_Live_Curve_2010-3-16_Calibrated_Curve_7</t>
    <phoneticPr fontId="4" type="noConversion"/>
  </si>
  <si>
    <t>CNY_Treasury_Live_Curve_2010-3-17_Calibrated_Curve_7</t>
    <phoneticPr fontId="4" type="noConversion"/>
  </si>
  <si>
    <t>CNY_Treasury_Live_Curve_2010-3-18_Calibrated_Curve_7</t>
    <phoneticPr fontId="4" type="noConversion"/>
  </si>
  <si>
    <t>CNY_Treasury_Live_Curve_2010-3-19_Calibrated_Curve_7</t>
    <phoneticPr fontId="4" type="noConversion"/>
  </si>
  <si>
    <t>CNY_Treasury_Live_Curve_2010-3-2_Calibrated_Curve_7</t>
    <phoneticPr fontId="4" type="noConversion"/>
  </si>
  <si>
    <t>CNY_Treasury_Live_Curve_2010-3-22_Calibrated_Curve_7</t>
    <phoneticPr fontId="4" type="noConversion"/>
  </si>
  <si>
    <t>CNY_Treasury_Live_Curve_2010-3-23_Calibrated_Curve_7</t>
    <phoneticPr fontId="4" type="noConversion"/>
  </si>
  <si>
    <t>CNY_Treasury_Live_Curve_2010-3-24_Calibrated_Curve_7</t>
    <phoneticPr fontId="4" type="noConversion"/>
  </si>
  <si>
    <t>CNY_Treasury_Live_Curve_2010-3-25_Calibrated_Curve_7</t>
    <phoneticPr fontId="4" type="noConversion"/>
  </si>
  <si>
    <t>CNY_Treasury_Live_Curve_2010-3-26_Calibrated_Curve_7</t>
    <phoneticPr fontId="4" type="noConversion"/>
  </si>
  <si>
    <t>CNY_Treasury_Live_Curve_2010-3-29_Calibrated_Curve_7</t>
    <phoneticPr fontId="4" type="noConversion"/>
  </si>
  <si>
    <t>CNY_Treasury_Live_Curve_2010-3-3_Calibrated_Curve_7</t>
    <phoneticPr fontId="4" type="noConversion"/>
  </si>
  <si>
    <t>CNY_Treasury_Live_Curve_2010-3-30_Calibrated_Curve_7</t>
    <phoneticPr fontId="4" type="noConversion"/>
  </si>
  <si>
    <t>CNY_Treasury_Live_Curve_2010-3-31_Calibrated_Curve_7</t>
    <phoneticPr fontId="4" type="noConversion"/>
  </si>
  <si>
    <t>CNY_Treasury_Live_Curve_2010-3-4_Calibrated_Curve_7</t>
    <phoneticPr fontId="4" type="noConversion"/>
  </si>
  <si>
    <t>CNY_Treasury_Live_Curve_2010-3-5_Calibrated_Curve_7</t>
    <phoneticPr fontId="4" type="noConversion"/>
  </si>
  <si>
    <t>CNY_Treasury_Live_Curve_2010-3-8_Calibrated_Curve_7</t>
    <phoneticPr fontId="4" type="noConversion"/>
  </si>
  <si>
    <t>CNY_Treasury_Live_Curve_2010-3-9_Calibrated_Curve_7</t>
    <phoneticPr fontId="4" type="noConversion"/>
  </si>
  <si>
    <t>CNY_Treasury_Live_Curve_2010-4-1_Calibrated_Curve_7</t>
    <phoneticPr fontId="4" type="noConversion"/>
  </si>
  <si>
    <t>CNY_Treasury_Live_Curve_2010-4-12_Calibrated_Curve_7</t>
    <phoneticPr fontId="4" type="noConversion"/>
  </si>
  <si>
    <t>CNY_Treasury_Live_Curve_2010-4-13_Calibrated_Curve_7</t>
    <phoneticPr fontId="4" type="noConversion"/>
  </si>
  <si>
    <t>CNY_Treasury_Live_Curve_2010-4-14_Calibrated_Curve_7</t>
    <phoneticPr fontId="4" type="noConversion"/>
  </si>
  <si>
    <t>CNY_Treasury_Live_Curve_2010-4-15_Calibrated_Curve_7</t>
    <phoneticPr fontId="4" type="noConversion"/>
  </si>
  <si>
    <t>CNY_Treasury_Live_Curve_2010-4-16_Calibrated_Curve_7</t>
    <phoneticPr fontId="4" type="noConversion"/>
  </si>
  <si>
    <t>CNY_Treasury_Live_Curve_2010-4-19_Calibrated_Curve_7</t>
    <phoneticPr fontId="4" type="noConversion"/>
  </si>
  <si>
    <t>CNY_Treasury_Live_Curve_2010-4-2_Calibrated_Curve_7</t>
    <phoneticPr fontId="4" type="noConversion"/>
  </si>
  <si>
    <t>CNY_Treasury_Live_Curve_2010-4-20_Calibrated_Curve_7</t>
    <phoneticPr fontId="4" type="noConversion"/>
  </si>
  <si>
    <t>CNY_Treasury_Live_Curve_2010-4-21_Calibrated_Curve_7</t>
    <phoneticPr fontId="4" type="noConversion"/>
  </si>
  <si>
    <t>CNY_Treasury_Live_Curve_2010-4-22_Calibrated_Curve_7</t>
    <phoneticPr fontId="4" type="noConversion"/>
  </si>
  <si>
    <t>CNY_Treasury_Live_Curve_2010-4-23_Calibrated_Curve_7</t>
    <phoneticPr fontId="4" type="noConversion"/>
  </si>
  <si>
    <t>CNY_Treasury_Live_Curve_2010-4-26_Calibrated_Curve_7</t>
    <phoneticPr fontId="4" type="noConversion"/>
  </si>
  <si>
    <t>CNY_Treasury_Live_Curve_2010-4-27_Calibrated_Curve_7</t>
    <phoneticPr fontId="4" type="noConversion"/>
  </si>
  <si>
    <t>CNY_Treasury_Live_Curve_2010-4-28_Calibrated_Curve_7</t>
    <phoneticPr fontId="4" type="noConversion"/>
  </si>
  <si>
    <t>CNY_Treasury_Live_Curve_2010-4-29_Calibrated_Curve_7</t>
    <phoneticPr fontId="4" type="noConversion"/>
  </si>
  <si>
    <t>CNY_Treasury_Live_Curve_2010-4-30_Calibrated_Curve_7</t>
    <phoneticPr fontId="4" type="noConversion"/>
  </si>
  <si>
    <t>CNY_Treasury_Live_Curve_2010-4-6_Calibrated_Curve_7</t>
    <phoneticPr fontId="4" type="noConversion"/>
  </si>
  <si>
    <t>CNY_Treasury_Live_Curve_2010-4-7_Calibrated_Curve_7</t>
    <phoneticPr fontId="4" type="noConversion"/>
  </si>
  <si>
    <t>CNY_Treasury_Live_Curve_2010-4-8_Calibrated_Curve_7</t>
    <phoneticPr fontId="4" type="noConversion"/>
  </si>
  <si>
    <t>CNY_Treasury_Live_Curve_2010-4-9_Calibrated_Curve_7</t>
    <phoneticPr fontId="4" type="noConversion"/>
  </si>
  <si>
    <t>CNY_Treasury_Live_Curve_2010-5-10_Calibrated_Curve_7</t>
    <phoneticPr fontId="4" type="noConversion"/>
  </si>
  <si>
    <t>CNY_Treasury_Live_Curve_2010-5-11_Calibrated_Curve_7</t>
    <phoneticPr fontId="4" type="noConversion"/>
  </si>
  <si>
    <t>CNY_Treasury_Live_Curve_2010-5-12_Calibrated_Curve_7</t>
    <phoneticPr fontId="4" type="noConversion"/>
  </si>
  <si>
    <t>CNY_Treasury_Live_Curve_2010-5-13_Calibrated_Curve_7</t>
    <phoneticPr fontId="4" type="noConversion"/>
  </si>
  <si>
    <t>CNY_Treasury_Live_Curve_2010-5-14_Calibrated_Curve_7</t>
    <phoneticPr fontId="4" type="noConversion"/>
  </si>
  <si>
    <t>CNY_Treasury_Live_Curve_2010-5-17_Calibrated_Curve_7</t>
    <phoneticPr fontId="4" type="noConversion"/>
  </si>
  <si>
    <t>CNY_Treasury_Live_Curve_2010-5-18_Calibrated_Curve_7</t>
    <phoneticPr fontId="4" type="noConversion"/>
  </si>
  <si>
    <t>CNY_Treasury_Live_Curve_2010-5-19_Calibrated_Curve_7</t>
    <phoneticPr fontId="4" type="noConversion"/>
  </si>
  <si>
    <t>CNY_Treasury_Live_Curve_2010-5-20_Calibrated_Curve_7</t>
    <phoneticPr fontId="4" type="noConversion"/>
  </si>
  <si>
    <t>CNY_Treasury_Live_Curve_2010-5-21_Calibrated_Curve_7</t>
    <phoneticPr fontId="4" type="noConversion"/>
  </si>
  <si>
    <t>CNY_Treasury_Live_Curve_2010-5-24_Calibrated_Curve_7</t>
    <phoneticPr fontId="4" type="noConversion"/>
  </si>
  <si>
    <t>CNY_Treasury_Live_Curve_2010-5-25_Calibrated_Curve_7</t>
    <phoneticPr fontId="4" type="noConversion"/>
  </si>
  <si>
    <t>CNY_Treasury_Live_Curve_2010-5-26_Calibrated_Curve_7</t>
    <phoneticPr fontId="4" type="noConversion"/>
  </si>
  <si>
    <t>CNY_Treasury_Live_Curve_2010-5-27_Calibrated_Curve_7</t>
    <phoneticPr fontId="4" type="noConversion"/>
  </si>
  <si>
    <t>CNY_Treasury_Live_Curve_2010-5-28_Calibrated_Curve_7</t>
    <phoneticPr fontId="4" type="noConversion"/>
  </si>
  <si>
    <t>CNY_Treasury_Live_Curve_2010-5-31_Calibrated_Curve_7</t>
    <phoneticPr fontId="4" type="noConversion"/>
  </si>
  <si>
    <t>CNY_Treasury_Live_Curve_2010-5-4_Calibrated_Curve_7</t>
    <phoneticPr fontId="4" type="noConversion"/>
  </si>
  <si>
    <t>CNY_Treasury_Live_Curve_2010-5-5_Calibrated_Curve_7</t>
    <phoneticPr fontId="4" type="noConversion"/>
  </si>
  <si>
    <t>CNY_Treasury_Live_Curve_2010-5-6_Calibrated_Curve_7</t>
    <phoneticPr fontId="4" type="noConversion"/>
  </si>
  <si>
    <t>CNY_Treasury_Live_Curve_2010-5-7_Calibrated_Curve_7</t>
    <phoneticPr fontId="4" type="noConversion"/>
  </si>
  <si>
    <t>CNY_Treasury_Live_Curve_2010-6-1_Calibrated_Curve_7</t>
    <phoneticPr fontId="4" type="noConversion"/>
  </si>
  <si>
    <t>CNY_Treasury_Live_Curve_2010-6-10_Calibrated_Curve_7</t>
    <phoneticPr fontId="4" type="noConversion"/>
  </si>
  <si>
    <t>CNY_Treasury_Live_Curve_2010-6-11_Calibrated_Curve_7</t>
    <phoneticPr fontId="4" type="noConversion"/>
  </si>
  <si>
    <t>CNY_Treasury_Live_Curve_2010-6-12_Calibrated_Curve_7</t>
    <phoneticPr fontId="4" type="noConversion"/>
  </si>
  <si>
    <t>CNY_Treasury_Live_Curve_2010-6-13_Calibrated_Curve_7</t>
    <phoneticPr fontId="4" type="noConversion"/>
  </si>
  <si>
    <t>CNY_Treasury_Live_Curve_2010-6-17_Calibrated_Curve_7</t>
    <phoneticPr fontId="4" type="noConversion"/>
  </si>
  <si>
    <t>CNY_Treasury_Live_Curve_2010-6-18_Calibrated_Curve_7</t>
    <phoneticPr fontId="4" type="noConversion"/>
  </si>
  <si>
    <t>CNY_Treasury_Live_Curve_2010-6-2_Calibrated_Curve_7</t>
    <phoneticPr fontId="4" type="noConversion"/>
  </si>
  <si>
    <t>CNY_Treasury_Live_Curve_2010-6-21_Calibrated_Curve_7</t>
    <phoneticPr fontId="4" type="noConversion"/>
  </si>
  <si>
    <t>CNY_Treasury_Live_Curve_2010-6-22_Calibrated_Curve_7</t>
    <phoneticPr fontId="4" type="noConversion"/>
  </si>
  <si>
    <t>CNY_Treasury_Live_Curve_2010-6-23_Calibrated_Curve_7</t>
    <phoneticPr fontId="4" type="noConversion"/>
  </si>
  <si>
    <t>CNY_Treasury_Live_Curve_2010-6-24_Calibrated_Curve_7</t>
    <phoneticPr fontId="4" type="noConversion"/>
  </si>
  <si>
    <t>CNY_Treasury_Live_Curve_2010-6-25_Calibrated_Curve_7</t>
    <phoneticPr fontId="4" type="noConversion"/>
  </si>
  <si>
    <t>CNY_Treasury_Live_Curve_2010-6-28_Calibrated_Curve_7</t>
    <phoneticPr fontId="4" type="noConversion"/>
  </si>
  <si>
    <t>CNY_Treasury_Live_Curve_2010-6-29_Calibrated_Curve_7</t>
    <phoneticPr fontId="4" type="noConversion"/>
  </si>
  <si>
    <t>CNY_Treasury_Live_Curve_2010-6-3_Calibrated_Curve_7</t>
    <phoneticPr fontId="4" type="noConversion"/>
  </si>
  <si>
    <t>CNY_Treasury_Live_Curve_2010-6-30_Calibrated_Curve_7</t>
    <phoneticPr fontId="4" type="noConversion"/>
  </si>
  <si>
    <t>CNY_Treasury_Live_Curve_2010-6-4_Calibrated_Curve_7</t>
    <phoneticPr fontId="4" type="noConversion"/>
  </si>
  <si>
    <t>CNY_Treasury_Live_Curve_2010-6-7_Calibrated_Curve_7</t>
    <phoneticPr fontId="4" type="noConversion"/>
  </si>
  <si>
    <t>CNY_Treasury_Live_Curve_2010-6-8_Calibrated_Curve_7</t>
    <phoneticPr fontId="4" type="noConversion"/>
  </si>
  <si>
    <t>CNY_Treasury_Live_Curve_2010-6-9_Calibrated_Curve_7</t>
    <phoneticPr fontId="4" type="noConversion"/>
  </si>
  <si>
    <t>CNY_Treasury_Live_Curve_2010-7-1_Calibrated_Curve_7</t>
    <phoneticPr fontId="4" type="noConversion"/>
  </si>
  <si>
    <t>CNY_Treasury_Live_Curve_2010-7-12_Calibrated_Curve_7</t>
    <phoneticPr fontId="4" type="noConversion"/>
  </si>
  <si>
    <t>CNY_Treasury_Live_Curve_2010-7-13_Calibrated_Curve_7</t>
    <phoneticPr fontId="4" type="noConversion"/>
  </si>
  <si>
    <t>CNY_Treasury_Live_Curve_2010-7-14_Calibrated_Curve_7</t>
    <phoneticPr fontId="4" type="noConversion"/>
  </si>
  <si>
    <t>CNY_Treasury_Live_Curve_2010-7-15_Calibrated_Curve_7</t>
    <phoneticPr fontId="4" type="noConversion"/>
  </si>
  <si>
    <t>CNY_Treasury_Live_Curve_2010-7-16_Calibrated_Curve_7</t>
    <phoneticPr fontId="4" type="noConversion"/>
  </si>
  <si>
    <t>CNY_Treasury_Live_Curve_2010-7-19_Calibrated_Curve_7</t>
    <phoneticPr fontId="4" type="noConversion"/>
  </si>
  <si>
    <t>CNY_Treasury_Live_Curve_2010-7-2_Calibrated_Curve_7</t>
    <phoneticPr fontId="4" type="noConversion"/>
  </si>
  <si>
    <t>CNY_Treasury_Live_Curve_2010-7-20_Calibrated_Curve_7</t>
    <phoneticPr fontId="4" type="noConversion"/>
  </si>
  <si>
    <t>CNY_Treasury_Live_Curve_2010-7-21_Calibrated_Curve_7</t>
    <phoneticPr fontId="4" type="noConversion"/>
  </si>
  <si>
    <t>CNY_Treasury_Live_Curve_2010-7-22_Calibrated_Curve_7</t>
    <phoneticPr fontId="4" type="noConversion"/>
  </si>
  <si>
    <t>CNY_Treasury_Live_Curve_2010-7-23_Calibrated_Curve_7</t>
    <phoneticPr fontId="4" type="noConversion"/>
  </si>
  <si>
    <t>CNY_Treasury_Live_Curve_2010-7-26_Calibrated_Curve_7</t>
    <phoneticPr fontId="4" type="noConversion"/>
  </si>
  <si>
    <t>CNY_Treasury_Live_Curve_2010-7-27_Calibrated_Curve_7</t>
    <phoneticPr fontId="4" type="noConversion"/>
  </si>
  <si>
    <t>CNY_Treasury_Live_Curve_2010-7-28_Calibrated_Curve_7</t>
    <phoneticPr fontId="4" type="noConversion"/>
  </si>
  <si>
    <t>CNY_Treasury_Live_Curve_2010-7-29_Calibrated_Curve_7</t>
    <phoneticPr fontId="4" type="noConversion"/>
  </si>
  <si>
    <t>CNY_Treasury_Live_Curve_2010-7-30_Calibrated_Curve_7</t>
    <phoneticPr fontId="4" type="noConversion"/>
  </si>
  <si>
    <t>CNY_Treasury_Live_Curve_2010-7-5_Calibrated_Curve_7</t>
    <phoneticPr fontId="4" type="noConversion"/>
  </si>
  <si>
    <t>CNY_Treasury_Live_Curve_2010-7-6_Calibrated_Curve_7</t>
    <phoneticPr fontId="4" type="noConversion"/>
  </si>
  <si>
    <t>CNY_Treasury_Live_Curve_2010-7-7_Calibrated_Curve_7</t>
    <phoneticPr fontId="4" type="noConversion"/>
  </si>
  <si>
    <t>CNY_Treasury_Live_Curve_2010-7-8_Calibrated_Curve_7</t>
    <phoneticPr fontId="4" type="noConversion"/>
  </si>
  <si>
    <t>CNY_Treasury_Live_Curve_2010-7-9_Calibrated_Curve_7</t>
    <phoneticPr fontId="4" type="noConversion"/>
  </si>
  <si>
    <t>CNY_Treasury_Live_Curve_2010-8-10_Calibrated_Curve_7</t>
    <phoneticPr fontId="4" type="noConversion"/>
  </si>
  <si>
    <t>CNY_Treasury_Live_Curve_2010-8-11_Calibrated_Curve_7</t>
    <phoneticPr fontId="4" type="noConversion"/>
  </si>
  <si>
    <t>CNY_Treasury_Live_Curve_2010-8-12_Calibrated_Curve_7</t>
    <phoneticPr fontId="4" type="noConversion"/>
  </si>
  <si>
    <t>CNY_Treasury_Live_Curve_2010-8-13_Calibrated_Curve_7</t>
    <phoneticPr fontId="4" type="noConversion"/>
  </si>
  <si>
    <t>CNY_Treasury_Live_Curve_2010-8-16_Calibrated_Curve_7</t>
    <phoneticPr fontId="4" type="noConversion"/>
  </si>
  <si>
    <t>CNY_Treasury_Live_Curve_2010-8-17_Calibrated_Curve_7</t>
    <phoneticPr fontId="4" type="noConversion"/>
  </si>
  <si>
    <t>CNY_Treasury_Live_Curve_2010-8-18_Calibrated_Curve_7</t>
    <phoneticPr fontId="4" type="noConversion"/>
  </si>
  <si>
    <t>CNY_Treasury_Live_Curve_2010-8-19_Calibrated_Curve_7</t>
    <phoneticPr fontId="4" type="noConversion"/>
  </si>
  <si>
    <t>CNY_Treasury_Live_Curve_2010-8-2_Calibrated_Curve_7</t>
    <phoneticPr fontId="4" type="noConversion"/>
  </si>
  <si>
    <t>CNY_Treasury_Live_Curve_2010-8-20_Calibrated_Curve_7</t>
    <phoneticPr fontId="4" type="noConversion"/>
  </si>
  <si>
    <t>CNY_Treasury_Live_Curve_2010-8-23_Calibrated_Curve_7</t>
    <phoneticPr fontId="4" type="noConversion"/>
  </si>
  <si>
    <t>CNY_Treasury_Live_Curve_2010-8-24_Calibrated_Curve_7</t>
    <phoneticPr fontId="4" type="noConversion"/>
  </si>
  <si>
    <t>CNY_Treasury_Live_Curve_2010-8-25_Calibrated_Curve_7</t>
    <phoneticPr fontId="4" type="noConversion"/>
  </si>
  <si>
    <t>CNY_Treasury_Live_Curve_2010-8-26_Calibrated_Curve_7</t>
    <phoneticPr fontId="4" type="noConversion"/>
  </si>
  <si>
    <t>CNY_Treasury_Live_Curve_2010-8-27_Calibrated_Curve_7</t>
    <phoneticPr fontId="4" type="noConversion"/>
  </si>
  <si>
    <t>CNY_Treasury_Live_Curve_2010-8-3_Calibrated_Curve_7</t>
    <phoneticPr fontId="4" type="noConversion"/>
  </si>
  <si>
    <t>CNY_Treasury_Live_Curve_2010-8-30_Calibrated_Curve_7</t>
    <phoneticPr fontId="4" type="noConversion"/>
  </si>
  <si>
    <t>CNY_Treasury_Live_Curve_2010-8-31_Calibrated_Curve_7</t>
    <phoneticPr fontId="4" type="noConversion"/>
  </si>
  <si>
    <t>CNY_Treasury_Live_Curve_2010-8-4_Calibrated_Curve_7</t>
    <phoneticPr fontId="4" type="noConversion"/>
  </si>
  <si>
    <t>CNY_Treasury_Live_Curve_2010-8-5_Calibrated_Curve_7</t>
    <phoneticPr fontId="4" type="noConversion"/>
  </si>
  <si>
    <t>CNY_Treasury_Live_Curve_2010-8-6_Calibrated_Curve_7</t>
    <phoneticPr fontId="4" type="noConversion"/>
  </si>
  <si>
    <t>CNY_Treasury_Live_Curve_2010-8-9_Calibrated_Curve_7</t>
    <phoneticPr fontId="4" type="noConversion"/>
  </si>
  <si>
    <t>CNY_Treasury_Live_Curve_2010-9-1_Calibrated_Curve_7</t>
    <phoneticPr fontId="4" type="noConversion"/>
  </si>
  <si>
    <t>CNY_Treasury_Live_Curve_2010-9-10_Calibrated_Curve_7</t>
    <phoneticPr fontId="4" type="noConversion"/>
  </si>
  <si>
    <t>CNY_Treasury_Live_Curve_2010-9-13_Calibrated_Curve_7</t>
    <phoneticPr fontId="4" type="noConversion"/>
  </si>
  <si>
    <t>CNY_Treasury_Live_Curve_2010-9-14_Calibrated_Curve_7</t>
    <phoneticPr fontId="4" type="noConversion"/>
  </si>
  <si>
    <t>CNY_Treasury_Live_Curve_2010-9-15_Calibrated_Curve_7</t>
    <phoneticPr fontId="4" type="noConversion"/>
  </si>
  <si>
    <t>CNY_Treasury_Live_Curve_2010-9-16_Calibrated_Curve_7</t>
    <phoneticPr fontId="4" type="noConversion"/>
  </si>
  <si>
    <t>CNY_Treasury_Live_Curve_2010-9-17_Calibrated_Curve_7</t>
    <phoneticPr fontId="4" type="noConversion"/>
  </si>
  <si>
    <t>CNY_Treasury_Live_Curve_2010-9-19_Calibrated_Curve_7</t>
    <phoneticPr fontId="4" type="noConversion"/>
  </si>
  <si>
    <t>CNY_Treasury_Live_Curve_2010-9-2_Calibrated_Curve_7</t>
    <phoneticPr fontId="4" type="noConversion"/>
  </si>
  <si>
    <t>CNY_Treasury_Live_Curve_2010-9-20_Calibrated_Curve_7</t>
    <phoneticPr fontId="4" type="noConversion"/>
  </si>
  <si>
    <t>CNY_Treasury_Live_Curve_2010-9-21_Calibrated_Curve_7</t>
    <phoneticPr fontId="4" type="noConversion"/>
  </si>
  <si>
    <t>CNY_Treasury_Live_Curve_2010-9-25_Calibrated_Curve_7</t>
    <phoneticPr fontId="4" type="noConversion"/>
  </si>
  <si>
    <t>CNY_Treasury_Live_Curve_2010-9-26_Calibrated_Curve_7</t>
    <phoneticPr fontId="4" type="noConversion"/>
  </si>
  <si>
    <t>CNY_Treasury_Live_Curve_2010-9-27_Calibrated_Curve_7</t>
    <phoneticPr fontId="4" type="noConversion"/>
  </si>
  <si>
    <t>CNY_Treasury_Live_Curve_2010-9-28_Calibrated_Curve_7</t>
    <phoneticPr fontId="4" type="noConversion"/>
  </si>
  <si>
    <t>CNY_Treasury_Live_Curve_2010-9-29_Calibrated_Curve_7</t>
    <phoneticPr fontId="4" type="noConversion"/>
  </si>
  <si>
    <t>CNY_Treasury_Live_Curve_2010-9-3_Calibrated_Curve_7</t>
    <phoneticPr fontId="4" type="noConversion"/>
  </si>
  <si>
    <t>CNY_Treasury_Live_Curve_2010-9-30_Calibrated_Curve_7</t>
    <phoneticPr fontId="4" type="noConversion"/>
  </si>
  <si>
    <t>CNY_Treasury_Live_Curve_2010-9-6_Calibrated_Curve_7</t>
    <phoneticPr fontId="4" type="noConversion"/>
  </si>
  <si>
    <t>CNY_Treasury_Live_Curve_2010-9-7_Calibrated_Curve_7</t>
    <phoneticPr fontId="4" type="noConversion"/>
  </si>
  <si>
    <t>CNY_Treasury_Live_Curve_2010-9-8_Calibrated_Curve_7</t>
    <phoneticPr fontId="4" type="noConversion"/>
  </si>
  <si>
    <t>CNY_Treasury_Live_Curve_2010-9-9_Calibrated_Curve_7</t>
    <phoneticPr fontId="4" type="noConversion"/>
  </si>
  <si>
    <t>CNY_Treasury_Live_Curve_2011-1-10_Calibrated_Curve_7</t>
    <phoneticPr fontId="4" type="noConversion"/>
  </si>
  <si>
    <t>CNY_Treasury_Live_Curve_2011-1-11_Calibrated_Curve_7</t>
    <phoneticPr fontId="4" type="noConversion"/>
  </si>
  <si>
    <t>CNY_Treasury_Live_Curve_2011-1-12_Calibrated_Curve_7</t>
    <phoneticPr fontId="4" type="noConversion"/>
  </si>
  <si>
    <t>CNY_Treasury_Live_Curve_2011-1-13_Calibrated_Curve_7</t>
    <phoneticPr fontId="4" type="noConversion"/>
  </si>
  <si>
    <t>CNY_Treasury_Live_Curve_2011-1-14_Calibrated_Curve_7</t>
    <phoneticPr fontId="4" type="noConversion"/>
  </si>
  <si>
    <t>CNY_Treasury_Live_Curve_2011-1-17_Calibrated_Curve_7</t>
    <phoneticPr fontId="4" type="noConversion"/>
  </si>
  <si>
    <t>CNY_Treasury_Live_Curve_2011-1-18_Calibrated_Curve_7</t>
    <phoneticPr fontId="4" type="noConversion"/>
  </si>
  <si>
    <t>CNY_Treasury_Live_Curve_2011-1-19_Calibrated_Curve_7</t>
    <phoneticPr fontId="4" type="noConversion"/>
  </si>
  <si>
    <t>CNY_Treasury_Live_Curve_2011-1-20_Calibrated_Curve_7</t>
    <phoneticPr fontId="4" type="noConversion"/>
  </si>
  <si>
    <t>CNY_Treasury_Live_Curve_2011-1-21_Calibrated_Curve_7</t>
    <phoneticPr fontId="4" type="noConversion"/>
  </si>
  <si>
    <t>CNY_Treasury_Live_Curve_2011-1-24_Calibrated_Curve_7</t>
    <phoneticPr fontId="4" type="noConversion"/>
  </si>
  <si>
    <t>CNY_Treasury_Live_Curve_2011-1-25_Calibrated_Curve_7</t>
    <phoneticPr fontId="4" type="noConversion"/>
  </si>
  <si>
    <t>CNY_Treasury_Live_Curve_2011-1-26_Calibrated_Curve_7</t>
    <phoneticPr fontId="4" type="noConversion"/>
  </si>
  <si>
    <t>CNY_Treasury_Live_Curve_2011-1-27_Calibrated_Curve_7</t>
    <phoneticPr fontId="4" type="noConversion"/>
  </si>
  <si>
    <t>CNY_Treasury_Live_Curve_2011-1-28_Calibrated_Curve_7</t>
    <phoneticPr fontId="4" type="noConversion"/>
  </si>
  <si>
    <t>CNY_Treasury_Live_Curve_2011-1-30_Calibrated_Curve_7</t>
    <phoneticPr fontId="4" type="noConversion"/>
  </si>
  <si>
    <t>CNY_Treasury_Live_Curve_2011-1-31_Calibrated_Curve_7</t>
    <phoneticPr fontId="4" type="noConversion"/>
  </si>
  <si>
    <t>CNY_Treasury_Live_Curve_2011-1-4_Calibrated_Curve_7</t>
    <phoneticPr fontId="4" type="noConversion"/>
  </si>
  <si>
    <t>CNY_Treasury_Live_Curve_2011-1-5_Calibrated_Curve_7</t>
    <phoneticPr fontId="4" type="noConversion"/>
  </si>
  <si>
    <t>CNY_Treasury_Live_Curve_2011-1-6_Calibrated_Curve_7</t>
    <phoneticPr fontId="4" type="noConversion"/>
  </si>
  <si>
    <t>CNY_Treasury_Live_Curve_2011-1-7_Calibrated_Curve_7</t>
    <phoneticPr fontId="4" type="noConversion"/>
  </si>
  <si>
    <t>CNY_Treasury_Live_Curve_2011-10-10_Calibrated_Curve_7</t>
    <phoneticPr fontId="4" type="noConversion"/>
  </si>
  <si>
    <t>CNY_Treasury_Live_Curve_2011-10-11_Calibrated_Curve_7</t>
    <phoneticPr fontId="4" type="noConversion"/>
  </si>
  <si>
    <t>CNY_Treasury_Live_Curve_2011-10-12_Calibrated_Curve_7</t>
    <phoneticPr fontId="4" type="noConversion"/>
  </si>
  <si>
    <t>CNY_Treasury_Live_Curve_2011-10-13_Calibrated_Curve_7</t>
    <phoneticPr fontId="4" type="noConversion"/>
  </si>
  <si>
    <t>CNY_Treasury_Live_Curve_2011-10-14_Calibrated_Curve_7</t>
    <phoneticPr fontId="4" type="noConversion"/>
  </si>
  <si>
    <t>CNY_Treasury_Live_Curve_2011-10-17_Calibrated_Curve_7</t>
    <phoneticPr fontId="4" type="noConversion"/>
  </si>
  <si>
    <t>CNY_Treasury_Live_Curve_2011-10-18_Calibrated_Curve_7</t>
    <phoneticPr fontId="4" type="noConversion"/>
  </si>
  <si>
    <t>CNY_Treasury_Live_Curve_2011-10-19_Calibrated_Curve_7</t>
    <phoneticPr fontId="4" type="noConversion"/>
  </si>
  <si>
    <t>CNY_Treasury_Live_Curve_2011-10-20_Calibrated_Curve_7</t>
    <phoneticPr fontId="4" type="noConversion"/>
  </si>
  <si>
    <t>CNY_Treasury_Live_Curve_2011-10-21_Calibrated_Curve_7</t>
    <phoneticPr fontId="4" type="noConversion"/>
  </si>
  <si>
    <t>CNY_Treasury_Live_Curve_2011-10-24_Calibrated_Curve_7</t>
    <phoneticPr fontId="4" type="noConversion"/>
  </si>
  <si>
    <t>CNY_Treasury_Live_Curve_2011-10-25_Calibrated_Curve_7</t>
    <phoneticPr fontId="4" type="noConversion"/>
  </si>
  <si>
    <t>CNY_Treasury_Live_Curve_2011-10-26_Calibrated_Curve_7</t>
    <phoneticPr fontId="4" type="noConversion"/>
  </si>
  <si>
    <t>CNY_Treasury_Live_Curve_2011-10-27_Calibrated_Curve_7</t>
    <phoneticPr fontId="4" type="noConversion"/>
  </si>
  <si>
    <t>CNY_Treasury_Live_Curve_2011-10-28_Calibrated_Curve_7</t>
    <phoneticPr fontId="4" type="noConversion"/>
  </si>
  <si>
    <t>CNY_Treasury_Live_Curve_2011-10-31_Calibrated_Curve_7</t>
    <phoneticPr fontId="4" type="noConversion"/>
  </si>
  <si>
    <t>CNY_Treasury_Live_Curve_2011-10-8_Calibrated_Curve_7</t>
    <phoneticPr fontId="4" type="noConversion"/>
  </si>
  <si>
    <t>CNY_Treasury_Live_Curve_2011-10-9_Calibrated_Curve_7</t>
    <phoneticPr fontId="4" type="noConversion"/>
  </si>
  <si>
    <t>CNY_Treasury_Live_Curve_2011-11-1_Calibrated_Curve_7</t>
    <phoneticPr fontId="4" type="noConversion"/>
  </si>
  <si>
    <t>CNY_Treasury_Live_Curve_2011-11-10_Calibrated_Curve_7</t>
    <phoneticPr fontId="4" type="noConversion"/>
  </si>
  <si>
    <t>CNY_Treasury_Live_Curve_2011-11-11_Calibrated_Curve_7</t>
    <phoneticPr fontId="4" type="noConversion"/>
  </si>
  <si>
    <t>CNY_Treasury_Live_Curve_2011-11-14_Calibrated_Curve_7</t>
    <phoneticPr fontId="4" type="noConversion"/>
  </si>
  <si>
    <t>CNY_Treasury_Live_Curve_2011-11-15_Calibrated_Curve_7</t>
    <phoneticPr fontId="4" type="noConversion"/>
  </si>
  <si>
    <t>CNY_Treasury_Live_Curve_2011-11-16_Calibrated_Curve_7</t>
    <phoneticPr fontId="4" type="noConversion"/>
  </si>
  <si>
    <t>CNY_Treasury_Live_Curve_2011-11-17_Calibrated_Curve_7</t>
    <phoneticPr fontId="4" type="noConversion"/>
  </si>
  <si>
    <t>CNY_Treasury_Live_Curve_2011-11-18_Calibrated_Curve_7</t>
    <phoneticPr fontId="4" type="noConversion"/>
  </si>
  <si>
    <t>CNY_Treasury_Live_Curve_2011-11-2_Calibrated_Curve_7</t>
    <phoneticPr fontId="4" type="noConversion"/>
  </si>
  <si>
    <t>CNY_Treasury_Live_Curve_2011-11-21_Calibrated_Curve_7</t>
    <phoneticPr fontId="4" type="noConversion"/>
  </si>
  <si>
    <t>CNY_Treasury_Live_Curve_2011-11-22_Calibrated_Curve_7</t>
    <phoneticPr fontId="4" type="noConversion"/>
  </si>
  <si>
    <t>CNY_Treasury_Live_Curve_2011-11-23_Calibrated_Curve_7</t>
    <phoneticPr fontId="4" type="noConversion"/>
  </si>
  <si>
    <t>CNY_Treasury_Live_Curve_2011-11-24_Calibrated_Curve_7</t>
    <phoneticPr fontId="4" type="noConversion"/>
  </si>
  <si>
    <t>CNY_Treasury_Live_Curve_2011-11-25_Calibrated_Curve_7</t>
    <phoneticPr fontId="4" type="noConversion"/>
  </si>
  <si>
    <t>CNY_Treasury_Live_Curve_2011-11-28_Calibrated_Curve_7</t>
    <phoneticPr fontId="4" type="noConversion"/>
  </si>
  <si>
    <t>CNY_Treasury_Live_Curve_2011-11-29_Calibrated_Curve_7</t>
    <phoneticPr fontId="4" type="noConversion"/>
  </si>
  <si>
    <t>CNY_Treasury_Live_Curve_2011-11-3_Calibrated_Curve_7</t>
    <phoneticPr fontId="4" type="noConversion"/>
  </si>
  <si>
    <t>CNY_Treasury_Live_Curve_2011-11-30_Calibrated_Curve_7</t>
    <phoneticPr fontId="4" type="noConversion"/>
  </si>
  <si>
    <t>CNY_Treasury_Live_Curve_2011-11-4_Calibrated_Curve_7</t>
    <phoneticPr fontId="4" type="noConversion"/>
  </si>
  <si>
    <t>CNY_Treasury_Live_Curve_2011-11-7_Calibrated_Curve_7</t>
    <phoneticPr fontId="4" type="noConversion"/>
  </si>
  <si>
    <t>CNY_Treasury_Live_Curve_2011-11-8_Calibrated_Curve_7</t>
    <phoneticPr fontId="4" type="noConversion"/>
  </si>
  <si>
    <t>CNY_Treasury_Live_Curve_2011-11-9_Calibrated_Curve_7</t>
    <phoneticPr fontId="4" type="noConversion"/>
  </si>
  <si>
    <t>CNY_Treasury_Live_Curve_2011-12-1_Calibrated_Curve_7</t>
    <phoneticPr fontId="4" type="noConversion"/>
  </si>
  <si>
    <t>CNY_Treasury_Live_Curve_2011-12-12_Calibrated_Curve_7</t>
    <phoneticPr fontId="4" type="noConversion"/>
  </si>
  <si>
    <t>CNY_Treasury_Live_Curve_2011-12-13_Calibrated_Curve_7</t>
    <phoneticPr fontId="4" type="noConversion"/>
  </si>
  <si>
    <t>CNY_Treasury_Live_Curve_2011-12-14_Calibrated_Curve_7</t>
    <phoneticPr fontId="4" type="noConversion"/>
  </si>
  <si>
    <t>CNY_Treasury_Live_Curve_2011-12-15_Calibrated_Curve_7</t>
    <phoneticPr fontId="4" type="noConversion"/>
  </si>
  <si>
    <t>CNY_Treasury_Live_Curve_2011-12-16_Calibrated_Curve_7</t>
    <phoneticPr fontId="4" type="noConversion"/>
  </si>
  <si>
    <t>CNY_Treasury_Live_Curve_2011-12-19_Calibrated_Curve_7</t>
    <phoneticPr fontId="4" type="noConversion"/>
  </si>
  <si>
    <t>CNY_Treasury_Live_Curve_2011-12-2_Calibrated_Curve_7</t>
    <phoneticPr fontId="4" type="noConversion"/>
  </si>
  <si>
    <t>CNY_Treasury_Live_Curve_2011-12-20_Calibrated_Curve_7</t>
    <phoneticPr fontId="4" type="noConversion"/>
  </si>
  <si>
    <t>CNY_Treasury_Live_Curve_2011-12-21_Calibrated_Curve_7</t>
    <phoneticPr fontId="4" type="noConversion"/>
  </si>
  <si>
    <t>CNY_Treasury_Live_Curve_2011-12-22_Calibrated_Curve_7</t>
    <phoneticPr fontId="4" type="noConversion"/>
  </si>
  <si>
    <t>CNY_Treasury_Live_Curve_2011-12-23_Calibrated_Curve_7</t>
    <phoneticPr fontId="4" type="noConversion"/>
  </si>
  <si>
    <t>CNY_Treasury_Live_Curve_2011-12-26_Calibrated_Curve_7</t>
    <phoneticPr fontId="4" type="noConversion"/>
  </si>
  <si>
    <t>CNY_Treasury_Live_Curve_2011-12-27_Calibrated_Curve_7</t>
    <phoneticPr fontId="4" type="noConversion"/>
  </si>
  <si>
    <t>CNY_Treasury_Live_Curve_2011-12-28_Calibrated_Curve_7</t>
    <phoneticPr fontId="4" type="noConversion"/>
  </si>
  <si>
    <t>CNY_Treasury_Live_Curve_2011-12-29_Calibrated_Curve_7</t>
    <phoneticPr fontId="4" type="noConversion"/>
  </si>
  <si>
    <t>CNY_Treasury_Live_Curve_2011-12-30_Calibrated_Curve_7</t>
    <phoneticPr fontId="4" type="noConversion"/>
  </si>
  <si>
    <t>CNY_Treasury_Live_Curve_2011-12-31_Calibrated_Curve_7</t>
    <phoneticPr fontId="4" type="noConversion"/>
  </si>
  <si>
    <t>CNY_Treasury_Live_Curve_2011-12-5_Calibrated_Curve_7</t>
    <phoneticPr fontId="4" type="noConversion"/>
  </si>
  <si>
    <t>CNY_Treasury_Live_Curve_2011-12-6_Calibrated_Curve_7</t>
    <phoneticPr fontId="4" type="noConversion"/>
  </si>
  <si>
    <t>CNY_Treasury_Live_Curve_2011-12-7_Calibrated_Curve_7</t>
    <phoneticPr fontId="4" type="noConversion"/>
  </si>
  <si>
    <t>CNY_Treasury_Live_Curve_2011-12-8_Calibrated_Curve_7</t>
    <phoneticPr fontId="4" type="noConversion"/>
  </si>
  <si>
    <t>CNY_Treasury_Live_Curve_2011-12-9_Calibrated_Curve_7</t>
    <phoneticPr fontId="4" type="noConversion"/>
  </si>
  <si>
    <t>CNY_Treasury_Live_Curve_2011-2-1_Calibrated_Curve_7</t>
    <phoneticPr fontId="4" type="noConversion"/>
  </si>
  <si>
    <t>CNY_Treasury_Live_Curve_2011-2-10_Calibrated_Curve_7</t>
    <phoneticPr fontId="4" type="noConversion"/>
  </si>
  <si>
    <t>CNY_Treasury_Live_Curve_2011-2-11_Calibrated_Curve_7</t>
    <phoneticPr fontId="4" type="noConversion"/>
  </si>
  <si>
    <t>CNY_Treasury_Live_Curve_2011-2-12_Calibrated_Curve_7</t>
    <phoneticPr fontId="4" type="noConversion"/>
  </si>
  <si>
    <t>CNY_Treasury_Live_Curve_2011-2-14_Calibrated_Curve_7</t>
    <phoneticPr fontId="4" type="noConversion"/>
  </si>
  <si>
    <t>CNY_Treasury_Live_Curve_2011-2-15_Calibrated_Curve_7</t>
    <phoneticPr fontId="4" type="noConversion"/>
  </si>
  <si>
    <t>CNY_Treasury_Live_Curve_2011-2-16_Calibrated_Curve_7</t>
    <phoneticPr fontId="4" type="noConversion"/>
  </si>
  <si>
    <t>CNY_Treasury_Live_Curve_2011-2-17_Calibrated_Curve_7</t>
    <phoneticPr fontId="4" type="noConversion"/>
  </si>
  <si>
    <t>CNY_Treasury_Live_Curve_2011-2-18_Calibrated_Curve_7</t>
    <phoneticPr fontId="4" type="noConversion"/>
  </si>
  <si>
    <t>CNY_Treasury_Live_Curve_2011-2-21_Calibrated_Curve_7</t>
    <phoneticPr fontId="4" type="noConversion"/>
  </si>
  <si>
    <t>CNY_Treasury_Live_Curve_2011-2-22_Calibrated_Curve_7</t>
    <phoneticPr fontId="4" type="noConversion"/>
  </si>
  <si>
    <t>CNY_Treasury_Live_Curve_2011-2-23_Calibrated_Curve_7</t>
    <phoneticPr fontId="4" type="noConversion"/>
  </si>
  <si>
    <t>CNY_Treasury_Live_Curve_2011-2-24_Calibrated_Curve_7</t>
    <phoneticPr fontId="4" type="noConversion"/>
  </si>
  <si>
    <t>CNY_Treasury_Live_Curve_2011-2-25_Calibrated_Curve_7</t>
    <phoneticPr fontId="4" type="noConversion"/>
  </si>
  <si>
    <t>CNY_Treasury_Live_Curve_2011-2-28_Calibrated_Curve_7</t>
    <phoneticPr fontId="4" type="noConversion"/>
  </si>
  <si>
    <t>CNY_Treasury_Live_Curve_2011-2-9_Calibrated_Curve_7</t>
    <phoneticPr fontId="4" type="noConversion"/>
  </si>
  <si>
    <t>CNY_Treasury_Live_Curve_2011-3-1_Calibrated_Curve_7</t>
    <phoneticPr fontId="4" type="noConversion"/>
  </si>
  <si>
    <t>CNY_Treasury_Live_Curve_2011-3-10_Calibrated_Curve_7</t>
    <phoneticPr fontId="4" type="noConversion"/>
  </si>
  <si>
    <t>CNY_Treasury_Live_Curve_2011-3-11_Calibrated_Curve_7</t>
    <phoneticPr fontId="4" type="noConversion"/>
  </si>
  <si>
    <t>CNY_Treasury_Live_Curve_2011-3-14_Calibrated_Curve_7</t>
    <phoneticPr fontId="4" type="noConversion"/>
  </si>
  <si>
    <t>CNY_Treasury_Live_Curve_2011-3-15_Calibrated_Curve_7</t>
    <phoneticPr fontId="4" type="noConversion"/>
  </si>
  <si>
    <t>CNY_Treasury_Live_Curve_2011-3-16_Calibrated_Curve_7</t>
    <phoneticPr fontId="4" type="noConversion"/>
  </si>
  <si>
    <t>CNY_Treasury_Live_Curve_2011-3-17_Calibrated_Curve_7</t>
    <phoneticPr fontId="4" type="noConversion"/>
  </si>
  <si>
    <t>CNY_Treasury_Live_Curve_2011-3-18_Calibrated_Curve_7</t>
    <phoneticPr fontId="4" type="noConversion"/>
  </si>
  <si>
    <t>CNY_Treasury_Live_Curve_2011-3-2_Calibrated_Curve_7</t>
    <phoneticPr fontId="4" type="noConversion"/>
  </si>
  <si>
    <t>CNY_Treasury_Live_Curve_2011-3-21_Calibrated_Curve_7</t>
    <phoneticPr fontId="4" type="noConversion"/>
  </si>
  <si>
    <t>CNY_Treasury_Live_Curve_2011-3-22_Calibrated_Curve_7</t>
    <phoneticPr fontId="4" type="noConversion"/>
  </si>
  <si>
    <t>CNY_Treasury_Live_Curve_2011-3-23_Calibrated_Curve_7</t>
    <phoneticPr fontId="4" type="noConversion"/>
  </si>
  <si>
    <t>CNY_Treasury_Live_Curve_2011-3-24_Calibrated_Curve_7</t>
    <phoneticPr fontId="4" type="noConversion"/>
  </si>
  <si>
    <t>CNY_Treasury_Live_Curve_2011-3-25_Calibrated_Curve_7</t>
    <phoneticPr fontId="4" type="noConversion"/>
  </si>
  <si>
    <t>CNY_Treasury_Live_Curve_2011-3-28_Calibrated_Curve_7</t>
    <phoneticPr fontId="4" type="noConversion"/>
  </si>
  <si>
    <t>CNY_Treasury_Live_Curve_2011-3-29_Calibrated_Curve_7</t>
    <phoneticPr fontId="4" type="noConversion"/>
  </si>
  <si>
    <t>CNY_Treasury_Live_Curve_2011-3-3_Calibrated_Curve_7</t>
    <phoneticPr fontId="4" type="noConversion"/>
  </si>
  <si>
    <t>CNY_Treasury_Live_Curve_2011-3-30_Calibrated_Curve_7</t>
    <phoneticPr fontId="4" type="noConversion"/>
  </si>
  <si>
    <t>CNY_Treasury_Live_Curve_2011-3-31_Calibrated_Curve_7</t>
    <phoneticPr fontId="4" type="noConversion"/>
  </si>
  <si>
    <t>CNY_Treasury_Live_Curve_2011-3-4_Calibrated_Curve_7</t>
    <phoneticPr fontId="4" type="noConversion"/>
  </si>
  <si>
    <t>CNY_Treasury_Live_Curve_2011-3-7_Calibrated_Curve_7</t>
    <phoneticPr fontId="4" type="noConversion"/>
  </si>
  <si>
    <t>CNY_Treasury_Live_Curve_2011-3-8_Calibrated_Curve_7</t>
    <phoneticPr fontId="4" type="noConversion"/>
  </si>
  <si>
    <t>CNY_Treasury_Live_Curve_2011-3-9_Calibrated_Curve_7</t>
    <phoneticPr fontId="4" type="noConversion"/>
  </si>
  <si>
    <t>CNY_Treasury_Live_Curve_2011-4-1_Calibrated_Curve_7</t>
    <phoneticPr fontId="4" type="noConversion"/>
  </si>
  <si>
    <t>CNY_Treasury_Live_Curve_2011-4-11_Calibrated_Curve_7</t>
    <phoneticPr fontId="4" type="noConversion"/>
  </si>
  <si>
    <t>CNY_Treasury_Live_Curve_2011-4-12_Calibrated_Curve_7</t>
    <phoneticPr fontId="4" type="noConversion"/>
  </si>
  <si>
    <t>CNY_Treasury_Live_Curve_2011-4-13_Calibrated_Curve_7</t>
    <phoneticPr fontId="4" type="noConversion"/>
  </si>
  <si>
    <t>CNY_Treasury_Live_Curve_2011-4-14_Calibrated_Curve_7</t>
    <phoneticPr fontId="4" type="noConversion"/>
  </si>
  <si>
    <t>CNY_Treasury_Live_Curve_2011-4-15_Calibrated_Curve_7</t>
    <phoneticPr fontId="4" type="noConversion"/>
  </si>
  <si>
    <t>CNY_Treasury_Live_Curve_2011-4-18_Calibrated_Curve_7</t>
    <phoneticPr fontId="4" type="noConversion"/>
  </si>
  <si>
    <t>CNY_Treasury_Live_Curve_2011-4-19_Calibrated_Curve_7</t>
    <phoneticPr fontId="4" type="noConversion"/>
  </si>
  <si>
    <t>CNY_Treasury_Live_Curve_2011-4-2_Calibrated_Curve_7</t>
    <phoneticPr fontId="4" type="noConversion"/>
  </si>
  <si>
    <t>CNY_Treasury_Live_Curve_2011-4-20_Calibrated_Curve_7</t>
    <phoneticPr fontId="4" type="noConversion"/>
  </si>
  <si>
    <t>CNY_Treasury_Live_Curve_2011-4-21_Calibrated_Curve_7</t>
    <phoneticPr fontId="4" type="noConversion"/>
  </si>
  <si>
    <t>CNY_Treasury_Live_Curve_2011-4-22_Calibrated_Curve_7</t>
    <phoneticPr fontId="4" type="noConversion"/>
  </si>
  <si>
    <t>CNY_Treasury_Live_Curve_2011-4-25_Calibrated_Curve_7</t>
    <phoneticPr fontId="4" type="noConversion"/>
  </si>
  <si>
    <t>CNY_Treasury_Live_Curve_2011-4-26_Calibrated_Curve_7</t>
    <phoneticPr fontId="4" type="noConversion"/>
  </si>
  <si>
    <t>CNY_Treasury_Live_Curve_2011-4-27_Calibrated_Curve_7</t>
    <phoneticPr fontId="4" type="noConversion"/>
  </si>
  <si>
    <t>CNY_Treasury_Live_Curve_2011-4-28_Calibrated_Curve_7</t>
    <phoneticPr fontId="4" type="noConversion"/>
  </si>
  <si>
    <t>CNY_Treasury_Live_Curve_2011-4-29_Calibrated_Curve_7</t>
    <phoneticPr fontId="4" type="noConversion"/>
  </si>
  <si>
    <t>CNY_Treasury_Live_Curve_2011-4-6_Calibrated_Curve_7</t>
    <phoneticPr fontId="4" type="noConversion"/>
  </si>
  <si>
    <t>CNY_Treasury_Live_Curve_2011-4-7_Calibrated_Curve_7</t>
    <phoneticPr fontId="4" type="noConversion"/>
  </si>
  <si>
    <t>CNY_Treasury_Live_Curve_2011-4-8_Calibrated_Curve_7</t>
    <phoneticPr fontId="4" type="noConversion"/>
  </si>
  <si>
    <t>CNY_Treasury_Live_Curve_2011-5-10_Calibrated_Curve_7</t>
    <phoneticPr fontId="4" type="noConversion"/>
  </si>
  <si>
    <t>CNY_Treasury_Live_Curve_2011-5-11_Calibrated_Curve_7</t>
    <phoneticPr fontId="4" type="noConversion"/>
  </si>
  <si>
    <t>CNY_Treasury_Live_Curve_2011-5-12_Calibrated_Curve_7</t>
    <phoneticPr fontId="4" type="noConversion"/>
  </si>
  <si>
    <t>CNY_Treasury_Live_Curve_2011-5-13_Calibrated_Curve_7</t>
    <phoneticPr fontId="4" type="noConversion"/>
  </si>
  <si>
    <t>CNY_Treasury_Live_Curve_2011-5-16_Calibrated_Curve_7</t>
    <phoneticPr fontId="4" type="noConversion"/>
  </si>
  <si>
    <t>CNY_Treasury_Live_Curve_2011-5-17_Calibrated_Curve_7</t>
    <phoneticPr fontId="4" type="noConversion"/>
  </si>
  <si>
    <t>CNY_Treasury_Live_Curve_2011-5-18_Calibrated_Curve_7</t>
    <phoneticPr fontId="4" type="noConversion"/>
  </si>
  <si>
    <t>CNY_Treasury_Live_Curve_2011-5-19_Calibrated_Curve_7</t>
    <phoneticPr fontId="4" type="noConversion"/>
  </si>
  <si>
    <t>CNY_Treasury_Live_Curve_2011-5-20_Calibrated_Curve_7</t>
    <phoneticPr fontId="4" type="noConversion"/>
  </si>
  <si>
    <t>CNY_Treasury_Live_Curve_2011-5-23_Calibrated_Curve_7</t>
    <phoneticPr fontId="4" type="noConversion"/>
  </si>
  <si>
    <t>CNY_Treasury_Live_Curve_2011-5-24_Calibrated_Curve_7</t>
    <phoneticPr fontId="4" type="noConversion"/>
  </si>
  <si>
    <t>CNY_Treasury_Live_Curve_2011-5-25_Calibrated_Curve_7</t>
    <phoneticPr fontId="4" type="noConversion"/>
  </si>
  <si>
    <t>CNY_Treasury_Live_Curve_2011-5-26_Calibrated_Curve_7</t>
    <phoneticPr fontId="4" type="noConversion"/>
  </si>
  <si>
    <t>CNY_Treasury_Live_Curve_2011-5-27_Calibrated_Curve_7</t>
    <phoneticPr fontId="4" type="noConversion"/>
  </si>
  <si>
    <t>CNY_Treasury_Live_Curve_2011-5-3_Calibrated_Curve_7</t>
    <phoneticPr fontId="4" type="noConversion"/>
  </si>
  <si>
    <t>CNY_Treasury_Live_Curve_2011-5-30_Calibrated_Curve_7</t>
    <phoneticPr fontId="4" type="noConversion"/>
  </si>
  <si>
    <t>CNY_Treasury_Live_Curve_2011-5-31_Calibrated_Curve_7</t>
    <phoneticPr fontId="4" type="noConversion"/>
  </si>
  <si>
    <t>CNY_Treasury_Live_Curve_2011-5-4_Calibrated_Curve_7</t>
    <phoneticPr fontId="4" type="noConversion"/>
  </si>
  <si>
    <t>CNY_Treasury_Live_Curve_2011-5-5_Calibrated_Curve_7</t>
    <phoneticPr fontId="4" type="noConversion"/>
  </si>
  <si>
    <t>CNY_Treasury_Live_Curve_2011-5-6_Calibrated_Curve_7</t>
    <phoneticPr fontId="4" type="noConversion"/>
  </si>
  <si>
    <t>CNY_Treasury_Live_Curve_2011-5-9_Calibrated_Curve_7</t>
    <phoneticPr fontId="4" type="noConversion"/>
  </si>
  <si>
    <t>CNY_Treasury_Live_Curve_2011-6-1_Calibrated_Curve_7</t>
    <phoneticPr fontId="4" type="noConversion"/>
  </si>
  <si>
    <t>CNY_Treasury_Live_Curve_2011-6-10_Calibrated_Curve_7</t>
    <phoneticPr fontId="4" type="noConversion"/>
  </si>
  <si>
    <t>CNY_Treasury_Live_Curve_2011-6-13_Calibrated_Curve_7</t>
    <phoneticPr fontId="4" type="noConversion"/>
  </si>
  <si>
    <t>CNY_Treasury_Live_Curve_2011-6-14_Calibrated_Curve_7</t>
    <phoneticPr fontId="4" type="noConversion"/>
  </si>
  <si>
    <t>CNY_Treasury_Live_Curve_2011-6-15_Calibrated_Curve_7</t>
    <phoneticPr fontId="4" type="noConversion"/>
  </si>
  <si>
    <t>CNY_Treasury_Live_Curve_2011-6-16_Calibrated_Curve_7</t>
    <phoneticPr fontId="4" type="noConversion"/>
  </si>
  <si>
    <t>CNY_Treasury_Live_Curve_2011-6-17_Calibrated_Curve_7</t>
    <phoneticPr fontId="4" type="noConversion"/>
  </si>
  <si>
    <t>CNY_Treasury_Live_Curve_2011-6-2_Calibrated_Curve_7</t>
    <phoneticPr fontId="4" type="noConversion"/>
  </si>
  <si>
    <t>CNY_Treasury_Live_Curve_2011-6-20_Calibrated_Curve_7</t>
    <phoneticPr fontId="4" type="noConversion"/>
  </si>
  <si>
    <t>CNY_Treasury_Live_Curve_2011-6-21_Calibrated_Curve_7</t>
    <phoneticPr fontId="4" type="noConversion"/>
  </si>
  <si>
    <t>CNY_Treasury_Live_Curve_2011-6-22_Calibrated_Curve_7</t>
    <phoneticPr fontId="4" type="noConversion"/>
  </si>
  <si>
    <t>CNY_Treasury_Live_Curve_2011-6-23_Calibrated_Curve_7</t>
    <phoneticPr fontId="4" type="noConversion"/>
  </si>
  <si>
    <t>CNY_Treasury_Live_Curve_2011-6-24_Calibrated_Curve_7</t>
    <phoneticPr fontId="4" type="noConversion"/>
  </si>
  <si>
    <t>CNY_Treasury_Live_Curve_2011-6-27_Calibrated_Curve_7</t>
    <phoneticPr fontId="4" type="noConversion"/>
  </si>
  <si>
    <t>CNY_Treasury_Live_Curve_2011-6-28_Calibrated_Curve_7</t>
    <phoneticPr fontId="4" type="noConversion"/>
  </si>
  <si>
    <t>CNY_Treasury_Live_Curve_2011-6-29_Calibrated_Curve_7</t>
    <phoneticPr fontId="4" type="noConversion"/>
  </si>
  <si>
    <t>CNY_Treasury_Live_Curve_2011-6-3_Calibrated_Curve_7</t>
    <phoneticPr fontId="4" type="noConversion"/>
  </si>
  <si>
    <t>CNY_Treasury_Live_Curve_2011-6-30_Calibrated_Curve_7</t>
    <phoneticPr fontId="4" type="noConversion"/>
  </si>
  <si>
    <t>CNY_Treasury_Live_Curve_2011-6-7_Calibrated_Curve_7</t>
    <phoneticPr fontId="4" type="noConversion"/>
  </si>
  <si>
    <t>CNY_Treasury_Live_Curve_2011-6-8_Calibrated_Curve_7</t>
    <phoneticPr fontId="4" type="noConversion"/>
  </si>
  <si>
    <t>CNY_Treasury_Live_Curve_2011-6-9_Calibrated_Curve_7</t>
    <phoneticPr fontId="4" type="noConversion"/>
  </si>
  <si>
    <t>CNY_Treasury_Live_Curve_2011-7-1_Calibrated_Curve_7</t>
    <phoneticPr fontId="4" type="noConversion"/>
  </si>
  <si>
    <t>CNY_Treasury_Live_Curve_2011-7-11_Calibrated_Curve_7</t>
    <phoneticPr fontId="4" type="noConversion"/>
  </si>
  <si>
    <t>CNY_Treasury_Live_Curve_2011-7-12_Calibrated_Curve_7</t>
    <phoneticPr fontId="4" type="noConversion"/>
  </si>
  <si>
    <t>CNY_Treasury_Live_Curve_2011-7-13_Calibrated_Curve_7</t>
    <phoneticPr fontId="4" type="noConversion"/>
  </si>
  <si>
    <t>CNY_Treasury_Live_Curve_2011-7-14_Calibrated_Curve_7</t>
    <phoneticPr fontId="4" type="noConversion"/>
  </si>
  <si>
    <t>CNY_Treasury_Live_Curve_2011-7-15_Calibrated_Curve_7</t>
    <phoneticPr fontId="4" type="noConversion"/>
  </si>
  <si>
    <t>CNY_Treasury_Live_Curve_2011-7-18_Calibrated_Curve_7</t>
    <phoneticPr fontId="4" type="noConversion"/>
  </si>
  <si>
    <t>CNY_Treasury_Live_Curve_2011-7-19_Calibrated_Curve_7</t>
    <phoneticPr fontId="4" type="noConversion"/>
  </si>
  <si>
    <t>CNY_Treasury_Live_Curve_2011-7-20_Calibrated_Curve_7</t>
    <phoneticPr fontId="4" type="noConversion"/>
  </si>
  <si>
    <t>CNY_Treasury_Live_Curve_2011-7-21_Calibrated_Curve_7</t>
    <phoneticPr fontId="4" type="noConversion"/>
  </si>
  <si>
    <t>CNY_Treasury_Live_Curve_2011-7-22_Calibrated_Curve_7</t>
    <phoneticPr fontId="4" type="noConversion"/>
  </si>
  <si>
    <t>CNY_Treasury_Live_Curve_2011-7-25_Calibrated_Curve_7</t>
    <phoneticPr fontId="4" type="noConversion"/>
  </si>
  <si>
    <t>CNY_Treasury_Live_Curve_2011-7-26_Calibrated_Curve_7</t>
    <phoneticPr fontId="4" type="noConversion"/>
  </si>
  <si>
    <t>CNY_Treasury_Live_Curve_2011-7-27_Calibrated_Curve_7</t>
    <phoneticPr fontId="4" type="noConversion"/>
  </si>
  <si>
    <t>CNY_Treasury_Live_Curve_2011-7-28_Calibrated_Curve_7</t>
    <phoneticPr fontId="4" type="noConversion"/>
  </si>
  <si>
    <t>CNY_Treasury_Live_Curve_2011-7-29_Calibrated_Curve_7</t>
    <phoneticPr fontId="4" type="noConversion"/>
  </si>
  <si>
    <t>CNY_Treasury_Live_Curve_2011-7-4_Calibrated_Curve_7</t>
    <phoneticPr fontId="4" type="noConversion"/>
  </si>
  <si>
    <t>CNY_Treasury_Live_Curve_2011-7-5_Calibrated_Curve_7</t>
    <phoneticPr fontId="4" type="noConversion"/>
  </si>
  <si>
    <t>CNY_Treasury_Live_Curve_2011-7-6_Calibrated_Curve_7</t>
    <phoneticPr fontId="4" type="noConversion"/>
  </si>
  <si>
    <t>CNY_Treasury_Live_Curve_2011-7-7_Calibrated_Curve_7</t>
    <phoneticPr fontId="4" type="noConversion"/>
  </si>
  <si>
    <t>CNY_Treasury_Live_Curve_2011-7-8_Calibrated_Curve_7</t>
    <phoneticPr fontId="4" type="noConversion"/>
  </si>
  <si>
    <t>CNY_Treasury_Live_Curve_2011-8-1_Calibrated_Curve_7</t>
    <phoneticPr fontId="4" type="noConversion"/>
  </si>
  <si>
    <t>CNY_Treasury_Live_Curve_2011-8-10_Calibrated_Curve_7</t>
    <phoneticPr fontId="4" type="noConversion"/>
  </si>
  <si>
    <t>CNY_Treasury_Live_Curve_2011-8-11_Calibrated_Curve_7</t>
    <phoneticPr fontId="4" type="noConversion"/>
  </si>
  <si>
    <t>CNY_Treasury_Live_Curve_2011-8-12_Calibrated_Curve_7</t>
    <phoneticPr fontId="4" type="noConversion"/>
  </si>
  <si>
    <t>CNY_Treasury_Live_Curve_2011-8-15_Calibrated_Curve_7</t>
    <phoneticPr fontId="4" type="noConversion"/>
  </si>
  <si>
    <t>CNY_Treasury_Live_Curve_2011-8-16_Calibrated_Curve_7</t>
    <phoneticPr fontId="4" type="noConversion"/>
  </si>
  <si>
    <t>CNY_Treasury_Live_Curve_2011-8-17_Calibrated_Curve_7</t>
    <phoneticPr fontId="4" type="noConversion"/>
  </si>
  <si>
    <t>CNY_Treasury_Live_Curve_2011-8-18_Calibrated_Curve_7</t>
    <phoneticPr fontId="4" type="noConversion"/>
  </si>
  <si>
    <t>CNY_Treasury_Live_Curve_2011-8-19_Calibrated_Curve_7</t>
    <phoneticPr fontId="4" type="noConversion"/>
  </si>
  <si>
    <t>CNY_Treasury_Live_Curve_2011-8-2_Calibrated_Curve_7</t>
    <phoneticPr fontId="4" type="noConversion"/>
  </si>
  <si>
    <t>CNY_Treasury_Live_Curve_2011-8-22_Calibrated_Curve_7</t>
    <phoneticPr fontId="4" type="noConversion"/>
  </si>
  <si>
    <t>CNY_Treasury_Live_Curve_2011-8-23_Calibrated_Curve_7</t>
    <phoneticPr fontId="4" type="noConversion"/>
  </si>
  <si>
    <t>CNY_Treasury_Live_Curve_2011-8-24_Calibrated_Curve_7</t>
    <phoneticPr fontId="4" type="noConversion"/>
  </si>
  <si>
    <t>CNY_Treasury_Live_Curve_2011-8-25_Calibrated_Curve_7</t>
    <phoneticPr fontId="4" type="noConversion"/>
  </si>
  <si>
    <t>CNY_Treasury_Live_Curve_2011-8-26_Calibrated_Curve_7</t>
    <phoneticPr fontId="4" type="noConversion"/>
  </si>
  <si>
    <t>CNY_Treasury_Live_Curve_2011-8-29_Calibrated_Curve_7</t>
    <phoneticPr fontId="4" type="noConversion"/>
  </si>
  <si>
    <t>CNY_Treasury_Live_Curve_2011-8-3_Calibrated_Curve_7</t>
    <phoneticPr fontId="4" type="noConversion"/>
  </si>
  <si>
    <t>CNY_Treasury_Live_Curve_2011-8-30_Calibrated_Curve_7</t>
    <phoneticPr fontId="4" type="noConversion"/>
  </si>
  <si>
    <t>CNY_Treasury_Live_Curve_2011-8-31_Calibrated_Curve_7</t>
    <phoneticPr fontId="4" type="noConversion"/>
  </si>
  <si>
    <t>CNY_Treasury_Live_Curve_2011-8-4_Calibrated_Curve_7</t>
    <phoneticPr fontId="4" type="noConversion"/>
  </si>
  <si>
    <t>CNY_Treasury_Live_Curve_2011-8-5_Calibrated_Curve_7</t>
    <phoneticPr fontId="4" type="noConversion"/>
  </si>
  <si>
    <t>CNY_Treasury_Live_Curve_2011-8-8_Calibrated_Curve_7</t>
    <phoneticPr fontId="4" type="noConversion"/>
  </si>
  <si>
    <t>CNY_Treasury_Live_Curve_2011-8-9_Calibrated_Curve_7</t>
    <phoneticPr fontId="4" type="noConversion"/>
  </si>
  <si>
    <t>CNY_Treasury_Live_Curve_2011-9-1_Calibrated_Curve_7</t>
    <phoneticPr fontId="4" type="noConversion"/>
  </si>
  <si>
    <t>CNY_Treasury_Live_Curve_2011-9-13_Calibrated_Curve_7</t>
    <phoneticPr fontId="4" type="noConversion"/>
  </si>
  <si>
    <t>CNY_Treasury_Live_Curve_2011-9-14_Calibrated_Curve_7</t>
    <phoneticPr fontId="4" type="noConversion"/>
  </si>
  <si>
    <t>CNY_Treasury_Live_Curve_2011-9-15_Calibrated_Curve_7</t>
    <phoneticPr fontId="4" type="noConversion"/>
  </si>
  <si>
    <t>CNY_Treasury_Live_Curve_2011-9-16_Calibrated_Curve_7</t>
    <phoneticPr fontId="4" type="noConversion"/>
  </si>
  <si>
    <t>CNY_Treasury_Live_Curve_2011-9-19_Calibrated_Curve_7</t>
    <phoneticPr fontId="4" type="noConversion"/>
  </si>
  <si>
    <t>CNY_Treasury_Live_Curve_2011-9-2_Calibrated_Curve_7</t>
    <phoneticPr fontId="4" type="noConversion"/>
  </si>
  <si>
    <t>CNY_Treasury_Live_Curve_2011-9-20_Calibrated_Curve_7</t>
    <phoneticPr fontId="4" type="noConversion"/>
  </si>
  <si>
    <t>CNY_Treasury_Live_Curve_2011-9-21_Calibrated_Curve_7</t>
    <phoneticPr fontId="4" type="noConversion"/>
  </si>
  <si>
    <t>CNY_Treasury_Live_Curve_2011-9-22_Calibrated_Curve_7</t>
    <phoneticPr fontId="4" type="noConversion"/>
  </si>
  <si>
    <t>CNY_Treasury_Live_Curve_2011-9-23_Calibrated_Curve_7</t>
    <phoneticPr fontId="4" type="noConversion"/>
  </si>
  <si>
    <t>CNY_Treasury_Live_Curve_2011-9-26_Calibrated_Curve_7</t>
    <phoneticPr fontId="4" type="noConversion"/>
  </si>
  <si>
    <t>CNY_Treasury_Live_Curve_2011-9-27_Calibrated_Curve_7</t>
    <phoneticPr fontId="4" type="noConversion"/>
  </si>
  <si>
    <t>CNY_Treasury_Live_Curve_2011-9-28_Calibrated_Curve_7</t>
    <phoneticPr fontId="4" type="noConversion"/>
  </si>
  <si>
    <t>CNY_Treasury_Live_Curve_2011-9-29_Calibrated_Curve_7</t>
    <phoneticPr fontId="4" type="noConversion"/>
  </si>
  <si>
    <t>CNY_Treasury_Live_Curve_2011-9-30_Calibrated_Curve_7</t>
    <phoneticPr fontId="4" type="noConversion"/>
  </si>
  <si>
    <t>CNY_Treasury_Live_Curve_2011-9-5_Calibrated_Curve_7</t>
    <phoneticPr fontId="4" type="noConversion"/>
  </si>
  <si>
    <t>CNY_Treasury_Live_Curve_2011-9-6_Calibrated_Curve_7</t>
    <phoneticPr fontId="4" type="noConversion"/>
  </si>
  <si>
    <t>CNY_Treasury_Live_Curve_2011-9-7_Calibrated_Curve_7</t>
    <phoneticPr fontId="4" type="noConversion"/>
  </si>
  <si>
    <t>CNY_Treasury_Live_Curve_2011-9-8_Calibrated_Curve_7</t>
    <phoneticPr fontId="4" type="noConversion"/>
  </si>
  <si>
    <t>CNY_Treasury_Live_Curve_2011-9-9_Calibrated_Curve_7</t>
    <phoneticPr fontId="4" type="noConversion"/>
  </si>
  <si>
    <t>CNY_Treasury_Live_Curve_2012-1-10_Calibrated_Curve_7</t>
    <phoneticPr fontId="4" type="noConversion"/>
  </si>
  <si>
    <t>CNY_Treasury_Live_Curve_2012-1-11_Calibrated_Curve_7</t>
    <phoneticPr fontId="4" type="noConversion"/>
  </si>
  <si>
    <t>CNY_Treasury_Live_Curve_2012-1-12_Calibrated_Curve_7</t>
    <phoneticPr fontId="4" type="noConversion"/>
  </si>
  <si>
    <t>CNY_Treasury_Live_Curve_2012-1-13_Calibrated_Curve_7</t>
    <phoneticPr fontId="4" type="noConversion"/>
  </si>
  <si>
    <t>CNY_Treasury_Live_Curve_2012-1-16_Calibrated_Curve_7</t>
    <phoneticPr fontId="4" type="noConversion"/>
  </si>
  <si>
    <t>CNY_Treasury_Live_Curve_2012-1-17_Calibrated_Curve_7</t>
    <phoneticPr fontId="4" type="noConversion"/>
  </si>
  <si>
    <t>CNY_Treasury_Live_Curve_2012-1-18_Calibrated_Curve_7</t>
    <phoneticPr fontId="4" type="noConversion"/>
  </si>
  <si>
    <t>CNY_Treasury_Live_Curve_2012-1-19_Calibrated_Curve_7</t>
    <phoneticPr fontId="4" type="noConversion"/>
  </si>
  <si>
    <t>CNY_Treasury_Live_Curve_2012-1-20_Calibrated_Curve_7</t>
    <phoneticPr fontId="4" type="noConversion"/>
  </si>
  <si>
    <t>CNY_Treasury_Live_Curve_2012-1-21_Calibrated_Curve_7</t>
    <phoneticPr fontId="4" type="noConversion"/>
  </si>
  <si>
    <t>CNY_Treasury_Live_Curve_2012-1-29_Calibrated_Curve_7</t>
    <phoneticPr fontId="4" type="noConversion"/>
  </si>
  <si>
    <t>CNY_Treasury_Live_Curve_2012-1-30_Calibrated_Curve_7</t>
    <phoneticPr fontId="4" type="noConversion"/>
  </si>
  <si>
    <t>CNY_Treasury_Live_Curve_2012-1-31_Calibrated_Curve_7</t>
    <phoneticPr fontId="4" type="noConversion"/>
  </si>
  <si>
    <t>CNY_Treasury_Live_Curve_2012-1-4_Calibrated_Curve_7</t>
    <phoneticPr fontId="4" type="noConversion"/>
  </si>
  <si>
    <t>CNY_Treasury_Live_Curve_2012-1-5_Calibrated_Curve_7</t>
    <phoneticPr fontId="4" type="noConversion"/>
  </si>
  <si>
    <t>CNY_Treasury_Live_Curve_2012-1-6_Calibrated_Curve_7</t>
    <phoneticPr fontId="4" type="noConversion"/>
  </si>
  <si>
    <t>CNY_Treasury_Live_Curve_2012-1-9_Calibrated_Curve_7</t>
    <phoneticPr fontId="4" type="noConversion"/>
  </si>
  <si>
    <t>CNY_Treasury_Live_Curve_2012-2-1_Calibrated_Curve_7</t>
    <phoneticPr fontId="4" type="noConversion"/>
  </si>
  <si>
    <t>CNY_Treasury_Live_Curve_2012-2-10_Calibrated_Curve_7</t>
    <phoneticPr fontId="4" type="noConversion"/>
  </si>
  <si>
    <t>CNY_Treasury_Live_Curve_2012-2-13_Calibrated_Curve_7</t>
    <phoneticPr fontId="4" type="noConversion"/>
  </si>
  <si>
    <t>CNY_Treasury_Live_Curve_2012-2-14_Calibrated_Curve_7</t>
    <phoneticPr fontId="4" type="noConversion"/>
  </si>
  <si>
    <t>CNY_Treasury_Live_Curve_2012-2-15_Calibrated_Curve_7</t>
    <phoneticPr fontId="4" type="noConversion"/>
  </si>
  <si>
    <t>CNY_Treasury_Live_Curve_2012-2-16_Calibrated_Curve_7</t>
    <phoneticPr fontId="4" type="noConversion"/>
  </si>
  <si>
    <t>CNY_Treasury_Live_Curve_2012-2-17_Calibrated_Curve_7</t>
    <phoneticPr fontId="4" type="noConversion"/>
  </si>
  <si>
    <t>CNY_Treasury_Live_Curve_2012-2-2_Calibrated_Curve_7</t>
    <phoneticPr fontId="4" type="noConversion"/>
  </si>
  <si>
    <t>CNY_Treasury_Live_Curve_2012-2-20_Calibrated_Curve_7</t>
    <phoneticPr fontId="4" type="noConversion"/>
  </si>
  <si>
    <t>CNY_Treasury_Live_Curve_2012-2-21_Calibrated_Curve_7</t>
    <phoneticPr fontId="4" type="noConversion"/>
  </si>
  <si>
    <t>CNY_Treasury_Live_Curve_2012-2-22_Calibrated_Curve_7</t>
    <phoneticPr fontId="4" type="noConversion"/>
  </si>
  <si>
    <t>CNY_Treasury_Live_Curve_2012-2-23_Calibrated_Curve_7</t>
    <phoneticPr fontId="4" type="noConversion"/>
  </si>
  <si>
    <t>CNY_Treasury_Live_Curve_2012-2-24_Calibrated_Curve_7</t>
    <phoneticPr fontId="4" type="noConversion"/>
  </si>
  <si>
    <t>CNY_Treasury_Live_Curve_2012-2-27_Calibrated_Curve_7</t>
    <phoneticPr fontId="4" type="noConversion"/>
  </si>
  <si>
    <t>CNY_Treasury_Live_Curve_2012-2-28_Calibrated_Curve_7</t>
    <phoneticPr fontId="4" type="noConversion"/>
  </si>
  <si>
    <t>CNY_Treasury_Live_Curve_2012-2-29_Calibrated_Curve_7</t>
    <phoneticPr fontId="4" type="noConversion"/>
  </si>
  <si>
    <t>CNY_Treasury_Live_Curve_2012-2-3_Calibrated_Curve_7</t>
    <phoneticPr fontId="4" type="noConversion"/>
  </si>
  <si>
    <t>CNY_Treasury_Live_Curve_2012-2-6_Calibrated_Curve_7</t>
    <phoneticPr fontId="4" type="noConversion"/>
  </si>
  <si>
    <t>CNY_Treasury_Live_Curve_2012-2-7_Calibrated_Curve_7</t>
    <phoneticPr fontId="4" type="noConversion"/>
  </si>
  <si>
    <t>CNY_Treasury_Live_Curve_2012-2-8_Calibrated_Curve_7</t>
    <phoneticPr fontId="4" type="noConversion"/>
  </si>
  <si>
    <t>CNY_Treasury_Live_Curve_2012-2-9_Calibrated_Curve_7</t>
    <phoneticPr fontId="4" type="noConversion"/>
  </si>
  <si>
    <t>CNY_Treasury_Live_Curve_2012-3-1_Calibrated_Curve_7</t>
    <phoneticPr fontId="4" type="noConversion"/>
  </si>
  <si>
    <t>CNY_Treasury_Live_Curve_2012-3-12_Calibrated_Curve_7</t>
    <phoneticPr fontId="4" type="noConversion"/>
  </si>
  <si>
    <t>CNY_Treasury_Live_Curve_2012-3-13_Calibrated_Curve_7</t>
    <phoneticPr fontId="4" type="noConversion"/>
  </si>
  <si>
    <t>CNY_Treasury_Live_Curve_2012-3-14_Calibrated_Curve_7</t>
    <phoneticPr fontId="4" type="noConversion"/>
  </si>
  <si>
    <t>CNY_Treasury_Live_Curve_2012-3-15_Calibrated_Curve_7</t>
    <phoneticPr fontId="4" type="noConversion"/>
  </si>
  <si>
    <t>CNY_Treasury_Live_Curve_2012-3-16_Calibrated_Curve_7</t>
    <phoneticPr fontId="4" type="noConversion"/>
  </si>
  <si>
    <t>CNY_Treasury_Live_Curve_2012-3-19_Calibrated_Curve_7</t>
    <phoneticPr fontId="4" type="noConversion"/>
  </si>
  <si>
    <t>CNY_Treasury_Live_Curve_2012-3-2_Calibrated_Curve_7</t>
    <phoneticPr fontId="4" type="noConversion"/>
  </si>
  <si>
    <t>CNY_Treasury_Live_Curve_2012-3-20_Calibrated_Curve_7</t>
    <phoneticPr fontId="4" type="noConversion"/>
  </si>
  <si>
    <t>CNY_Treasury_Live_Curve_2012-3-21_Calibrated_Curve_7</t>
    <phoneticPr fontId="4" type="noConversion"/>
  </si>
  <si>
    <t>CNY_Treasury_Live_Curve_2012-3-22_Calibrated_Curve_7</t>
    <phoneticPr fontId="4" type="noConversion"/>
  </si>
  <si>
    <t>CNY_Treasury_Live_Curve_2012-3-23_Calibrated_Curve_7</t>
    <phoneticPr fontId="4" type="noConversion"/>
  </si>
  <si>
    <t>CNY_Treasury_Live_Curve_2012-3-26_Calibrated_Curve_7</t>
    <phoneticPr fontId="4" type="noConversion"/>
  </si>
  <si>
    <t>CNY_Treasury_Live_Curve_2012-3-27_Calibrated_Curve_7</t>
    <phoneticPr fontId="4" type="noConversion"/>
  </si>
  <si>
    <t>CNY_Treasury_Live_Curve_2012-3-28_Calibrated_Curve_7</t>
    <phoneticPr fontId="4" type="noConversion"/>
  </si>
  <si>
    <t>CNY_Treasury_Live_Curve_2012-3-29_Calibrated_Curve_7</t>
    <phoneticPr fontId="4" type="noConversion"/>
  </si>
  <si>
    <t>CNY_Treasury_Live_Curve_2012-3-30_Calibrated_Curve_7</t>
    <phoneticPr fontId="4" type="noConversion"/>
  </si>
  <si>
    <t>CNY_Treasury_Live_Curve_2012-3-31_Calibrated_Curve_7</t>
    <phoneticPr fontId="4" type="noConversion"/>
  </si>
  <si>
    <t>CNY_Treasury_Live_Curve_2012-3-5_Calibrated_Curve_7</t>
    <phoneticPr fontId="4" type="noConversion"/>
  </si>
  <si>
    <t>CNY_Treasury_Live_Curve_2012-3-6_Calibrated_Curve_7</t>
    <phoneticPr fontId="4" type="noConversion"/>
  </si>
  <si>
    <t>CNY_Treasury_Live_Curve_2012-3-7_Calibrated_Curve_7</t>
    <phoneticPr fontId="4" type="noConversion"/>
  </si>
  <si>
    <t>CNY_Treasury_Live_Curve_2012-3-8_Calibrated_Curve_7</t>
    <phoneticPr fontId="4" type="noConversion"/>
  </si>
  <si>
    <t>CNY_Treasury_Live_Curve_2012-3-9_Calibrated_Curve_7</t>
    <phoneticPr fontId="4" type="noConversion"/>
  </si>
  <si>
    <t>CNY_Treasury_Live_Curve_2012-4-1_Calibrated_Curve_7</t>
    <phoneticPr fontId="4" type="noConversion"/>
  </si>
  <si>
    <t>CNY_Treasury_Live_Curve_2012-4-10_Calibrated_Curve_7</t>
    <phoneticPr fontId="4" type="noConversion"/>
  </si>
  <si>
    <t>CNY_Treasury_Live_Curve_2012-4-11_Calibrated_Curve_7</t>
    <phoneticPr fontId="4" type="noConversion"/>
  </si>
  <si>
    <t>CNY_Treasury_Live_Curve_2012-4-12_Calibrated_Curve_7</t>
    <phoneticPr fontId="4" type="noConversion"/>
  </si>
  <si>
    <t>CNY_Treasury_Live_Curve_2012-4-13_Calibrated_Curve_7</t>
    <phoneticPr fontId="4" type="noConversion"/>
  </si>
  <si>
    <t>CNY_Treasury_Live_Curve_2012-4-16_Calibrated_Curve_7</t>
    <phoneticPr fontId="4" type="noConversion"/>
  </si>
  <si>
    <t>CNY_Treasury_Live_Curve_2012-4-17_Calibrated_Curve_7</t>
    <phoneticPr fontId="4" type="noConversion"/>
  </si>
  <si>
    <t>CNY_Treasury_Live_Curve_2012-4-18_Calibrated_Curve_7</t>
    <phoneticPr fontId="4" type="noConversion"/>
  </si>
  <si>
    <t>CNY_Treasury_Live_Curve_2012-4-19_Calibrated_Curve_7</t>
    <phoneticPr fontId="4" type="noConversion"/>
  </si>
  <si>
    <t>CNY_Treasury_Live_Curve_2012-4-20_Calibrated_Curve_7</t>
    <phoneticPr fontId="4" type="noConversion"/>
  </si>
  <si>
    <t>CNY_Treasury_Live_Curve_2012-4-23_Calibrated_Curve_7</t>
    <phoneticPr fontId="4" type="noConversion"/>
  </si>
  <si>
    <t>CNY_Treasury_Live_Curve_2012-4-24_Calibrated_Curve_7</t>
    <phoneticPr fontId="4" type="noConversion"/>
  </si>
  <si>
    <t>CNY_Treasury_Live_Curve_2012-4-25_Calibrated_Curve_7</t>
    <phoneticPr fontId="4" type="noConversion"/>
  </si>
  <si>
    <t>CNY_Treasury_Live_Curve_2012-4-26_Calibrated_Curve_7</t>
    <phoneticPr fontId="4" type="noConversion"/>
  </si>
  <si>
    <t>CNY_Treasury_Live_Curve_2012-4-27_Calibrated_Curve_7</t>
    <phoneticPr fontId="4" type="noConversion"/>
  </si>
  <si>
    <t>CNY_Treasury_Live_Curve_2012-4-28_Calibrated_Curve_7</t>
    <phoneticPr fontId="4" type="noConversion"/>
  </si>
  <si>
    <t>CNY_Treasury_Live_Curve_2012-4-5_Calibrated_Curve_7</t>
    <phoneticPr fontId="4" type="noConversion"/>
  </si>
  <si>
    <t>CNY_Treasury_Live_Curve_2012-4-6_Calibrated_Curve_7</t>
    <phoneticPr fontId="4" type="noConversion"/>
  </si>
  <si>
    <t>CNY_Treasury_Live_Curve_2012-4-9_Calibrated_Curve_7</t>
    <phoneticPr fontId="4" type="noConversion"/>
  </si>
  <si>
    <t>CNY_Treasury_Live_Curve_2012-5-10_Calibrated_Curve_7</t>
    <phoneticPr fontId="4" type="noConversion"/>
  </si>
  <si>
    <t>CNY_Treasury_Live_Curve_2012-5-11_Calibrated_Curve_7</t>
    <phoneticPr fontId="4" type="noConversion"/>
  </si>
  <si>
    <t>CNY_Treasury_Live_Curve_2012-5-14_Calibrated_Curve_7</t>
    <phoneticPr fontId="4" type="noConversion"/>
  </si>
  <si>
    <t>CNY_Treasury_Live_Curve_2012-5-15_Calibrated_Curve_7</t>
    <phoneticPr fontId="4" type="noConversion"/>
  </si>
  <si>
    <t>CNY_Treasury_Live_Curve_2012-5-16_Calibrated_Curve_7</t>
    <phoneticPr fontId="4" type="noConversion"/>
  </si>
  <si>
    <t>CNY_Treasury_Live_Curve_2012-5-17_Calibrated_Curve_7</t>
    <phoneticPr fontId="4" type="noConversion"/>
  </si>
  <si>
    <t>CNY_Treasury_Live_Curve_2012-5-18_Calibrated_Curve_7</t>
    <phoneticPr fontId="4" type="noConversion"/>
  </si>
  <si>
    <t>CNY_Treasury_Live_Curve_2012-5-2_Calibrated_Curve_7</t>
    <phoneticPr fontId="4" type="noConversion"/>
  </si>
  <si>
    <t>CNY_Treasury_Live_Curve_2012-5-21_Calibrated_Curve_7</t>
    <phoneticPr fontId="4" type="noConversion"/>
  </si>
  <si>
    <t>CNY_Treasury_Live_Curve_2012-5-22_Calibrated_Curve_7</t>
    <phoneticPr fontId="4" type="noConversion"/>
  </si>
  <si>
    <t>CNY_Treasury_Live_Curve_2012-5-23_Calibrated_Curve_7</t>
    <phoneticPr fontId="4" type="noConversion"/>
  </si>
  <si>
    <t>CNY_Treasury_Live_Curve_2012-5-24_Calibrated_Curve_7</t>
    <phoneticPr fontId="4" type="noConversion"/>
  </si>
  <si>
    <t>CNY_Treasury_Live_Curve_2012-5-25_Calibrated_Curve_7</t>
    <phoneticPr fontId="4" type="noConversion"/>
  </si>
  <si>
    <t>CNY_Treasury_Live_Curve_2012-5-28_Calibrated_Curve_7</t>
    <phoneticPr fontId="4" type="noConversion"/>
  </si>
  <si>
    <t>CNY_Treasury_Live_Curve_2012-5-29_Calibrated_Curve_7</t>
    <phoneticPr fontId="4" type="noConversion"/>
  </si>
  <si>
    <t>CNY_Treasury_Live_Curve_2012-5-3_Calibrated_Curve_7</t>
    <phoneticPr fontId="4" type="noConversion"/>
  </si>
  <si>
    <t>CNY_Treasury_Live_Curve_2012-5-30_Calibrated_Curve_7</t>
    <phoneticPr fontId="4" type="noConversion"/>
  </si>
  <si>
    <t>CNY_Treasury_Live_Curve_2012-5-31_Calibrated_Curve_7</t>
    <phoneticPr fontId="4" type="noConversion"/>
  </si>
  <si>
    <t>CNY_Treasury_Live_Curve_2012-5-4_Calibrated_Curve_7</t>
    <phoneticPr fontId="4" type="noConversion"/>
  </si>
  <si>
    <t>CNY_Treasury_Live_Curve_2012-5-7_Calibrated_Curve_7</t>
    <phoneticPr fontId="4" type="noConversion"/>
  </si>
  <si>
    <t>CNY_Treasury_Live_Curve_2012-5-8_Calibrated_Curve_7</t>
    <phoneticPr fontId="4" type="noConversion"/>
  </si>
  <si>
    <t>CNY_Treasury_Live_Curve_2012-5-9_Calibrated_Curve_7</t>
    <phoneticPr fontId="4" type="noConversion"/>
  </si>
  <si>
    <t>CNY_Treasury_Live_Curve_2012-6-1_Calibrated_Curve_7</t>
    <phoneticPr fontId="4" type="noConversion"/>
  </si>
  <si>
    <t>CNY_Treasury_Live_Curve_2012-6-11_Calibrated_Curve_7</t>
    <phoneticPr fontId="4" type="noConversion"/>
  </si>
  <si>
    <t>CNY_Treasury_Live_Curve_2012-6-12_Calibrated_Curve_7</t>
    <phoneticPr fontId="4" type="noConversion"/>
  </si>
  <si>
    <t>CNY_Treasury_Live_Curve_2012-6-13_Calibrated_Curve_7</t>
    <phoneticPr fontId="4" type="noConversion"/>
  </si>
  <si>
    <t>CNY_Treasury_Live_Curve_2012-6-14_Calibrated_Curve_7</t>
    <phoneticPr fontId="4" type="noConversion"/>
  </si>
  <si>
    <t>CNY_Treasury_Live_Curve_2012-6-15_Calibrated_Curve_7</t>
    <phoneticPr fontId="4" type="noConversion"/>
  </si>
  <si>
    <t>CNY_Treasury_Live_Curve_2012-6-18_Calibrated_Curve_7</t>
    <phoneticPr fontId="4" type="noConversion"/>
  </si>
  <si>
    <t>CNY_Treasury_Live_Curve_2012-6-19_Calibrated_Curve_7</t>
    <phoneticPr fontId="4" type="noConversion"/>
  </si>
  <si>
    <t>CNY_Treasury_Live_Curve_2012-6-20_Calibrated_Curve_7</t>
    <phoneticPr fontId="4" type="noConversion"/>
  </si>
  <si>
    <t>CNY_Treasury_Live_Curve_2012-6-21_Calibrated_Curve_7</t>
    <phoneticPr fontId="4" type="noConversion"/>
  </si>
  <si>
    <t>CNY_Treasury_Live_Curve_2012-6-25_Calibrated_Curve_7</t>
    <phoneticPr fontId="4" type="noConversion"/>
  </si>
  <si>
    <t>CNY_Treasury_Live_Curve_2012-6-26_Calibrated_Curve_7</t>
    <phoneticPr fontId="4" type="noConversion"/>
  </si>
  <si>
    <t>CNY_Treasury_Live_Curve_2012-6-27_Calibrated_Curve_7</t>
    <phoneticPr fontId="4" type="noConversion"/>
  </si>
  <si>
    <t>CNY_Treasury_Live_Curve_2012-6-28_Calibrated_Curve_7</t>
    <phoneticPr fontId="4" type="noConversion"/>
  </si>
  <si>
    <t>CNY_Treasury_Live_Curve_2012-6-29_Calibrated_Curve_7</t>
    <phoneticPr fontId="4" type="noConversion"/>
  </si>
  <si>
    <t>CNY_Treasury_Live_Curve_2012-6-4_Calibrated_Curve_7</t>
    <phoneticPr fontId="4" type="noConversion"/>
  </si>
  <si>
    <t>CNY_Treasury_Live_Curve_2012-6-5_Calibrated_Curve_7</t>
    <phoneticPr fontId="4" type="noConversion"/>
  </si>
  <si>
    <t>CNY_Treasury_Live_Curve_2012-6-6_Calibrated_Curve_7</t>
    <phoneticPr fontId="4" type="noConversion"/>
  </si>
  <si>
    <t>CNY_Treasury_Live_Curve_2012-6-7_Calibrated_Curve_7</t>
    <phoneticPr fontId="4" type="noConversion"/>
  </si>
  <si>
    <t>CNY_Treasury_Live_Curve_2012-6-8_Calibrated_Curve_7</t>
    <phoneticPr fontId="4" type="noConversion"/>
  </si>
  <si>
    <t>CNY_Treasury_Live_Curve_2012-7-10_Calibrated_Curve_7</t>
    <phoneticPr fontId="4" type="noConversion"/>
  </si>
  <si>
    <t>CNY_Treasury_Live_Curve_2012-7-11_Calibrated_Curve_7</t>
    <phoneticPr fontId="4" type="noConversion"/>
  </si>
  <si>
    <t>CNY_Treasury_Live_Curve_2012-7-12_Calibrated_Curve_7</t>
    <phoneticPr fontId="4" type="noConversion"/>
  </si>
  <si>
    <t>CNY_Treasury_Live_Curve_2012-7-13_Calibrated_Curve_7</t>
    <phoneticPr fontId="4" type="noConversion"/>
  </si>
  <si>
    <t>CNY_Treasury_Live_Curve_2012-7-16_Calibrated_Curve_7</t>
    <phoneticPr fontId="4" type="noConversion"/>
  </si>
  <si>
    <t>CNY_Treasury_Live_Curve_2012-7-17_Calibrated_Curve_7</t>
    <phoneticPr fontId="4" type="noConversion"/>
  </si>
  <si>
    <t>CNY_Treasury_Live_Curve_2012-7-18_Calibrated_Curve_7</t>
    <phoneticPr fontId="4" type="noConversion"/>
  </si>
  <si>
    <t>CNY_Treasury_Live_Curve_2012-7-19_Calibrated_Curve_7</t>
    <phoneticPr fontId="4" type="noConversion"/>
  </si>
  <si>
    <t>CNY_Treasury_Live_Curve_2012-7-2_Calibrated_Curve_7</t>
    <phoneticPr fontId="4" type="noConversion"/>
  </si>
  <si>
    <t>CNY_Treasury_Live_Curve_2012-7-20_Calibrated_Curve_7</t>
    <phoneticPr fontId="4" type="noConversion"/>
  </si>
  <si>
    <t>CNY_Treasury_Live_Curve_2012-7-23_Calibrated_Curve_7</t>
    <phoneticPr fontId="4" type="noConversion"/>
  </si>
  <si>
    <t>CNY_Treasury_Live_Curve_2012-7-24_Calibrated_Curve_7</t>
    <phoneticPr fontId="4" type="noConversion"/>
  </si>
  <si>
    <t>CNY_Treasury_Live_Curve_2012-7-25_Calibrated_Curve_7</t>
    <phoneticPr fontId="4" type="noConversion"/>
  </si>
  <si>
    <t>CNY_Treasury_Live_Curve_2012-7-26_Calibrated_Curve_7</t>
    <phoneticPr fontId="4" type="noConversion"/>
  </si>
  <si>
    <t>CNY_Treasury_Live_Curve_2012-7-27_Calibrated_Curve_7</t>
    <phoneticPr fontId="4" type="noConversion"/>
  </si>
  <si>
    <t>CNY_Treasury_Live_Curve_2012-7-3_Calibrated_Curve_7</t>
    <phoneticPr fontId="4" type="noConversion"/>
  </si>
  <si>
    <t>CNY_Treasury_Live_Curve_2012-7-30_Calibrated_Curve_7</t>
    <phoneticPr fontId="4" type="noConversion"/>
  </si>
  <si>
    <t>CNY_Treasury_Live_Curve_2012-7-31_Calibrated_Curve_7</t>
    <phoneticPr fontId="4" type="noConversion"/>
  </si>
  <si>
    <t>CNY_Treasury_Live_Curve_2012-7-4_Calibrated_Curve_7</t>
    <phoneticPr fontId="4" type="noConversion"/>
  </si>
  <si>
    <t>CNY_Treasury_Live_Curve_2012-7-5_Calibrated_Curve_7</t>
    <phoneticPr fontId="4" type="noConversion"/>
  </si>
  <si>
    <t>CNY_Treasury_Live_Curve_2012-7-6_Calibrated_Curve_7</t>
    <phoneticPr fontId="4" type="noConversion"/>
  </si>
  <si>
    <t>CNY_Treasury_Live_Curve_2012-7-9_Calibrated_Curve_7</t>
    <phoneticPr fontId="4" type="noConversion"/>
  </si>
  <si>
    <t>CNY_Treasury_Live_Curve_2012-8-1_Calibrated_Curve_7</t>
    <phoneticPr fontId="4" type="noConversion"/>
  </si>
  <si>
    <t>CNY_Treasury_Live_Curve_2012-8-10_Calibrated_Curve_7</t>
    <phoneticPr fontId="4" type="noConversion"/>
  </si>
  <si>
    <t>CNY_Treasury_Live_Curve_2012-8-13_Calibrated_Curve_7</t>
    <phoneticPr fontId="4" type="noConversion"/>
  </si>
  <si>
    <t>CNY_Treasury_Live_Curve_2012-8-14_Calibrated_Curve_7</t>
    <phoneticPr fontId="4" type="noConversion"/>
  </si>
  <si>
    <t>CNY_Treasury_Live_Curve_2012-8-15_Calibrated_Curve_7</t>
    <phoneticPr fontId="4" type="noConversion"/>
  </si>
  <si>
    <t>CNY_Treasury_Live_Curve_2012-8-16_Calibrated_Curve_7</t>
    <phoneticPr fontId="4" type="noConversion"/>
  </si>
  <si>
    <t>CNY_Treasury_Live_Curve_2012-8-2_Calibrated_Curve_7</t>
    <phoneticPr fontId="4" type="noConversion"/>
  </si>
  <si>
    <t>CNY_Treasury_Live_Curve_2012-8-3_Calibrated_Curve_7</t>
    <phoneticPr fontId="4" type="noConversion"/>
  </si>
  <si>
    <t>CNY_Treasury_Live_Curve_2012-8-6_Calibrated_Curve_7</t>
    <phoneticPr fontId="4" type="noConversion"/>
  </si>
  <si>
    <t>CNY_Treasury_Live_Curve_2012-8-7_Calibrated_Curve_7</t>
    <phoneticPr fontId="4" type="noConversion"/>
  </si>
  <si>
    <t>CNY_Treasury_Live_Curve_2012-8-8_Calibrated_Curve_7</t>
    <phoneticPr fontId="4" type="noConversion"/>
  </si>
  <si>
    <t>CNY_Treasury_Live_Curve_2012-8-9_Calibrated_Curve_7</t>
    <phoneticPr fontId="4" type="noConversion"/>
  </si>
  <si>
    <t>F:\Data\Curve\Standalone Curves\</t>
    <phoneticPr fontId="4" type="noConversion"/>
  </si>
  <si>
    <t>F:\Data\Curve\Bumped Curves\</t>
    <phoneticPr fontId="4" type="noConversion"/>
  </si>
  <si>
    <t>CNY_Treasury_Live_Curve_2012-2-6_Calibrated_Curve_1</t>
    <phoneticPr fontId="4" type="noConversion"/>
  </si>
  <si>
    <t>CNY_Treasury_Live_Curve_2012-2-6_Calibrated_Curve_2</t>
    <phoneticPr fontId="4" type="noConversion"/>
  </si>
  <si>
    <t>CNY_Treasury_Live_Curve_2012-2-6_Calibrated_Curve_3</t>
    <phoneticPr fontId="4" type="noConversion"/>
  </si>
  <si>
    <t>CNY_Treasury_Live_Curve_2012-2-6_Calibrated_Curve_4</t>
    <phoneticPr fontId="4" type="noConversion"/>
  </si>
  <si>
    <t>CNY_Treasury_Live_Curve_2012-2-6_Calibrated_Curve_5</t>
    <phoneticPr fontId="4" type="noConversion"/>
  </si>
  <si>
    <t>CNY_Treasury_Live_Curve_2012-2-6_Calibrated_Curve_6</t>
    <phoneticPr fontId="4" type="noConversion"/>
  </si>
  <si>
    <t>CNY_Treasury_Live_Curve_2012-2-6_Calibrated_Curve_7</t>
    <phoneticPr fontId="4" type="noConversion"/>
  </si>
  <si>
    <t>CNY_Treasury_Live_Curve_2012-2-7_Calibrated_Curve_1</t>
    <phoneticPr fontId="4" type="noConversion"/>
  </si>
  <si>
    <t>CNY_Treasury_Live_Curve_2012-2-7_Calibrated_Curve_2</t>
    <phoneticPr fontId="4" type="noConversion"/>
  </si>
  <si>
    <t>CNY_Treasury_Live_Curve_2012-2-7_Calibrated_Curve_3</t>
    <phoneticPr fontId="4" type="noConversion"/>
  </si>
  <si>
    <t>CNY_Treasury_Live_Curve_2012-2-7_Calibrated_Curve_4</t>
    <phoneticPr fontId="4" type="noConversion"/>
  </si>
  <si>
    <t>CNY_Treasury_Live_Curve_2012-2-7_Calibrated_Curve_5</t>
    <phoneticPr fontId="4" type="noConversion"/>
  </si>
  <si>
    <t>CNY_Treasury_Live_Curve_2012-2-7_Calibrated_Curve_6</t>
    <phoneticPr fontId="4" type="noConversion"/>
  </si>
  <si>
    <t>CNY_Treasury_Live_Curve_2012-2-7_Calibrated_Curve_7</t>
    <phoneticPr fontId="4" type="noConversion"/>
  </si>
  <si>
    <t>CNY_Treasury_Live_Curve_2012-2-8_Calibrated_Curve_1</t>
    <phoneticPr fontId="4" type="noConversion"/>
  </si>
  <si>
    <t>CNY_Treasury_Live_Curve_2012-2-8_Calibrated_Curve_2</t>
    <phoneticPr fontId="4" type="noConversion"/>
  </si>
  <si>
    <t>CNY_Treasury_Live_Curve_2012-2-8_Calibrated_Curve_3</t>
    <phoneticPr fontId="4" type="noConversion"/>
  </si>
  <si>
    <t>CNY_Treasury_Live_Curve_2012-2-8_Calibrated_Curve_4</t>
    <phoneticPr fontId="4" type="noConversion"/>
  </si>
  <si>
    <t>CNY_Treasury_Live_Curve_2012-2-8_Calibrated_Curve_5</t>
    <phoneticPr fontId="4" type="noConversion"/>
  </si>
  <si>
    <t>CNY_Treasury_Live_Curve_2012-2-8_Calibrated_Curve_6</t>
    <phoneticPr fontId="4" type="noConversion"/>
  </si>
  <si>
    <t>CNY_Treasury_Live_Curve_2012-2-8_Calibrated_Curve_7</t>
    <phoneticPr fontId="4" type="noConversion"/>
  </si>
  <si>
    <t>CNY_Treasury_Live_Curve_2012-2-9_Calibrated_Curve_1</t>
    <phoneticPr fontId="4" type="noConversion"/>
  </si>
  <si>
    <t>CNY_Treasury_Live_Curve_2012-2-9_Calibrated_Curve_2</t>
    <phoneticPr fontId="4" type="noConversion"/>
  </si>
  <si>
    <t>CNY_Treasury_Live_Curve_2012-2-9_Calibrated_Curve_3</t>
    <phoneticPr fontId="4" type="noConversion"/>
  </si>
  <si>
    <t>CNY_Treasury_Live_Curve_2012-2-9_Calibrated_Curve_4</t>
    <phoneticPr fontId="4" type="noConversion"/>
  </si>
  <si>
    <t>CNY_Treasury_Live_Curve_2012-2-9_Calibrated_Curve_5</t>
    <phoneticPr fontId="4" type="noConversion"/>
  </si>
  <si>
    <t>CNY_Treasury_Live_Curve_2012-2-9_Calibrated_Curve_6</t>
    <phoneticPr fontId="4" type="noConversion"/>
  </si>
  <si>
    <t>CNY_Treasury_Live_Curve_2012-2-9_Calibrated_Curve_7</t>
    <phoneticPr fontId="4" type="noConversion"/>
  </si>
  <si>
    <t>CNY_Treasury_Live_Curve_2012-3-1_Calibrated_Curve_1</t>
    <phoneticPr fontId="4" type="noConversion"/>
  </si>
  <si>
    <t>CNY_Treasury_Live_Curve_2012-3-1_Calibrated_Curve_2</t>
    <phoneticPr fontId="4" type="noConversion"/>
  </si>
  <si>
    <t>CNY_Treasury_Live_Curve_2012-3-1_Calibrated_Curve_3</t>
    <phoneticPr fontId="4" type="noConversion"/>
  </si>
  <si>
    <t>CNY_Treasury_Live_Curve_2012-3-1_Calibrated_Curve_4</t>
    <phoneticPr fontId="4" type="noConversion"/>
  </si>
  <si>
    <t>CNY_Treasury_Live_Curve_2012-3-1_Calibrated_Curve_5</t>
    <phoneticPr fontId="4" type="noConversion"/>
  </si>
  <si>
    <t>CNY_Treasury_Live_Curve_2012-3-1_Calibrated_Curve_6</t>
    <phoneticPr fontId="4" type="noConversion"/>
  </si>
  <si>
    <t>CNY_Treasury_Live_Curve_2012-3-1_Calibrated_Curve_7</t>
    <phoneticPr fontId="4" type="noConversion"/>
  </si>
  <si>
    <t>CNY_Treasury_Live_Curve_2012-3-12_Calibrated_Curve_1</t>
    <phoneticPr fontId="4" type="noConversion"/>
  </si>
  <si>
    <t>CNY_Treasury_Live_Curve_2012-3-12_Calibrated_Curve_2</t>
    <phoneticPr fontId="4" type="noConversion"/>
  </si>
  <si>
    <t>CNY_Treasury_Live_Curve_2012-3-12_Calibrated_Curve_3</t>
    <phoneticPr fontId="4" type="noConversion"/>
  </si>
  <si>
    <t>CNY_Treasury_Live_Curve_2012-3-12_Calibrated_Curve_4</t>
    <phoneticPr fontId="4" type="noConversion"/>
  </si>
  <si>
    <t>CNY_Treasury_Live_Curve_2012-3-12_Calibrated_Curve_5</t>
    <phoneticPr fontId="4" type="noConversion"/>
  </si>
  <si>
    <t>CNY_Treasury_Live_Curve_2012-3-12_Calibrated_Curve_6</t>
    <phoneticPr fontId="4" type="noConversion"/>
  </si>
  <si>
    <t>CNY_Treasury_Live_Curve_2012-3-12_Calibrated_Curve_7</t>
    <phoneticPr fontId="4" type="noConversion"/>
  </si>
  <si>
    <t>CNY_Treasury_Live_Curve_2012-3-13_Calibrated_Curve_1</t>
    <phoneticPr fontId="4" type="noConversion"/>
  </si>
  <si>
    <t>CNY_Treasury_Live_Curve_2012-3-13_Calibrated_Curve_2</t>
    <phoneticPr fontId="4" type="noConversion"/>
  </si>
  <si>
    <t>CNY_Treasury_Live_Curve_2012-3-13_Calibrated_Curve_3</t>
    <phoneticPr fontId="4" type="noConversion"/>
  </si>
  <si>
    <t>CNY_Treasury_Live_Curve_2012-3-13_Calibrated_Curve_4</t>
    <phoneticPr fontId="4" type="noConversion"/>
  </si>
  <si>
    <t>CNY_Treasury_Live_Curve_2012-3-13_Calibrated_Curve_5</t>
    <phoneticPr fontId="4" type="noConversion"/>
  </si>
  <si>
    <t>CNY_Treasury_Live_Curve_2012-3-13_Calibrated_Curve_6</t>
    <phoneticPr fontId="4" type="noConversion"/>
  </si>
  <si>
    <t>CNY_Treasury_Live_Curve_2012-3-13_Calibrated_Curve_7</t>
    <phoneticPr fontId="4" type="noConversion"/>
  </si>
  <si>
    <t>CNY_Treasury_Live_Curve_2012-3-14_Calibrated_Curve_1</t>
    <phoneticPr fontId="4" type="noConversion"/>
  </si>
  <si>
    <t>CNY_Treasury_Live_Curve_2012-3-14_Calibrated_Curve_2</t>
    <phoneticPr fontId="4" type="noConversion"/>
  </si>
  <si>
    <t>CNY_Treasury_Live_Curve_2012-3-14_Calibrated_Curve_3</t>
    <phoneticPr fontId="4" type="noConversion"/>
  </si>
  <si>
    <t>CNY_Treasury_Live_Curve_2012-3-14_Calibrated_Curve_4</t>
    <phoneticPr fontId="4" type="noConversion"/>
  </si>
  <si>
    <t>CNY_Treasury_Live_Curve_2012-3-14_Calibrated_Curve_5</t>
    <phoneticPr fontId="4" type="noConversion"/>
  </si>
  <si>
    <t>CNY_Treasury_Live_Curve_2012-3-14_Calibrated_Curve_6</t>
    <phoneticPr fontId="4" type="noConversion"/>
  </si>
  <si>
    <t>CNY_Treasury_Live_Curve_2012-3-14_Calibrated_Curve_7</t>
    <phoneticPr fontId="4" type="noConversion"/>
  </si>
  <si>
    <t>CNY_Treasury_Live_Curve_2012-3-15_Calibrated_Curve_1</t>
    <phoneticPr fontId="4" type="noConversion"/>
  </si>
  <si>
    <t>CNY_Treasury_Live_Curve_2012-3-15_Calibrated_Curve_2</t>
    <phoneticPr fontId="4" type="noConversion"/>
  </si>
  <si>
    <t>CNY_Treasury_Live_Curve_2012-3-15_Calibrated_Curve_3</t>
    <phoneticPr fontId="4" type="noConversion"/>
  </si>
  <si>
    <t>CNY_Treasury_Live_Curve_2012-3-15_Calibrated_Curve_4</t>
    <phoneticPr fontId="4" type="noConversion"/>
  </si>
  <si>
    <t>CNY_Treasury_Live_Curve_2012-3-15_Calibrated_Curve_5</t>
    <phoneticPr fontId="4" type="noConversion"/>
  </si>
  <si>
    <t>CNY_Treasury_Live_Curve_2012-3-15_Calibrated_Curve_6</t>
    <phoneticPr fontId="4" type="noConversion"/>
  </si>
  <si>
    <t>CNY_Treasury_Live_Curve_2012-3-15_Calibrated_Curve_7</t>
    <phoneticPr fontId="4" type="noConversion"/>
  </si>
  <si>
    <t>CNY_Treasury_Live_Curve_2012-3-16_Calibrated_Curve_1</t>
    <phoneticPr fontId="4" type="noConversion"/>
  </si>
  <si>
    <t>CNY_Treasury_Live_Curve_2012-3-16_Calibrated_Curve_2</t>
    <phoneticPr fontId="4" type="noConversion"/>
  </si>
  <si>
    <t>CNY_Treasury_Live_Curve_2012-3-16_Calibrated_Curve_3</t>
    <phoneticPr fontId="4" type="noConversion"/>
  </si>
  <si>
    <t>CNY_Treasury_Live_Curve_2012-3-16_Calibrated_Curve_4</t>
    <phoneticPr fontId="4" type="noConversion"/>
  </si>
  <si>
    <t>CNY_Treasury_Live_Curve_2012-3-16_Calibrated_Curve_5</t>
    <phoneticPr fontId="4" type="noConversion"/>
  </si>
  <si>
    <t>CNY_Treasury_Live_Curve_2012-3-16_Calibrated_Curve_6</t>
    <phoneticPr fontId="4" type="noConversion"/>
  </si>
  <si>
    <t>CNY_Treasury_Live_Curve_2012-3-16_Calibrated_Curve_7</t>
    <phoneticPr fontId="4" type="noConversion"/>
  </si>
  <si>
    <t>CNY_Treasury_Live_Curve_2012-3-19_Calibrated_Curve_1</t>
    <phoneticPr fontId="4" type="noConversion"/>
  </si>
  <si>
    <t>CNY_Treasury_Live_Curve_2012-3-19_Calibrated_Curve_2</t>
    <phoneticPr fontId="4" type="noConversion"/>
  </si>
  <si>
    <t>CNY_Treasury_Live_Curve_2012-3-19_Calibrated_Curve_3</t>
    <phoneticPr fontId="4" type="noConversion"/>
  </si>
  <si>
    <t>CNY_Treasury_Live_Curve_2012-3-19_Calibrated_Curve_4</t>
    <phoneticPr fontId="4" type="noConversion"/>
  </si>
  <si>
    <t>CNY_Treasury_Live_Curve_2012-3-19_Calibrated_Curve_5</t>
    <phoneticPr fontId="4" type="noConversion"/>
  </si>
  <si>
    <t>CNY_Treasury_Live_Curve_2012-3-19_Calibrated_Curve_6</t>
    <phoneticPr fontId="4" type="noConversion"/>
  </si>
  <si>
    <t>CNY_Treasury_Live_Curve_2012-3-19_Calibrated_Curve_7</t>
    <phoneticPr fontId="4" type="noConversion"/>
  </si>
  <si>
    <t>CNY_Treasury_Live_Curve_2012-3-2_Calibrated_Curve_1</t>
    <phoneticPr fontId="4" type="noConversion"/>
  </si>
  <si>
    <t>CNY_Treasury_Live_Curve_2012-3-2_Calibrated_Curve_2</t>
    <phoneticPr fontId="4" type="noConversion"/>
  </si>
  <si>
    <t>CNY_Treasury_Live_Curve_2012-3-2_Calibrated_Curve_3</t>
    <phoneticPr fontId="4" type="noConversion"/>
  </si>
  <si>
    <t>CNY_Treasury_Live_Curve_2012-3-2_Calibrated_Curve_4</t>
    <phoneticPr fontId="4" type="noConversion"/>
  </si>
  <si>
    <t>CNY_Treasury_Live_Curve_2012-3-2_Calibrated_Curve_5</t>
    <phoneticPr fontId="4" type="noConversion"/>
  </si>
  <si>
    <t>CNY_Treasury_Live_Curve_2012-3-2_Calibrated_Curve_6</t>
    <phoneticPr fontId="4" type="noConversion"/>
  </si>
  <si>
    <t>CNY_Treasury_Live_Curve_2012-3-2_Calibrated_Curve_7</t>
    <phoneticPr fontId="4" type="noConversion"/>
  </si>
  <si>
    <t>CNY_Treasury_Live_Curve_2012-3-20_Calibrated_Curve_1</t>
    <phoneticPr fontId="4" type="noConversion"/>
  </si>
  <si>
    <t>CNY_Treasury_Live_Curve_2012-3-20_Calibrated_Curve_2</t>
    <phoneticPr fontId="4" type="noConversion"/>
  </si>
  <si>
    <t>CNY_Treasury_Live_Curve_2012-3-20_Calibrated_Curve_3</t>
    <phoneticPr fontId="4" type="noConversion"/>
  </si>
  <si>
    <t>CNY_Treasury_Live_Curve_2012-3-20_Calibrated_Curve_4</t>
    <phoneticPr fontId="4" type="noConversion"/>
  </si>
  <si>
    <t>CNY_Treasury_Live_Curve_2012-3-20_Calibrated_Curve_5</t>
    <phoneticPr fontId="4" type="noConversion"/>
  </si>
  <si>
    <t>CNY_Treasury_Live_Curve_2012-3-20_Calibrated_Curve_6</t>
    <phoneticPr fontId="4" type="noConversion"/>
  </si>
  <si>
    <t>CNY_Treasury_Live_Curve_2012-3-20_Calibrated_Curve_7</t>
    <phoneticPr fontId="4" type="noConversion"/>
  </si>
  <si>
    <t>CNY_Treasury_Live_Curve_2012-3-21_Calibrated_Curve_1</t>
    <phoneticPr fontId="4" type="noConversion"/>
  </si>
  <si>
    <t>CNY_Treasury_Live_Curve_2012-3-21_Calibrated_Curve_2</t>
    <phoneticPr fontId="4" type="noConversion"/>
  </si>
  <si>
    <t>CNY_Treasury_Live_Curve_2012-3-21_Calibrated_Curve_3</t>
    <phoneticPr fontId="4" type="noConversion"/>
  </si>
  <si>
    <t>CNY_Treasury_Live_Curve_2012-3-21_Calibrated_Curve_4</t>
    <phoneticPr fontId="4" type="noConversion"/>
  </si>
  <si>
    <t>CNY_Treasury_Live_Curve_2012-3-21_Calibrated_Curve_5</t>
    <phoneticPr fontId="4" type="noConversion"/>
  </si>
  <si>
    <t>CNY_Treasury_Live_Curve_2012-3-21_Calibrated_Curve_6</t>
    <phoneticPr fontId="4" type="noConversion"/>
  </si>
  <si>
    <t>CNY_Treasury_Live_Curve_2012-3-21_Calibrated_Curve_7</t>
    <phoneticPr fontId="4" type="noConversion"/>
  </si>
  <si>
    <t>CNY_Treasury_Live_Curve_2012-3-22_Calibrated_Curve_1</t>
    <phoneticPr fontId="4" type="noConversion"/>
  </si>
  <si>
    <t>CNY_Treasury_Live_Curve_2012-3-22_Calibrated_Curve_2</t>
    <phoneticPr fontId="4" type="noConversion"/>
  </si>
  <si>
    <t>CNY_Treasury_Live_Curve_2012-3-22_Calibrated_Curve_3</t>
    <phoneticPr fontId="4" type="noConversion"/>
  </si>
  <si>
    <t>CNY_Treasury_Live_Curve_2012-3-22_Calibrated_Curve_4</t>
    <phoneticPr fontId="4" type="noConversion"/>
  </si>
  <si>
    <t>CNY_Treasury_Live_Curve_2012-3-22_Calibrated_Curve_5</t>
    <phoneticPr fontId="4" type="noConversion"/>
  </si>
  <si>
    <t>CNY_Treasury_Live_Curve_2012-3-22_Calibrated_Curve_6</t>
    <phoneticPr fontId="4" type="noConversion"/>
  </si>
  <si>
    <t>CNY_Treasury_Live_Curve_2012-3-22_Calibrated_Curve_7</t>
    <phoneticPr fontId="4" type="noConversion"/>
  </si>
  <si>
    <t>CNY_Treasury_Live_Curve_2012-3-23_Calibrated_Curve_1</t>
    <phoneticPr fontId="4" type="noConversion"/>
  </si>
  <si>
    <t>CNY_Treasury_Live_Curve_2012-3-23_Calibrated_Curve_2</t>
    <phoneticPr fontId="4" type="noConversion"/>
  </si>
  <si>
    <t>CNY_Treasury_Live_Curve_2012-3-23_Calibrated_Curve_3</t>
    <phoneticPr fontId="4" type="noConversion"/>
  </si>
  <si>
    <t>CNY_Treasury_Live_Curve_2012-3-23_Calibrated_Curve_4</t>
    <phoneticPr fontId="4" type="noConversion"/>
  </si>
  <si>
    <t>CNY_Treasury_Live_Curve_2012-3-23_Calibrated_Curve_5</t>
    <phoneticPr fontId="4" type="noConversion"/>
  </si>
  <si>
    <t>CNY_Treasury_Live_Curve_2012-3-23_Calibrated_Curve_6</t>
    <phoneticPr fontId="4" type="noConversion"/>
  </si>
  <si>
    <t>CNY_Treasury_Live_Curve_2012-3-23_Calibrated_Curve_7</t>
    <phoneticPr fontId="4" type="noConversion"/>
  </si>
  <si>
    <t>CNY_Treasury_Live_Curve_2012-3-26_Calibrated_Curve_1</t>
    <phoneticPr fontId="4" type="noConversion"/>
  </si>
  <si>
    <t>CNY_Treasury_Live_Curve_2012-3-26_Calibrated_Curve_2</t>
    <phoneticPr fontId="4" type="noConversion"/>
  </si>
  <si>
    <t>CNY_Treasury_Live_Curve_2012-3-26_Calibrated_Curve_3</t>
    <phoneticPr fontId="4" type="noConversion"/>
  </si>
  <si>
    <t>CNY_Treasury_Live_Curve_2012-3-26_Calibrated_Curve_4</t>
    <phoneticPr fontId="4" type="noConversion"/>
  </si>
  <si>
    <t>CNY_Treasury_Live_Curve_2012-3-26_Calibrated_Curve_5</t>
    <phoneticPr fontId="4" type="noConversion"/>
  </si>
  <si>
    <t>CNY_Treasury_Live_Curve_2012-3-26_Calibrated_Curve_6</t>
    <phoneticPr fontId="4" type="noConversion"/>
  </si>
  <si>
    <t>CNY_Treasury_Live_Curve_2012-3-26_Calibrated_Curve_7</t>
    <phoneticPr fontId="4" type="noConversion"/>
  </si>
  <si>
    <t>CNY_Treasury_Live_Curve_2012-3-27_Calibrated_Curve_1</t>
    <phoneticPr fontId="4" type="noConversion"/>
  </si>
  <si>
    <t>CNY_Treasury_Live_Curve_2012-3-27_Calibrated_Curve_2</t>
    <phoneticPr fontId="4" type="noConversion"/>
  </si>
  <si>
    <t>CNY_Treasury_Live_Curve_2012-3-27_Calibrated_Curve_3</t>
    <phoneticPr fontId="4" type="noConversion"/>
  </si>
  <si>
    <t>CNY_Treasury_Live_Curve_2012-3-27_Calibrated_Curve_4</t>
    <phoneticPr fontId="4" type="noConversion"/>
  </si>
  <si>
    <t>CNY_Treasury_Live_Curve_2012-3-27_Calibrated_Curve_5</t>
    <phoneticPr fontId="4" type="noConversion"/>
  </si>
  <si>
    <t>CNY_Treasury_Live_Curve_2012-3-27_Calibrated_Curve_6</t>
    <phoneticPr fontId="4" type="noConversion"/>
  </si>
  <si>
    <t>CNY_Treasury_Live_Curve_2012-3-27_Calibrated_Curve_7</t>
    <phoneticPr fontId="4" type="noConversion"/>
  </si>
  <si>
    <t>CNY_Treasury_Live_Curve_2012-3-28_Calibrated_Curve_1</t>
    <phoneticPr fontId="4" type="noConversion"/>
  </si>
  <si>
    <t>CNY_Treasury_Live_Curve_2012-3-28_Calibrated_Curve_2</t>
    <phoneticPr fontId="4" type="noConversion"/>
  </si>
  <si>
    <t>CNY_Treasury_Live_Curve_2012-3-28_Calibrated_Curve_3</t>
    <phoneticPr fontId="4" type="noConversion"/>
  </si>
  <si>
    <t>CNY_Treasury_Live_Curve_2012-3-28_Calibrated_Curve_4</t>
    <phoneticPr fontId="4" type="noConversion"/>
  </si>
  <si>
    <t>CNY_Treasury_Live_Curve_2012-3-28_Calibrated_Curve_5</t>
    <phoneticPr fontId="4" type="noConversion"/>
  </si>
  <si>
    <t>CNY_Treasury_Live_Curve_2012-3-28_Calibrated_Curve_6</t>
    <phoneticPr fontId="4" type="noConversion"/>
  </si>
  <si>
    <t>CNY_Treasury_Live_Curve_2012-3-28_Calibrated_Curve_7</t>
    <phoneticPr fontId="4" type="noConversion"/>
  </si>
  <si>
    <t>CNY_Treasury_Live_Curve_2012-3-29_Calibrated_Curve_1</t>
    <phoneticPr fontId="4" type="noConversion"/>
  </si>
  <si>
    <t>CNY_Treasury_Live_Curve_2012-3-29_Calibrated_Curve_2</t>
    <phoneticPr fontId="4" type="noConversion"/>
  </si>
  <si>
    <t>CNY_Treasury_Live_Curve_2012-3-29_Calibrated_Curve_3</t>
    <phoneticPr fontId="4" type="noConversion"/>
  </si>
  <si>
    <t>CNY_Treasury_Live_Curve_2012-3-29_Calibrated_Curve_4</t>
    <phoneticPr fontId="4" type="noConversion"/>
  </si>
  <si>
    <t>CNY_Treasury_Live_Curve_2012-3-29_Calibrated_Curve_5</t>
    <phoneticPr fontId="4" type="noConversion"/>
  </si>
  <si>
    <t>CNY_Treasury_Live_Curve_2012-3-29_Calibrated_Curve_6</t>
    <phoneticPr fontId="4" type="noConversion"/>
  </si>
  <si>
    <t>CNY_Treasury_Live_Curve_2012-3-29_Calibrated_Curve_7</t>
    <phoneticPr fontId="4" type="noConversion"/>
  </si>
  <si>
    <t>CNY_Treasury_Live_Curve_2012-3-30_Calibrated_Curve_1</t>
    <phoneticPr fontId="4" type="noConversion"/>
  </si>
  <si>
    <t>CNY_Treasury_Live_Curve_2012-3-30_Calibrated_Curve_2</t>
    <phoneticPr fontId="4" type="noConversion"/>
  </si>
  <si>
    <t>CNY_Treasury_Live_Curve_2012-3-30_Calibrated_Curve_3</t>
    <phoneticPr fontId="4" type="noConversion"/>
  </si>
  <si>
    <t>CNY_Treasury_Live_Curve_2012-3-30_Calibrated_Curve_4</t>
    <phoneticPr fontId="4" type="noConversion"/>
  </si>
  <si>
    <t>CNY_Treasury_Live_Curve_2012-3-30_Calibrated_Curve_5</t>
    <phoneticPr fontId="4" type="noConversion"/>
  </si>
  <si>
    <t>CNY_Treasury_Live_Curve_2012-3-30_Calibrated_Curve_6</t>
    <phoneticPr fontId="4" type="noConversion"/>
  </si>
  <si>
    <t>CNY_Treasury_Live_Curve_2012-3-30_Calibrated_Curve_7</t>
    <phoneticPr fontId="4" type="noConversion"/>
  </si>
  <si>
    <t>CNY_Treasury_Live_Curve_2012-3-31_Calibrated_Curve_1</t>
    <phoneticPr fontId="4" type="noConversion"/>
  </si>
  <si>
    <t>CNY_Treasury_Live_Curve_2012-3-31_Calibrated_Curve_2</t>
    <phoneticPr fontId="4" type="noConversion"/>
  </si>
  <si>
    <t>CNY_Treasury_Live_Curve_2012-3-31_Calibrated_Curve_3</t>
    <phoneticPr fontId="4" type="noConversion"/>
  </si>
  <si>
    <t>CNY_Treasury_Live_Curve_2012-3-31_Calibrated_Curve_4</t>
    <phoneticPr fontId="4" type="noConversion"/>
  </si>
  <si>
    <t>CNY_Treasury_Live_Curve_2012-3-31_Calibrated_Curve_5</t>
    <phoneticPr fontId="4" type="noConversion"/>
  </si>
  <si>
    <t>CNY_Treasury_Live_Curve_2012-3-31_Calibrated_Curve_6</t>
    <phoneticPr fontId="4" type="noConversion"/>
  </si>
  <si>
    <t>CNY_Treasury_Live_Curve_2012-3-31_Calibrated_Curve_7</t>
    <phoneticPr fontId="4" type="noConversion"/>
  </si>
  <si>
    <t>CNY_Treasury_Live_Curve_2012-3-5_Calibrated_Curve_1</t>
    <phoneticPr fontId="4" type="noConversion"/>
  </si>
  <si>
    <t>CNY_Treasury_Live_Curve_2012-3-5_Calibrated_Curve_2</t>
    <phoneticPr fontId="4" type="noConversion"/>
  </si>
  <si>
    <t>CNY_Treasury_Live_Curve_2012-3-5_Calibrated_Curve_3</t>
    <phoneticPr fontId="4" type="noConversion"/>
  </si>
  <si>
    <t>CNY_Treasury_Live_Curve_2012-3-5_Calibrated_Curve_4</t>
    <phoneticPr fontId="4" type="noConversion"/>
  </si>
  <si>
    <t>CNY_Treasury_Live_Curve_2012-3-5_Calibrated_Curve_5</t>
    <phoneticPr fontId="4" type="noConversion"/>
  </si>
  <si>
    <t>CNY_Treasury_Live_Curve_2012-3-5_Calibrated_Curve_6</t>
    <phoneticPr fontId="4" type="noConversion"/>
  </si>
  <si>
    <t>CNY_Treasury_Live_Curve_2012-3-5_Calibrated_Curve_7</t>
    <phoneticPr fontId="4" type="noConversion"/>
  </si>
  <si>
    <t>CNY_Treasury_Live_Curve_2012-3-6_Calibrated_Curve_1</t>
    <phoneticPr fontId="4" type="noConversion"/>
  </si>
  <si>
    <t>CNY_Treasury_Live_Curve_2012-3-6_Calibrated_Curve_2</t>
    <phoneticPr fontId="4" type="noConversion"/>
  </si>
  <si>
    <t>CNY_Treasury_Live_Curve_2012-3-6_Calibrated_Curve_3</t>
    <phoneticPr fontId="4" type="noConversion"/>
  </si>
  <si>
    <t>CNY_Treasury_Live_Curve_2012-3-6_Calibrated_Curve_4</t>
    <phoneticPr fontId="4" type="noConversion"/>
  </si>
  <si>
    <t>CNY_Treasury_Live_Curve_2012-3-6_Calibrated_Curve_5</t>
    <phoneticPr fontId="4" type="noConversion"/>
  </si>
  <si>
    <t>CNY_Treasury_Live_Curve_2012-3-6_Calibrated_Curve_6</t>
    <phoneticPr fontId="4" type="noConversion"/>
  </si>
  <si>
    <t>CNY_Treasury_Live_Curve_2012-3-6_Calibrated_Curve_7</t>
    <phoneticPr fontId="4" type="noConversion"/>
  </si>
  <si>
    <t>CNY_Treasury_Live_Curve_2012-3-7_Calibrated_Curve_1</t>
    <phoneticPr fontId="4" type="noConversion"/>
  </si>
  <si>
    <t>CNY_Treasury_Live_Curve_2012-3-7_Calibrated_Curve_2</t>
    <phoneticPr fontId="4" type="noConversion"/>
  </si>
  <si>
    <t>CNY_Treasury_Live_Curve_2012-3-7_Calibrated_Curve_3</t>
    <phoneticPr fontId="4" type="noConversion"/>
  </si>
  <si>
    <t>CNY_Treasury_Live_Curve_2012-3-7_Calibrated_Curve_4</t>
    <phoneticPr fontId="4" type="noConversion"/>
  </si>
  <si>
    <t>CNY_Treasury_Live_Curve_2012-3-7_Calibrated_Curve_5</t>
    <phoneticPr fontId="4" type="noConversion"/>
  </si>
  <si>
    <t>CNY_Treasury_Live_Curve_2012-3-7_Calibrated_Curve_6</t>
    <phoneticPr fontId="4" type="noConversion"/>
  </si>
  <si>
    <t>CNY_Treasury_Live_Curve_2012-3-7_Calibrated_Curve_7</t>
    <phoneticPr fontId="4" type="noConversion"/>
  </si>
  <si>
    <t>CNY_Treasury_Live_Curve_2012-3-8_Calibrated_Curve_1</t>
    <phoneticPr fontId="4" type="noConversion"/>
  </si>
  <si>
    <t>CNY_Treasury_Live_Curve_2012-3-8_Calibrated_Curve_2</t>
    <phoneticPr fontId="4" type="noConversion"/>
  </si>
  <si>
    <t>CNY_Treasury_Live_Curve_2012-3-8_Calibrated_Curve_3</t>
    <phoneticPr fontId="4" type="noConversion"/>
  </si>
  <si>
    <t>CNY_Treasury_Live_Curve_2012-3-8_Calibrated_Curve_4</t>
    <phoneticPr fontId="4" type="noConversion"/>
  </si>
  <si>
    <t>CNY_Treasury_Live_Curve_2012-3-8_Calibrated_Curve_5</t>
    <phoneticPr fontId="4" type="noConversion"/>
  </si>
  <si>
    <t>CNY_Treasury_Live_Curve_2012-3-8_Calibrated_Curve_6</t>
    <phoneticPr fontId="4" type="noConversion"/>
  </si>
  <si>
    <t>CNY_Treasury_Live_Curve_2012-3-8_Calibrated_Curve_7</t>
    <phoneticPr fontId="4" type="noConversion"/>
  </si>
  <si>
    <t>CNY_Treasury_Live_Curve_2012-3-9_Calibrated_Curve_1</t>
    <phoneticPr fontId="4" type="noConversion"/>
  </si>
  <si>
    <t>CNY_Treasury_Live_Curve_2012-3-9_Calibrated_Curve_2</t>
    <phoneticPr fontId="4" type="noConversion"/>
  </si>
  <si>
    <t>CNY_Treasury_Live_Curve_2012-3-9_Calibrated_Curve_3</t>
    <phoneticPr fontId="4" type="noConversion"/>
  </si>
  <si>
    <t>CNY_Treasury_Live_Curve_2012-3-9_Calibrated_Curve_4</t>
    <phoneticPr fontId="4" type="noConversion"/>
  </si>
  <si>
    <t>CNY_Treasury_Live_Curve_2012-3-9_Calibrated_Curve_5</t>
    <phoneticPr fontId="4" type="noConversion"/>
  </si>
  <si>
    <t>CNY_Treasury_Live_Curve_2012-3-9_Calibrated_Curve_6</t>
    <phoneticPr fontId="4" type="noConversion"/>
  </si>
  <si>
    <t>CNY_Treasury_Live_Curve_2012-3-9_Calibrated_Curve_7</t>
    <phoneticPr fontId="4" type="noConversion"/>
  </si>
  <si>
    <t>CNY_Treasury_Live_Curve_2012-4-1_Calibrated_Curve_1</t>
    <phoneticPr fontId="4" type="noConversion"/>
  </si>
  <si>
    <t>CNY_Treasury_Live_Curve_2012-4-1_Calibrated_Curve_2</t>
    <phoneticPr fontId="4" type="noConversion"/>
  </si>
  <si>
    <t>CNY_Treasury_Live_Curve_2012-4-1_Calibrated_Curve_3</t>
    <phoneticPr fontId="4" type="noConversion"/>
  </si>
  <si>
    <t>CNY_Treasury_Live_Curve_2012-4-1_Calibrated_Curve_4</t>
    <phoneticPr fontId="4" type="noConversion"/>
  </si>
  <si>
    <t>CNY_Treasury_Live_Curve_2012-4-1_Calibrated_Curve_5</t>
    <phoneticPr fontId="4" type="noConversion"/>
  </si>
  <si>
    <t>CNY_Treasury_Live_Curve_2012-4-1_Calibrated_Curve_6</t>
    <phoneticPr fontId="4" type="noConversion"/>
  </si>
  <si>
    <t>CNY_Treasury_Live_Curve_2012-4-1_Calibrated_Curve_7</t>
    <phoneticPr fontId="4" type="noConversion"/>
  </si>
  <si>
    <t>CNY_Treasury_Live_Curve_2012-4-10_Calibrated_Curve_1</t>
    <phoneticPr fontId="4" type="noConversion"/>
  </si>
  <si>
    <t>CNY_Treasury_Live_Curve_2012-4-10_Calibrated_Curve_2</t>
    <phoneticPr fontId="4" type="noConversion"/>
  </si>
  <si>
    <t>CNY_Treasury_Live_Curve_2012-4-10_Calibrated_Curve_3</t>
    <phoneticPr fontId="4" type="noConversion"/>
  </si>
  <si>
    <t>CNY_Treasury_Live_Curve_2012-4-10_Calibrated_Curve_4</t>
    <phoneticPr fontId="4" type="noConversion"/>
  </si>
  <si>
    <t>CNY_Treasury_Live_Curve_2012-4-10_Calibrated_Curve_5</t>
    <phoneticPr fontId="4" type="noConversion"/>
  </si>
  <si>
    <t>CNY_Treasury_Live_Curve_2012-4-10_Calibrated_Curve_6</t>
    <phoneticPr fontId="4" type="noConversion"/>
  </si>
  <si>
    <t>CNY_Treasury_Live_Curve_2012-4-10_Calibrated_Curve_7</t>
    <phoneticPr fontId="4" type="noConversion"/>
  </si>
  <si>
    <t>CNY_Treasury_Live_Curve_2012-4-11_Calibrated_Curve_1</t>
    <phoneticPr fontId="4" type="noConversion"/>
  </si>
  <si>
    <t>CNY_Treasury_Live_Curve_2012-4-11_Calibrated_Curve_2</t>
    <phoneticPr fontId="4" type="noConversion"/>
  </si>
  <si>
    <t>CNY_Treasury_Live_Curve_2012-4-11_Calibrated_Curve_3</t>
    <phoneticPr fontId="4" type="noConversion"/>
  </si>
  <si>
    <t>CNY_Treasury_Live_Curve_2012-4-11_Calibrated_Curve_4</t>
    <phoneticPr fontId="4" type="noConversion"/>
  </si>
  <si>
    <t>CNY_Treasury_Live_Curve_2012-4-11_Calibrated_Curve_5</t>
    <phoneticPr fontId="4" type="noConversion"/>
  </si>
  <si>
    <t>CNY_Treasury_Live_Curve_2012-4-11_Calibrated_Curve_6</t>
    <phoneticPr fontId="4" type="noConversion"/>
  </si>
  <si>
    <t>CNY_Treasury_Live_Curve_2012-4-11_Calibrated_Curve_7</t>
    <phoneticPr fontId="4" type="noConversion"/>
  </si>
  <si>
    <t>CNY_Treasury_Live_Curve_2012-4-12_Calibrated_Curve_1</t>
    <phoneticPr fontId="4" type="noConversion"/>
  </si>
  <si>
    <t>CNY_Treasury_Live_Curve_2012-4-12_Calibrated_Curve_2</t>
    <phoneticPr fontId="4" type="noConversion"/>
  </si>
  <si>
    <t>CNY_Treasury_Live_Curve_2012-4-12_Calibrated_Curve_3</t>
    <phoneticPr fontId="4" type="noConversion"/>
  </si>
  <si>
    <t>CNY_Treasury_Live_Curve_2012-4-12_Calibrated_Curve_4</t>
    <phoneticPr fontId="4" type="noConversion"/>
  </si>
  <si>
    <t>CNY_Treasury_Live_Curve_2012-4-12_Calibrated_Curve_5</t>
    <phoneticPr fontId="4" type="noConversion"/>
  </si>
  <si>
    <t>CNY_Treasury_Live_Curve_2012-4-12_Calibrated_Curve_6</t>
    <phoneticPr fontId="4" type="noConversion"/>
  </si>
  <si>
    <t>CNY_Treasury_Live_Curve_2012-4-12_Calibrated_Curve_7</t>
    <phoneticPr fontId="4" type="noConversion"/>
  </si>
  <si>
    <t>CNY_Treasury_Live_Curve_2012-4-13_Calibrated_Curve_1</t>
    <phoneticPr fontId="4" type="noConversion"/>
  </si>
  <si>
    <t>CNY_Treasury_Live_Curve_2012-4-13_Calibrated_Curve_2</t>
    <phoneticPr fontId="4" type="noConversion"/>
  </si>
  <si>
    <t>CNY_Treasury_Live_Curve_2012-4-13_Calibrated_Curve_3</t>
    <phoneticPr fontId="4" type="noConversion"/>
  </si>
  <si>
    <t>CNY_Treasury_Live_Curve_2012-4-13_Calibrated_Curve_4</t>
    <phoneticPr fontId="4" type="noConversion"/>
  </si>
  <si>
    <t>CNY_Treasury_Live_Curve_2012-4-13_Calibrated_Curve_5</t>
    <phoneticPr fontId="4" type="noConversion"/>
  </si>
  <si>
    <t>CNY_Treasury_Live_Curve_2012-4-13_Calibrated_Curve_6</t>
    <phoneticPr fontId="4" type="noConversion"/>
  </si>
  <si>
    <t>CNY_Treasury_Live_Curve_2012-4-13_Calibrated_Curve_7</t>
    <phoneticPr fontId="4" type="noConversion"/>
  </si>
  <si>
    <t>CNY_Treasury_Live_Curve_2012-4-16_Calibrated_Curve_1</t>
    <phoneticPr fontId="4" type="noConversion"/>
  </si>
  <si>
    <t>CNY_Treasury_Live_Curve_2012-4-16_Calibrated_Curve_2</t>
    <phoneticPr fontId="4" type="noConversion"/>
  </si>
  <si>
    <t>CNY_Treasury_Live_Curve_2012-4-16_Calibrated_Curve_3</t>
    <phoneticPr fontId="4" type="noConversion"/>
  </si>
  <si>
    <t>CNY_Treasury_Live_Curve_2012-4-16_Calibrated_Curve_4</t>
    <phoneticPr fontId="4" type="noConversion"/>
  </si>
  <si>
    <t>CNY_Treasury_Live_Curve_2012-4-16_Calibrated_Curve_5</t>
    <phoneticPr fontId="4" type="noConversion"/>
  </si>
  <si>
    <t>CNY_Treasury_Live_Curve_2012-4-16_Calibrated_Curve_6</t>
    <phoneticPr fontId="4" type="noConversion"/>
  </si>
  <si>
    <t>CNY_Treasury_Live_Curve_2012-4-16_Calibrated_Curve_7</t>
    <phoneticPr fontId="4" type="noConversion"/>
  </si>
  <si>
    <t>CNY_Treasury_Live_Curve_2012-4-17_Calibrated_Curve_1</t>
    <phoneticPr fontId="4" type="noConversion"/>
  </si>
  <si>
    <t>CNY_Treasury_Live_Curve_2012-4-17_Calibrated_Curve_2</t>
    <phoneticPr fontId="4" type="noConversion"/>
  </si>
  <si>
    <t>CNY_Treasury_Live_Curve_2012-4-17_Calibrated_Curve_3</t>
    <phoneticPr fontId="4" type="noConversion"/>
  </si>
  <si>
    <t>CNY_Treasury_Live_Curve_2012-4-17_Calibrated_Curve_4</t>
    <phoneticPr fontId="4" type="noConversion"/>
  </si>
  <si>
    <t>CNY_Treasury_Live_Curve_2012-4-17_Calibrated_Curve_5</t>
    <phoneticPr fontId="4" type="noConversion"/>
  </si>
  <si>
    <t>CNY_Treasury_Live_Curve_2012-4-17_Calibrated_Curve_6</t>
    <phoneticPr fontId="4" type="noConversion"/>
  </si>
  <si>
    <t>CNY_Treasury_Live_Curve_2012-4-17_Calibrated_Curve_7</t>
    <phoneticPr fontId="4" type="noConversion"/>
  </si>
  <si>
    <t>CNY_Treasury_Live_Curve_2012-4-18_Calibrated_Curve_1</t>
    <phoneticPr fontId="4" type="noConversion"/>
  </si>
  <si>
    <t>CNY_Treasury_Live_Curve_2012-4-18_Calibrated_Curve_2</t>
    <phoneticPr fontId="4" type="noConversion"/>
  </si>
  <si>
    <t>CNY_Treasury_Live_Curve_2012-4-18_Calibrated_Curve_3</t>
    <phoneticPr fontId="4" type="noConversion"/>
  </si>
  <si>
    <t>CNY_Treasury_Live_Curve_2012-4-18_Calibrated_Curve_4</t>
    <phoneticPr fontId="4" type="noConversion"/>
  </si>
  <si>
    <t>CNY_Treasury_Live_Curve_2012-4-18_Calibrated_Curve_5</t>
    <phoneticPr fontId="4" type="noConversion"/>
  </si>
  <si>
    <t>CNY_Treasury_Live_Curve_2012-4-18_Calibrated_Curve_6</t>
    <phoneticPr fontId="4" type="noConversion"/>
  </si>
  <si>
    <t>CNY_Treasury_Live_Curve_2012-4-18_Calibrated_Curve_7</t>
    <phoneticPr fontId="4" type="noConversion"/>
  </si>
  <si>
    <t>CNY_Treasury_Live_Curve_2012-4-19_Calibrated_Curve_1</t>
    <phoneticPr fontId="4" type="noConversion"/>
  </si>
  <si>
    <t>CNY_Treasury_Live_Curve_2012-4-19_Calibrated_Curve_2</t>
    <phoneticPr fontId="4" type="noConversion"/>
  </si>
  <si>
    <t>CNY_Treasury_Live_Curve_2012-4-19_Calibrated_Curve_3</t>
    <phoneticPr fontId="4" type="noConversion"/>
  </si>
  <si>
    <t>CNY_Treasury_Live_Curve_2012-4-19_Calibrated_Curve_4</t>
    <phoneticPr fontId="4" type="noConversion"/>
  </si>
  <si>
    <t>CNY_Treasury_Live_Curve_2012-4-19_Calibrated_Curve_5</t>
    <phoneticPr fontId="4" type="noConversion"/>
  </si>
  <si>
    <t>CNY_Treasury_Live_Curve_2012-4-19_Calibrated_Curve_6</t>
    <phoneticPr fontId="4" type="noConversion"/>
  </si>
  <si>
    <t>CNY_Treasury_Live_Curve_2012-4-19_Calibrated_Curve_7</t>
    <phoneticPr fontId="4" type="noConversion"/>
  </si>
  <si>
    <t>CNY_Treasury_Live_Curve_2012-4-20_Calibrated_Curve_1</t>
    <phoneticPr fontId="4" type="noConversion"/>
  </si>
  <si>
    <t>CNY_Treasury_Live_Curve_2012-4-20_Calibrated_Curve_2</t>
    <phoneticPr fontId="4" type="noConversion"/>
  </si>
  <si>
    <t>CNY_Treasury_Live_Curve_2012-4-20_Calibrated_Curve_3</t>
    <phoneticPr fontId="4" type="noConversion"/>
  </si>
  <si>
    <t>CNY_Treasury_Live_Curve_2012-4-20_Calibrated_Curve_4</t>
    <phoneticPr fontId="4" type="noConversion"/>
  </si>
  <si>
    <t>CNY_Treasury_Live_Curve_2012-4-20_Calibrated_Curve_5</t>
    <phoneticPr fontId="4" type="noConversion"/>
  </si>
  <si>
    <t>CNY_Treasury_Live_Curve_2012-4-20_Calibrated_Curve_6</t>
    <phoneticPr fontId="4" type="noConversion"/>
  </si>
  <si>
    <t>CNY_Treasury_Live_Curve_2012-4-20_Calibrated_Curve_7</t>
    <phoneticPr fontId="4" type="noConversion"/>
  </si>
  <si>
    <t>CNY_Treasury_Live_Curve_2012-4-23_Calibrated_Curve_1</t>
    <phoneticPr fontId="4" type="noConversion"/>
  </si>
  <si>
    <t>CNY_Treasury_Live_Curve_2012-4-23_Calibrated_Curve_2</t>
    <phoneticPr fontId="4" type="noConversion"/>
  </si>
  <si>
    <t>CNY_Treasury_Live_Curve_2012-4-23_Calibrated_Curve_3</t>
    <phoneticPr fontId="4" type="noConversion"/>
  </si>
  <si>
    <t>CNY_Treasury_Live_Curve_2012-4-23_Calibrated_Curve_4</t>
    <phoneticPr fontId="4" type="noConversion"/>
  </si>
  <si>
    <t>CNY_Treasury_Live_Curve_2012-4-23_Calibrated_Curve_5</t>
    <phoneticPr fontId="4" type="noConversion"/>
  </si>
  <si>
    <t>CNY_Treasury_Live_Curve_2012-4-23_Calibrated_Curve_6</t>
    <phoneticPr fontId="4" type="noConversion"/>
  </si>
  <si>
    <t>CNY_Treasury_Live_Curve_2012-4-23_Calibrated_Curve_7</t>
    <phoneticPr fontId="4" type="noConversion"/>
  </si>
  <si>
    <t>CNY_Treasury_Live_Curve_2012-4-24_Calibrated_Curve_1</t>
    <phoneticPr fontId="4" type="noConversion"/>
  </si>
  <si>
    <t>CNY_Treasury_Live_Curve_2012-4-24_Calibrated_Curve_2</t>
    <phoneticPr fontId="4" type="noConversion"/>
  </si>
  <si>
    <t>CNY_Treasury_Live_Curve_2012-4-24_Calibrated_Curve_3</t>
    <phoneticPr fontId="4" type="noConversion"/>
  </si>
  <si>
    <t>CNY_Treasury_Live_Curve_2012-4-24_Calibrated_Curve_4</t>
    <phoneticPr fontId="4" type="noConversion"/>
  </si>
  <si>
    <t>CNY_Treasury_Live_Curve_2012-4-24_Calibrated_Curve_5</t>
    <phoneticPr fontId="4" type="noConversion"/>
  </si>
  <si>
    <t>CNY_Treasury_Live_Curve_2012-4-24_Calibrated_Curve_6</t>
    <phoneticPr fontId="4" type="noConversion"/>
  </si>
  <si>
    <t>CNY_Treasury_Live_Curve_2012-4-24_Calibrated_Curve_7</t>
    <phoneticPr fontId="4" type="noConversion"/>
  </si>
  <si>
    <t>CNY_Treasury_Live_Curve_2012-4-25_Calibrated_Curve_1</t>
    <phoneticPr fontId="4" type="noConversion"/>
  </si>
  <si>
    <t>CNY_Treasury_Live_Curve_2012-4-25_Calibrated_Curve_2</t>
    <phoneticPr fontId="4" type="noConversion"/>
  </si>
  <si>
    <t>CNY_Treasury_Live_Curve_2012-4-25_Calibrated_Curve_3</t>
    <phoneticPr fontId="4" type="noConversion"/>
  </si>
  <si>
    <t>CNY_Treasury_Live_Curve_2012-4-25_Calibrated_Curve_4</t>
    <phoneticPr fontId="4" type="noConversion"/>
  </si>
  <si>
    <t>CNY_Treasury_Live_Curve_2012-4-25_Calibrated_Curve_5</t>
    <phoneticPr fontId="4" type="noConversion"/>
  </si>
  <si>
    <t>CNY_Treasury_Live_Curve_2012-4-25_Calibrated_Curve_6</t>
    <phoneticPr fontId="4" type="noConversion"/>
  </si>
  <si>
    <t>CNY_Treasury_Live_Curve_2012-4-25_Calibrated_Curve_7</t>
    <phoneticPr fontId="4" type="noConversion"/>
  </si>
  <si>
    <t>CNY_Treasury_Live_Curve_2012-4-26_Calibrated_Curve_1</t>
    <phoneticPr fontId="4" type="noConversion"/>
  </si>
  <si>
    <t>CNY_Treasury_Live_Curve_2012-4-26_Calibrated_Curve_2</t>
    <phoneticPr fontId="4" type="noConversion"/>
  </si>
  <si>
    <t>CNY_Treasury_Live_Curve_2012-4-26_Calibrated_Curve_3</t>
    <phoneticPr fontId="4" type="noConversion"/>
  </si>
  <si>
    <t>CNY_Treasury_Live_Curve_2012-4-26_Calibrated_Curve_4</t>
    <phoneticPr fontId="4" type="noConversion"/>
  </si>
  <si>
    <t>CNY_Treasury_Live_Curve_2012-4-26_Calibrated_Curve_5</t>
    <phoneticPr fontId="4" type="noConversion"/>
  </si>
  <si>
    <t>CNY_Treasury_Live_Curve_2012-4-26_Calibrated_Curve_6</t>
    <phoneticPr fontId="4" type="noConversion"/>
  </si>
  <si>
    <t>CNY_Treasury_Live_Curve_2012-4-26_Calibrated_Curve_7</t>
    <phoneticPr fontId="4" type="noConversion"/>
  </si>
  <si>
    <t>CNY_Treasury_Live_Curve_2012-4-27_Calibrated_Curve_1</t>
    <phoneticPr fontId="4" type="noConversion"/>
  </si>
  <si>
    <t>CNY_Treasury_Live_Curve_2012-4-27_Calibrated_Curve_2</t>
    <phoneticPr fontId="4" type="noConversion"/>
  </si>
  <si>
    <t>CNY_Treasury_Live_Curve_2012-4-27_Calibrated_Curve_3</t>
    <phoneticPr fontId="4" type="noConversion"/>
  </si>
  <si>
    <t>CNY_Treasury_Live_Curve_2012-4-27_Calibrated_Curve_4</t>
    <phoneticPr fontId="4" type="noConversion"/>
  </si>
  <si>
    <t>CNY_Treasury_Live_Curve_2012-4-27_Calibrated_Curve_5</t>
    <phoneticPr fontId="4" type="noConversion"/>
  </si>
  <si>
    <t>CNY_Treasury_Live_Curve_2012-4-27_Calibrated_Curve_6</t>
    <phoneticPr fontId="4" type="noConversion"/>
  </si>
  <si>
    <t>CNY_Treasury_Live_Curve_2012-4-27_Calibrated_Curve_7</t>
    <phoneticPr fontId="4" type="noConversion"/>
  </si>
  <si>
    <t>CNY_Treasury_Live_Curve_2012-4-28_Calibrated_Curve_1</t>
    <phoneticPr fontId="4" type="noConversion"/>
  </si>
  <si>
    <t>CNY_Treasury_Live_Curve_2012-4-28_Calibrated_Curve_2</t>
    <phoneticPr fontId="4" type="noConversion"/>
  </si>
  <si>
    <t>CNY_Treasury_Live_Curve_2012-4-28_Calibrated_Curve_3</t>
    <phoneticPr fontId="4" type="noConversion"/>
  </si>
  <si>
    <t>CNY_Treasury_Live_Curve_2012-4-28_Calibrated_Curve_4</t>
    <phoneticPr fontId="4" type="noConversion"/>
  </si>
  <si>
    <t>CNY_Treasury_Live_Curve_2012-4-28_Calibrated_Curve_5</t>
    <phoneticPr fontId="4" type="noConversion"/>
  </si>
  <si>
    <t>CNY_Treasury_Live_Curve_2012-4-28_Calibrated_Curve_6</t>
    <phoneticPr fontId="4" type="noConversion"/>
  </si>
  <si>
    <t>CNY_Treasury_Live_Curve_2012-4-28_Calibrated_Curve_7</t>
    <phoneticPr fontId="4" type="noConversion"/>
  </si>
  <si>
    <t>CNY_Treasury_Live_Curve_2012-4-5_Calibrated_Curve_1</t>
    <phoneticPr fontId="4" type="noConversion"/>
  </si>
  <si>
    <t>CNY_Treasury_Live_Curve_2012-4-5_Calibrated_Curve_2</t>
    <phoneticPr fontId="4" type="noConversion"/>
  </si>
  <si>
    <t>CNY_Treasury_Live_Curve_2012-4-5_Calibrated_Curve_3</t>
    <phoneticPr fontId="4" type="noConversion"/>
  </si>
  <si>
    <t>CNY_Treasury_Live_Curve_2012-4-5_Calibrated_Curve_4</t>
    <phoneticPr fontId="4" type="noConversion"/>
  </si>
  <si>
    <t>CNY_Treasury_Live_Curve_2012-4-5_Calibrated_Curve_5</t>
    <phoneticPr fontId="4" type="noConversion"/>
  </si>
  <si>
    <t>CNY_Treasury_Live_Curve_2012-4-5_Calibrated_Curve_6</t>
    <phoneticPr fontId="4" type="noConversion"/>
  </si>
  <si>
    <t>CNY_Treasury_Live_Curve_2012-4-5_Calibrated_Curve_7</t>
    <phoneticPr fontId="4" type="noConversion"/>
  </si>
  <si>
    <t>CNY_Treasury_Live_Curve_2012-4-6_Calibrated_Curve_1</t>
    <phoneticPr fontId="4" type="noConversion"/>
  </si>
  <si>
    <t>CNY_Treasury_Live_Curve_2012-4-6_Calibrated_Curve_2</t>
    <phoneticPr fontId="4" type="noConversion"/>
  </si>
  <si>
    <t>CNY_Treasury_Live_Curve_2012-4-6_Calibrated_Curve_3</t>
    <phoneticPr fontId="4" type="noConversion"/>
  </si>
  <si>
    <t>CNY_Treasury_Live_Curve_2012-4-6_Calibrated_Curve_4</t>
    <phoneticPr fontId="4" type="noConversion"/>
  </si>
  <si>
    <t>CNY_Treasury_Live_Curve_2012-4-6_Calibrated_Curve_5</t>
    <phoneticPr fontId="4" type="noConversion"/>
  </si>
  <si>
    <t>CNY_Treasury_Live_Curve_2012-4-6_Calibrated_Curve_6</t>
    <phoneticPr fontId="4" type="noConversion"/>
  </si>
  <si>
    <t>CNY_Treasury_Live_Curve_2012-4-6_Calibrated_Curve_7</t>
    <phoneticPr fontId="4" type="noConversion"/>
  </si>
  <si>
    <t>CNY_Treasury_Live_Curve_2012-4-9_Calibrated_Curve_1</t>
    <phoneticPr fontId="4" type="noConversion"/>
  </si>
  <si>
    <t>CNY_Treasury_Live_Curve_2012-4-9_Calibrated_Curve_2</t>
    <phoneticPr fontId="4" type="noConversion"/>
  </si>
  <si>
    <t>CNY_Treasury_Live_Curve_2012-4-9_Calibrated_Curve_3</t>
    <phoneticPr fontId="4" type="noConversion"/>
  </si>
  <si>
    <t>CNY_Treasury_Live_Curve_2012-4-9_Calibrated_Curve_4</t>
    <phoneticPr fontId="4" type="noConversion"/>
  </si>
  <si>
    <t>CNY_Treasury_Live_Curve_2012-4-9_Calibrated_Curve_5</t>
    <phoneticPr fontId="4" type="noConversion"/>
  </si>
  <si>
    <t>CNY_Treasury_Live_Curve_2012-4-9_Calibrated_Curve_6</t>
    <phoneticPr fontId="4" type="noConversion"/>
  </si>
  <si>
    <t>CNY_Treasury_Live_Curve_2012-4-9_Calibrated_Curve_7</t>
    <phoneticPr fontId="4" type="noConversion"/>
  </si>
  <si>
    <t>CNY_Treasury_Live_Curve_2012-5-10_Calibrated_Curve_1</t>
    <phoneticPr fontId="4" type="noConversion"/>
  </si>
  <si>
    <t>CNY_Treasury_Live_Curve_2012-5-10_Calibrated_Curve_2</t>
    <phoneticPr fontId="4" type="noConversion"/>
  </si>
  <si>
    <t>CNY_Treasury_Live_Curve_2012-5-10_Calibrated_Curve_3</t>
    <phoneticPr fontId="4" type="noConversion"/>
  </si>
  <si>
    <t>CNY_Treasury_Live_Curve_2012-5-10_Calibrated_Curve_4</t>
    <phoneticPr fontId="4" type="noConversion"/>
  </si>
  <si>
    <t>CNY_Treasury_Live_Curve_2012-5-10_Calibrated_Curve_5</t>
    <phoneticPr fontId="4" type="noConversion"/>
  </si>
  <si>
    <t>CNY_Treasury_Live_Curve_2012-5-10_Calibrated_Curve_6</t>
    <phoneticPr fontId="4" type="noConversion"/>
  </si>
  <si>
    <t>CNY_Treasury_Live_Curve_2012-5-10_Calibrated_Curve_7</t>
    <phoneticPr fontId="4" type="noConversion"/>
  </si>
  <si>
    <t>CNY_Treasury_Live_Curve_2012-5-11_Calibrated_Curve_1</t>
    <phoneticPr fontId="4" type="noConversion"/>
  </si>
  <si>
    <t>CNY_Treasury_Live_Curve_2012-5-11_Calibrated_Curve_2</t>
    <phoneticPr fontId="4" type="noConversion"/>
  </si>
  <si>
    <t>CNY_Treasury_Live_Curve_2012-5-11_Calibrated_Curve_3</t>
    <phoneticPr fontId="4" type="noConversion"/>
  </si>
  <si>
    <t>CNY_Treasury_Live_Curve_2012-5-11_Calibrated_Curve_4</t>
    <phoneticPr fontId="4" type="noConversion"/>
  </si>
  <si>
    <t>CNY_Treasury_Live_Curve_2012-5-11_Calibrated_Curve_5</t>
    <phoneticPr fontId="4" type="noConversion"/>
  </si>
  <si>
    <t>CNY_Treasury_Live_Curve_2012-5-11_Calibrated_Curve_6</t>
    <phoneticPr fontId="4" type="noConversion"/>
  </si>
  <si>
    <t>CNY_Treasury_Live_Curve_2012-5-11_Calibrated_Curve_7</t>
    <phoneticPr fontId="4" type="noConversion"/>
  </si>
  <si>
    <t>CNY_Treasury_Live_Curve_2012-5-14_Calibrated_Curve_1</t>
    <phoneticPr fontId="4" type="noConversion"/>
  </si>
  <si>
    <t>CNY_Treasury_Live_Curve_2012-5-14_Calibrated_Curve_2</t>
    <phoneticPr fontId="4" type="noConversion"/>
  </si>
  <si>
    <t>CNY_Treasury_Live_Curve_2012-5-14_Calibrated_Curve_3</t>
    <phoneticPr fontId="4" type="noConversion"/>
  </si>
  <si>
    <t>CNY_Treasury_Live_Curve_2012-5-14_Calibrated_Curve_4</t>
    <phoneticPr fontId="4" type="noConversion"/>
  </si>
  <si>
    <t>CNY_Treasury_Live_Curve_2012-5-14_Calibrated_Curve_5</t>
    <phoneticPr fontId="4" type="noConversion"/>
  </si>
  <si>
    <t>CNY_Treasury_Live_Curve_2012-5-14_Calibrated_Curve_6</t>
    <phoneticPr fontId="4" type="noConversion"/>
  </si>
  <si>
    <t>CNY_Treasury_Live_Curve_2012-5-14_Calibrated_Curve_7</t>
    <phoneticPr fontId="4" type="noConversion"/>
  </si>
  <si>
    <t>CNY_Treasury_Live_Curve_2012-5-15_Calibrated_Curve_1</t>
    <phoneticPr fontId="4" type="noConversion"/>
  </si>
  <si>
    <t>CNY_Treasury_Live_Curve_2012-5-15_Calibrated_Curve_2</t>
    <phoneticPr fontId="4" type="noConversion"/>
  </si>
  <si>
    <t>CNY_Treasury_Live_Curve_2012-5-15_Calibrated_Curve_3</t>
    <phoneticPr fontId="4" type="noConversion"/>
  </si>
  <si>
    <t>CNY_Treasury_Live_Curve_2012-5-15_Calibrated_Curve_4</t>
    <phoneticPr fontId="4" type="noConversion"/>
  </si>
  <si>
    <t>CNY_Treasury_Live_Curve_2012-5-15_Calibrated_Curve_5</t>
    <phoneticPr fontId="4" type="noConversion"/>
  </si>
  <si>
    <t>CNY_Treasury_Live_Curve_2012-5-15_Calibrated_Curve_6</t>
    <phoneticPr fontId="4" type="noConversion"/>
  </si>
  <si>
    <t>CNY_Treasury_Live_Curve_2012-5-15_Calibrated_Curve_7</t>
    <phoneticPr fontId="4" type="noConversion"/>
  </si>
  <si>
    <t>CNY_Treasury_Live_Curve_2012-5-16_Calibrated_Curve_1</t>
    <phoneticPr fontId="4" type="noConversion"/>
  </si>
  <si>
    <t>CNY_Treasury_Live_Curve_2012-5-16_Calibrated_Curve_2</t>
    <phoneticPr fontId="4" type="noConversion"/>
  </si>
  <si>
    <t>CNY_Treasury_Live_Curve_2012-5-16_Calibrated_Curve_3</t>
    <phoneticPr fontId="4" type="noConversion"/>
  </si>
  <si>
    <t>CNY_Treasury_Live_Curve_2012-5-16_Calibrated_Curve_4</t>
    <phoneticPr fontId="4" type="noConversion"/>
  </si>
  <si>
    <t>CNY_Treasury_Live_Curve_2012-5-16_Calibrated_Curve_5</t>
    <phoneticPr fontId="4" type="noConversion"/>
  </si>
  <si>
    <t>CNY_Treasury_Live_Curve_2012-5-16_Calibrated_Curve_6</t>
    <phoneticPr fontId="4" type="noConversion"/>
  </si>
  <si>
    <t>CNY_Treasury_Live_Curve_2012-5-16_Calibrated_Curve_7</t>
    <phoneticPr fontId="4" type="noConversion"/>
  </si>
  <si>
    <t>CNY_Treasury_Live_Curve_2012-5-17_Calibrated_Curve_1</t>
    <phoneticPr fontId="4" type="noConversion"/>
  </si>
  <si>
    <t>CNY_Treasury_Live_Curve_2012-5-17_Calibrated_Curve_2</t>
    <phoneticPr fontId="4" type="noConversion"/>
  </si>
  <si>
    <t>CNY_Treasury_Live_Curve_2012-5-17_Calibrated_Curve_3</t>
    <phoneticPr fontId="4" type="noConversion"/>
  </si>
  <si>
    <t>CNY_Treasury_Live_Curve_2012-5-17_Calibrated_Curve_4</t>
    <phoneticPr fontId="4" type="noConversion"/>
  </si>
  <si>
    <t>CNY_Treasury_Live_Curve_2012-5-17_Calibrated_Curve_5</t>
    <phoneticPr fontId="4" type="noConversion"/>
  </si>
  <si>
    <t>CNY_Treasury_Live_Curve_2012-5-17_Calibrated_Curve_6</t>
    <phoneticPr fontId="4" type="noConversion"/>
  </si>
  <si>
    <t>CNY_Treasury_Live_Curve_2012-5-17_Calibrated_Curve_7</t>
    <phoneticPr fontId="4" type="noConversion"/>
  </si>
  <si>
    <t>CNY_Treasury_Live_Curve_2012-5-18_Calibrated_Curve_1</t>
    <phoneticPr fontId="4" type="noConversion"/>
  </si>
  <si>
    <t>CNY_Treasury_Live_Curve_2012-5-18_Calibrated_Curve_2</t>
    <phoneticPr fontId="4" type="noConversion"/>
  </si>
  <si>
    <t>CNY_Treasury_Live_Curve_2012-5-18_Calibrated_Curve_3</t>
    <phoneticPr fontId="4" type="noConversion"/>
  </si>
  <si>
    <t>CNY_Treasury_Live_Curve_2012-5-18_Calibrated_Curve_4</t>
    <phoneticPr fontId="4" type="noConversion"/>
  </si>
  <si>
    <t>CNY_Treasury_Live_Curve_2012-5-18_Calibrated_Curve_5</t>
    <phoneticPr fontId="4" type="noConversion"/>
  </si>
  <si>
    <t>CNY_Treasury_Live_Curve_2012-5-18_Calibrated_Curve_6</t>
    <phoneticPr fontId="4" type="noConversion"/>
  </si>
  <si>
    <t>CNY_Treasury_Live_Curve_2012-5-18_Calibrated_Curve_7</t>
    <phoneticPr fontId="4" type="noConversion"/>
  </si>
  <si>
    <t>CNY_Treasury_Live_Curve_2012-5-2_Calibrated_Curve_1</t>
    <phoneticPr fontId="4" type="noConversion"/>
  </si>
  <si>
    <t>CNY_Treasury_Live_Curve_2012-5-2_Calibrated_Curve_2</t>
    <phoneticPr fontId="4" type="noConversion"/>
  </si>
  <si>
    <t>CNY_Treasury_Live_Curve_2012-5-2_Calibrated_Curve_3</t>
    <phoneticPr fontId="4" type="noConversion"/>
  </si>
  <si>
    <t>CNY_Treasury_Live_Curve_2012-5-2_Calibrated_Curve_4</t>
    <phoneticPr fontId="4" type="noConversion"/>
  </si>
  <si>
    <t>CNY_Treasury_Live_Curve_2012-5-2_Calibrated_Curve_5</t>
    <phoneticPr fontId="4" type="noConversion"/>
  </si>
  <si>
    <t>CNY_Treasury_Live_Curve_2012-5-2_Calibrated_Curve_6</t>
    <phoneticPr fontId="4" type="noConversion"/>
  </si>
  <si>
    <t>CNY_Treasury_Live_Curve_2012-5-2_Calibrated_Curve_7</t>
    <phoneticPr fontId="4" type="noConversion"/>
  </si>
  <si>
    <t>CNY_Treasury_Live_Curve_2012-5-21_Calibrated_Curve_1</t>
    <phoneticPr fontId="4" type="noConversion"/>
  </si>
  <si>
    <t>CNY_Treasury_Live_Curve_2012-5-21_Calibrated_Curve_2</t>
    <phoneticPr fontId="4" type="noConversion"/>
  </si>
  <si>
    <t>CNY_Treasury_Live_Curve_2012-5-21_Calibrated_Curve_3</t>
    <phoneticPr fontId="4" type="noConversion"/>
  </si>
  <si>
    <t>CNY_Treasury_Live_Curve_2012-5-21_Calibrated_Curve_4</t>
    <phoneticPr fontId="4" type="noConversion"/>
  </si>
  <si>
    <t>CNY_Treasury_Live_Curve_2012-5-21_Calibrated_Curve_5</t>
    <phoneticPr fontId="4" type="noConversion"/>
  </si>
  <si>
    <t>CNY_Treasury_Live_Curve_2012-5-21_Calibrated_Curve_6</t>
    <phoneticPr fontId="4" type="noConversion"/>
  </si>
  <si>
    <t>CNY_Treasury_Live_Curve_2012-5-21_Calibrated_Curve_7</t>
    <phoneticPr fontId="4" type="noConversion"/>
  </si>
  <si>
    <t>CNY_Treasury_Live_Curve_2012-5-22_Calibrated_Curve_1</t>
    <phoneticPr fontId="4" type="noConversion"/>
  </si>
  <si>
    <t>CNY_Treasury_Live_Curve_2012-5-22_Calibrated_Curve_2</t>
    <phoneticPr fontId="4" type="noConversion"/>
  </si>
  <si>
    <t>CNY_Treasury_Live_Curve_2012-5-22_Calibrated_Curve_3</t>
    <phoneticPr fontId="4" type="noConversion"/>
  </si>
  <si>
    <t>CNY_Treasury_Live_Curve_2012-5-22_Calibrated_Curve_4</t>
    <phoneticPr fontId="4" type="noConversion"/>
  </si>
  <si>
    <t>CNY_Treasury_Live_Curve_2012-5-22_Calibrated_Curve_5</t>
    <phoneticPr fontId="4" type="noConversion"/>
  </si>
  <si>
    <t>CNY_Treasury_Live_Curve_2012-5-22_Calibrated_Curve_6</t>
    <phoneticPr fontId="4" type="noConversion"/>
  </si>
  <si>
    <t>CNY_Treasury_Live_Curve_2012-5-22_Calibrated_Curve_7</t>
    <phoneticPr fontId="4" type="noConversion"/>
  </si>
  <si>
    <t>CNY_Treasury_Live_Curve_2012-5-23_Calibrated_Curve_1</t>
    <phoneticPr fontId="4" type="noConversion"/>
  </si>
  <si>
    <t>CNY_Treasury_Live_Curve_2012-5-23_Calibrated_Curve_2</t>
    <phoneticPr fontId="4" type="noConversion"/>
  </si>
  <si>
    <t>CNY_Treasury_Live_Curve_2012-5-23_Calibrated_Curve_3</t>
    <phoneticPr fontId="4" type="noConversion"/>
  </si>
  <si>
    <t>CNY_Treasury_Live_Curve_2012-5-23_Calibrated_Curve_4</t>
    <phoneticPr fontId="4" type="noConversion"/>
  </si>
  <si>
    <t>CNY_Treasury_Live_Curve_2012-5-23_Calibrated_Curve_5</t>
    <phoneticPr fontId="4" type="noConversion"/>
  </si>
  <si>
    <t>CNY_Treasury_Live_Curve_2012-5-23_Calibrated_Curve_6</t>
    <phoneticPr fontId="4" type="noConversion"/>
  </si>
  <si>
    <t>CNY_Treasury_Live_Curve_2012-5-23_Calibrated_Curve_7</t>
    <phoneticPr fontId="4" type="noConversion"/>
  </si>
  <si>
    <t>CNY_Treasury_Live_Curve_2012-5-24_Calibrated_Curve_1</t>
    <phoneticPr fontId="4" type="noConversion"/>
  </si>
  <si>
    <t>CNY_Treasury_Live_Curve_2012-5-24_Calibrated_Curve_2</t>
    <phoneticPr fontId="4" type="noConversion"/>
  </si>
  <si>
    <t>CNY_Treasury_Live_Curve_2012-5-24_Calibrated_Curve_3</t>
    <phoneticPr fontId="4" type="noConversion"/>
  </si>
  <si>
    <t>CNY_Treasury_Live_Curve_2012-5-24_Calibrated_Curve_4</t>
    <phoneticPr fontId="4" type="noConversion"/>
  </si>
  <si>
    <t>CNY_Treasury_Live_Curve_2012-5-24_Calibrated_Curve_5</t>
    <phoneticPr fontId="4" type="noConversion"/>
  </si>
  <si>
    <t>CNY_Treasury_Live_Curve_2012-5-24_Calibrated_Curve_6</t>
    <phoneticPr fontId="4" type="noConversion"/>
  </si>
  <si>
    <t>CNY_Treasury_Live_Curve_2012-5-24_Calibrated_Curve_7</t>
    <phoneticPr fontId="4" type="noConversion"/>
  </si>
  <si>
    <t>CNY_Treasury_Live_Curve_2012-5-25_Calibrated_Curve_1</t>
    <phoneticPr fontId="4" type="noConversion"/>
  </si>
  <si>
    <t>CNY_Treasury_Live_Curve_2012-5-25_Calibrated_Curve_2</t>
    <phoneticPr fontId="4" type="noConversion"/>
  </si>
  <si>
    <t>CNY_Treasury_Live_Curve_2012-5-25_Calibrated_Curve_3</t>
    <phoneticPr fontId="4" type="noConversion"/>
  </si>
  <si>
    <t>CNY_Treasury_Live_Curve_2012-5-25_Calibrated_Curve_4</t>
    <phoneticPr fontId="4" type="noConversion"/>
  </si>
  <si>
    <t>CNY_Treasury_Live_Curve_2012-5-25_Calibrated_Curve_5</t>
    <phoneticPr fontId="4" type="noConversion"/>
  </si>
  <si>
    <t>CNY_Treasury_Live_Curve_2012-5-25_Calibrated_Curve_6</t>
    <phoneticPr fontId="4" type="noConversion"/>
  </si>
  <si>
    <t>CNY_Treasury_Live_Curve_2012-5-25_Calibrated_Curve_7</t>
    <phoneticPr fontId="4" type="noConversion"/>
  </si>
  <si>
    <t>CNY_Treasury_Live_Curve_2012-5-28_Calibrated_Curve_1</t>
    <phoneticPr fontId="4" type="noConversion"/>
  </si>
  <si>
    <t>CNY_Treasury_Live_Curve_2012-5-28_Calibrated_Curve_2</t>
    <phoneticPr fontId="4" type="noConversion"/>
  </si>
  <si>
    <t>CNY_Treasury_Live_Curve_2012-5-28_Calibrated_Curve_3</t>
    <phoneticPr fontId="4" type="noConversion"/>
  </si>
  <si>
    <t>CNY_Treasury_Live_Curve_2012-5-28_Calibrated_Curve_4</t>
    <phoneticPr fontId="4" type="noConversion"/>
  </si>
  <si>
    <t>CNY_Treasury_Live_Curve_2012-5-28_Calibrated_Curve_5</t>
    <phoneticPr fontId="4" type="noConversion"/>
  </si>
  <si>
    <t>CNY_Treasury_Live_Curve_2012-5-28_Calibrated_Curve_6</t>
    <phoneticPr fontId="4" type="noConversion"/>
  </si>
  <si>
    <t>CNY_Treasury_Live_Curve_2012-5-28_Calibrated_Curve_7</t>
    <phoneticPr fontId="4" type="noConversion"/>
  </si>
  <si>
    <t>CNY_Treasury_Live_Curve_2012-5-29_Calibrated_Curve_1</t>
    <phoneticPr fontId="4" type="noConversion"/>
  </si>
  <si>
    <t>CNY_Treasury_Live_Curve_2012-5-29_Calibrated_Curve_2</t>
    <phoneticPr fontId="4" type="noConversion"/>
  </si>
  <si>
    <t>CNY_Treasury_Live_Curve_2012-5-29_Calibrated_Curve_3</t>
    <phoneticPr fontId="4" type="noConversion"/>
  </si>
  <si>
    <t>CNY_Treasury_Live_Curve_2012-5-29_Calibrated_Curve_4</t>
    <phoneticPr fontId="4" type="noConversion"/>
  </si>
  <si>
    <t>CNY_Treasury_Live_Curve_2012-5-29_Calibrated_Curve_5</t>
    <phoneticPr fontId="4" type="noConversion"/>
  </si>
  <si>
    <t>CNY_Treasury_Live_Curve_2012-5-29_Calibrated_Curve_6</t>
    <phoneticPr fontId="4" type="noConversion"/>
  </si>
  <si>
    <t>CNY_Treasury_Live_Curve_2012-5-29_Calibrated_Curve_7</t>
    <phoneticPr fontId="4" type="noConversion"/>
  </si>
  <si>
    <t>CNY_Treasury_Live_Curve_2012-5-3_Calibrated_Curve_1</t>
    <phoneticPr fontId="4" type="noConversion"/>
  </si>
  <si>
    <t>CNY_Treasury_Live_Curve_2012-5-3_Calibrated_Curve_2</t>
    <phoneticPr fontId="4" type="noConversion"/>
  </si>
  <si>
    <t>CNY_Treasury_Live_Curve_2012-5-3_Calibrated_Curve_3</t>
    <phoneticPr fontId="4" type="noConversion"/>
  </si>
  <si>
    <t>CNY_Treasury_Live_Curve_2012-5-3_Calibrated_Curve_4</t>
    <phoneticPr fontId="4" type="noConversion"/>
  </si>
  <si>
    <t>CNY_Treasury_Live_Curve_2012-5-3_Calibrated_Curve_5</t>
    <phoneticPr fontId="4" type="noConversion"/>
  </si>
  <si>
    <t>CNY_Treasury_Live_Curve_2012-5-3_Calibrated_Curve_6</t>
    <phoneticPr fontId="4" type="noConversion"/>
  </si>
  <si>
    <t>CNY_Treasury_Live_Curve_2012-5-3_Calibrated_Curve_7</t>
    <phoneticPr fontId="4" type="noConversion"/>
  </si>
  <si>
    <t>CNY_Treasury_Live_Curve_2012-5-30_Calibrated_Curve_1</t>
    <phoneticPr fontId="4" type="noConversion"/>
  </si>
  <si>
    <t>CNY_Treasury_Live_Curve_2012-5-30_Calibrated_Curve_2</t>
    <phoneticPr fontId="4" type="noConversion"/>
  </si>
  <si>
    <t>CNY_Treasury_Live_Curve_2012-5-30_Calibrated_Curve_3</t>
    <phoneticPr fontId="4" type="noConversion"/>
  </si>
  <si>
    <t>CNY_Treasury_Live_Curve_2012-5-30_Calibrated_Curve_4</t>
    <phoneticPr fontId="4" type="noConversion"/>
  </si>
  <si>
    <t>CNY_Treasury_Live_Curve_2012-5-30_Calibrated_Curve_5</t>
    <phoneticPr fontId="4" type="noConversion"/>
  </si>
  <si>
    <t>CNY_Treasury_Live_Curve_2012-5-30_Calibrated_Curve_6</t>
    <phoneticPr fontId="4" type="noConversion"/>
  </si>
  <si>
    <t>CNY_Treasury_Live_Curve_2012-5-30_Calibrated_Curve_7</t>
    <phoneticPr fontId="4" type="noConversion"/>
  </si>
  <si>
    <t>CNY_Treasury_Live_Curve_2012-5-31_Calibrated_Curve_1</t>
    <phoneticPr fontId="4" type="noConversion"/>
  </si>
  <si>
    <t>CNY_Treasury_Live_Curve_2012-5-31_Calibrated_Curve_2</t>
    <phoneticPr fontId="4" type="noConversion"/>
  </si>
  <si>
    <t>CNY_Treasury_Live_Curve_2012-5-31_Calibrated_Curve_3</t>
    <phoneticPr fontId="4" type="noConversion"/>
  </si>
  <si>
    <t>CNY_Treasury_Live_Curve_2012-5-31_Calibrated_Curve_4</t>
    <phoneticPr fontId="4" type="noConversion"/>
  </si>
  <si>
    <t>CNY_Treasury_Live_Curve_2012-5-31_Calibrated_Curve_5</t>
    <phoneticPr fontId="4" type="noConversion"/>
  </si>
  <si>
    <t>CNY_Treasury_Live_Curve_2012-5-31_Calibrated_Curve_6</t>
    <phoneticPr fontId="4" type="noConversion"/>
  </si>
  <si>
    <t>CNY_Treasury_Live_Curve_2012-5-31_Calibrated_Curve_7</t>
    <phoneticPr fontId="4" type="noConversion"/>
  </si>
  <si>
    <t>CNY_Treasury_Live_Curve_2012-5-4_Calibrated_Curve_1</t>
    <phoneticPr fontId="4" type="noConversion"/>
  </si>
  <si>
    <t>CNY_Treasury_Live_Curve_2012-5-4_Calibrated_Curve_2</t>
    <phoneticPr fontId="4" type="noConversion"/>
  </si>
  <si>
    <t>CNY_Treasury_Live_Curve_2012-5-4_Calibrated_Curve_3</t>
    <phoneticPr fontId="4" type="noConversion"/>
  </si>
  <si>
    <t>CNY_Treasury_Live_Curve_2012-5-4_Calibrated_Curve_4</t>
    <phoneticPr fontId="4" type="noConversion"/>
  </si>
  <si>
    <t>CNY_Treasury_Live_Curve_2012-5-4_Calibrated_Curve_5</t>
    <phoneticPr fontId="4" type="noConversion"/>
  </si>
  <si>
    <t>CNY_Treasury_Live_Curve_2012-5-4_Calibrated_Curve_6</t>
    <phoneticPr fontId="4" type="noConversion"/>
  </si>
  <si>
    <t>CNY_Treasury_Live_Curve_2012-5-4_Calibrated_Curve_7</t>
    <phoneticPr fontId="4" type="noConversion"/>
  </si>
  <si>
    <t>CNY_Treasury_Live_Curve_2012-5-7_Calibrated_Curve_1</t>
    <phoneticPr fontId="4" type="noConversion"/>
  </si>
  <si>
    <t>CNY_Treasury_Live_Curve_2012-5-7_Calibrated_Curve_2</t>
    <phoneticPr fontId="4" type="noConversion"/>
  </si>
  <si>
    <t>CNY_Treasury_Live_Curve_2012-5-7_Calibrated_Curve_3</t>
    <phoneticPr fontId="4" type="noConversion"/>
  </si>
  <si>
    <t>CNY_Treasury_Live_Curve_2012-5-7_Calibrated_Curve_4</t>
    <phoneticPr fontId="4" type="noConversion"/>
  </si>
  <si>
    <t>CNY_Treasury_Live_Curve_2012-5-7_Calibrated_Curve_5</t>
    <phoneticPr fontId="4" type="noConversion"/>
  </si>
  <si>
    <t>CNY_Treasury_Live_Curve_2012-5-7_Calibrated_Curve_6</t>
    <phoneticPr fontId="4" type="noConversion"/>
  </si>
  <si>
    <t>CNY_Treasury_Live_Curve_2012-5-7_Calibrated_Curve_7</t>
    <phoneticPr fontId="4" type="noConversion"/>
  </si>
  <si>
    <t>CNY_Treasury_Live_Curve_2012-5-8_Calibrated_Curve_1</t>
    <phoneticPr fontId="4" type="noConversion"/>
  </si>
  <si>
    <t>CNY_Treasury_Live_Curve_2012-5-8_Calibrated_Curve_2</t>
    <phoneticPr fontId="4" type="noConversion"/>
  </si>
  <si>
    <t>CNY_Treasury_Live_Curve_2012-5-8_Calibrated_Curve_3</t>
    <phoneticPr fontId="4" type="noConversion"/>
  </si>
  <si>
    <t>CNY_Treasury_Live_Curve_2012-5-8_Calibrated_Curve_4</t>
    <phoneticPr fontId="4" type="noConversion"/>
  </si>
  <si>
    <t>CNY_Treasury_Live_Curve_2012-5-8_Calibrated_Curve_5</t>
    <phoneticPr fontId="4" type="noConversion"/>
  </si>
  <si>
    <t>CNY_Treasury_Live_Curve_2012-5-8_Calibrated_Curve_6</t>
    <phoneticPr fontId="4" type="noConversion"/>
  </si>
  <si>
    <t>CNY_Treasury_Live_Curve_2012-5-8_Calibrated_Curve_7</t>
    <phoneticPr fontId="4" type="noConversion"/>
  </si>
  <si>
    <t>CNY_Treasury_Live_Curve_2012-5-9_Calibrated_Curve_1</t>
    <phoneticPr fontId="4" type="noConversion"/>
  </si>
  <si>
    <t>CNY_Treasury_Live_Curve_2012-5-9_Calibrated_Curve_2</t>
    <phoneticPr fontId="4" type="noConversion"/>
  </si>
  <si>
    <t>CNY_Treasury_Live_Curve_2012-5-9_Calibrated_Curve_3</t>
    <phoneticPr fontId="4" type="noConversion"/>
  </si>
  <si>
    <t>CNY_Treasury_Live_Curve_2012-5-9_Calibrated_Curve_4</t>
    <phoneticPr fontId="4" type="noConversion"/>
  </si>
  <si>
    <t>CNY_Treasury_Live_Curve_2012-5-9_Calibrated_Curve_5</t>
    <phoneticPr fontId="4" type="noConversion"/>
  </si>
  <si>
    <t>CNY_Treasury_Live_Curve_2012-5-9_Calibrated_Curve_6</t>
    <phoneticPr fontId="4" type="noConversion"/>
  </si>
  <si>
    <t>CNY_Treasury_Live_Curve_2012-5-9_Calibrated_Curve_7</t>
    <phoneticPr fontId="4" type="noConversion"/>
  </si>
  <si>
    <t>CNY_Treasury_Live_Curve_2012-6-1_Calibrated_Curve_1</t>
    <phoneticPr fontId="4" type="noConversion"/>
  </si>
  <si>
    <t>CNY_Treasury_Live_Curve_2012-6-1_Calibrated_Curve_2</t>
    <phoneticPr fontId="4" type="noConversion"/>
  </si>
  <si>
    <t>CNY_Treasury_Live_Curve_2012-6-1_Calibrated_Curve_3</t>
    <phoneticPr fontId="4" type="noConversion"/>
  </si>
  <si>
    <t>CNY_Treasury_Live_Curve_2012-6-1_Calibrated_Curve_4</t>
    <phoneticPr fontId="4" type="noConversion"/>
  </si>
  <si>
    <t>CNY_Treasury_Live_Curve_2012-6-1_Calibrated_Curve_5</t>
    <phoneticPr fontId="4" type="noConversion"/>
  </si>
  <si>
    <t>CNY_Treasury_Live_Curve_2012-6-1_Calibrated_Curve_6</t>
    <phoneticPr fontId="4" type="noConversion"/>
  </si>
  <si>
    <t>CNY_Treasury_Live_Curve_2012-6-1_Calibrated_Curve_7</t>
    <phoneticPr fontId="4" type="noConversion"/>
  </si>
  <si>
    <t>CNY_Treasury_Live_Curve_2012-6-11_Calibrated_Curve_1</t>
    <phoneticPr fontId="4" type="noConversion"/>
  </si>
  <si>
    <t>CNY_Treasury_Live_Curve_2012-6-11_Calibrated_Curve_2</t>
    <phoneticPr fontId="4" type="noConversion"/>
  </si>
  <si>
    <t>CNY_Treasury_Live_Curve_2012-6-11_Calibrated_Curve_3</t>
    <phoneticPr fontId="4" type="noConversion"/>
  </si>
  <si>
    <t>CNY_Treasury_Live_Curve_2012-6-11_Calibrated_Curve_4</t>
    <phoneticPr fontId="4" type="noConversion"/>
  </si>
  <si>
    <t>CNY_Treasury_Live_Curve_2012-6-11_Calibrated_Curve_5</t>
    <phoneticPr fontId="4" type="noConversion"/>
  </si>
  <si>
    <t>CNY_Treasury_Live_Curve_2012-6-11_Calibrated_Curve_6</t>
    <phoneticPr fontId="4" type="noConversion"/>
  </si>
  <si>
    <t>CNY_Treasury_Live_Curve_2012-6-11_Calibrated_Curve_7</t>
    <phoneticPr fontId="4" type="noConversion"/>
  </si>
  <si>
    <t>CNY_Treasury_Live_Curve_2012-6-12_Calibrated_Curve_1</t>
    <phoneticPr fontId="4" type="noConversion"/>
  </si>
  <si>
    <t>CNY_Treasury_Live_Curve_2012-6-12_Calibrated_Curve_2</t>
    <phoneticPr fontId="4" type="noConversion"/>
  </si>
  <si>
    <t>CNY_Treasury_Live_Curve_2012-6-12_Calibrated_Curve_3</t>
    <phoneticPr fontId="4" type="noConversion"/>
  </si>
  <si>
    <t>CNY_Treasury_Live_Curve_2012-6-12_Calibrated_Curve_4</t>
    <phoneticPr fontId="4" type="noConversion"/>
  </si>
  <si>
    <t>CNY_Treasury_Live_Curve_2012-6-12_Calibrated_Curve_5</t>
    <phoneticPr fontId="4" type="noConversion"/>
  </si>
  <si>
    <t>CNY_Treasury_Live_Curve_2012-6-12_Calibrated_Curve_6</t>
    <phoneticPr fontId="4" type="noConversion"/>
  </si>
  <si>
    <t>CNY_Treasury_Live_Curve_2012-6-12_Calibrated_Curve_7</t>
    <phoneticPr fontId="4" type="noConversion"/>
  </si>
  <si>
    <t>CNY_Treasury_Live_Curve_2012-6-13_Calibrated_Curve_1</t>
    <phoneticPr fontId="4" type="noConversion"/>
  </si>
  <si>
    <t>CNY_Treasury_Live_Curve_2012-6-13_Calibrated_Curve_2</t>
    <phoneticPr fontId="4" type="noConversion"/>
  </si>
  <si>
    <t>CNY_Treasury_Live_Curve_2012-6-13_Calibrated_Curve_3</t>
    <phoneticPr fontId="4" type="noConversion"/>
  </si>
  <si>
    <t>CNY_Treasury_Live_Curve_2012-6-13_Calibrated_Curve_4</t>
    <phoneticPr fontId="4" type="noConversion"/>
  </si>
  <si>
    <t>CNY_Treasury_Live_Curve_2012-6-13_Calibrated_Curve_5</t>
    <phoneticPr fontId="4" type="noConversion"/>
  </si>
  <si>
    <t>CNY_Treasury_Live_Curve_2012-6-13_Calibrated_Curve_6</t>
    <phoneticPr fontId="4" type="noConversion"/>
  </si>
  <si>
    <t>CNY_Treasury_Live_Curve_2012-6-13_Calibrated_Curve_7</t>
    <phoneticPr fontId="4" type="noConversion"/>
  </si>
  <si>
    <t>CNY_Treasury_Live_Curve_2012-6-14_Calibrated_Curve_1</t>
    <phoneticPr fontId="4" type="noConversion"/>
  </si>
  <si>
    <t>CNY_Treasury_Live_Curve_2012-6-14_Calibrated_Curve_2</t>
    <phoneticPr fontId="4" type="noConversion"/>
  </si>
  <si>
    <t>CNY_Treasury_Live_Curve_2012-6-14_Calibrated_Curve_3</t>
    <phoneticPr fontId="4" type="noConversion"/>
  </si>
  <si>
    <t>CNY_Treasury_Live_Curve_2012-6-14_Calibrated_Curve_4</t>
    <phoneticPr fontId="4" type="noConversion"/>
  </si>
  <si>
    <t>CNY_Treasury_Live_Curve_2012-6-14_Calibrated_Curve_5</t>
    <phoneticPr fontId="4" type="noConversion"/>
  </si>
  <si>
    <t>CNY_Treasury_Live_Curve_2012-6-14_Calibrated_Curve_6</t>
    <phoneticPr fontId="4" type="noConversion"/>
  </si>
  <si>
    <t>CNY_Treasury_Live_Curve_2012-6-14_Calibrated_Curve_7</t>
    <phoneticPr fontId="4" type="noConversion"/>
  </si>
  <si>
    <t>CNY_Treasury_Live_Curve_2012-6-15_Calibrated_Curve_1</t>
    <phoneticPr fontId="4" type="noConversion"/>
  </si>
  <si>
    <t>CNY_Treasury_Live_Curve_2012-6-15_Calibrated_Curve_2</t>
    <phoneticPr fontId="4" type="noConversion"/>
  </si>
  <si>
    <t>CNY_Treasury_Live_Curve_2012-6-15_Calibrated_Curve_3</t>
    <phoneticPr fontId="4" type="noConversion"/>
  </si>
  <si>
    <t>CNY_Treasury_Live_Curve_2012-6-15_Calibrated_Curve_4</t>
    <phoneticPr fontId="4" type="noConversion"/>
  </si>
  <si>
    <t>CNY_Treasury_Live_Curve_2012-6-15_Calibrated_Curve_5</t>
    <phoneticPr fontId="4" type="noConversion"/>
  </si>
  <si>
    <t>CNY_Treasury_Live_Curve_2012-6-15_Calibrated_Curve_6</t>
    <phoneticPr fontId="4" type="noConversion"/>
  </si>
  <si>
    <t>CNY_Treasury_Live_Curve_2012-6-15_Calibrated_Curve_7</t>
    <phoneticPr fontId="4" type="noConversion"/>
  </si>
  <si>
    <t>CNY_Treasury_Live_Curve_2012-6-18_Calibrated_Curve_1</t>
    <phoneticPr fontId="4" type="noConversion"/>
  </si>
  <si>
    <t>CNY_Treasury_Live_Curve_2012-6-18_Calibrated_Curve_2</t>
    <phoneticPr fontId="4" type="noConversion"/>
  </si>
  <si>
    <t>CNY_Treasury_Live_Curve_2012-6-18_Calibrated_Curve_3</t>
    <phoneticPr fontId="4" type="noConversion"/>
  </si>
  <si>
    <t>CNY_Treasury_Live_Curve_2012-6-18_Calibrated_Curve_4</t>
    <phoneticPr fontId="4" type="noConversion"/>
  </si>
  <si>
    <t>CNY_Treasury_Live_Curve_2012-6-18_Calibrated_Curve_5</t>
    <phoneticPr fontId="4" type="noConversion"/>
  </si>
  <si>
    <t>CNY_Treasury_Live_Curve_2012-6-18_Calibrated_Curve_6</t>
    <phoneticPr fontId="4" type="noConversion"/>
  </si>
  <si>
    <t>CNY_Treasury_Live_Curve_2012-6-18_Calibrated_Curve_7</t>
    <phoneticPr fontId="4" type="noConversion"/>
  </si>
  <si>
    <t>CNY_Treasury_Live_Curve_2012-6-19_Calibrated_Curve_1</t>
    <phoneticPr fontId="4" type="noConversion"/>
  </si>
  <si>
    <t>CNY_Treasury_Live_Curve_2012-6-19_Calibrated_Curve_2</t>
    <phoneticPr fontId="4" type="noConversion"/>
  </si>
  <si>
    <t>CNY_Treasury_Live_Curve_2012-6-19_Calibrated_Curve_3</t>
    <phoneticPr fontId="4" type="noConversion"/>
  </si>
  <si>
    <t>CNY_Treasury_Live_Curve_2012-6-19_Calibrated_Curve_4</t>
    <phoneticPr fontId="4" type="noConversion"/>
  </si>
  <si>
    <t>CNY_Treasury_Live_Curve_2012-6-19_Calibrated_Curve_5</t>
    <phoneticPr fontId="4" type="noConversion"/>
  </si>
  <si>
    <t>CNY_Treasury_Live_Curve_2012-6-19_Calibrated_Curve_6</t>
    <phoneticPr fontId="4" type="noConversion"/>
  </si>
  <si>
    <t>CNY_Treasury_Live_Curve_2012-6-19_Calibrated_Curve_7</t>
    <phoneticPr fontId="4" type="noConversion"/>
  </si>
  <si>
    <t>CNY_Treasury_Live_Curve_2012-6-20_Calibrated_Curve_1</t>
    <phoneticPr fontId="4" type="noConversion"/>
  </si>
  <si>
    <t>CNY_Treasury_Live_Curve_2012-6-20_Calibrated_Curve_2</t>
    <phoneticPr fontId="4" type="noConversion"/>
  </si>
  <si>
    <t>CNY_Treasury_Live_Curve_2012-6-20_Calibrated_Curve_3</t>
    <phoneticPr fontId="4" type="noConversion"/>
  </si>
  <si>
    <t>CNY_Treasury_Live_Curve_2012-6-20_Calibrated_Curve_4</t>
    <phoneticPr fontId="4" type="noConversion"/>
  </si>
  <si>
    <t>CNY_Treasury_Live_Curve_2012-6-20_Calibrated_Curve_5</t>
    <phoneticPr fontId="4" type="noConversion"/>
  </si>
  <si>
    <t>CNY_Treasury_Live_Curve_2012-6-20_Calibrated_Curve_6</t>
    <phoneticPr fontId="4" type="noConversion"/>
  </si>
  <si>
    <t>CNY_Treasury_Live_Curve_2012-6-20_Calibrated_Curve_7</t>
    <phoneticPr fontId="4" type="noConversion"/>
  </si>
  <si>
    <t>CNY_Treasury_Live_Curve_2012-6-21_Calibrated_Curve_1</t>
    <phoneticPr fontId="4" type="noConversion"/>
  </si>
  <si>
    <t>CNY_Treasury_Live_Curve_2012-6-21_Calibrated_Curve_2</t>
    <phoneticPr fontId="4" type="noConversion"/>
  </si>
  <si>
    <t>CNY_Treasury_Live_Curve_2012-6-21_Calibrated_Curve_3</t>
    <phoneticPr fontId="4" type="noConversion"/>
  </si>
  <si>
    <t>CNY_Treasury_Live_Curve_2012-6-21_Calibrated_Curve_4</t>
    <phoneticPr fontId="4" type="noConversion"/>
  </si>
  <si>
    <t>CNY_Treasury_Live_Curve_2012-6-21_Calibrated_Curve_5</t>
    <phoneticPr fontId="4" type="noConversion"/>
  </si>
  <si>
    <t>CNY_Treasury_Live_Curve_2012-6-21_Calibrated_Curve_6</t>
    <phoneticPr fontId="4" type="noConversion"/>
  </si>
  <si>
    <t>CNY_Treasury_Live_Curve_2012-6-21_Calibrated_Curve_7</t>
    <phoneticPr fontId="4" type="noConversion"/>
  </si>
  <si>
    <t>CNY_Treasury_Live_Curve_2012-6-25_Calibrated_Curve_1</t>
    <phoneticPr fontId="4" type="noConversion"/>
  </si>
  <si>
    <t>CNY_Treasury_Live_Curve_2012-6-25_Calibrated_Curve_2</t>
    <phoneticPr fontId="4" type="noConversion"/>
  </si>
  <si>
    <t>CNY_Treasury_Live_Curve_2012-6-25_Calibrated_Curve_3</t>
    <phoneticPr fontId="4" type="noConversion"/>
  </si>
  <si>
    <t>CNY_Treasury_Live_Curve_2012-6-25_Calibrated_Curve_4</t>
    <phoneticPr fontId="4" type="noConversion"/>
  </si>
  <si>
    <t>CNY_Treasury_Live_Curve_2012-6-25_Calibrated_Curve_5</t>
    <phoneticPr fontId="4" type="noConversion"/>
  </si>
  <si>
    <t>CNY_Treasury_Live_Curve_2012-6-25_Calibrated_Curve_6</t>
    <phoneticPr fontId="4" type="noConversion"/>
  </si>
  <si>
    <t>CNY_Treasury_Live_Curve_2012-6-25_Calibrated_Curve_7</t>
    <phoneticPr fontId="4" type="noConversion"/>
  </si>
  <si>
    <t>CNY_Treasury_Live_Curve_2012-6-26_Calibrated_Curve_1</t>
    <phoneticPr fontId="4" type="noConversion"/>
  </si>
  <si>
    <t>CNY_Treasury_Live_Curve_2012-6-26_Calibrated_Curve_2</t>
    <phoneticPr fontId="4" type="noConversion"/>
  </si>
  <si>
    <t>CNY_Treasury_Live_Curve_2012-6-26_Calibrated_Curve_3</t>
    <phoneticPr fontId="4" type="noConversion"/>
  </si>
  <si>
    <t>CNY_Treasury_Live_Curve_2012-6-26_Calibrated_Curve_4</t>
    <phoneticPr fontId="4" type="noConversion"/>
  </si>
  <si>
    <t>CNY_Treasury_Live_Curve_2012-6-26_Calibrated_Curve_5</t>
    <phoneticPr fontId="4" type="noConversion"/>
  </si>
  <si>
    <t>CNY_Treasury_Live_Curve_2012-6-26_Calibrated_Curve_6</t>
    <phoneticPr fontId="4" type="noConversion"/>
  </si>
  <si>
    <t>CNY_Treasury_Live_Curve_2012-6-26_Calibrated_Curve_7</t>
    <phoneticPr fontId="4" type="noConversion"/>
  </si>
  <si>
    <t>CNY_Treasury_Live_Curve_2012-6-27_Calibrated_Curve_1</t>
    <phoneticPr fontId="4" type="noConversion"/>
  </si>
  <si>
    <t>CNY_Treasury_Live_Curve_2012-6-27_Calibrated_Curve_2</t>
    <phoneticPr fontId="4" type="noConversion"/>
  </si>
  <si>
    <t>CNY_Treasury_Live_Curve_2012-6-27_Calibrated_Curve_3</t>
    <phoneticPr fontId="4" type="noConversion"/>
  </si>
  <si>
    <t>CNY_Treasury_Live_Curve_2012-6-27_Calibrated_Curve_4</t>
    <phoneticPr fontId="4" type="noConversion"/>
  </si>
  <si>
    <t>CNY_Treasury_Live_Curve_2012-6-27_Calibrated_Curve_5</t>
    <phoneticPr fontId="4" type="noConversion"/>
  </si>
  <si>
    <t>CNY_Treasury_Live_Curve_2012-6-27_Calibrated_Curve_6</t>
    <phoneticPr fontId="4" type="noConversion"/>
  </si>
  <si>
    <t>CNY_Treasury_Live_Curve_2012-6-27_Calibrated_Curve_7</t>
    <phoneticPr fontId="4" type="noConversion"/>
  </si>
  <si>
    <t>CNY_Treasury_Live_Curve_2012-6-28_Calibrated_Curve_1</t>
    <phoneticPr fontId="4" type="noConversion"/>
  </si>
  <si>
    <t>CNY_Treasury_Live_Curve_2012-6-28_Calibrated_Curve_2</t>
    <phoneticPr fontId="4" type="noConversion"/>
  </si>
  <si>
    <t>CNY_Treasury_Live_Curve_2012-6-28_Calibrated_Curve_3</t>
    <phoneticPr fontId="4" type="noConversion"/>
  </si>
  <si>
    <t>CNY_Treasury_Live_Curve_2012-6-28_Calibrated_Curve_4</t>
    <phoneticPr fontId="4" type="noConversion"/>
  </si>
  <si>
    <t>CNY_Treasury_Live_Curve_2012-6-28_Calibrated_Curve_5</t>
    <phoneticPr fontId="4" type="noConversion"/>
  </si>
  <si>
    <t>CNY_Treasury_Live_Curve_2012-6-28_Calibrated_Curve_6</t>
    <phoneticPr fontId="4" type="noConversion"/>
  </si>
  <si>
    <t>CNY_Treasury_Live_Curve_2012-6-28_Calibrated_Curve_7</t>
    <phoneticPr fontId="4" type="noConversion"/>
  </si>
  <si>
    <t>CNY_Treasury_Live_Curve_2012-6-29_Calibrated_Curve_1</t>
    <phoneticPr fontId="4" type="noConversion"/>
  </si>
  <si>
    <t>CNY_Treasury_Live_Curve_2012-6-29_Calibrated_Curve_2</t>
    <phoneticPr fontId="4" type="noConversion"/>
  </si>
  <si>
    <t>CNY_Treasury_Live_Curve_2012-6-29_Calibrated_Curve_3</t>
    <phoneticPr fontId="4" type="noConversion"/>
  </si>
  <si>
    <t>CNY_Treasury_Live_Curve_2012-6-29_Calibrated_Curve_4</t>
    <phoneticPr fontId="4" type="noConversion"/>
  </si>
  <si>
    <t>CNY_Treasury_Live_Curve_2012-6-29_Calibrated_Curve_5</t>
    <phoneticPr fontId="4" type="noConversion"/>
  </si>
  <si>
    <t>CNY_Treasury_Live_Curve_2012-6-29_Calibrated_Curve_6</t>
    <phoneticPr fontId="4" type="noConversion"/>
  </si>
  <si>
    <t>CNY_Treasury_Live_Curve_2012-6-29_Calibrated_Curve_7</t>
    <phoneticPr fontId="4" type="noConversion"/>
  </si>
  <si>
    <t>CNY_Treasury_Live_Curve_2012-6-4_Calibrated_Curve_1</t>
    <phoneticPr fontId="4" type="noConversion"/>
  </si>
  <si>
    <t>CNY_Treasury_Live_Curve_2012-6-4_Calibrated_Curve_2</t>
    <phoneticPr fontId="4" type="noConversion"/>
  </si>
  <si>
    <t>CNY_Treasury_Live_Curve_2012-6-4_Calibrated_Curve_3</t>
    <phoneticPr fontId="4" type="noConversion"/>
  </si>
  <si>
    <t>CNY_Treasury_Live_Curve_2012-6-4_Calibrated_Curve_4</t>
    <phoneticPr fontId="4" type="noConversion"/>
  </si>
  <si>
    <t>CNY_Treasury_Live_Curve_2012-6-4_Calibrated_Curve_5</t>
    <phoneticPr fontId="4" type="noConversion"/>
  </si>
  <si>
    <t>CNY_Treasury_Live_Curve_2012-6-4_Calibrated_Curve_6</t>
    <phoneticPr fontId="4" type="noConversion"/>
  </si>
  <si>
    <t>CNY_Treasury_Live_Curve_2012-6-4_Calibrated_Curve_7</t>
    <phoneticPr fontId="4" type="noConversion"/>
  </si>
  <si>
    <t>CNY_Treasury_Live_Curve_2012-6-5_Calibrated_Curve_1</t>
    <phoneticPr fontId="4" type="noConversion"/>
  </si>
  <si>
    <t>CNY_Treasury_Live_Curve_2012-6-5_Calibrated_Curve_2</t>
    <phoneticPr fontId="4" type="noConversion"/>
  </si>
  <si>
    <t>CNY_Treasury_Live_Curve_2012-6-5_Calibrated_Curve_3</t>
    <phoneticPr fontId="4" type="noConversion"/>
  </si>
  <si>
    <t>CNY_Treasury_Live_Curve_2012-6-5_Calibrated_Curve_4</t>
    <phoneticPr fontId="4" type="noConversion"/>
  </si>
  <si>
    <t>CNY_Treasury_Live_Curve_2012-6-5_Calibrated_Curve_5</t>
    <phoneticPr fontId="4" type="noConversion"/>
  </si>
  <si>
    <t>CNY_Treasury_Live_Curve_2012-6-5_Calibrated_Curve_6</t>
    <phoneticPr fontId="4" type="noConversion"/>
  </si>
  <si>
    <t>CNY_Treasury_Live_Curve_2012-6-5_Calibrated_Curve_7</t>
    <phoneticPr fontId="4" type="noConversion"/>
  </si>
  <si>
    <t>CNY_Treasury_Live_Curve_2012-6-6_Calibrated_Curve_1</t>
    <phoneticPr fontId="4" type="noConversion"/>
  </si>
  <si>
    <t>CNY_Treasury_Live_Curve_2012-6-6_Calibrated_Curve_2</t>
    <phoneticPr fontId="4" type="noConversion"/>
  </si>
  <si>
    <t>CNY_Treasury_Live_Curve_2012-6-6_Calibrated_Curve_3</t>
    <phoneticPr fontId="4" type="noConversion"/>
  </si>
  <si>
    <t>CNY_Treasury_Live_Curve_2012-6-6_Calibrated_Curve_4</t>
    <phoneticPr fontId="4" type="noConversion"/>
  </si>
  <si>
    <t>CNY_Treasury_Live_Curve_2012-6-6_Calibrated_Curve_5</t>
    <phoneticPr fontId="4" type="noConversion"/>
  </si>
  <si>
    <t>CNY_Treasury_Live_Curve_2012-6-6_Calibrated_Curve_6</t>
    <phoneticPr fontId="4" type="noConversion"/>
  </si>
  <si>
    <t>CNY_Treasury_Live_Curve_2012-6-6_Calibrated_Curve_7</t>
    <phoneticPr fontId="4" type="noConversion"/>
  </si>
  <si>
    <t>CNY_Treasury_Live_Curve_2012-6-7_Calibrated_Curve_1</t>
    <phoneticPr fontId="4" type="noConversion"/>
  </si>
  <si>
    <t>CNY_Treasury_Live_Curve_2012-6-7_Calibrated_Curve_2</t>
    <phoneticPr fontId="4" type="noConversion"/>
  </si>
  <si>
    <t>CNY_Treasury_Live_Curve_2012-6-7_Calibrated_Curve_3</t>
    <phoneticPr fontId="4" type="noConversion"/>
  </si>
  <si>
    <t>CNY_Treasury_Live_Curve_2012-6-7_Calibrated_Curve_4</t>
    <phoneticPr fontId="4" type="noConversion"/>
  </si>
  <si>
    <t>CNY_Treasury_Live_Curve_2012-6-7_Calibrated_Curve_5</t>
    <phoneticPr fontId="4" type="noConversion"/>
  </si>
  <si>
    <t>CNY_Treasury_Live_Curve_2012-6-7_Calibrated_Curve_6</t>
    <phoneticPr fontId="4" type="noConversion"/>
  </si>
  <si>
    <t>CNY_Treasury_Live_Curve_2012-6-7_Calibrated_Curve_7</t>
    <phoneticPr fontId="4" type="noConversion"/>
  </si>
  <si>
    <t>CNY_Treasury_Live_Curve_2012-6-8_Calibrated_Curve_1</t>
    <phoneticPr fontId="4" type="noConversion"/>
  </si>
  <si>
    <t>CNY_Treasury_Live_Curve_2012-6-8_Calibrated_Curve_2</t>
    <phoneticPr fontId="4" type="noConversion"/>
  </si>
  <si>
    <t>CNY_Treasury_Live_Curve_2012-6-8_Calibrated_Curve_3</t>
    <phoneticPr fontId="4" type="noConversion"/>
  </si>
  <si>
    <t>CNY_Treasury_Live_Curve_2012-6-8_Calibrated_Curve_4</t>
    <phoneticPr fontId="4" type="noConversion"/>
  </si>
  <si>
    <t>CNY_Treasury_Live_Curve_2012-6-8_Calibrated_Curve_5</t>
    <phoneticPr fontId="4" type="noConversion"/>
  </si>
  <si>
    <t>CNY_Treasury_Live_Curve_2012-6-8_Calibrated_Curve_6</t>
    <phoneticPr fontId="4" type="noConversion"/>
  </si>
  <si>
    <t>CNY_Treasury_Live_Curve_2012-6-8_Calibrated_Curve_7</t>
    <phoneticPr fontId="4" type="noConversion"/>
  </si>
  <si>
    <t>CNY_Treasury_Live_Curve_2012-7-10_Calibrated_Curve_1</t>
    <phoneticPr fontId="4" type="noConversion"/>
  </si>
  <si>
    <t>CNY_Treasury_Live_Curve_2012-7-10_Calibrated_Curve_2</t>
    <phoneticPr fontId="4" type="noConversion"/>
  </si>
  <si>
    <t>CNY_Treasury_Live_Curve_2012-7-10_Calibrated_Curve_3</t>
    <phoneticPr fontId="4" type="noConversion"/>
  </si>
  <si>
    <t>CNY_Treasury_Live_Curve_2012-7-10_Calibrated_Curve_4</t>
    <phoneticPr fontId="4" type="noConversion"/>
  </si>
  <si>
    <t>CNY_Treasury_Live_Curve_2012-7-10_Calibrated_Curve_5</t>
    <phoneticPr fontId="4" type="noConversion"/>
  </si>
  <si>
    <t>CNY_Treasury_Live_Curve_2012-7-10_Calibrated_Curve_6</t>
    <phoneticPr fontId="4" type="noConversion"/>
  </si>
  <si>
    <t>CNY_Treasury_Live_Curve_2012-7-10_Calibrated_Curve_7</t>
    <phoneticPr fontId="4" type="noConversion"/>
  </si>
  <si>
    <t>CNY_Treasury_Live_Curve_2012-7-11_Calibrated_Curve_1</t>
    <phoneticPr fontId="4" type="noConversion"/>
  </si>
  <si>
    <t>CNY_Treasury_Live_Curve_2012-7-11_Calibrated_Curve_2</t>
    <phoneticPr fontId="4" type="noConversion"/>
  </si>
  <si>
    <t>CNY_Treasury_Live_Curve_2012-7-11_Calibrated_Curve_3</t>
    <phoneticPr fontId="4" type="noConversion"/>
  </si>
  <si>
    <t>CNY_Treasury_Live_Curve_2012-7-11_Calibrated_Curve_4</t>
    <phoneticPr fontId="4" type="noConversion"/>
  </si>
  <si>
    <t>CNY_Treasury_Live_Curve_2012-7-11_Calibrated_Curve_5</t>
    <phoneticPr fontId="4" type="noConversion"/>
  </si>
  <si>
    <t>CNY_Treasury_Live_Curve_2012-7-11_Calibrated_Curve_6</t>
    <phoneticPr fontId="4" type="noConversion"/>
  </si>
  <si>
    <t>CNY_Treasury_Live_Curve_2012-7-11_Calibrated_Curve_7</t>
    <phoneticPr fontId="4" type="noConversion"/>
  </si>
  <si>
    <t>CNY_Treasury_Live_Curve_2012-7-12_Calibrated_Curve_1</t>
    <phoneticPr fontId="4" type="noConversion"/>
  </si>
  <si>
    <t>CNY_Treasury_Live_Curve_2012-7-12_Calibrated_Curve_2</t>
    <phoneticPr fontId="4" type="noConversion"/>
  </si>
  <si>
    <t>CNY_Treasury_Live_Curve_2012-7-12_Calibrated_Curve_3</t>
    <phoneticPr fontId="4" type="noConversion"/>
  </si>
  <si>
    <t>CNY_Treasury_Live_Curve_2012-7-12_Calibrated_Curve_4</t>
    <phoneticPr fontId="4" type="noConversion"/>
  </si>
  <si>
    <t>CNY_Treasury_Live_Curve_2012-7-12_Calibrated_Curve_5</t>
    <phoneticPr fontId="4" type="noConversion"/>
  </si>
  <si>
    <t>CNY_Treasury_Live_Curve_2012-7-12_Calibrated_Curve_6</t>
    <phoneticPr fontId="4" type="noConversion"/>
  </si>
  <si>
    <t>CNY_Treasury_Live_Curve_2012-7-12_Calibrated_Curve_7</t>
    <phoneticPr fontId="4" type="noConversion"/>
  </si>
  <si>
    <t>CNY_Treasury_Live_Curve_2012-7-13_Calibrated_Curve_1</t>
    <phoneticPr fontId="4" type="noConversion"/>
  </si>
  <si>
    <t>CNY_Treasury_Live_Curve_2012-7-13_Calibrated_Curve_2</t>
    <phoneticPr fontId="4" type="noConversion"/>
  </si>
  <si>
    <t>CNY_Treasury_Live_Curve_2012-7-13_Calibrated_Curve_3</t>
    <phoneticPr fontId="4" type="noConversion"/>
  </si>
  <si>
    <t>CNY_Treasury_Live_Curve_2012-7-13_Calibrated_Curve_4</t>
    <phoneticPr fontId="4" type="noConversion"/>
  </si>
  <si>
    <t>CNY_Treasury_Live_Curve_2012-7-13_Calibrated_Curve_5</t>
    <phoneticPr fontId="4" type="noConversion"/>
  </si>
  <si>
    <t>CNY_Treasury_Live_Curve_2012-7-13_Calibrated_Curve_6</t>
    <phoneticPr fontId="4" type="noConversion"/>
  </si>
  <si>
    <t>CNY_Treasury_Live_Curve_2012-7-13_Calibrated_Curve_7</t>
    <phoneticPr fontId="4" type="noConversion"/>
  </si>
  <si>
    <t>CNY_Treasury_Live_Curve_2012-7-16_Calibrated_Curve_1</t>
    <phoneticPr fontId="4" type="noConversion"/>
  </si>
  <si>
    <t>CNY_Treasury_Live_Curve_2012-7-16_Calibrated_Curve_2</t>
    <phoneticPr fontId="4" type="noConversion"/>
  </si>
  <si>
    <t>CNY_Treasury_Live_Curve_2012-7-16_Calibrated_Curve_3</t>
    <phoneticPr fontId="4" type="noConversion"/>
  </si>
  <si>
    <t>CNY_Treasury_Live_Curve_2012-7-16_Calibrated_Curve_4</t>
    <phoneticPr fontId="4" type="noConversion"/>
  </si>
  <si>
    <t>CNY_Treasury_Live_Curve_2012-7-16_Calibrated_Curve_5</t>
    <phoneticPr fontId="4" type="noConversion"/>
  </si>
  <si>
    <t>CNY_Treasury_Live_Curve_2012-7-16_Calibrated_Curve_6</t>
    <phoneticPr fontId="4" type="noConversion"/>
  </si>
  <si>
    <t>CNY_Treasury_Live_Curve_2012-7-16_Calibrated_Curve_7</t>
    <phoneticPr fontId="4" type="noConversion"/>
  </si>
  <si>
    <t>CNY_Treasury_Live_Curve_2012-7-17_Calibrated_Curve_1</t>
    <phoneticPr fontId="4" type="noConversion"/>
  </si>
  <si>
    <t>CNY_Treasury_Live_Curve_2012-7-17_Calibrated_Curve_2</t>
    <phoneticPr fontId="4" type="noConversion"/>
  </si>
  <si>
    <t>CNY_Treasury_Live_Curve_2012-7-17_Calibrated_Curve_3</t>
    <phoneticPr fontId="4" type="noConversion"/>
  </si>
  <si>
    <t>CNY_Treasury_Live_Curve_2012-7-17_Calibrated_Curve_4</t>
    <phoneticPr fontId="4" type="noConversion"/>
  </si>
  <si>
    <t>CNY_Treasury_Live_Curve_2012-7-17_Calibrated_Curve_5</t>
    <phoneticPr fontId="4" type="noConversion"/>
  </si>
  <si>
    <t>CNY_Treasury_Live_Curve_2012-7-17_Calibrated_Curve_6</t>
    <phoneticPr fontId="4" type="noConversion"/>
  </si>
  <si>
    <t>CNY_Treasury_Live_Curve_2012-7-17_Calibrated_Curve_7</t>
    <phoneticPr fontId="4" type="noConversion"/>
  </si>
  <si>
    <t>CNY_Treasury_Live_Curve_2012-7-18_Calibrated_Curve_1</t>
    <phoneticPr fontId="4" type="noConversion"/>
  </si>
  <si>
    <t>CNY_Treasury_Live_Curve_2012-7-18_Calibrated_Curve_2</t>
    <phoneticPr fontId="4" type="noConversion"/>
  </si>
  <si>
    <t>CNY_Treasury_Live_Curve_2012-7-18_Calibrated_Curve_3</t>
    <phoneticPr fontId="4" type="noConversion"/>
  </si>
  <si>
    <t>CNY_Treasury_Live_Curve_2012-7-18_Calibrated_Curve_4</t>
    <phoneticPr fontId="4" type="noConversion"/>
  </si>
  <si>
    <t>CNY_Treasury_Live_Curve_2012-7-18_Calibrated_Curve_5</t>
    <phoneticPr fontId="4" type="noConversion"/>
  </si>
  <si>
    <t>CNY_Treasury_Live_Curve_2012-7-18_Calibrated_Curve_6</t>
    <phoneticPr fontId="4" type="noConversion"/>
  </si>
  <si>
    <t>CNY_Treasury_Live_Curve_2012-7-18_Calibrated_Curve_7</t>
    <phoneticPr fontId="4" type="noConversion"/>
  </si>
  <si>
    <t>CNY_Treasury_Live_Curve_2012-7-19_Calibrated_Curve_1</t>
    <phoneticPr fontId="4" type="noConversion"/>
  </si>
  <si>
    <t>CNY_Treasury_Live_Curve_2012-7-19_Calibrated_Curve_2</t>
    <phoneticPr fontId="4" type="noConversion"/>
  </si>
  <si>
    <t>CNY_Treasury_Live_Curve_2012-7-19_Calibrated_Curve_3</t>
    <phoneticPr fontId="4" type="noConversion"/>
  </si>
  <si>
    <t>CNY_Treasury_Live_Curve_2012-7-19_Calibrated_Curve_4</t>
    <phoneticPr fontId="4" type="noConversion"/>
  </si>
  <si>
    <t>CNY_Treasury_Live_Curve_2012-7-19_Calibrated_Curve_5</t>
    <phoneticPr fontId="4" type="noConversion"/>
  </si>
  <si>
    <t>CNY_Treasury_Live_Curve_2012-7-19_Calibrated_Curve_6</t>
    <phoneticPr fontId="4" type="noConversion"/>
  </si>
  <si>
    <t>CNY_Treasury_Live_Curve_2012-7-19_Calibrated_Curve_7</t>
    <phoneticPr fontId="4" type="noConversion"/>
  </si>
  <si>
    <t>CNY_Treasury_Live_Curve_2012-7-2_Calibrated_Curve_1</t>
    <phoneticPr fontId="4" type="noConversion"/>
  </si>
  <si>
    <t>CNY_Treasury_Live_Curve_2012-7-2_Calibrated_Curve_2</t>
    <phoneticPr fontId="4" type="noConversion"/>
  </si>
  <si>
    <t>CNY_Treasury_Live_Curve_2012-7-2_Calibrated_Curve_3</t>
    <phoneticPr fontId="4" type="noConversion"/>
  </si>
  <si>
    <t>CNY_Treasury_Live_Curve_2012-7-2_Calibrated_Curve_4</t>
    <phoneticPr fontId="4" type="noConversion"/>
  </si>
  <si>
    <t>CNY_Treasury_Live_Curve_2012-7-2_Calibrated_Curve_5</t>
    <phoneticPr fontId="4" type="noConversion"/>
  </si>
  <si>
    <t>CNY_Treasury_Live_Curve_2012-7-2_Calibrated_Curve_6</t>
    <phoneticPr fontId="4" type="noConversion"/>
  </si>
  <si>
    <t>CNY_Treasury_Live_Curve_2012-7-2_Calibrated_Curve_7</t>
    <phoneticPr fontId="4" type="noConversion"/>
  </si>
  <si>
    <t>CNY_Treasury_Live_Curve_2012-7-20_Calibrated_Curve_1</t>
    <phoneticPr fontId="4" type="noConversion"/>
  </si>
  <si>
    <t>CNY_Treasury_Live_Curve_2012-7-20_Calibrated_Curve_2</t>
    <phoneticPr fontId="4" type="noConversion"/>
  </si>
  <si>
    <t>CNY_Treasury_Live_Curve_2012-7-20_Calibrated_Curve_3</t>
    <phoneticPr fontId="4" type="noConversion"/>
  </si>
  <si>
    <t>CNY_Treasury_Live_Curve_2012-7-20_Calibrated_Curve_4</t>
    <phoneticPr fontId="4" type="noConversion"/>
  </si>
  <si>
    <t>CNY_Treasury_Live_Curve_2012-7-20_Calibrated_Curve_5</t>
    <phoneticPr fontId="4" type="noConversion"/>
  </si>
  <si>
    <t>CNY_Treasury_Live_Curve_2012-7-20_Calibrated_Curve_6</t>
    <phoneticPr fontId="4" type="noConversion"/>
  </si>
  <si>
    <t>CNY_Treasury_Live_Curve_2012-7-20_Calibrated_Curve_7</t>
    <phoneticPr fontId="4" type="noConversion"/>
  </si>
  <si>
    <t>CNY_Treasury_Live_Curve_2012-7-23_Calibrated_Curve_1</t>
    <phoneticPr fontId="4" type="noConversion"/>
  </si>
  <si>
    <t>CNY_Treasury_Live_Curve_2012-7-23_Calibrated_Curve_2</t>
    <phoneticPr fontId="4" type="noConversion"/>
  </si>
  <si>
    <t>CNY_Treasury_Live_Curve_2012-7-23_Calibrated_Curve_3</t>
    <phoneticPr fontId="4" type="noConversion"/>
  </si>
  <si>
    <t>CNY_Treasury_Live_Curve_2012-7-23_Calibrated_Curve_4</t>
    <phoneticPr fontId="4" type="noConversion"/>
  </si>
  <si>
    <t>CNY_Treasury_Live_Curve_2012-7-23_Calibrated_Curve_5</t>
    <phoneticPr fontId="4" type="noConversion"/>
  </si>
  <si>
    <t>CNY_Treasury_Live_Curve_2012-7-23_Calibrated_Curve_6</t>
    <phoneticPr fontId="4" type="noConversion"/>
  </si>
  <si>
    <t>CNY_Treasury_Live_Curve_2012-7-23_Calibrated_Curve_7</t>
    <phoneticPr fontId="4" type="noConversion"/>
  </si>
  <si>
    <t>CNY_Treasury_Live_Curve_2012-7-24_Calibrated_Curve_1</t>
    <phoneticPr fontId="4" type="noConversion"/>
  </si>
  <si>
    <t>CNY_Treasury_Live_Curve_2012-7-24_Calibrated_Curve_2</t>
    <phoneticPr fontId="4" type="noConversion"/>
  </si>
  <si>
    <t>CNY_Treasury_Live_Curve_2012-7-24_Calibrated_Curve_3</t>
    <phoneticPr fontId="4" type="noConversion"/>
  </si>
  <si>
    <t>CNY_Treasury_Live_Curve_2012-7-24_Calibrated_Curve_4</t>
    <phoneticPr fontId="4" type="noConversion"/>
  </si>
  <si>
    <t>CNY_Treasury_Live_Curve_2012-7-24_Calibrated_Curve_5</t>
    <phoneticPr fontId="4" type="noConversion"/>
  </si>
  <si>
    <t>CNY_Treasury_Live_Curve_2012-7-24_Calibrated_Curve_6</t>
    <phoneticPr fontId="4" type="noConversion"/>
  </si>
  <si>
    <t>CNY_Treasury_Live_Curve_2012-7-24_Calibrated_Curve_7</t>
    <phoneticPr fontId="4" type="noConversion"/>
  </si>
  <si>
    <t>CNY_Treasury_Live_Curve_2012-7-25_Calibrated_Curve_1</t>
    <phoneticPr fontId="4" type="noConversion"/>
  </si>
  <si>
    <t>CNY_Treasury_Live_Curve_2012-7-25_Calibrated_Curve_2</t>
    <phoneticPr fontId="4" type="noConversion"/>
  </si>
  <si>
    <t>CNY_Treasury_Live_Curve_2012-7-25_Calibrated_Curve_3</t>
    <phoneticPr fontId="4" type="noConversion"/>
  </si>
  <si>
    <t>CNY_Treasury_Live_Curve_2012-7-25_Calibrated_Curve_4</t>
    <phoneticPr fontId="4" type="noConversion"/>
  </si>
  <si>
    <t>CNY_Treasury_Live_Curve_2012-7-25_Calibrated_Curve_5</t>
    <phoneticPr fontId="4" type="noConversion"/>
  </si>
  <si>
    <t>CNY_Treasury_Live_Curve_2012-7-25_Calibrated_Curve_6</t>
    <phoneticPr fontId="4" type="noConversion"/>
  </si>
  <si>
    <t>CNY_Treasury_Live_Curve_2012-7-25_Calibrated_Curve_7</t>
    <phoneticPr fontId="4" type="noConversion"/>
  </si>
  <si>
    <t>CNY_Treasury_Live_Curve_2012-7-26_Calibrated_Curve_1</t>
    <phoneticPr fontId="4" type="noConversion"/>
  </si>
  <si>
    <t>CNY_Treasury_Live_Curve_2012-7-26_Calibrated_Curve_2</t>
    <phoneticPr fontId="4" type="noConversion"/>
  </si>
  <si>
    <t>CNY_Treasury_Live_Curve_2012-7-26_Calibrated_Curve_3</t>
    <phoneticPr fontId="4" type="noConversion"/>
  </si>
  <si>
    <t>CNY_Treasury_Live_Curve_2012-7-26_Calibrated_Curve_4</t>
    <phoneticPr fontId="4" type="noConversion"/>
  </si>
  <si>
    <t>CNY_Treasury_Live_Curve_2012-7-26_Calibrated_Curve_5</t>
    <phoneticPr fontId="4" type="noConversion"/>
  </si>
  <si>
    <t>CNY_Treasury_Live_Curve_2012-7-26_Calibrated_Curve_6</t>
    <phoneticPr fontId="4" type="noConversion"/>
  </si>
  <si>
    <t>CNY_Treasury_Live_Curve_2012-7-26_Calibrated_Curve_7</t>
    <phoneticPr fontId="4" type="noConversion"/>
  </si>
  <si>
    <t>CNY_Treasury_Live_Curve_2012-7-27_Calibrated_Curve_1</t>
    <phoneticPr fontId="4" type="noConversion"/>
  </si>
  <si>
    <t>CNY_Treasury_Live_Curve_2012-7-27_Calibrated_Curve_2</t>
    <phoneticPr fontId="4" type="noConversion"/>
  </si>
  <si>
    <t>CNY_Treasury_Live_Curve_2012-7-27_Calibrated_Curve_3</t>
    <phoneticPr fontId="4" type="noConversion"/>
  </si>
  <si>
    <t>CNY_Treasury_Live_Curve_2012-7-27_Calibrated_Curve_4</t>
    <phoneticPr fontId="4" type="noConversion"/>
  </si>
  <si>
    <t>CNY_Treasury_Live_Curve_2012-7-27_Calibrated_Curve_5</t>
    <phoneticPr fontId="4" type="noConversion"/>
  </si>
  <si>
    <t>CNY_Treasury_Live_Curve_2012-7-27_Calibrated_Curve_6</t>
    <phoneticPr fontId="4" type="noConversion"/>
  </si>
  <si>
    <t>CNY_Treasury_Live_Curve_2012-7-27_Calibrated_Curve_7</t>
    <phoneticPr fontId="4" type="noConversion"/>
  </si>
  <si>
    <t>CNY_Treasury_Live_Curve_2012-7-3_Calibrated_Curve_1</t>
    <phoneticPr fontId="4" type="noConversion"/>
  </si>
  <si>
    <t>CNY_Treasury_Live_Curve_2012-7-3_Calibrated_Curve_2</t>
    <phoneticPr fontId="4" type="noConversion"/>
  </si>
  <si>
    <t>CNY_Treasury_Live_Curve_2012-7-3_Calibrated_Curve_3</t>
    <phoneticPr fontId="4" type="noConversion"/>
  </si>
  <si>
    <t>CNY_Treasury_Live_Curve_2012-7-3_Calibrated_Curve_4</t>
    <phoneticPr fontId="4" type="noConversion"/>
  </si>
  <si>
    <t>CNY_Treasury_Live_Curve_2012-7-3_Calibrated_Curve_5</t>
    <phoneticPr fontId="4" type="noConversion"/>
  </si>
  <si>
    <t>CNY_Treasury_Live_Curve_2012-7-3_Calibrated_Curve_6</t>
    <phoneticPr fontId="4" type="noConversion"/>
  </si>
  <si>
    <t>CNY_Treasury_Live_Curve_2012-7-3_Calibrated_Curve_7</t>
    <phoneticPr fontId="4" type="noConversion"/>
  </si>
  <si>
    <t>CNY_Treasury_Live_Curve_2012-7-30_Calibrated_Curve_1</t>
    <phoneticPr fontId="4" type="noConversion"/>
  </si>
  <si>
    <t>CNY_Treasury_Live_Curve_2012-7-30_Calibrated_Curve_2</t>
    <phoneticPr fontId="4" type="noConversion"/>
  </si>
  <si>
    <t>CNY_Treasury_Live_Curve_2012-7-30_Calibrated_Curve_3</t>
    <phoneticPr fontId="4" type="noConversion"/>
  </si>
  <si>
    <t>CNY_Treasury_Live_Curve_2012-7-30_Calibrated_Curve_4</t>
    <phoneticPr fontId="4" type="noConversion"/>
  </si>
  <si>
    <t>CNY_Treasury_Live_Curve_2012-7-30_Calibrated_Curve_5</t>
    <phoneticPr fontId="4" type="noConversion"/>
  </si>
  <si>
    <t>CNY_Treasury_Live_Curve_2012-7-30_Calibrated_Curve_6</t>
    <phoneticPr fontId="4" type="noConversion"/>
  </si>
  <si>
    <t>CNY_Treasury_Live_Curve_2012-7-30_Calibrated_Curve_7</t>
    <phoneticPr fontId="4" type="noConversion"/>
  </si>
  <si>
    <t>CNY_Treasury_Live_Curve_2012-7-31_Calibrated_Curve_1</t>
    <phoneticPr fontId="4" type="noConversion"/>
  </si>
  <si>
    <t>CNY_Treasury_Live_Curve_2012-7-31_Calibrated_Curve_2</t>
    <phoneticPr fontId="4" type="noConversion"/>
  </si>
  <si>
    <t>CNY_Treasury_Live_Curve_2012-7-31_Calibrated_Curve_3</t>
    <phoneticPr fontId="4" type="noConversion"/>
  </si>
  <si>
    <t>CNY_Treasury_Live_Curve_2012-7-31_Calibrated_Curve_4</t>
    <phoneticPr fontId="4" type="noConversion"/>
  </si>
  <si>
    <t>CNY_Treasury_Live_Curve_2012-7-31_Calibrated_Curve_5</t>
    <phoneticPr fontId="4" type="noConversion"/>
  </si>
  <si>
    <t>CNY_Treasury_Live_Curve_2012-7-31_Calibrated_Curve_6</t>
    <phoneticPr fontId="4" type="noConversion"/>
  </si>
  <si>
    <t>CNY_Treasury_Live_Curve_2012-7-31_Calibrated_Curve_7</t>
    <phoneticPr fontId="4" type="noConversion"/>
  </si>
  <si>
    <t>CNY_Treasury_Live_Curve_2012-7-4_Calibrated_Curve_1</t>
    <phoneticPr fontId="4" type="noConversion"/>
  </si>
  <si>
    <t>CNY_Treasury_Live_Curve_2012-7-4_Calibrated_Curve_2</t>
    <phoneticPr fontId="4" type="noConversion"/>
  </si>
  <si>
    <t>CNY_Treasury_Live_Curve_2012-7-4_Calibrated_Curve_3</t>
    <phoneticPr fontId="4" type="noConversion"/>
  </si>
  <si>
    <t>CNY_Treasury_Live_Curve_2012-7-4_Calibrated_Curve_4</t>
    <phoneticPr fontId="4" type="noConversion"/>
  </si>
  <si>
    <t>CNY_Treasury_Live_Curve_2012-7-4_Calibrated_Curve_5</t>
    <phoneticPr fontId="4" type="noConversion"/>
  </si>
  <si>
    <t>CNY_Treasury_Live_Curve_2012-7-4_Calibrated_Curve_6</t>
    <phoneticPr fontId="4" type="noConversion"/>
  </si>
  <si>
    <t>CNY_Treasury_Live_Curve_2012-7-4_Calibrated_Curve_7</t>
    <phoneticPr fontId="4" type="noConversion"/>
  </si>
  <si>
    <t>CNY_Treasury_Live_Curve_2012-7-5_Calibrated_Curve_1</t>
    <phoneticPr fontId="4" type="noConversion"/>
  </si>
  <si>
    <t>CNY_Treasury_Live_Curve_2012-7-5_Calibrated_Curve_2</t>
    <phoneticPr fontId="4" type="noConversion"/>
  </si>
  <si>
    <t>CNY_Treasury_Live_Curve_2012-7-5_Calibrated_Curve_3</t>
    <phoneticPr fontId="4" type="noConversion"/>
  </si>
  <si>
    <t>CNY_Treasury_Live_Curve_2012-7-5_Calibrated_Curve_4</t>
    <phoneticPr fontId="4" type="noConversion"/>
  </si>
  <si>
    <t>CNY_Treasury_Live_Curve_2012-7-5_Calibrated_Curve_5</t>
    <phoneticPr fontId="4" type="noConversion"/>
  </si>
  <si>
    <t>CNY_Treasury_Live_Curve_2012-7-5_Calibrated_Curve_6</t>
    <phoneticPr fontId="4" type="noConversion"/>
  </si>
  <si>
    <t>CNY_Treasury_Live_Curve_2012-7-5_Calibrated_Curve_7</t>
    <phoneticPr fontId="4" type="noConversion"/>
  </si>
  <si>
    <t>CNY_Treasury_Live_Curve_2012-7-6_Calibrated_Curve_1</t>
    <phoneticPr fontId="4" type="noConversion"/>
  </si>
  <si>
    <t>CNY_Treasury_Live_Curve_2012-7-6_Calibrated_Curve_2</t>
    <phoneticPr fontId="4" type="noConversion"/>
  </si>
  <si>
    <t>CNY_Treasury_Live_Curve_2012-7-6_Calibrated_Curve_3</t>
    <phoneticPr fontId="4" type="noConversion"/>
  </si>
  <si>
    <t>CNY_Treasury_Live_Curve_2012-7-6_Calibrated_Curve_4</t>
    <phoneticPr fontId="4" type="noConversion"/>
  </si>
  <si>
    <t>CNY_Treasury_Live_Curve_2012-7-6_Calibrated_Curve_5</t>
    <phoneticPr fontId="4" type="noConversion"/>
  </si>
  <si>
    <t>CNY_Treasury_Live_Curve_2012-7-6_Calibrated_Curve_6</t>
    <phoneticPr fontId="4" type="noConversion"/>
  </si>
  <si>
    <t>CNY_Treasury_Live_Curve_2012-7-6_Calibrated_Curve_7</t>
    <phoneticPr fontId="4" type="noConversion"/>
  </si>
  <si>
    <t>CNY_Treasury_Live_Curve_2012-7-9_Calibrated_Curve_1</t>
    <phoneticPr fontId="4" type="noConversion"/>
  </si>
  <si>
    <t>CNY_Treasury_Live_Curve_2012-7-9_Calibrated_Curve_2</t>
    <phoneticPr fontId="4" type="noConversion"/>
  </si>
  <si>
    <t>CNY_Treasury_Live_Curve_2012-7-9_Calibrated_Curve_3</t>
    <phoneticPr fontId="4" type="noConversion"/>
  </si>
  <si>
    <t>CNY_Treasury_Live_Curve_2012-7-9_Calibrated_Curve_4</t>
    <phoneticPr fontId="4" type="noConversion"/>
  </si>
  <si>
    <t>CNY_Treasury_Live_Curve_2012-7-9_Calibrated_Curve_5</t>
    <phoneticPr fontId="4" type="noConversion"/>
  </si>
  <si>
    <t>CNY_Treasury_Live_Curve_2012-7-9_Calibrated_Curve_6</t>
    <phoneticPr fontId="4" type="noConversion"/>
  </si>
  <si>
    <t>CNY_Treasury_Live_Curve_2012-7-9_Calibrated_Curve_7</t>
    <phoneticPr fontId="4" type="noConversion"/>
  </si>
  <si>
    <t>CNY_Treasury_Live_Curve_2012-8-1_Calibrated_Curve_1</t>
    <phoneticPr fontId="4" type="noConversion"/>
  </si>
  <si>
    <t>CNY_Treasury_Live_Curve_2012-8-1_Calibrated_Curve_2</t>
    <phoneticPr fontId="4" type="noConversion"/>
  </si>
  <si>
    <t>CNY_Treasury_Live_Curve_2012-8-1_Calibrated_Curve_3</t>
    <phoneticPr fontId="4" type="noConversion"/>
  </si>
  <si>
    <t>CNY_Treasury_Live_Curve_2012-8-1_Calibrated_Curve_4</t>
    <phoneticPr fontId="4" type="noConversion"/>
  </si>
  <si>
    <t>CNY_Treasury_Live_Curve_2012-8-1_Calibrated_Curve_5</t>
    <phoneticPr fontId="4" type="noConversion"/>
  </si>
  <si>
    <t>CNY_Treasury_Live_Curve_2012-8-1_Calibrated_Curve_6</t>
    <phoneticPr fontId="4" type="noConversion"/>
  </si>
  <si>
    <t>CNY_Treasury_Live_Curve_2012-8-1_Calibrated_Curve_7</t>
    <phoneticPr fontId="4" type="noConversion"/>
  </si>
  <si>
    <t>CNY_Treasury_Live_Curve_2012-8-10_Calibrated_Curve_1</t>
    <phoneticPr fontId="4" type="noConversion"/>
  </si>
  <si>
    <t>CNY_Treasury_Live_Curve_2012-8-10_Calibrated_Curve_2</t>
    <phoneticPr fontId="4" type="noConversion"/>
  </si>
  <si>
    <t>CNY_Treasury_Live_Curve_2012-8-10_Calibrated_Curve_3</t>
    <phoneticPr fontId="4" type="noConversion"/>
  </si>
  <si>
    <t>CNY_Treasury_Live_Curve_2012-8-10_Calibrated_Curve_4</t>
    <phoneticPr fontId="4" type="noConversion"/>
  </si>
  <si>
    <t>CNY_Treasury_Live_Curve_2012-8-10_Calibrated_Curve_5</t>
    <phoneticPr fontId="4" type="noConversion"/>
  </si>
  <si>
    <t>CNY_Treasury_Live_Curve_2012-8-10_Calibrated_Curve_6</t>
    <phoneticPr fontId="4" type="noConversion"/>
  </si>
  <si>
    <t>CNY_Treasury_Live_Curve_2012-8-10_Calibrated_Curve_7</t>
    <phoneticPr fontId="4" type="noConversion"/>
  </si>
  <si>
    <t>CNY_Treasury_Live_Curve_2012-8-13_Calibrated_Curve_1</t>
    <phoneticPr fontId="4" type="noConversion"/>
  </si>
  <si>
    <t>CNY_Treasury_Live_Curve_2012-8-13_Calibrated_Curve_2</t>
    <phoneticPr fontId="4" type="noConversion"/>
  </si>
  <si>
    <t>CNY_Treasury_Live_Curve_2012-8-13_Calibrated_Curve_3</t>
    <phoneticPr fontId="4" type="noConversion"/>
  </si>
  <si>
    <t>CNY_Treasury_Live_Curve_2012-8-13_Calibrated_Curve_4</t>
    <phoneticPr fontId="4" type="noConversion"/>
  </si>
  <si>
    <t>CNY_Treasury_Live_Curve_2012-8-13_Calibrated_Curve_5</t>
    <phoneticPr fontId="4" type="noConversion"/>
  </si>
  <si>
    <t>CNY_Treasury_Live_Curve_2012-8-13_Calibrated_Curve_6</t>
    <phoneticPr fontId="4" type="noConversion"/>
  </si>
  <si>
    <t>CNY_Treasury_Live_Curve_2012-8-13_Calibrated_Curve_7</t>
    <phoneticPr fontId="4" type="noConversion"/>
  </si>
  <si>
    <t>CNY_Treasury_Live_Curve_2012-8-14_Calibrated_Curve_1</t>
    <phoneticPr fontId="4" type="noConversion"/>
  </si>
  <si>
    <t>CNY_Treasury_Live_Curve_2012-8-14_Calibrated_Curve_2</t>
    <phoneticPr fontId="4" type="noConversion"/>
  </si>
  <si>
    <t>CNY_Treasury_Live_Curve_2012-8-14_Calibrated_Curve_3</t>
    <phoneticPr fontId="4" type="noConversion"/>
  </si>
  <si>
    <t>CNY_Treasury_Live_Curve_2012-8-14_Calibrated_Curve_4</t>
    <phoneticPr fontId="4" type="noConversion"/>
  </si>
  <si>
    <t>CNY_Treasury_Live_Curve_2012-8-14_Calibrated_Curve_5</t>
    <phoneticPr fontId="4" type="noConversion"/>
  </si>
  <si>
    <t>CNY_Treasury_Live_Curve_2012-8-14_Calibrated_Curve_6</t>
    <phoneticPr fontId="4" type="noConversion"/>
  </si>
  <si>
    <t>CNY_Treasury_Live_Curve_2012-8-14_Calibrated_Curve_7</t>
    <phoneticPr fontId="4" type="noConversion"/>
  </si>
  <si>
    <t>CNY_Treasury_Live_Curve_2012-8-15_Calibrated_Curve_1</t>
    <phoneticPr fontId="4" type="noConversion"/>
  </si>
  <si>
    <t>CNY_Treasury_Live_Curve_2012-8-15_Calibrated_Curve_2</t>
    <phoneticPr fontId="4" type="noConversion"/>
  </si>
  <si>
    <t>CNY_Treasury_Live_Curve_2012-8-15_Calibrated_Curve_3</t>
    <phoneticPr fontId="4" type="noConversion"/>
  </si>
  <si>
    <t>CNY_Treasury_Live_Curve_2012-8-15_Calibrated_Curve_4</t>
    <phoneticPr fontId="4" type="noConversion"/>
  </si>
  <si>
    <t>CNY_Treasury_Live_Curve_2012-8-15_Calibrated_Curve_5</t>
    <phoneticPr fontId="4" type="noConversion"/>
  </si>
  <si>
    <t>CNY_Treasury_Live_Curve_2012-8-15_Calibrated_Curve_6</t>
    <phoneticPr fontId="4" type="noConversion"/>
  </si>
  <si>
    <t>CNY_Treasury_Live_Curve_2012-8-15_Calibrated_Curve_7</t>
    <phoneticPr fontId="4" type="noConversion"/>
  </si>
  <si>
    <t>CNY_Treasury_Live_Curve_2012-8-16_Calibrated_Curve_1</t>
    <phoneticPr fontId="4" type="noConversion"/>
  </si>
  <si>
    <t>CNY_Treasury_Live_Curve_2012-8-16_Calibrated_Curve_2</t>
    <phoneticPr fontId="4" type="noConversion"/>
  </si>
  <si>
    <t>CNY_Treasury_Live_Curve_2012-8-16_Calibrated_Curve_3</t>
    <phoneticPr fontId="4" type="noConversion"/>
  </si>
  <si>
    <t>CNY_Treasury_Live_Curve_2012-8-16_Calibrated_Curve_4</t>
    <phoneticPr fontId="4" type="noConversion"/>
  </si>
  <si>
    <t>CNY_Treasury_Live_Curve_2012-8-16_Calibrated_Curve_5</t>
    <phoneticPr fontId="4" type="noConversion"/>
  </si>
  <si>
    <t>CNY_Treasury_Live_Curve_2012-8-16_Calibrated_Curve_6</t>
    <phoneticPr fontId="4" type="noConversion"/>
  </si>
  <si>
    <t>CNY_Treasury_Live_Curve_2012-8-16_Calibrated_Curve_7</t>
    <phoneticPr fontId="4" type="noConversion"/>
  </si>
  <si>
    <t>CNY_Treasury_Live_Curve_2012-8-2_Calibrated_Curve_1</t>
    <phoneticPr fontId="4" type="noConversion"/>
  </si>
  <si>
    <t>CNY_Treasury_Live_Curve_2012-8-2_Calibrated_Curve_2</t>
    <phoneticPr fontId="4" type="noConversion"/>
  </si>
  <si>
    <t>CNY_Treasury_Live_Curve_2012-8-2_Calibrated_Curve_3</t>
    <phoneticPr fontId="4" type="noConversion"/>
  </si>
  <si>
    <t>CNY_Treasury_Live_Curve_2012-8-2_Calibrated_Curve_4</t>
    <phoneticPr fontId="4" type="noConversion"/>
  </si>
  <si>
    <t>CNY_Treasury_Live_Curve_2012-8-2_Calibrated_Curve_5</t>
    <phoneticPr fontId="4" type="noConversion"/>
  </si>
  <si>
    <t>CNY_Treasury_Live_Curve_2012-8-2_Calibrated_Curve_6</t>
    <phoneticPr fontId="4" type="noConversion"/>
  </si>
  <si>
    <t>CNY_Treasury_Live_Curve_2012-8-2_Calibrated_Curve_7</t>
    <phoneticPr fontId="4" type="noConversion"/>
  </si>
  <si>
    <t>CNY_Treasury_Live_Curve_2012-8-3_Calibrated_Curve_1</t>
    <phoneticPr fontId="4" type="noConversion"/>
  </si>
  <si>
    <t>CNY_Treasury_Live_Curve_2012-8-3_Calibrated_Curve_2</t>
    <phoneticPr fontId="4" type="noConversion"/>
  </si>
  <si>
    <t>CNY_Treasury_Live_Curve_2012-8-3_Calibrated_Curve_3</t>
    <phoneticPr fontId="4" type="noConversion"/>
  </si>
  <si>
    <t>CNY_Treasury_Live_Curve_2012-8-3_Calibrated_Curve_4</t>
    <phoneticPr fontId="4" type="noConversion"/>
  </si>
  <si>
    <t>CNY_Treasury_Live_Curve_2012-8-3_Calibrated_Curve_5</t>
    <phoneticPr fontId="4" type="noConversion"/>
  </si>
  <si>
    <t>CNY_Treasury_Live_Curve_2012-8-3_Calibrated_Curve_6</t>
    <phoneticPr fontId="4" type="noConversion"/>
  </si>
  <si>
    <t>CNY_Treasury_Live_Curve_2012-8-3_Calibrated_Curve_7</t>
    <phoneticPr fontId="4" type="noConversion"/>
  </si>
  <si>
    <t>CNY_Treasury_Live_Curve_2012-8-6_Calibrated_Curve_1</t>
    <phoneticPr fontId="4" type="noConversion"/>
  </si>
  <si>
    <t>CNY_Treasury_Live_Curve_2012-8-6_Calibrated_Curve_2</t>
    <phoneticPr fontId="4" type="noConversion"/>
  </si>
  <si>
    <t>CNY_Treasury_Live_Curve_2012-8-6_Calibrated_Curve_3</t>
    <phoneticPr fontId="4" type="noConversion"/>
  </si>
  <si>
    <t>CNY_Treasury_Live_Curve_2012-8-6_Calibrated_Curve_4</t>
    <phoneticPr fontId="4" type="noConversion"/>
  </si>
  <si>
    <t>CNY_Treasury_Live_Curve_2012-8-6_Calibrated_Curve_5</t>
    <phoneticPr fontId="4" type="noConversion"/>
  </si>
  <si>
    <t>CNY_Treasury_Live_Curve_2012-8-6_Calibrated_Curve_6</t>
    <phoneticPr fontId="4" type="noConversion"/>
  </si>
  <si>
    <t>CNY_Treasury_Live_Curve_2012-8-6_Calibrated_Curve_7</t>
    <phoneticPr fontId="4" type="noConversion"/>
  </si>
  <si>
    <t>CNY_Treasury_Live_Curve_2012-8-7_Calibrated_Curve_1</t>
    <phoneticPr fontId="4" type="noConversion"/>
  </si>
  <si>
    <t>CNY_Treasury_Live_Curve_2012-8-7_Calibrated_Curve_2</t>
    <phoneticPr fontId="4" type="noConversion"/>
  </si>
  <si>
    <t>CNY_Treasury_Live_Curve_2012-8-7_Calibrated_Curve_3</t>
    <phoneticPr fontId="4" type="noConversion"/>
  </si>
  <si>
    <t>CNY_Treasury_Live_Curve_2012-8-7_Calibrated_Curve_4</t>
    <phoneticPr fontId="4" type="noConversion"/>
  </si>
  <si>
    <t>CNY_Treasury_Live_Curve_2012-8-7_Calibrated_Curve_5</t>
    <phoneticPr fontId="4" type="noConversion"/>
  </si>
  <si>
    <t>CNY_Treasury_Live_Curve_2012-8-7_Calibrated_Curve_6</t>
    <phoneticPr fontId="4" type="noConversion"/>
  </si>
  <si>
    <t>CNY_Treasury_Live_Curve_2012-8-7_Calibrated_Curve_7</t>
    <phoneticPr fontId="4" type="noConversion"/>
  </si>
  <si>
    <t>CNY_Treasury_Live_Curve_2012-8-8_Calibrated_Curve_1</t>
    <phoneticPr fontId="4" type="noConversion"/>
  </si>
  <si>
    <t>CNY_Treasury_Live_Curve_2012-8-8_Calibrated_Curve_2</t>
    <phoneticPr fontId="4" type="noConversion"/>
  </si>
  <si>
    <t>CNY_Treasury_Live_Curve_2012-8-8_Calibrated_Curve_3</t>
    <phoneticPr fontId="4" type="noConversion"/>
  </si>
  <si>
    <t>CNY_Treasury_Live_Curve_2012-8-8_Calibrated_Curve_4</t>
    <phoneticPr fontId="4" type="noConversion"/>
  </si>
  <si>
    <t>CNY_Treasury_Live_Curve_2012-8-8_Calibrated_Curve_5</t>
    <phoneticPr fontId="4" type="noConversion"/>
  </si>
  <si>
    <t>CNY_Treasury_Live_Curve_2012-8-8_Calibrated_Curve_6</t>
    <phoneticPr fontId="4" type="noConversion"/>
  </si>
  <si>
    <t>CNY_Treasury_Live_Curve_2012-8-8_Calibrated_Curve_7</t>
    <phoneticPr fontId="4" type="noConversion"/>
  </si>
  <si>
    <t>CNY_Treasury_Live_Curve_2012-8-9_Calibrated_Curve_1</t>
    <phoneticPr fontId="4" type="noConversion"/>
  </si>
  <si>
    <t>CNY_Treasury_Live_Curve_2012-8-9_Calibrated_Curve_2</t>
    <phoneticPr fontId="4" type="noConversion"/>
  </si>
  <si>
    <t>CNY_Treasury_Live_Curve_2012-8-9_Calibrated_Curve_3</t>
    <phoneticPr fontId="4" type="noConversion"/>
  </si>
  <si>
    <t>CNY_Treasury_Live_Curve_2012-8-9_Calibrated_Curve_4</t>
    <phoneticPr fontId="4" type="noConversion"/>
  </si>
  <si>
    <t>CNY_Treasury_Live_Curve_2012-8-9_Calibrated_Curve_5</t>
    <phoneticPr fontId="4" type="noConversion"/>
  </si>
  <si>
    <t>CNY_Treasury_Live_Curve_2012-8-9_Calibrated_Curve_6</t>
    <phoneticPr fontId="4" type="noConversion"/>
  </si>
  <si>
    <t>CNY_Treasury_Live_Curve_2012-8-9_Calibrated_Curve_7</t>
    <phoneticPr fontId="4" type="noConversion"/>
  </si>
  <si>
    <t>F:\data\Curve\Standalone Curves\</t>
    <phoneticPr fontId="4" type="noConversion"/>
  </si>
  <si>
    <t>移动后曲线</t>
    <phoneticPr fontId="4" type="noConversion"/>
  </si>
  <si>
    <t>基础曲线（2012年7月5日）</t>
    <phoneticPr fontId="4" type="noConversion"/>
  </si>
  <si>
    <t>平行移动</t>
    <phoneticPr fontId="4" type="noConversion"/>
  </si>
  <si>
    <t>CNY_Treasury_Live_Curve_2012-7-10_Calibrated_Curve_1</t>
    <phoneticPr fontId="4" type="noConversion"/>
  </si>
  <si>
    <t>CNY_Treasury_Live_Curve_2012-7-10_Calibrated_Curve_2</t>
    <phoneticPr fontId="4" type="noConversion"/>
  </si>
  <si>
    <t>CNY_Treasury_Live_Curve_2012-7-10_Calibrated_Curve_3</t>
    <phoneticPr fontId="4" type="noConversion"/>
  </si>
  <si>
    <t>CNY_Treasury_Live_Curve_2012-7-10_Calibrated_Curve_4</t>
    <phoneticPr fontId="4" type="noConversion"/>
  </si>
  <si>
    <t>CNY_Treasury_Live_Curve_2012-7-10_Calibrated_Curve_5</t>
    <phoneticPr fontId="4" type="noConversion"/>
  </si>
  <si>
    <t>CNY_Treasury_Live_Curve_2012-7-10_Calibrated_Curve_6</t>
    <phoneticPr fontId="4" type="noConversion"/>
  </si>
  <si>
    <t>CNY_Treasury_Live_Curve_2012-7-10_Calibrated_Curve_7</t>
    <phoneticPr fontId="4" type="noConversion"/>
  </si>
  <si>
    <t>CNY_Treasury_Live_Curve_2012-7-11_Calibrated_Curve_1</t>
    <phoneticPr fontId="4" type="noConversion"/>
  </si>
  <si>
    <t>CNY_Treasury_Live_Curve_2012-7-11_Calibrated_Curve_2</t>
    <phoneticPr fontId="4" type="noConversion"/>
  </si>
  <si>
    <t>CNY_Treasury_Live_Curve_2012-7-11_Calibrated_Curve_3</t>
    <phoneticPr fontId="4" type="noConversion"/>
  </si>
  <si>
    <t>CNY_Treasury_Live_Curve_2012-7-11_Calibrated_Curve_4</t>
    <phoneticPr fontId="4" type="noConversion"/>
  </si>
  <si>
    <t>CNY_Treasury_Live_Curve_2012-7-11_Calibrated_Curve_5</t>
    <phoneticPr fontId="4" type="noConversion"/>
  </si>
  <si>
    <t>CNY_Treasury_Live_Curve_2012-7-11_Calibrated_Curve_6</t>
    <phoneticPr fontId="4" type="noConversion"/>
  </si>
  <si>
    <t>CNY_Treasury_Live_Curve_2012-7-11_Calibrated_Curve_7</t>
    <phoneticPr fontId="4" type="noConversion"/>
  </si>
  <si>
    <t>CNY_Treasury_Live_Curve_2012-7-12_Calibrated_Curve_1</t>
    <phoneticPr fontId="4" type="noConversion"/>
  </si>
  <si>
    <t>CNY_Treasury_Live_Curve_2012-7-12_Calibrated_Curve_2</t>
    <phoneticPr fontId="4" type="noConversion"/>
  </si>
  <si>
    <t>CNY_Treasury_Live_Curve_2012-7-12_Calibrated_Curve_3</t>
    <phoneticPr fontId="4" type="noConversion"/>
  </si>
  <si>
    <t>CNY_Treasury_Live_Curve_2012-7-12_Calibrated_Curve_4</t>
    <phoneticPr fontId="4" type="noConversion"/>
  </si>
  <si>
    <t>CNY_Treasury_Live_Curve_2012-7-12_Calibrated_Curve_5</t>
    <phoneticPr fontId="4" type="noConversion"/>
  </si>
  <si>
    <t>CNY_Treasury_Live_Curve_2012-7-12_Calibrated_Curve_6</t>
    <phoneticPr fontId="4" type="noConversion"/>
  </si>
  <si>
    <t>CNY_Treasury_Live_Curve_2012-7-12_Calibrated_Curve_7</t>
    <phoneticPr fontId="4" type="noConversion"/>
  </si>
  <si>
    <t>CNY_Treasury_Live_Curve_2012-7-13_Calibrated_Curve_1</t>
    <phoneticPr fontId="4" type="noConversion"/>
  </si>
  <si>
    <t>CNY_Treasury_Live_Curve_2012-7-13_Calibrated_Curve_2</t>
    <phoneticPr fontId="4" type="noConversion"/>
  </si>
  <si>
    <t>CNY_Treasury_Live_Curve_2012-7-13_Calibrated_Curve_3</t>
    <phoneticPr fontId="4" type="noConversion"/>
  </si>
  <si>
    <t>CNY_Treasury_Live_Curve_2012-7-13_Calibrated_Curve_4</t>
    <phoneticPr fontId="4" type="noConversion"/>
  </si>
  <si>
    <t>CNY_Treasury_Live_Curve_2012-7-13_Calibrated_Curve_5</t>
    <phoneticPr fontId="4" type="noConversion"/>
  </si>
  <si>
    <t>CNY_Treasury_Live_Curve_2012-7-13_Calibrated_Curve_6</t>
    <phoneticPr fontId="4" type="noConversion"/>
  </si>
  <si>
    <t>CNY_Treasury_Live_Curve_2012-7-13_Calibrated_Curve_7</t>
    <phoneticPr fontId="4" type="noConversion"/>
  </si>
  <si>
    <t>CNY_Treasury_Live_Curve_2012-7-16_Calibrated_Curve_1</t>
    <phoneticPr fontId="4" type="noConversion"/>
  </si>
  <si>
    <t>CNY_Treasury_Live_Curve_2012-7-16_Calibrated_Curve_2</t>
    <phoneticPr fontId="4" type="noConversion"/>
  </si>
  <si>
    <t>CNY_Treasury_Live_Curve_2012-7-16_Calibrated_Curve_3</t>
    <phoneticPr fontId="4" type="noConversion"/>
  </si>
  <si>
    <t>CNY_Treasury_Live_Curve_2012-7-16_Calibrated_Curve_4</t>
    <phoneticPr fontId="4" type="noConversion"/>
  </si>
  <si>
    <t>CNY_Treasury_Live_Curve_2012-7-16_Calibrated_Curve_5</t>
    <phoneticPr fontId="4" type="noConversion"/>
  </si>
  <si>
    <t>CNY_Treasury_Live_Curve_2012-7-16_Calibrated_Curve_6</t>
    <phoneticPr fontId="4" type="noConversion"/>
  </si>
  <si>
    <t>CNY_Treasury_Live_Curve_2012-7-16_Calibrated_Curve_7</t>
    <phoneticPr fontId="4" type="noConversion"/>
  </si>
  <si>
    <t>CNY_Treasury_Live_Curve_2012-7-17_Calibrated_Curve_1</t>
    <phoneticPr fontId="4" type="noConversion"/>
  </si>
  <si>
    <t>CNY_Treasury_Live_Curve_2012-7-17_Calibrated_Curve_2</t>
    <phoneticPr fontId="4" type="noConversion"/>
  </si>
  <si>
    <t>CNY_Treasury_Live_Curve_2012-7-17_Calibrated_Curve_3</t>
    <phoneticPr fontId="4" type="noConversion"/>
  </si>
  <si>
    <t>CNY_Treasury_Live_Curve_2012-7-17_Calibrated_Curve_4</t>
    <phoneticPr fontId="4" type="noConversion"/>
  </si>
  <si>
    <t>CNY_Treasury_Live_Curve_2012-7-17_Calibrated_Curve_5</t>
    <phoneticPr fontId="4" type="noConversion"/>
  </si>
  <si>
    <t>CNY_Treasury_Live_Curve_2012-7-17_Calibrated_Curve_6</t>
    <phoneticPr fontId="4" type="noConversion"/>
  </si>
  <si>
    <t>CNY_Treasury_Live_Curve_2012-7-17_Calibrated_Curve_7</t>
    <phoneticPr fontId="4" type="noConversion"/>
  </si>
  <si>
    <t>CNY_Treasury_Live_Curve_2012-7-18_Calibrated_Curve_1</t>
    <phoneticPr fontId="4" type="noConversion"/>
  </si>
  <si>
    <t>CNY_Treasury_Live_Curve_2012-7-18_Calibrated_Curve_2</t>
    <phoneticPr fontId="4" type="noConversion"/>
  </si>
  <si>
    <t>CNY_Treasury_Live_Curve_2012-7-18_Calibrated_Curve_3</t>
    <phoneticPr fontId="4" type="noConversion"/>
  </si>
  <si>
    <t>CNY_Treasury_Live_Curve_2012-7-18_Calibrated_Curve_4</t>
    <phoneticPr fontId="4" type="noConversion"/>
  </si>
  <si>
    <t>CNY_Treasury_Live_Curve_2012-7-18_Calibrated_Curve_5</t>
    <phoneticPr fontId="4" type="noConversion"/>
  </si>
  <si>
    <t>CNY_Treasury_Live_Curve_2012-7-18_Calibrated_Curve_6</t>
    <phoneticPr fontId="4" type="noConversion"/>
  </si>
  <si>
    <t>CNY_Treasury_Live_Curve_2012-7-18_Calibrated_Curve_7</t>
    <phoneticPr fontId="4" type="noConversion"/>
  </si>
  <si>
    <t>CNY_Treasury_Live_Curve_2012-7-19_Calibrated_Curve_1</t>
    <phoneticPr fontId="4" type="noConversion"/>
  </si>
  <si>
    <t>CNY_Treasury_Live_Curve_2012-7-19_Calibrated_Curve_2</t>
    <phoneticPr fontId="4" type="noConversion"/>
  </si>
  <si>
    <t>CNY_Treasury_Live_Curve_2012-7-19_Calibrated_Curve_3</t>
    <phoneticPr fontId="4" type="noConversion"/>
  </si>
  <si>
    <t>CNY_Treasury_Live_Curve_2012-7-19_Calibrated_Curve_4</t>
    <phoneticPr fontId="4" type="noConversion"/>
  </si>
  <si>
    <t>CNY_Treasury_Live_Curve_2012-7-19_Calibrated_Curve_5</t>
    <phoneticPr fontId="4" type="noConversion"/>
  </si>
  <si>
    <t>CNY_Treasury_Live_Curve_2012-7-19_Calibrated_Curve_6</t>
    <phoneticPr fontId="4" type="noConversion"/>
  </si>
  <si>
    <t>CNY_Treasury_Live_Curve_2012-7-19_Calibrated_Curve_7</t>
    <phoneticPr fontId="4" type="noConversion"/>
  </si>
  <si>
    <t>CNY_Treasury_Live_Curve_2012-7-20_Calibrated_Curve_1</t>
    <phoneticPr fontId="4" type="noConversion"/>
  </si>
  <si>
    <t>CNY_Treasury_Live_Curve_2012-7-20_Calibrated_Curve_2</t>
    <phoneticPr fontId="4" type="noConversion"/>
  </si>
  <si>
    <t>CNY_Treasury_Live_Curve_2012-7-20_Calibrated_Curve_3</t>
    <phoneticPr fontId="4" type="noConversion"/>
  </si>
  <si>
    <t>CNY_Treasury_Live_Curve_2012-7-20_Calibrated_Curve_4</t>
    <phoneticPr fontId="4" type="noConversion"/>
  </si>
  <si>
    <t>CNY_Treasury_Live_Curve_2012-7-20_Calibrated_Curve_5</t>
    <phoneticPr fontId="4" type="noConversion"/>
  </si>
  <si>
    <t>CNY_Treasury_Live_Curve_2012-7-20_Calibrated_Curve_6</t>
    <phoneticPr fontId="4" type="noConversion"/>
  </si>
  <si>
    <t>CNY_Treasury_Live_Curve_2012-7-20_Calibrated_Curve_7</t>
    <phoneticPr fontId="4" type="noConversion"/>
  </si>
  <si>
    <t>CNY_Treasury_Live_Curve_2012-7-23_Calibrated_Curve_1</t>
    <phoneticPr fontId="4" type="noConversion"/>
  </si>
  <si>
    <t>CNY_Treasury_Live_Curve_2012-7-23_Calibrated_Curve_2</t>
    <phoneticPr fontId="4" type="noConversion"/>
  </si>
  <si>
    <t>CNY_Treasury_Live_Curve_2012-7-23_Calibrated_Curve_3</t>
    <phoneticPr fontId="4" type="noConversion"/>
  </si>
  <si>
    <t>CNY_Treasury_Live_Curve_2012-7-23_Calibrated_Curve_4</t>
    <phoneticPr fontId="4" type="noConversion"/>
  </si>
  <si>
    <t>CNY_Treasury_Live_Curve_2012-7-23_Calibrated_Curve_5</t>
    <phoneticPr fontId="4" type="noConversion"/>
  </si>
  <si>
    <t>CNY_Treasury_Live_Curve_2012-7-23_Calibrated_Curve_6</t>
    <phoneticPr fontId="4" type="noConversion"/>
  </si>
  <si>
    <t>CNY_Treasury_Live_Curve_2012-7-23_Calibrated_Curve_7</t>
    <phoneticPr fontId="4" type="noConversion"/>
  </si>
  <si>
    <t>CNY_Treasury_Live_Curve_2012-7-24_Calibrated_Curve_1</t>
    <phoneticPr fontId="4" type="noConversion"/>
  </si>
  <si>
    <t>CNY_Treasury_Live_Curve_2012-7-24_Calibrated_Curve_2</t>
    <phoneticPr fontId="4" type="noConversion"/>
  </si>
  <si>
    <t>CNY_Treasury_Live_Curve_2012-7-24_Calibrated_Curve_3</t>
    <phoneticPr fontId="4" type="noConversion"/>
  </si>
  <si>
    <t>CNY_Treasury_Live_Curve_2012-7-24_Calibrated_Curve_4</t>
    <phoneticPr fontId="4" type="noConversion"/>
  </si>
  <si>
    <t>CNY_Treasury_Live_Curve_2012-7-24_Calibrated_Curve_5</t>
    <phoneticPr fontId="4" type="noConversion"/>
  </si>
  <si>
    <t>CNY_Treasury_Live_Curve_2012-7-24_Calibrated_Curve_6</t>
    <phoneticPr fontId="4" type="noConversion"/>
  </si>
  <si>
    <t>CNY_Treasury_Live_Curve_2012-7-24_Calibrated_Curve_7</t>
    <phoneticPr fontId="4" type="noConversion"/>
  </si>
  <si>
    <t>CNY_Treasury_Live_Curve_2012-7-25_Calibrated_Curve_1</t>
    <phoneticPr fontId="4" type="noConversion"/>
  </si>
  <si>
    <t>CNY_Treasury_Live_Curve_2012-7-25_Calibrated_Curve_2</t>
    <phoneticPr fontId="4" type="noConversion"/>
  </si>
  <si>
    <t>CNY_Treasury_Live_Curve_2012-7-25_Calibrated_Curve_3</t>
    <phoneticPr fontId="4" type="noConversion"/>
  </si>
  <si>
    <t>CNY_Treasury_Live_Curve_2012-7-25_Calibrated_Curve_4</t>
    <phoneticPr fontId="4" type="noConversion"/>
  </si>
  <si>
    <t>CNY_Treasury_Live_Curve_2012-7-25_Calibrated_Curve_5</t>
    <phoneticPr fontId="4" type="noConversion"/>
  </si>
  <si>
    <t>CNY_Treasury_Live_Curve_2012-7-25_Calibrated_Curve_6</t>
    <phoneticPr fontId="4" type="noConversion"/>
  </si>
  <si>
    <t>CNY_Treasury_Live_Curve_2012-7-25_Calibrated_Curve_7</t>
    <phoneticPr fontId="4" type="noConversion"/>
  </si>
  <si>
    <t>CNY_Treasury_Live_Curve_2012-7-26_Calibrated_Curve_1</t>
    <phoneticPr fontId="4" type="noConversion"/>
  </si>
  <si>
    <t>CNY_Treasury_Live_Curve_2012-7-26_Calibrated_Curve_2</t>
    <phoneticPr fontId="4" type="noConversion"/>
  </si>
  <si>
    <t>CNY_Treasury_Live_Curve_2012-7-26_Calibrated_Curve_3</t>
    <phoneticPr fontId="4" type="noConversion"/>
  </si>
  <si>
    <t>CNY_Treasury_Live_Curve_2012-7-26_Calibrated_Curve_4</t>
    <phoneticPr fontId="4" type="noConversion"/>
  </si>
  <si>
    <t>CNY_Treasury_Live_Curve_2012-7-26_Calibrated_Curve_5</t>
    <phoneticPr fontId="4" type="noConversion"/>
  </si>
  <si>
    <t>CNY_Treasury_Live_Curve_2012-7-26_Calibrated_Curve_6</t>
    <phoneticPr fontId="4" type="noConversion"/>
  </si>
  <si>
    <t>CNY_Treasury_Live_Curve_2012-7-26_Calibrated_Curve_7</t>
    <phoneticPr fontId="4" type="noConversion"/>
  </si>
  <si>
    <t>CNY_Treasury_Live_Curve_2012-7-27_Calibrated_Curve_1</t>
    <phoneticPr fontId="4" type="noConversion"/>
  </si>
  <si>
    <t>CNY_Treasury_Live_Curve_2012-7-27_Calibrated_Curve_2</t>
    <phoneticPr fontId="4" type="noConversion"/>
  </si>
  <si>
    <t>CNY_Treasury_Live_Curve_2012-7-27_Calibrated_Curve_3</t>
    <phoneticPr fontId="4" type="noConversion"/>
  </si>
  <si>
    <t>CNY_Treasury_Live_Curve_2012-7-27_Calibrated_Curve_4</t>
    <phoneticPr fontId="4" type="noConversion"/>
  </si>
  <si>
    <t>CNY_Treasury_Live_Curve_2012-7-27_Calibrated_Curve_5</t>
    <phoneticPr fontId="4" type="noConversion"/>
  </si>
  <si>
    <t>CNY_Treasury_Live_Curve_2012-7-27_Calibrated_Curve_6</t>
    <phoneticPr fontId="4" type="noConversion"/>
  </si>
  <si>
    <t>CNY_Treasury_Live_Curve_2012-7-27_Calibrated_Curve_7</t>
    <phoneticPr fontId="4" type="noConversion"/>
  </si>
  <si>
    <t>CNY_Treasury_Live_Curve_2012-7-30_Calibrated_Curve_1</t>
    <phoneticPr fontId="4" type="noConversion"/>
  </si>
  <si>
    <t>CNY_Treasury_Live_Curve_2012-7-30_Calibrated_Curve_2</t>
    <phoneticPr fontId="4" type="noConversion"/>
  </si>
  <si>
    <t>CNY_Treasury_Live_Curve_2012-7-30_Calibrated_Curve_3</t>
    <phoneticPr fontId="4" type="noConversion"/>
  </si>
  <si>
    <t>CNY_Treasury_Live_Curve_2012-7-30_Calibrated_Curve_4</t>
    <phoneticPr fontId="4" type="noConversion"/>
  </si>
  <si>
    <t>CNY_Treasury_Live_Curve_2012-7-30_Calibrated_Curve_5</t>
    <phoneticPr fontId="4" type="noConversion"/>
  </si>
  <si>
    <t>CNY_Treasury_Live_Curve_2012-7-30_Calibrated_Curve_6</t>
    <phoneticPr fontId="4" type="noConversion"/>
  </si>
  <si>
    <t>CNY_Treasury_Live_Curve_2012-7-30_Calibrated_Curve_7</t>
    <phoneticPr fontId="4" type="noConversion"/>
  </si>
  <si>
    <t>CNY_Treasury_Live_Curve_2012-7-31_Calibrated_Curve_1</t>
    <phoneticPr fontId="4" type="noConversion"/>
  </si>
  <si>
    <t>CNY_Treasury_Live_Curve_2012-7-31_Calibrated_Curve_2</t>
    <phoneticPr fontId="4" type="noConversion"/>
  </si>
  <si>
    <t>CNY_Treasury_Live_Curve_2012-7-31_Calibrated_Curve_3</t>
    <phoneticPr fontId="4" type="noConversion"/>
  </si>
  <si>
    <t>CNY_Treasury_Live_Curve_2012-7-31_Calibrated_Curve_4</t>
    <phoneticPr fontId="4" type="noConversion"/>
  </si>
  <si>
    <t>CNY_Treasury_Live_Curve_2012-7-31_Calibrated_Curve_5</t>
    <phoneticPr fontId="4" type="noConversion"/>
  </si>
  <si>
    <t>CNY_Treasury_Live_Curve_2012-7-31_Calibrated_Curve_6</t>
    <phoneticPr fontId="4" type="noConversion"/>
  </si>
  <si>
    <t>CNY_Treasury_Live_Curve_2012-7-31_Calibrated_Curve_7</t>
    <phoneticPr fontId="4" type="noConversion"/>
  </si>
  <si>
    <t>CNY_Treasury_Live_Curve_2012-7-5_Calibrated_Curve_1</t>
    <phoneticPr fontId="4" type="noConversion"/>
  </si>
  <si>
    <t>CNY_Treasury_Live_Curve_2012-7-5_Calibrated_Curve_2</t>
    <phoneticPr fontId="4" type="noConversion"/>
  </si>
  <si>
    <t>CNY_Treasury_Live_Curve_2012-7-5_Calibrated_Curve_3</t>
    <phoneticPr fontId="4" type="noConversion"/>
  </si>
  <si>
    <t>CNY_Treasury_Live_Curve_2012-7-5_Calibrated_Curve_4</t>
    <phoneticPr fontId="4" type="noConversion"/>
  </si>
  <si>
    <t>CNY_Treasury_Live_Curve_2012-7-5_Calibrated_Curve_5</t>
    <phoneticPr fontId="4" type="noConversion"/>
  </si>
  <si>
    <t>CNY_Treasury_Live_Curve_2012-7-5_Calibrated_Curve_6</t>
    <phoneticPr fontId="4" type="noConversion"/>
  </si>
  <si>
    <t>CNY_Treasury_Live_Curve_2012-7-5_Calibrated_Curve_7</t>
    <phoneticPr fontId="4" type="noConversion"/>
  </si>
  <si>
    <t>CNY_Treasury_Live_Curve_2012-7-6_Calibrated_Curve_1</t>
    <phoneticPr fontId="4" type="noConversion"/>
  </si>
  <si>
    <t>CNY_Treasury_Live_Curve_2012-7-6_Calibrated_Curve_2</t>
    <phoneticPr fontId="4" type="noConversion"/>
  </si>
  <si>
    <t>CNY_Treasury_Live_Curve_2012-7-6_Calibrated_Curve_3</t>
    <phoneticPr fontId="4" type="noConversion"/>
  </si>
  <si>
    <t>CNY_Treasury_Live_Curve_2012-7-6_Calibrated_Curve_4</t>
    <phoneticPr fontId="4" type="noConversion"/>
  </si>
  <si>
    <t>CNY_Treasury_Live_Curve_2012-7-6_Calibrated_Curve_5</t>
    <phoneticPr fontId="4" type="noConversion"/>
  </si>
  <si>
    <t>CNY_Treasury_Live_Curve_2012-7-6_Calibrated_Curve_6</t>
    <phoneticPr fontId="4" type="noConversion"/>
  </si>
  <si>
    <t>CNY_Treasury_Live_Curve_2012-7-6_Calibrated_Curve_7</t>
    <phoneticPr fontId="4" type="noConversion"/>
  </si>
  <si>
    <t>CNY_Treasury_Live_Curve_2012-7-9_Calibrated_Curve_1</t>
    <phoneticPr fontId="4" type="noConversion"/>
  </si>
  <si>
    <t>CNY_Treasury_Live_Curve_2012-7-9_Calibrated_Curve_2</t>
    <phoneticPr fontId="4" type="noConversion"/>
  </si>
  <si>
    <t>CNY_Treasury_Live_Curve_2012-7-9_Calibrated_Curve_3</t>
    <phoneticPr fontId="4" type="noConversion"/>
  </si>
  <si>
    <t>CNY_Treasury_Live_Curve_2012-7-9_Calibrated_Curve_4</t>
    <phoneticPr fontId="4" type="noConversion"/>
  </si>
  <si>
    <t>CNY_Treasury_Live_Curve_2012-7-9_Calibrated_Curve_5</t>
    <phoneticPr fontId="4" type="noConversion"/>
  </si>
  <si>
    <t>CNY_Treasury_Live_Curve_2012-7-9_Calibrated_Curve_6</t>
    <phoneticPr fontId="4" type="noConversion"/>
  </si>
  <si>
    <t>CNY_Treasury_Live_Curve_2012-7-9_Calibrated_Curve_7</t>
    <phoneticPr fontId="4" type="noConversion"/>
  </si>
  <si>
    <t>CNY_Treasury_Live_Curve_2012-8-1_Calibrated_Curve_1</t>
    <phoneticPr fontId="4" type="noConversion"/>
  </si>
  <si>
    <t>CNY_Treasury_Live_Curve_2012-8-1_Calibrated_Curve_2</t>
    <phoneticPr fontId="4" type="noConversion"/>
  </si>
  <si>
    <t>CNY_Treasury_Live_Curve_2012-8-1_Calibrated_Curve_3</t>
    <phoneticPr fontId="4" type="noConversion"/>
  </si>
  <si>
    <t>CNY_Treasury_Live_Curve_2012-8-1_Calibrated_Curve_4</t>
    <phoneticPr fontId="4" type="noConversion"/>
  </si>
  <si>
    <t>CNY_Treasury_Live_Curve_2012-8-1_Calibrated_Curve_5</t>
    <phoneticPr fontId="4" type="noConversion"/>
  </si>
  <si>
    <t>CNY_Treasury_Live_Curve_2012-8-1_Calibrated_Curve_6</t>
    <phoneticPr fontId="4" type="noConversion"/>
  </si>
  <si>
    <t>CNY_Treasury_Live_Curve_2012-8-1_Calibrated_Curve_7</t>
    <phoneticPr fontId="4" type="noConversion"/>
  </si>
  <si>
    <t>CNY_Treasury_Live_Curve_2012-8-10_Calibrated_Curve_1</t>
    <phoneticPr fontId="4" type="noConversion"/>
  </si>
  <si>
    <t>CNY_Treasury_Live_Curve_2012-8-10_Calibrated_Curve_2</t>
    <phoneticPr fontId="4" type="noConversion"/>
  </si>
  <si>
    <t>CNY_Treasury_Live_Curve_2012-8-10_Calibrated_Curve_3</t>
    <phoneticPr fontId="4" type="noConversion"/>
  </si>
  <si>
    <t>CNY_Treasury_Live_Curve_2012-8-10_Calibrated_Curve_4</t>
    <phoneticPr fontId="4" type="noConversion"/>
  </si>
  <si>
    <t>CNY_Treasury_Live_Curve_2012-8-10_Calibrated_Curve_5</t>
    <phoneticPr fontId="4" type="noConversion"/>
  </si>
  <si>
    <t>CNY_Treasury_Live_Curve_2012-8-10_Calibrated_Curve_6</t>
    <phoneticPr fontId="4" type="noConversion"/>
  </si>
  <si>
    <t>CNY_Treasury_Live_Curve_2012-8-10_Calibrated_Curve_7</t>
    <phoneticPr fontId="4" type="noConversion"/>
  </si>
  <si>
    <t>CNY_Treasury_Live_Curve_2012-8-13_Calibrated_Curve_1</t>
    <phoneticPr fontId="4" type="noConversion"/>
  </si>
  <si>
    <t>CNY_Treasury_Live_Curve_2012-8-13_Calibrated_Curve_2</t>
    <phoneticPr fontId="4" type="noConversion"/>
  </si>
  <si>
    <t>CNY_Treasury_Live_Curve_2012-8-13_Calibrated_Curve_3</t>
    <phoneticPr fontId="4" type="noConversion"/>
  </si>
  <si>
    <t>CNY_Treasury_Live_Curve_2012-8-13_Calibrated_Curve_4</t>
    <phoneticPr fontId="4" type="noConversion"/>
  </si>
  <si>
    <t>CNY_Treasury_Live_Curve_2012-8-13_Calibrated_Curve_5</t>
    <phoneticPr fontId="4" type="noConversion"/>
  </si>
  <si>
    <t>CNY_Treasury_Live_Curve_2012-8-13_Calibrated_Curve_6</t>
    <phoneticPr fontId="4" type="noConversion"/>
  </si>
  <si>
    <t>CNY_Treasury_Live_Curve_2012-8-13_Calibrated_Curve_7</t>
    <phoneticPr fontId="4" type="noConversion"/>
  </si>
  <si>
    <t>CNY_Treasury_Live_Curve_2012-8-14_Calibrated_Curve_1</t>
    <phoneticPr fontId="4" type="noConversion"/>
  </si>
  <si>
    <t>CNY_Treasury_Live_Curve_2012-8-14_Calibrated_Curve_2</t>
    <phoneticPr fontId="4" type="noConversion"/>
  </si>
  <si>
    <t>CNY_Treasury_Live_Curve_2012-8-14_Calibrated_Curve_3</t>
    <phoneticPr fontId="4" type="noConversion"/>
  </si>
  <si>
    <t>CNY_Treasury_Live_Curve_2012-8-14_Calibrated_Curve_4</t>
    <phoneticPr fontId="4" type="noConversion"/>
  </si>
  <si>
    <t>CNY_Treasury_Live_Curve_2012-8-14_Calibrated_Curve_5</t>
    <phoneticPr fontId="4" type="noConversion"/>
  </si>
  <si>
    <t>CNY_Treasury_Live_Curve_2012-8-14_Calibrated_Curve_6</t>
    <phoneticPr fontId="4" type="noConversion"/>
  </si>
  <si>
    <t>CNY_Treasury_Live_Curve_2012-8-14_Calibrated_Curve_7</t>
    <phoneticPr fontId="4" type="noConversion"/>
  </si>
  <si>
    <t>CNY_Treasury_Live_Curve_2012-8-15_Calibrated_Curve_1</t>
    <phoneticPr fontId="4" type="noConversion"/>
  </si>
  <si>
    <t>CNY_Treasury_Live_Curve_2012-8-15_Calibrated_Curve_2</t>
    <phoneticPr fontId="4" type="noConversion"/>
  </si>
  <si>
    <t>CNY_Treasury_Live_Curve_2012-8-15_Calibrated_Curve_3</t>
    <phoneticPr fontId="4" type="noConversion"/>
  </si>
  <si>
    <t>CNY_Treasury_Live_Curve_2012-8-15_Calibrated_Curve_4</t>
    <phoneticPr fontId="4" type="noConversion"/>
  </si>
  <si>
    <t>CNY_Treasury_Live_Curve_2012-8-15_Calibrated_Curve_5</t>
    <phoneticPr fontId="4" type="noConversion"/>
  </si>
  <si>
    <t>CNY_Treasury_Live_Curve_2012-8-15_Calibrated_Curve_6</t>
    <phoneticPr fontId="4" type="noConversion"/>
  </si>
  <si>
    <t>CNY_Treasury_Live_Curve_2012-8-15_Calibrated_Curve_7</t>
    <phoneticPr fontId="4" type="noConversion"/>
  </si>
  <si>
    <t>CNY_Treasury_Live_Curve_2012-8-16_Calibrated_Curve_1</t>
    <phoneticPr fontId="4" type="noConversion"/>
  </si>
  <si>
    <t>CNY_Treasury_Live_Curve_2012-8-16_Calibrated_Curve_2</t>
    <phoneticPr fontId="4" type="noConversion"/>
  </si>
  <si>
    <t>CNY_Treasury_Live_Curve_2012-8-16_Calibrated_Curve_3</t>
    <phoneticPr fontId="4" type="noConversion"/>
  </si>
  <si>
    <t>CNY_Treasury_Live_Curve_2012-8-16_Calibrated_Curve_4</t>
    <phoneticPr fontId="4" type="noConversion"/>
  </si>
  <si>
    <t>CNY_Treasury_Live_Curve_2012-8-16_Calibrated_Curve_5</t>
    <phoneticPr fontId="4" type="noConversion"/>
  </si>
  <si>
    <t>CNY_Treasury_Live_Curve_2012-8-16_Calibrated_Curve_6</t>
    <phoneticPr fontId="4" type="noConversion"/>
  </si>
  <si>
    <t>CNY_Treasury_Live_Curve_2012-8-16_Calibrated_Curve_7</t>
    <phoneticPr fontId="4" type="noConversion"/>
  </si>
  <si>
    <t>CNY_Treasury_Live_Curve_2012-8-17_Calibrated_Curve_1</t>
    <phoneticPr fontId="4" type="noConversion"/>
  </si>
  <si>
    <t>CNY_Treasury_Live_Curve_2012-8-17_Calibrated_Curve_2</t>
    <phoneticPr fontId="4" type="noConversion"/>
  </si>
  <si>
    <t>CNY_Treasury_Live_Curve_2012-8-17_Calibrated_Curve_3</t>
    <phoneticPr fontId="4" type="noConversion"/>
  </si>
  <si>
    <t>CNY_Treasury_Live_Curve_2012-8-17_Calibrated_Curve_4</t>
    <phoneticPr fontId="4" type="noConversion"/>
  </si>
  <si>
    <t>CNY_Treasury_Live_Curve_2012-8-17_Calibrated_Curve_5</t>
    <phoneticPr fontId="4" type="noConversion"/>
  </si>
  <si>
    <t>CNY_Treasury_Live_Curve_2012-8-17_Calibrated_Curve_6</t>
    <phoneticPr fontId="4" type="noConversion"/>
  </si>
  <si>
    <t>CNY_Treasury_Live_Curve_2012-8-17_Calibrated_Curve_7</t>
    <phoneticPr fontId="4" type="noConversion"/>
  </si>
  <si>
    <t>CNY_Treasury_Live_Curve_2012-8-2_Calibrated_Curve_1</t>
    <phoneticPr fontId="4" type="noConversion"/>
  </si>
  <si>
    <t>CNY_Treasury_Live_Curve_2012-8-2_Calibrated_Curve_2</t>
    <phoneticPr fontId="4" type="noConversion"/>
  </si>
  <si>
    <t>CNY_Treasury_Live_Curve_2012-8-2_Calibrated_Curve_3</t>
    <phoneticPr fontId="4" type="noConversion"/>
  </si>
  <si>
    <t>CNY_Treasury_Live_Curve_2012-8-2_Calibrated_Curve_4</t>
    <phoneticPr fontId="4" type="noConversion"/>
  </si>
  <si>
    <t>CNY_Treasury_Live_Curve_2012-8-2_Calibrated_Curve_5</t>
    <phoneticPr fontId="4" type="noConversion"/>
  </si>
  <si>
    <t>CNY_Treasury_Live_Curve_2012-8-2_Calibrated_Curve_6</t>
    <phoneticPr fontId="4" type="noConversion"/>
  </si>
  <si>
    <t>CNY_Treasury_Live_Curve_2012-8-2_Calibrated_Curve_7</t>
    <phoneticPr fontId="4" type="noConversion"/>
  </si>
  <si>
    <t>CNY_Treasury_Live_Curve_2012-8-20_Calibrated_Curve_1</t>
    <phoneticPr fontId="4" type="noConversion"/>
  </si>
  <si>
    <t>CNY_Treasury_Live_Curve_2012-8-20_Calibrated_Curve_2</t>
    <phoneticPr fontId="4" type="noConversion"/>
  </si>
  <si>
    <t>CNY_Treasury_Live_Curve_2012-8-20_Calibrated_Curve_3</t>
    <phoneticPr fontId="4" type="noConversion"/>
  </si>
  <si>
    <t>CNY_Treasury_Live_Curve_2012-8-20_Calibrated_Curve_4</t>
    <phoneticPr fontId="4" type="noConversion"/>
  </si>
  <si>
    <t>CNY_Treasury_Live_Curve_2012-8-20_Calibrated_Curve_5</t>
    <phoneticPr fontId="4" type="noConversion"/>
  </si>
  <si>
    <t>CNY_Treasury_Live_Curve_2012-8-20_Calibrated_Curve_6</t>
    <phoneticPr fontId="4" type="noConversion"/>
  </si>
  <si>
    <t>CNY_Treasury_Live_Curve_2012-8-20_Calibrated_Curve_7</t>
    <phoneticPr fontId="4" type="noConversion"/>
  </si>
  <si>
    <t>CNY_Treasury_Live_Curve_2012-8-21_Calibrated_Curve_1</t>
    <phoneticPr fontId="4" type="noConversion"/>
  </si>
  <si>
    <t>CNY_Treasury_Live_Curve_2012-8-21_Calibrated_Curve_2</t>
    <phoneticPr fontId="4" type="noConversion"/>
  </si>
  <si>
    <t>CNY_Treasury_Live_Curve_2012-8-21_Calibrated_Curve_3</t>
    <phoneticPr fontId="4" type="noConversion"/>
  </si>
  <si>
    <t>CNY_Treasury_Live_Curve_2012-8-21_Calibrated_Curve_4</t>
    <phoneticPr fontId="4" type="noConversion"/>
  </si>
  <si>
    <t>CNY_Treasury_Live_Curve_2012-8-21_Calibrated_Curve_5</t>
    <phoneticPr fontId="4" type="noConversion"/>
  </si>
  <si>
    <t>CNY_Treasury_Live_Curve_2012-8-21_Calibrated_Curve_6</t>
    <phoneticPr fontId="4" type="noConversion"/>
  </si>
  <si>
    <t>CNY_Treasury_Live_Curve_2012-8-21_Calibrated_Curve_7</t>
    <phoneticPr fontId="4" type="noConversion"/>
  </si>
  <si>
    <t>CNY_Treasury_Live_Curve_2012-8-3_Calibrated_Curve_1</t>
    <phoneticPr fontId="4" type="noConversion"/>
  </si>
  <si>
    <t>CNY_Treasury_Live_Curve_2012-8-3_Calibrated_Curve_2</t>
    <phoneticPr fontId="4" type="noConversion"/>
  </si>
  <si>
    <t>CNY_Treasury_Live_Curve_2012-8-3_Calibrated_Curve_3</t>
    <phoneticPr fontId="4" type="noConversion"/>
  </si>
  <si>
    <t>CNY_Treasury_Live_Curve_2012-8-3_Calibrated_Curve_4</t>
    <phoneticPr fontId="4" type="noConversion"/>
  </si>
  <si>
    <t>CNY_Treasury_Live_Curve_2012-8-3_Calibrated_Curve_5</t>
    <phoneticPr fontId="4" type="noConversion"/>
  </si>
  <si>
    <t>CNY_Treasury_Live_Curve_2012-8-3_Calibrated_Curve_6</t>
    <phoneticPr fontId="4" type="noConversion"/>
  </si>
  <si>
    <t>CNY_Treasury_Live_Curve_2012-8-3_Calibrated_Curve_7</t>
    <phoneticPr fontId="4" type="noConversion"/>
  </si>
  <si>
    <t>CNY_Treasury_Live_Curve_2012-8-6_Calibrated_Curve_1</t>
    <phoneticPr fontId="4" type="noConversion"/>
  </si>
  <si>
    <t>CNY_Treasury_Live_Curve_2012-8-6_Calibrated_Curve_2</t>
    <phoneticPr fontId="4" type="noConversion"/>
  </si>
  <si>
    <t>CNY_Treasury_Live_Curve_2012-8-6_Calibrated_Curve_3</t>
    <phoneticPr fontId="4" type="noConversion"/>
  </si>
  <si>
    <t>CNY_Treasury_Live_Curve_2012-8-6_Calibrated_Curve_4</t>
    <phoneticPr fontId="4" type="noConversion"/>
  </si>
  <si>
    <t>CNY_Treasury_Live_Curve_2012-8-6_Calibrated_Curve_5</t>
    <phoneticPr fontId="4" type="noConversion"/>
  </si>
  <si>
    <t>CNY_Treasury_Live_Curve_2012-8-6_Calibrated_Curve_6</t>
    <phoneticPr fontId="4" type="noConversion"/>
  </si>
  <si>
    <t>CNY_Treasury_Live_Curve_2012-8-6_Calibrated_Curve_7</t>
    <phoneticPr fontId="4" type="noConversion"/>
  </si>
  <si>
    <t>CNY_Treasury_Live_Curve_2012-8-7_Calibrated_Curve_1</t>
    <phoneticPr fontId="4" type="noConversion"/>
  </si>
  <si>
    <t>CNY_Treasury_Live_Curve_2012-8-7_Calibrated_Curve_2</t>
    <phoneticPr fontId="4" type="noConversion"/>
  </si>
  <si>
    <t>CNY_Treasury_Live_Curve_2012-8-7_Calibrated_Curve_3</t>
    <phoneticPr fontId="4" type="noConversion"/>
  </si>
  <si>
    <t>CNY_Treasury_Live_Curve_2012-8-7_Calibrated_Curve_4</t>
    <phoneticPr fontId="4" type="noConversion"/>
  </si>
  <si>
    <t>CNY_Treasury_Live_Curve_2012-8-7_Calibrated_Curve_5</t>
    <phoneticPr fontId="4" type="noConversion"/>
  </si>
  <si>
    <t>CNY_Treasury_Live_Curve_2012-8-7_Calibrated_Curve_6</t>
    <phoneticPr fontId="4" type="noConversion"/>
  </si>
  <si>
    <t>CNY_Treasury_Live_Curve_2012-8-7_Calibrated_Curve_7</t>
    <phoneticPr fontId="4" type="noConversion"/>
  </si>
  <si>
    <t>CNY_Treasury_Live_Curve_2012-8-8_Calibrated_Curve_1</t>
    <phoneticPr fontId="4" type="noConversion"/>
  </si>
  <si>
    <t>CNY_Treasury_Live_Curve_2012-8-8_Calibrated_Curve_2</t>
    <phoneticPr fontId="4" type="noConversion"/>
  </si>
  <si>
    <t>CNY_Treasury_Live_Curve_2012-8-8_Calibrated_Curve_3</t>
    <phoneticPr fontId="4" type="noConversion"/>
  </si>
  <si>
    <t>CNY_Treasury_Live_Curve_2012-8-8_Calibrated_Curve_4</t>
    <phoneticPr fontId="4" type="noConversion"/>
  </si>
  <si>
    <t>CNY_Treasury_Live_Curve_2012-8-8_Calibrated_Curve_5</t>
    <phoneticPr fontId="4" type="noConversion"/>
  </si>
  <si>
    <t>CNY_Treasury_Live_Curve_2012-8-8_Calibrated_Curve_6</t>
    <phoneticPr fontId="4" type="noConversion"/>
  </si>
  <si>
    <t>CNY_Treasury_Live_Curve_2012-8-8_Calibrated_Curve_7</t>
    <phoneticPr fontId="4" type="noConversion"/>
  </si>
  <si>
    <t>CNY_Treasury_Live_Curve_2012-8-9_Calibrated_Curve_1</t>
    <phoneticPr fontId="4" type="noConversion"/>
  </si>
  <si>
    <t>CNY_Treasury_Live_Curve_2012-8-9_Calibrated_Curve_2</t>
    <phoneticPr fontId="4" type="noConversion"/>
  </si>
  <si>
    <t>CNY_Treasury_Live_Curve_2012-8-9_Calibrated_Curve_3</t>
    <phoneticPr fontId="4" type="noConversion"/>
  </si>
  <si>
    <t>CNY_Treasury_Live_Curve_2012-8-9_Calibrated_Curve_4</t>
    <phoneticPr fontId="4" type="noConversion"/>
  </si>
  <si>
    <t>CNY_Treasury_Live_Curve_2012-8-9_Calibrated_Curve_5</t>
    <phoneticPr fontId="4" type="noConversion"/>
  </si>
  <si>
    <t>CNY_Treasury_Live_Curve_2012-8-9_Calibrated_Curve_6</t>
    <phoneticPr fontId="4" type="noConversion"/>
  </si>
  <si>
    <t>CNY_Treasury_Live_Curve_2012-8-9_Calibrated_Curve_7</t>
    <phoneticPr fontId="4" type="noConversion"/>
  </si>
  <si>
    <t>Code</t>
  </si>
  <si>
    <t>Coupon</t>
  </si>
  <si>
    <t>Tenor</t>
  </si>
  <si>
    <t>Issue Date</t>
  </si>
  <si>
    <t>First Trading Date</t>
  </si>
  <si>
    <t>Expiry</t>
  </si>
  <si>
    <t>070003.IB</t>
  </si>
  <si>
    <t>6M</t>
  </si>
  <si>
    <t>100028.IB</t>
  </si>
  <si>
    <t>1Y</t>
  </si>
  <si>
    <t>100032.IB</t>
  </si>
  <si>
    <t>120005.IB</t>
  </si>
  <si>
    <t>110021.IB</t>
  </si>
  <si>
    <t>Close</t>
  </si>
  <si>
    <t>Avg. Price</t>
  </si>
  <si>
    <t>Full Price</t>
  </si>
  <si>
    <t>schedule</t>
    <phoneticPr fontId="4" type="noConversion"/>
  </si>
  <si>
    <t>Bond</t>
    <phoneticPr fontId="4" type="noConversion"/>
  </si>
  <si>
    <t>CNY_Treasury_Live_Curve_2012-7-10_Calibrated_Curve_8</t>
    <phoneticPr fontId="4" type="noConversion"/>
  </si>
  <si>
    <t>CNY_Treasury_Live_Curve_2012-7-11_Calibrated_Curve_8</t>
    <phoneticPr fontId="4" type="noConversion"/>
  </si>
  <si>
    <t>CNY_Treasury_Live_Curve_2012-7-12_Calibrated_Curve_8</t>
    <phoneticPr fontId="4" type="noConversion"/>
  </si>
  <si>
    <t>CNY_Treasury_Live_Curve_2012-7-13_Calibrated_Curve_8</t>
    <phoneticPr fontId="4" type="noConversion"/>
  </si>
  <si>
    <t>CNY_Treasury_Live_Curve_2012-7-16_Calibrated_Curve_8</t>
    <phoneticPr fontId="4" type="noConversion"/>
  </si>
  <si>
    <t>CNY_Treasury_Live_Curve_2012-7-17_Calibrated_Curve_8</t>
    <phoneticPr fontId="4" type="noConversion"/>
  </si>
  <si>
    <t>CNY_Treasury_Live_Curve_2012-7-18_Calibrated_Curve_8</t>
    <phoneticPr fontId="4" type="noConversion"/>
  </si>
  <si>
    <t>CNY_Treasury_Live_Curve_2012-7-19_Calibrated_Curve_8</t>
    <phoneticPr fontId="4" type="noConversion"/>
  </si>
  <si>
    <t>CNY_Treasury_Live_Curve_2012-7-20_Calibrated_Curve_8</t>
    <phoneticPr fontId="4" type="noConversion"/>
  </si>
  <si>
    <t>CNY_Treasury_Live_Curve_2012-7-23_Calibrated_Curve_8</t>
    <phoneticPr fontId="4" type="noConversion"/>
  </si>
  <si>
    <t>CNY_Treasury_Live_Curve_2012-7-24_Calibrated_Curve_8</t>
    <phoneticPr fontId="4" type="noConversion"/>
  </si>
  <si>
    <t>CNY_Treasury_Live_Curve_2012-7-25_Calibrated_Curve_8</t>
    <phoneticPr fontId="4" type="noConversion"/>
  </si>
  <si>
    <t>CNY_Treasury_Live_Curve_2012-7-26_Calibrated_Curve_8</t>
    <phoneticPr fontId="4" type="noConversion"/>
  </si>
  <si>
    <t>CNY_Treasury_Live_Curve_2012-7-27_Calibrated_Curve_8</t>
    <phoneticPr fontId="4" type="noConversion"/>
  </si>
  <si>
    <t>CNY_Treasury_Live_Curve_2012-7-30_Calibrated_Curve_8</t>
    <phoneticPr fontId="4" type="noConversion"/>
  </si>
  <si>
    <t>CNY_Treasury_Live_Curve_2012-7-31_Calibrated_Curve_8</t>
    <phoneticPr fontId="4" type="noConversion"/>
  </si>
  <si>
    <t>CNY_Treasury_Live_Curve_2012-7-5_Calibrated_Curve_8</t>
    <phoneticPr fontId="4" type="noConversion"/>
  </si>
  <si>
    <t>CNY_Treasury_Live_Curve_2012-7-6_Calibrated_Curve_8</t>
    <phoneticPr fontId="4" type="noConversion"/>
  </si>
  <si>
    <t>CNY_Treasury_Live_Curve_2012-7-9_Calibrated_Curve_8</t>
    <phoneticPr fontId="4" type="noConversion"/>
  </si>
  <si>
    <t>CNY_Treasury_Live_Curve_2012-8-1_Calibrated_Curve_8</t>
    <phoneticPr fontId="4" type="noConversion"/>
  </si>
  <si>
    <t>CNY_Treasury_Live_Curve_2012-8-10_Calibrated_Curve_8</t>
    <phoneticPr fontId="4" type="noConversion"/>
  </si>
  <si>
    <t>CNY_Treasury_Live_Curve_2012-8-13_Calibrated_Curve_8</t>
    <phoneticPr fontId="4" type="noConversion"/>
  </si>
  <si>
    <t>CNY_Treasury_Live_Curve_2012-8-14_Calibrated_Curve_8</t>
    <phoneticPr fontId="4" type="noConversion"/>
  </si>
  <si>
    <t>CNY_Treasury_Live_Curve_2012-8-15_Calibrated_Curve_8</t>
    <phoneticPr fontId="4" type="noConversion"/>
  </si>
  <si>
    <t>CNY_Treasury_Live_Curve_2012-8-16_Calibrated_Curve_8</t>
    <phoneticPr fontId="4" type="noConversion"/>
  </si>
  <si>
    <t>CNY_Treasury_Live_Curve_2012-8-17_Calibrated_Curve_8</t>
    <phoneticPr fontId="4" type="noConversion"/>
  </si>
  <si>
    <t>CNY_Treasury_Live_Curve_2012-8-2_Calibrated_Curve_8</t>
    <phoneticPr fontId="4" type="noConversion"/>
  </si>
  <si>
    <t>CNY_Treasury_Live_Curve_2012-8-20_Calibrated_Curve_8</t>
    <phoneticPr fontId="4" type="noConversion"/>
  </si>
  <si>
    <t>CNY_Treasury_Live_Curve_2012-8-21_Calibrated_Curve_8</t>
    <phoneticPr fontId="4" type="noConversion"/>
  </si>
  <si>
    <t>CNY_Treasury_Live_Curve_2012-8-3_Calibrated_Curve_8</t>
    <phoneticPr fontId="4" type="noConversion"/>
  </si>
  <si>
    <t>CNY_Treasury_Live_Curve_2012-8-6_Calibrated_Curve_8</t>
    <phoneticPr fontId="4" type="noConversion"/>
  </si>
  <si>
    <t>CNY_Treasury_Live_Curve_2012-8-7_Calibrated_Curve_8</t>
    <phoneticPr fontId="4" type="noConversion"/>
  </si>
  <si>
    <t>CNY_Treasury_Live_Curve_2012-8-8_Calibrated_Curve_8</t>
    <phoneticPr fontId="4" type="noConversion"/>
  </si>
  <si>
    <t>CNY_Treasury_Live_Curve_2012-8-9_Calibrated_Curve_8</t>
    <phoneticPr fontId="4" type="noConversion"/>
  </si>
  <si>
    <t>Accrued Int.</t>
    <phoneticPr fontId="4" type="noConversion"/>
  </si>
  <si>
    <t>Base</t>
    <phoneticPr fontId="4" type="noConversion"/>
  </si>
  <si>
    <t>1Y</t>
    <phoneticPr fontId="4" type="noConversion"/>
  </si>
  <si>
    <t>2Y</t>
    <phoneticPr fontId="4" type="noConversion"/>
  </si>
  <si>
    <t>5Y</t>
    <phoneticPr fontId="4" type="noConversion"/>
  </si>
  <si>
    <t>10Y</t>
    <phoneticPr fontId="4" type="noConversion"/>
  </si>
  <si>
    <t>20Y</t>
    <phoneticPr fontId="4" type="noConversion"/>
  </si>
  <si>
    <t>30Y</t>
    <phoneticPr fontId="4" type="noConversion"/>
  </si>
  <si>
    <t>Paralell</t>
    <phoneticPr fontId="4" type="noConversion"/>
  </si>
  <si>
    <t>120003.IB</t>
  </si>
  <si>
    <t>110024.IB</t>
  </si>
  <si>
    <t>TF1209</t>
    <phoneticPr fontId="4" type="noConversion"/>
  </si>
  <si>
    <r>
      <rPr>
        <b/>
        <sz val="11"/>
        <color theme="1"/>
        <rFont val="宋体"/>
        <family val="3"/>
        <charset val="134"/>
      </rPr>
      <t>资产组合</t>
    </r>
    <phoneticPr fontId="4" type="noConversion"/>
  </si>
  <si>
    <t>代码</t>
    <phoneticPr fontId="4" type="noConversion"/>
  </si>
  <si>
    <r>
      <rPr>
        <b/>
        <sz val="11"/>
        <color theme="1"/>
        <rFont val="宋体"/>
        <family val="3"/>
        <charset val="134"/>
      </rPr>
      <t>合计</t>
    </r>
    <phoneticPr fontId="4" type="noConversion"/>
  </si>
  <si>
    <r>
      <rPr>
        <b/>
        <sz val="11"/>
        <color theme="1"/>
        <rFont val="宋体"/>
        <family val="3"/>
        <charset val="134"/>
      </rPr>
      <t>平行</t>
    </r>
    <phoneticPr fontId="4" type="noConversion"/>
  </si>
  <si>
    <r>
      <rPr>
        <sz val="11"/>
        <color theme="1"/>
        <rFont val="宋体"/>
        <family val="3"/>
        <charset val="134"/>
      </rPr>
      <t>合计</t>
    </r>
    <phoneticPr fontId="4" type="noConversion"/>
  </si>
  <si>
    <r>
      <rPr>
        <sz val="11"/>
        <color theme="1"/>
        <rFont val="宋体"/>
        <family val="3"/>
        <charset val="134"/>
      </rPr>
      <t>对冲工具</t>
    </r>
    <phoneticPr fontId="4" type="noConversion"/>
  </si>
  <si>
    <t>120010.IB</t>
  </si>
  <si>
    <r>
      <rPr>
        <b/>
        <sz val="11"/>
        <color theme="1"/>
        <rFont val="宋体"/>
        <family val="2"/>
        <charset val="134"/>
      </rPr>
      <t>对冲头寸</t>
    </r>
    <r>
      <rPr>
        <b/>
        <sz val="11"/>
        <color theme="1"/>
        <rFont val="Times New Roman"/>
        <family val="1"/>
      </rPr>
      <t>(</t>
    </r>
    <r>
      <rPr>
        <b/>
        <sz val="11"/>
        <color theme="1"/>
        <rFont val="宋体"/>
        <family val="2"/>
        <charset val="134"/>
      </rPr>
      <t>百万）：</t>
    </r>
    <phoneticPr fontId="11" type="noConversion"/>
  </si>
  <si>
    <t>资产组合</t>
    <phoneticPr fontId="11" type="noConversion"/>
  </si>
  <si>
    <r>
      <rPr>
        <b/>
        <sz val="11"/>
        <color theme="1"/>
        <rFont val="宋体"/>
        <family val="2"/>
        <charset val="134"/>
      </rPr>
      <t>对冲工具</t>
    </r>
    <phoneticPr fontId="11" type="noConversion"/>
  </si>
  <si>
    <r>
      <rPr>
        <b/>
        <sz val="11"/>
        <color theme="1"/>
        <rFont val="宋体"/>
        <family val="2"/>
        <charset val="134"/>
      </rPr>
      <t>代码</t>
    </r>
    <phoneticPr fontId="11" type="noConversion"/>
  </si>
  <si>
    <r>
      <rPr>
        <b/>
        <sz val="11"/>
        <color theme="1"/>
        <rFont val="宋体"/>
        <family val="2"/>
        <charset val="134"/>
      </rPr>
      <t>全价</t>
    </r>
    <phoneticPr fontId="11" type="noConversion"/>
  </si>
  <si>
    <r>
      <rPr>
        <b/>
        <sz val="11"/>
        <color theme="1"/>
        <rFont val="宋体"/>
        <family val="2"/>
        <charset val="134"/>
      </rPr>
      <t>修正久期</t>
    </r>
    <phoneticPr fontId="11" type="noConversion"/>
  </si>
  <si>
    <r>
      <rPr>
        <b/>
        <sz val="11"/>
        <color theme="1"/>
        <rFont val="宋体"/>
        <family val="2"/>
        <charset val="134"/>
      </rPr>
      <t>头寸面值</t>
    </r>
    <r>
      <rPr>
        <b/>
        <sz val="11"/>
        <color theme="1"/>
        <rFont val="Times New Roman"/>
        <family val="1"/>
      </rPr>
      <t>(</t>
    </r>
    <r>
      <rPr>
        <b/>
        <sz val="11"/>
        <color theme="1"/>
        <rFont val="宋体"/>
        <family val="2"/>
        <charset val="134"/>
      </rPr>
      <t>百万</t>
    </r>
    <r>
      <rPr>
        <b/>
        <sz val="11"/>
        <color theme="1"/>
        <rFont val="Times New Roman"/>
        <family val="1"/>
      </rPr>
      <t>)</t>
    </r>
    <phoneticPr fontId="11" type="noConversion"/>
  </si>
  <si>
    <t>收盘价</t>
    <phoneticPr fontId="11" type="noConversion"/>
  </si>
  <si>
    <t>TF1209</t>
    <phoneticPr fontId="11" type="noConversion"/>
  </si>
  <si>
    <r>
      <rPr>
        <b/>
        <sz val="11"/>
        <color theme="1"/>
        <rFont val="宋体"/>
        <family val="2"/>
        <charset val="134"/>
      </rPr>
      <t>加权平均久期：</t>
    </r>
    <phoneticPr fontId="11" type="noConversion"/>
  </si>
  <si>
    <t>Total</t>
    <phoneticPr fontId="11" type="noConversion"/>
  </si>
  <si>
    <t>Date</t>
  </si>
  <si>
    <t>TF1209</t>
  </si>
  <si>
    <t>-</t>
  </si>
  <si>
    <t>原资产组合P/L</t>
  </si>
  <si>
    <t>对冲后资产组合P/L</t>
  </si>
  <si>
    <t>头寸</t>
    <phoneticPr fontId="11" type="noConversion"/>
  </si>
  <si>
    <t>TF1209</t>
    <phoneticPr fontId="11" type="noConversion"/>
  </si>
  <si>
    <t>120003.IB</t>
    <phoneticPr fontId="11" type="noConversion"/>
  </si>
  <si>
    <r>
      <t>1</t>
    </r>
    <r>
      <rPr>
        <sz val="11"/>
        <color theme="1"/>
        <rFont val="宋体"/>
        <family val="3"/>
        <charset val="134"/>
      </rPr>
      <t>年</t>
    </r>
    <phoneticPr fontId="11" type="noConversion"/>
  </si>
  <si>
    <r>
      <t>2</t>
    </r>
    <r>
      <rPr>
        <sz val="11"/>
        <color theme="1"/>
        <rFont val="宋体"/>
        <family val="3"/>
        <charset val="134"/>
      </rPr>
      <t>年</t>
    </r>
    <phoneticPr fontId="11" type="noConversion"/>
  </si>
  <si>
    <r>
      <t>5</t>
    </r>
    <r>
      <rPr>
        <sz val="11"/>
        <color theme="1"/>
        <rFont val="宋体"/>
        <family val="3"/>
        <charset val="134"/>
      </rPr>
      <t>年</t>
    </r>
    <phoneticPr fontId="11" type="noConversion"/>
  </si>
  <si>
    <r>
      <t>10</t>
    </r>
    <r>
      <rPr>
        <sz val="11"/>
        <color theme="1"/>
        <rFont val="宋体"/>
        <family val="3"/>
        <charset val="134"/>
      </rPr>
      <t>年</t>
    </r>
    <phoneticPr fontId="11" type="noConversion"/>
  </si>
  <si>
    <r>
      <t>20</t>
    </r>
    <r>
      <rPr>
        <sz val="11"/>
        <color theme="1"/>
        <rFont val="宋体"/>
        <family val="3"/>
        <charset val="134"/>
      </rPr>
      <t>年</t>
    </r>
    <phoneticPr fontId="11" type="noConversion"/>
  </si>
  <si>
    <r>
      <t>30</t>
    </r>
    <r>
      <rPr>
        <sz val="11"/>
        <color theme="1"/>
        <rFont val="宋体"/>
        <family val="3"/>
        <charset val="134"/>
      </rPr>
      <t>年</t>
    </r>
    <phoneticPr fontId="11" type="noConversion"/>
  </si>
  <si>
    <t>DV01</t>
  </si>
  <si>
    <t>残余风险</t>
    <phoneticPr fontId="11" type="noConversion"/>
  </si>
  <si>
    <t>（百万）</t>
    <phoneticPr fontId="11" type="noConversion"/>
  </si>
  <si>
    <t>RMS</t>
    <phoneticPr fontId="11" type="noConversion"/>
  </si>
  <si>
    <r>
      <rPr>
        <b/>
        <sz val="11"/>
        <color theme="1"/>
        <rFont val="宋体"/>
        <family val="3"/>
        <charset val="134"/>
      </rPr>
      <t>传统</t>
    </r>
    <r>
      <rPr>
        <b/>
        <sz val="11"/>
        <color theme="1"/>
        <rFont val="Times New Roman"/>
        <family val="1"/>
      </rPr>
      <t>DV01</t>
    </r>
    <r>
      <rPr>
        <b/>
        <sz val="11"/>
        <color theme="1"/>
        <rFont val="宋体"/>
        <family val="3"/>
        <charset val="134"/>
      </rPr>
      <t>对冲</t>
    </r>
    <phoneticPr fontId="11" type="noConversion"/>
  </si>
  <si>
    <r>
      <rPr>
        <b/>
        <sz val="11"/>
        <color theme="1"/>
        <rFont val="宋体"/>
        <family val="3"/>
        <charset val="134"/>
      </rPr>
      <t>关键利率</t>
    </r>
    <r>
      <rPr>
        <b/>
        <sz val="11"/>
        <color theme="1"/>
        <rFont val="Times New Roman"/>
        <family val="1"/>
      </rPr>
      <t>DV01</t>
    </r>
    <r>
      <rPr>
        <b/>
        <sz val="11"/>
        <color theme="1"/>
        <rFont val="宋体"/>
        <family val="3"/>
        <charset val="134"/>
      </rPr>
      <t>对冲</t>
    </r>
    <phoneticPr fontId="11" type="noConversion"/>
  </si>
  <si>
    <r>
      <rPr>
        <b/>
        <sz val="11"/>
        <color theme="1"/>
        <rFont val="宋体"/>
        <family val="2"/>
        <charset val="134"/>
      </rPr>
      <t>原资产组合</t>
    </r>
    <r>
      <rPr>
        <b/>
        <sz val="11"/>
        <color theme="1"/>
        <rFont val="Times New Roman"/>
        <family val="1"/>
      </rPr>
      <t>P/L</t>
    </r>
  </si>
  <si>
    <t>RMS（百万）</t>
  </si>
  <si>
    <t>标准差（百万）</t>
  </si>
  <si>
    <r>
      <rPr>
        <b/>
        <sz val="11"/>
        <color theme="1"/>
        <rFont val="宋体"/>
        <family val="2"/>
        <charset val="134"/>
      </rPr>
      <t>传统</t>
    </r>
    <r>
      <rPr>
        <b/>
        <sz val="11"/>
        <color theme="1"/>
        <rFont val="Times New Roman"/>
        <family val="1"/>
      </rPr>
      <t>DV01</t>
    </r>
    <phoneticPr fontId="11" type="noConversion"/>
  </si>
  <si>
    <r>
      <rPr>
        <b/>
        <sz val="11"/>
        <color theme="1"/>
        <rFont val="宋体"/>
        <family val="3"/>
        <charset val="134"/>
      </rPr>
      <t>关键利率</t>
    </r>
    <r>
      <rPr>
        <b/>
        <sz val="11"/>
        <color theme="1"/>
        <rFont val="Times New Roman"/>
        <family val="1"/>
      </rPr>
      <t>DV01</t>
    </r>
    <phoneticPr fontId="11" type="noConversion"/>
  </si>
  <si>
    <t>原始风险</t>
    <phoneticPr fontId="11" type="noConversion"/>
  </si>
  <si>
    <t>原始头寸</t>
    <phoneticPr fontId="11" type="noConversion"/>
  </si>
  <si>
    <t>120010.IB</t>
    <phoneticPr fontId="11" type="noConversion"/>
  </si>
  <si>
    <t>-</t>
    <phoneticPr fontId="1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</si>
</sst>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43" formatCode="_ * #,##0.00_ ;_ * \-#,##0.00_ ;_ * &quot;-&quot;??_ ;_ @_ "/>
    <numFmt numFmtId="176" formatCode="yyyy/m/d;@"/>
    <numFmt numFmtId="177" formatCode="0.000"/>
    <numFmt numFmtId="178" formatCode="0.00_);[Red]\(0.00\)"/>
    <numFmt numFmtId="179" formatCode="yyyy&quot;年&quot;m&quot;月&quot;;@"/>
    <numFmt numFmtId="180" formatCode="0.0%"/>
    <numFmt numFmtId="181" formatCode="0.0000_ "/>
    <numFmt numFmtId="182" formatCode="0.000_ "/>
    <numFmt numFmtId="183" formatCode="0.000000000"/>
    <numFmt numFmtId="184" formatCode="0.00_ "/>
    <numFmt numFmtId="185" formatCode="0.0"/>
  </numFmts>
  <fonts count="16"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Times New Roman"/>
      <family val="1"/>
    </font>
    <font>
      <sz val="11"/>
      <color theme="1"/>
      <name val="宋体"/>
      <family val="2"/>
    </font>
    <font>
      <b/>
      <sz val="11"/>
      <color theme="1"/>
      <name val="Times New Roman"/>
      <family val="1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</font>
    <font>
      <sz val="9"/>
      <name val="宋体"/>
      <family val="2"/>
      <charset val="134"/>
      <scheme val="minor"/>
    </font>
    <font>
      <sz val="10"/>
      <color indexed="64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b/>
      <sz val="11"/>
      <color theme="1"/>
      <name val="宋体"/>
      <family val="2"/>
      <charset val="134"/>
    </font>
    <font>
      <b/>
      <sz val="11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10">
    <xf numFmtId="0" fontId="0" fillId="0" borderId="0"/>
    <xf numFmtId="9" fontId="3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12" fillId="0" borderId="0"/>
    <xf numFmtId="9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</cellStyleXfs>
  <cellXfs count="180">
    <xf numFmtId="0" fontId="0" fillId="0" borderId="0" xfId="0"/>
    <xf numFmtId="176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5" fillId="0" borderId="0" xfId="0" applyFont="1" applyAlignment="1">
      <alignment horizontal="center"/>
    </xf>
    <xf numFmtId="14" fontId="5" fillId="0" borderId="0" xfId="0" applyNumberFormat="1" applyFont="1" applyAlignment="1">
      <alignment horizontal="center"/>
    </xf>
    <xf numFmtId="14" fontId="5" fillId="0" borderId="0" xfId="0" applyNumberFormat="1" applyFont="1" applyBorder="1" applyAlignment="1">
      <alignment horizontal="center"/>
    </xf>
    <xf numFmtId="10" fontId="5" fillId="0" borderId="0" xfId="1" applyNumberFormat="1" applyFont="1" applyBorder="1" applyAlignment="1">
      <alignment horizontal="center"/>
    </xf>
    <xf numFmtId="177" fontId="5" fillId="0" borderId="0" xfId="0" applyNumberFormat="1" applyFont="1" applyBorder="1" applyAlignment="1">
      <alignment horizontal="center"/>
    </xf>
    <xf numFmtId="14" fontId="5" fillId="0" borderId="1" xfId="0" applyNumberFormat="1" applyFont="1" applyBorder="1" applyAlignment="1">
      <alignment horizontal="center"/>
    </xf>
    <xf numFmtId="10" fontId="5" fillId="0" borderId="1" xfId="1" applyNumberFormat="1" applyFont="1" applyBorder="1" applyAlignment="1">
      <alignment horizontal="center"/>
    </xf>
    <xf numFmtId="177" fontId="5" fillId="0" borderId="1" xfId="0" applyNumberFormat="1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177" fontId="5" fillId="0" borderId="6" xfId="0" applyNumberFormat="1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177" fontId="5" fillId="0" borderId="8" xfId="0" applyNumberFormat="1" applyFont="1" applyBorder="1" applyAlignment="1">
      <alignment horizontal="center"/>
    </xf>
    <xf numFmtId="10" fontId="5" fillId="0" borderId="2" xfId="1" applyNumberFormat="1" applyFont="1" applyBorder="1" applyAlignment="1">
      <alignment horizontal="center"/>
    </xf>
    <xf numFmtId="10" fontId="5" fillId="0" borderId="3" xfId="1" applyNumberFormat="1" applyFont="1" applyBorder="1" applyAlignment="1">
      <alignment horizontal="center"/>
    </xf>
    <xf numFmtId="177" fontId="5" fillId="0" borderId="3" xfId="0" applyNumberFormat="1" applyFont="1" applyBorder="1" applyAlignment="1">
      <alignment horizontal="center"/>
    </xf>
    <xf numFmtId="177" fontId="5" fillId="0" borderId="4" xfId="0" applyNumberFormat="1" applyFont="1" applyBorder="1" applyAlignment="1">
      <alignment horizontal="center"/>
    </xf>
    <xf numFmtId="10" fontId="5" fillId="0" borderId="5" xfId="1" applyNumberFormat="1" applyFont="1" applyBorder="1" applyAlignment="1">
      <alignment horizontal="center"/>
    </xf>
    <xf numFmtId="10" fontId="5" fillId="0" borderId="7" xfId="1" applyNumberFormat="1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7" fillId="2" borderId="8" xfId="0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5" fillId="3" borderId="3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/>
    </xf>
    <xf numFmtId="14" fontId="7" fillId="3" borderId="7" xfId="0" applyNumberFormat="1" applyFont="1" applyFill="1" applyBorder="1" applyAlignment="1">
      <alignment horizontal="center"/>
    </xf>
    <xf numFmtId="14" fontId="7" fillId="3" borderId="1" xfId="0" applyNumberFormat="1" applyFont="1" applyFill="1" applyBorder="1" applyAlignment="1">
      <alignment horizontal="center"/>
    </xf>
    <xf numFmtId="14" fontId="7" fillId="3" borderId="8" xfId="0" applyNumberFormat="1" applyFont="1" applyFill="1" applyBorder="1" applyAlignment="1">
      <alignment horizontal="center"/>
    </xf>
    <xf numFmtId="0" fontId="5" fillId="4" borderId="0" xfId="0" applyFont="1" applyFill="1" applyAlignment="1">
      <alignment horizontal="center"/>
    </xf>
    <xf numFmtId="14" fontId="5" fillId="4" borderId="0" xfId="0" applyNumberFormat="1" applyFont="1" applyFill="1" applyAlignment="1">
      <alignment horizontal="center"/>
    </xf>
    <xf numFmtId="10" fontId="5" fillId="4" borderId="0" xfId="1" applyNumberFormat="1" applyFont="1" applyFill="1" applyAlignment="1">
      <alignment horizontal="center"/>
    </xf>
    <xf numFmtId="0" fontId="5" fillId="4" borderId="7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0" xfId="0" applyFont="1" applyFill="1" applyBorder="1" applyAlignment="1">
      <alignment horizontal="center"/>
    </xf>
    <xf numFmtId="10" fontId="5" fillId="4" borderId="2" xfId="1" applyNumberFormat="1" applyFont="1" applyFill="1" applyBorder="1" applyAlignment="1">
      <alignment horizontal="center"/>
    </xf>
    <xf numFmtId="10" fontId="5" fillId="4" borderId="3" xfId="1" applyNumberFormat="1" applyFont="1" applyFill="1" applyBorder="1" applyAlignment="1">
      <alignment horizontal="center"/>
    </xf>
    <xf numFmtId="10" fontId="5" fillId="4" borderId="4" xfId="1" applyNumberFormat="1" applyFont="1" applyFill="1" applyBorder="1" applyAlignment="1">
      <alignment horizontal="center"/>
    </xf>
    <xf numFmtId="10" fontId="5" fillId="4" borderId="5" xfId="1" applyNumberFormat="1" applyFont="1" applyFill="1" applyBorder="1" applyAlignment="1">
      <alignment horizontal="center"/>
    </xf>
    <xf numFmtId="10" fontId="5" fillId="4" borderId="0" xfId="1" applyNumberFormat="1" applyFont="1" applyFill="1" applyBorder="1" applyAlignment="1">
      <alignment horizontal="center"/>
    </xf>
    <xf numFmtId="10" fontId="5" fillId="4" borderId="6" xfId="1" applyNumberFormat="1" applyFont="1" applyFill="1" applyBorder="1" applyAlignment="1">
      <alignment horizontal="center"/>
    </xf>
    <xf numFmtId="0" fontId="5" fillId="4" borderId="1" xfId="0" applyFont="1" applyFill="1" applyBorder="1" applyAlignment="1">
      <alignment horizontal="center"/>
    </xf>
    <xf numFmtId="10" fontId="5" fillId="4" borderId="7" xfId="1" applyNumberFormat="1" applyFont="1" applyFill="1" applyBorder="1" applyAlignment="1">
      <alignment horizontal="center"/>
    </xf>
    <xf numFmtId="10" fontId="5" fillId="4" borderId="1" xfId="1" applyNumberFormat="1" applyFont="1" applyFill="1" applyBorder="1" applyAlignment="1">
      <alignment horizontal="center"/>
    </xf>
    <xf numFmtId="10" fontId="5" fillId="4" borderId="8" xfId="1" applyNumberFormat="1" applyFont="1" applyFill="1" applyBorder="1" applyAlignment="1">
      <alignment horizontal="center"/>
    </xf>
    <xf numFmtId="0" fontId="0" fillId="4" borderId="0" xfId="0" applyFill="1" applyAlignment="1">
      <alignment horizontal="center"/>
    </xf>
    <xf numFmtId="14" fontId="0" fillId="4" borderId="0" xfId="0" applyNumberFormat="1" applyFill="1" applyAlignment="1">
      <alignment horizontal="center"/>
    </xf>
    <xf numFmtId="178" fontId="0" fillId="4" borderId="0" xfId="0" applyNumberFormat="1" applyFill="1" applyAlignment="1">
      <alignment horizontal="center"/>
    </xf>
    <xf numFmtId="10" fontId="0" fillId="4" borderId="0" xfId="1" applyNumberFormat="1" applyFont="1" applyFill="1" applyAlignment="1">
      <alignment horizontal="center"/>
    </xf>
    <xf numFmtId="14" fontId="0" fillId="4" borderId="12" xfId="0" applyNumberFormat="1" applyFill="1" applyBorder="1" applyAlignment="1">
      <alignment horizontal="center"/>
    </xf>
    <xf numFmtId="14" fontId="0" fillId="4" borderId="10" xfId="0" applyNumberForma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9" fillId="2" borderId="11" xfId="0" applyFont="1" applyFill="1" applyBorder="1" applyAlignment="1">
      <alignment horizontal="center"/>
    </xf>
    <xf numFmtId="0" fontId="9" fillId="2" borderId="9" xfId="0" applyFont="1" applyFill="1" applyBorder="1" applyAlignment="1">
      <alignment horizontal="center"/>
    </xf>
    <xf numFmtId="10" fontId="0" fillId="4" borderId="0" xfId="0" applyNumberFormat="1" applyFill="1" applyAlignment="1">
      <alignment horizontal="center"/>
    </xf>
    <xf numFmtId="14" fontId="0" fillId="0" borderId="0" xfId="0" applyNumberForma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0" fillId="0" borderId="0" xfId="0" applyFont="1" applyAlignment="1">
      <alignment horizontal="center"/>
    </xf>
    <xf numFmtId="9" fontId="5" fillId="0" borderId="5" xfId="1" applyNumberFormat="1" applyFont="1" applyBorder="1" applyAlignment="1">
      <alignment horizontal="center"/>
    </xf>
    <xf numFmtId="9" fontId="5" fillId="0" borderId="0" xfId="0" applyNumberFormat="1" applyFont="1" applyAlignment="1">
      <alignment horizontal="center"/>
    </xf>
    <xf numFmtId="9" fontId="5" fillId="0" borderId="7" xfId="1" applyNumberFormat="1" applyFont="1" applyBorder="1" applyAlignment="1">
      <alignment horizontal="center"/>
    </xf>
    <xf numFmtId="179" fontId="5" fillId="0" borderId="0" xfId="0" applyNumberFormat="1" applyFont="1" applyBorder="1" applyAlignment="1">
      <alignment horizontal="center"/>
    </xf>
    <xf numFmtId="179" fontId="5" fillId="0" borderId="1" xfId="0" applyNumberFormat="1" applyFont="1" applyBorder="1" applyAlignment="1">
      <alignment horizontal="center"/>
    </xf>
    <xf numFmtId="179" fontId="5" fillId="0" borderId="0" xfId="0" applyNumberFormat="1" applyFont="1" applyAlignment="1">
      <alignment horizontal="center"/>
    </xf>
    <xf numFmtId="9" fontId="5" fillId="0" borderId="2" xfId="1" applyNumberFormat="1" applyFont="1" applyBorder="1" applyAlignment="1">
      <alignment horizontal="center"/>
    </xf>
    <xf numFmtId="31" fontId="5" fillId="0" borderId="0" xfId="0" applyNumberFormat="1" applyFont="1" applyAlignment="1">
      <alignment horizontal="center"/>
    </xf>
    <xf numFmtId="180" fontId="0" fillId="0" borderId="0" xfId="1" applyNumberFormat="1" applyFont="1" applyAlignment="1"/>
    <xf numFmtId="10" fontId="0" fillId="0" borderId="0" xfId="1" applyNumberFormat="1" applyFont="1" applyAlignment="1"/>
    <xf numFmtId="0" fontId="7" fillId="3" borderId="1" xfId="2" applyFont="1" applyFill="1" applyBorder="1" applyAlignment="1">
      <alignment horizontal="center" vertical="center"/>
    </xf>
    <xf numFmtId="2" fontId="5" fillId="0" borderId="0" xfId="0" applyNumberFormat="1" applyFont="1" applyAlignment="1">
      <alignment horizontal="center"/>
    </xf>
    <xf numFmtId="181" fontId="5" fillId="0" borderId="0" xfId="0" applyNumberFormat="1" applyFont="1" applyAlignment="1">
      <alignment horizontal="center"/>
    </xf>
    <xf numFmtId="0" fontId="5" fillId="2" borderId="0" xfId="0" applyFont="1" applyFill="1" applyAlignment="1">
      <alignment horizontal="center"/>
    </xf>
    <xf numFmtId="177" fontId="5" fillId="0" borderId="0" xfId="0" applyNumberFormat="1" applyFont="1" applyAlignment="1">
      <alignment horizontal="center"/>
    </xf>
    <xf numFmtId="2" fontId="5" fillId="4" borderId="0" xfId="2" applyNumberFormat="1" applyFont="1" applyFill="1" applyAlignment="1">
      <alignment horizontal="center" vertical="center"/>
    </xf>
    <xf numFmtId="0" fontId="5" fillId="4" borderId="0" xfId="2" applyFont="1" applyFill="1" applyBorder="1" applyAlignment="1">
      <alignment horizontal="center" vertical="center"/>
    </xf>
    <xf numFmtId="0" fontId="7" fillId="3" borderId="12" xfId="2" applyFont="1" applyFill="1" applyBorder="1" applyAlignment="1">
      <alignment horizontal="center" vertical="center"/>
    </xf>
    <xf numFmtId="9" fontId="5" fillId="4" borderId="0" xfId="4" applyNumberFormat="1" applyFont="1" applyFill="1" applyAlignment="1">
      <alignment horizontal="center" vertical="center"/>
    </xf>
    <xf numFmtId="10" fontId="5" fillId="4" borderId="0" xfId="4" applyNumberFormat="1" applyFont="1" applyFill="1" applyAlignment="1">
      <alignment horizontal="center" vertical="center"/>
    </xf>
    <xf numFmtId="14" fontId="5" fillId="4" borderId="0" xfId="4" applyNumberFormat="1" applyFont="1" applyFill="1" applyAlignment="1">
      <alignment horizontal="center" vertical="center"/>
    </xf>
    <xf numFmtId="2" fontId="5" fillId="4" borderId="0" xfId="5" applyNumberFormat="1" applyFont="1" applyFill="1" applyAlignment="1">
      <alignment horizontal="center" vertical="center"/>
    </xf>
    <xf numFmtId="0" fontId="7" fillId="3" borderId="0" xfId="2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/>
    </xf>
    <xf numFmtId="182" fontId="5" fillId="4" borderId="0" xfId="0" applyNumberFormat="1" applyFont="1" applyFill="1" applyAlignment="1">
      <alignment horizontal="center"/>
    </xf>
    <xf numFmtId="177" fontId="5" fillId="4" borderId="0" xfId="0" applyNumberFormat="1" applyFont="1" applyFill="1" applyAlignment="1">
      <alignment horizontal="center"/>
    </xf>
    <xf numFmtId="0" fontId="5" fillId="4" borderId="13" xfId="0" applyFont="1" applyFill="1" applyBorder="1" applyAlignment="1">
      <alignment horizontal="center"/>
    </xf>
    <xf numFmtId="182" fontId="5" fillId="4" borderId="13" xfId="0" applyNumberFormat="1" applyFont="1" applyFill="1" applyBorder="1" applyAlignment="1">
      <alignment horizontal="center"/>
    </xf>
    <xf numFmtId="0" fontId="5" fillId="4" borderId="12" xfId="0" applyFont="1" applyFill="1" applyBorder="1" applyAlignment="1">
      <alignment horizontal="center"/>
    </xf>
    <xf numFmtId="182" fontId="5" fillId="4" borderId="12" xfId="0" applyNumberFormat="1" applyFont="1" applyFill="1" applyBorder="1" applyAlignment="1">
      <alignment horizontal="center"/>
    </xf>
    <xf numFmtId="0" fontId="7" fillId="3" borderId="7" xfId="2" applyFont="1" applyFill="1" applyBorder="1" applyAlignment="1">
      <alignment horizontal="center" vertical="center"/>
    </xf>
    <xf numFmtId="182" fontId="5" fillId="5" borderId="5" xfId="0" applyNumberFormat="1" applyFont="1" applyFill="1" applyBorder="1" applyAlignment="1">
      <alignment horizontal="center"/>
    </xf>
    <xf numFmtId="182" fontId="5" fillId="5" borderId="15" xfId="0" applyNumberFormat="1" applyFont="1" applyFill="1" applyBorder="1" applyAlignment="1">
      <alignment horizontal="center"/>
    </xf>
    <xf numFmtId="182" fontId="5" fillId="5" borderId="9" xfId="0" applyNumberFormat="1" applyFont="1" applyFill="1" applyBorder="1" applyAlignment="1">
      <alignment horizontal="center"/>
    </xf>
    <xf numFmtId="0" fontId="7" fillId="4" borderId="13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14" fillId="2" borderId="3" xfId="0" applyFont="1" applyFill="1" applyBorder="1" applyAlignment="1">
      <alignment horizontal="center" vertical="center"/>
    </xf>
    <xf numFmtId="0" fontId="5" fillId="4" borderId="0" xfId="0" applyFont="1" applyFill="1" applyBorder="1" applyAlignment="1">
      <alignment horizontal="center" vertical="center"/>
    </xf>
    <xf numFmtId="2" fontId="5" fillId="4" borderId="0" xfId="5" applyNumberFormat="1" applyFont="1" applyFill="1" applyAlignment="1">
      <alignment horizontal="center" vertical="center"/>
    </xf>
    <xf numFmtId="9" fontId="5" fillId="4" borderId="0" xfId="4" applyNumberFormat="1" applyFont="1" applyFill="1" applyAlignment="1">
      <alignment horizontal="center" vertical="center"/>
    </xf>
    <xf numFmtId="10" fontId="5" fillId="4" borderId="0" xfId="4" applyNumberFormat="1" applyFont="1" applyFill="1" applyAlignment="1">
      <alignment horizontal="center" vertical="center"/>
    </xf>
    <xf numFmtId="14" fontId="5" fillId="4" borderId="0" xfId="4" applyNumberFormat="1" applyFont="1" applyFill="1" applyAlignment="1">
      <alignment horizontal="center" vertical="center"/>
    </xf>
    <xf numFmtId="0" fontId="5" fillId="4" borderId="0" xfId="2" applyFont="1" applyFill="1" applyBorder="1" applyAlignment="1">
      <alignment horizontal="center" vertical="center"/>
    </xf>
    <xf numFmtId="2" fontId="5" fillId="4" borderId="0" xfId="5" applyNumberFormat="1" applyFont="1" applyFill="1" applyAlignment="1">
      <alignment horizontal="center" vertical="center"/>
    </xf>
    <xf numFmtId="2" fontId="5" fillId="4" borderId="0" xfId="2" applyNumberFormat="1" applyFont="1" applyFill="1" applyAlignment="1">
      <alignment horizontal="center" vertical="center"/>
    </xf>
    <xf numFmtId="2" fontId="5" fillId="4" borderId="0" xfId="0" applyNumberFormat="1" applyFont="1" applyFill="1" applyAlignment="1">
      <alignment horizontal="center" vertical="center"/>
    </xf>
    <xf numFmtId="0" fontId="5" fillId="4" borderId="13" xfId="0" applyFont="1" applyFill="1" applyBorder="1" applyAlignment="1">
      <alignment horizontal="center" vertical="center"/>
    </xf>
    <xf numFmtId="2" fontId="5" fillId="4" borderId="0" xfId="0" applyNumberFormat="1" applyFont="1" applyFill="1" applyBorder="1" applyAlignment="1">
      <alignment horizontal="center" vertical="center"/>
    </xf>
    <xf numFmtId="2" fontId="5" fillId="4" borderId="13" xfId="0" applyNumberFormat="1" applyFont="1" applyFill="1" applyBorder="1" applyAlignment="1">
      <alignment horizontal="center" vertical="center"/>
    </xf>
    <xf numFmtId="0" fontId="7" fillId="3" borderId="0" xfId="0" applyFont="1" applyFill="1" applyBorder="1" applyAlignment="1">
      <alignment horizontal="center" vertical="center"/>
    </xf>
    <xf numFmtId="1" fontId="5" fillId="4" borderId="3" xfId="0" applyNumberFormat="1" applyFont="1" applyFill="1" applyBorder="1" applyAlignment="1">
      <alignment horizontal="center" vertical="center"/>
    </xf>
    <xf numFmtId="1" fontId="5" fillId="4" borderId="0" xfId="0" applyNumberFormat="1" applyFont="1" applyFill="1" applyBorder="1" applyAlignment="1">
      <alignment horizontal="center" vertical="center"/>
    </xf>
    <xf numFmtId="1" fontId="5" fillId="4" borderId="1" xfId="0" applyNumberFormat="1" applyFont="1" applyFill="1" applyBorder="1" applyAlignment="1">
      <alignment horizontal="center" vertical="center"/>
    </xf>
    <xf numFmtId="1" fontId="5" fillId="4" borderId="14" xfId="0" applyNumberFormat="1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14" fillId="3" borderId="1" xfId="0" applyFont="1" applyFill="1" applyBorder="1" applyAlignment="1">
      <alignment horizontal="center" vertical="center"/>
    </xf>
    <xf numFmtId="2" fontId="5" fillId="4" borderId="3" xfId="0" applyNumberFormat="1" applyFont="1" applyFill="1" applyBorder="1" applyAlignment="1">
      <alignment horizontal="center" vertical="center"/>
    </xf>
    <xf numFmtId="0" fontId="7" fillId="4" borderId="14" xfId="0" applyFont="1" applyFill="1" applyBorder="1" applyAlignment="1">
      <alignment horizontal="center" vertical="center"/>
    </xf>
    <xf numFmtId="2" fontId="5" fillId="4" borderId="14" xfId="0" applyNumberFormat="1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/>
    </xf>
    <xf numFmtId="183" fontId="5" fillId="0" borderId="0" xfId="0" applyNumberFormat="1" applyFont="1" applyAlignment="1">
      <alignment horizontal="center"/>
    </xf>
    <xf numFmtId="181" fontId="5" fillId="4" borderId="5" xfId="2" applyNumberFormat="1" applyFont="1" applyFill="1" applyBorder="1" applyAlignment="1">
      <alignment horizontal="center" vertical="center"/>
    </xf>
    <xf numFmtId="0" fontId="1" fillId="0" borderId="0" xfId="7">
      <alignment vertical="center"/>
    </xf>
    <xf numFmtId="14" fontId="5" fillId="2" borderId="0" xfId="7" applyNumberFormat="1" applyFont="1" applyFill="1" applyAlignment="1">
      <alignment horizontal="center" vertical="center"/>
    </xf>
    <xf numFmtId="2" fontId="5" fillId="2" borderId="0" xfId="7" applyNumberFormat="1" applyFont="1" applyFill="1" applyAlignment="1">
      <alignment horizontal="center" vertical="center"/>
    </xf>
    <xf numFmtId="14" fontId="5" fillId="4" borderId="0" xfId="7" applyNumberFormat="1" applyFont="1" applyFill="1" applyAlignment="1">
      <alignment horizontal="center" vertical="center"/>
    </xf>
    <xf numFmtId="2" fontId="5" fillId="4" borderId="0" xfId="7" applyNumberFormat="1" applyFont="1" applyFill="1" applyAlignment="1">
      <alignment horizontal="center" vertical="center"/>
    </xf>
    <xf numFmtId="0" fontId="7" fillId="3" borderId="0" xfId="7" applyFont="1" applyFill="1" applyBorder="1" applyAlignment="1">
      <alignment horizontal="center" vertical="center"/>
    </xf>
    <xf numFmtId="0" fontId="7" fillId="3" borderId="0" xfId="7" applyFont="1" applyFill="1" applyAlignment="1">
      <alignment horizontal="center" vertical="center"/>
    </xf>
    <xf numFmtId="2" fontId="5" fillId="4" borderId="0" xfId="7" applyNumberFormat="1" applyFont="1" applyFill="1" applyAlignment="1">
      <alignment horizontal="center" vertical="center"/>
    </xf>
    <xf numFmtId="0" fontId="7" fillId="3" borderId="0" xfId="7" applyFont="1" applyFill="1" applyAlignment="1">
      <alignment horizontal="center" vertical="center"/>
    </xf>
    <xf numFmtId="184" fontId="5" fillId="0" borderId="0" xfId="0" applyNumberFormat="1" applyFont="1" applyAlignment="1">
      <alignment horizontal="center"/>
    </xf>
    <xf numFmtId="2" fontId="5" fillId="4" borderId="0" xfId="7" applyNumberFormat="1" applyFont="1" applyFill="1" applyAlignment="1">
      <alignment horizontal="center" vertical="center"/>
    </xf>
    <xf numFmtId="0" fontId="7" fillId="3" borderId="0" xfId="7" applyFont="1" applyFill="1" applyAlignment="1">
      <alignment horizontal="center" vertical="center"/>
    </xf>
    <xf numFmtId="2" fontId="5" fillId="2" borderId="0" xfId="7" applyNumberFormat="1" applyFont="1" applyFill="1" applyAlignment="1">
      <alignment horizontal="center" vertical="center"/>
    </xf>
    <xf numFmtId="1" fontId="5" fillId="0" borderId="0" xfId="0" applyNumberFormat="1" applyFont="1" applyAlignment="1">
      <alignment horizontal="center"/>
    </xf>
    <xf numFmtId="0" fontId="1" fillId="2" borderId="0" xfId="7" applyFill="1" applyAlignment="1">
      <alignment horizontal="center" vertical="center"/>
    </xf>
    <xf numFmtId="0" fontId="5" fillId="0" borderId="14" xfId="0" applyFont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7" fillId="3" borderId="8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2" fontId="5" fillId="4" borderId="0" xfId="0" applyNumberFormat="1" applyFont="1" applyFill="1" applyAlignment="1">
      <alignment horizontal="center"/>
    </xf>
    <xf numFmtId="0" fontId="5" fillId="4" borderId="14" xfId="0" applyFont="1" applyFill="1" applyBorder="1" applyAlignment="1">
      <alignment horizontal="center"/>
    </xf>
    <xf numFmtId="182" fontId="5" fillId="4" borderId="0" xfId="0" applyNumberFormat="1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182" fontId="5" fillId="4" borderId="4" xfId="0" applyNumberFormat="1" applyFont="1" applyFill="1" applyBorder="1" applyAlignment="1">
      <alignment horizontal="center"/>
    </xf>
    <xf numFmtId="182" fontId="5" fillId="4" borderId="3" xfId="0" applyNumberFormat="1" applyFont="1" applyFill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5" fillId="4" borderId="12" xfId="7" applyFont="1" applyFill="1" applyBorder="1" applyAlignment="1">
      <alignment horizontal="center" vertical="center"/>
    </xf>
    <xf numFmtId="0" fontId="7" fillId="3" borderId="12" xfId="7" applyFont="1" applyFill="1" applyBorder="1" applyAlignment="1">
      <alignment horizontal="center" vertical="center"/>
    </xf>
    <xf numFmtId="0" fontId="14" fillId="4" borderId="0" xfId="7" applyFont="1" applyFill="1" applyBorder="1" applyAlignment="1">
      <alignment horizontal="center" vertical="center"/>
    </xf>
    <xf numFmtId="182" fontId="5" fillId="4" borderId="0" xfId="7" applyNumberFormat="1" applyFont="1" applyFill="1" applyBorder="1" applyAlignment="1">
      <alignment horizontal="center" vertical="center"/>
    </xf>
    <xf numFmtId="0" fontId="8" fillId="4" borderId="14" xfId="7" applyFont="1" applyFill="1" applyBorder="1" applyAlignment="1">
      <alignment horizontal="center" vertical="center"/>
    </xf>
    <xf numFmtId="177" fontId="5" fillId="4" borderId="14" xfId="7" applyNumberFormat="1" applyFont="1" applyFill="1" applyBorder="1" applyAlignment="1">
      <alignment horizontal="center" vertical="center"/>
    </xf>
    <xf numFmtId="182" fontId="5" fillId="4" borderId="14" xfId="7" applyNumberFormat="1" applyFont="1" applyFill="1" applyBorder="1" applyAlignment="1">
      <alignment horizontal="center" vertical="center"/>
    </xf>
    <xf numFmtId="0" fontId="7" fillId="3" borderId="0" xfId="0" applyFont="1" applyFill="1" applyBorder="1" applyAlignment="1">
      <alignment horizontal="center"/>
    </xf>
    <xf numFmtId="0" fontId="15" fillId="3" borderId="1" xfId="0" applyFont="1" applyFill="1" applyBorder="1" applyAlignment="1">
      <alignment horizontal="center"/>
    </xf>
    <xf numFmtId="0" fontId="5" fillId="0" borderId="16" xfId="0" applyFont="1" applyBorder="1" applyAlignment="1">
      <alignment horizontal="center"/>
    </xf>
    <xf numFmtId="0" fontId="10" fillId="2" borderId="0" xfId="0" applyFont="1" applyFill="1" applyAlignment="1">
      <alignment horizontal="center"/>
    </xf>
    <xf numFmtId="177" fontId="5" fillId="4" borderId="6" xfId="0" applyNumberFormat="1" applyFont="1" applyFill="1" applyBorder="1" applyAlignment="1">
      <alignment horizontal="center"/>
    </xf>
    <xf numFmtId="0" fontId="7" fillId="2" borderId="17" xfId="0" applyFont="1" applyFill="1" applyBorder="1" applyAlignment="1">
      <alignment horizontal="center"/>
    </xf>
    <xf numFmtId="0" fontId="8" fillId="3" borderId="7" xfId="0" applyFont="1" applyFill="1" applyBorder="1" applyAlignment="1">
      <alignment horizontal="center"/>
    </xf>
    <xf numFmtId="0" fontId="5" fillId="4" borderId="2" xfId="0" applyFont="1" applyFill="1" applyBorder="1" applyAlignment="1">
      <alignment horizontal="center"/>
    </xf>
    <xf numFmtId="0" fontId="5" fillId="4" borderId="18" xfId="0" applyFont="1" applyFill="1" applyBorder="1" applyAlignment="1">
      <alignment horizontal="center"/>
    </xf>
    <xf numFmtId="177" fontId="5" fillId="4" borderId="0" xfId="0" applyNumberFormat="1" applyFont="1" applyFill="1" applyBorder="1" applyAlignment="1">
      <alignment horizontal="center"/>
    </xf>
    <xf numFmtId="0" fontId="7" fillId="2" borderId="5" xfId="0" applyFont="1" applyFill="1" applyBorder="1" applyAlignment="1">
      <alignment horizontal="center"/>
    </xf>
    <xf numFmtId="0" fontId="8" fillId="2" borderId="0" xfId="0" applyFont="1" applyFill="1" applyAlignment="1">
      <alignment horizontal="center"/>
    </xf>
    <xf numFmtId="0" fontId="7" fillId="3" borderId="0" xfId="0" applyFont="1" applyFill="1" applyAlignment="1">
      <alignment horizontal="center" vertical="center"/>
    </xf>
    <xf numFmtId="2" fontId="5" fillId="2" borderId="0" xfId="0" applyNumberFormat="1" applyFont="1" applyFill="1" applyAlignment="1">
      <alignment horizontal="center" vertical="center"/>
    </xf>
    <xf numFmtId="14" fontId="5" fillId="4" borderId="0" xfId="0" applyNumberFormat="1" applyFont="1" applyFill="1" applyAlignment="1">
      <alignment horizontal="center" vertical="center"/>
    </xf>
    <xf numFmtId="14" fontId="5" fillId="2" borderId="0" xfId="0" applyNumberFormat="1" applyFont="1" applyFill="1" applyAlignment="1">
      <alignment horizontal="center" vertical="center"/>
    </xf>
    <xf numFmtId="185" fontId="5" fillId="4" borderId="0" xfId="7" applyNumberFormat="1" applyFont="1" applyFill="1" applyAlignment="1">
      <alignment horizontal="center" vertical="center"/>
    </xf>
    <xf numFmtId="1" fontId="5" fillId="4" borderId="0" xfId="7" applyNumberFormat="1" applyFont="1" applyFill="1" applyAlignment="1">
      <alignment horizontal="center" vertical="center"/>
    </xf>
  </cellXfs>
  <cellStyles count="10">
    <cellStyle name="百分比" xfId="1" builtinId="5"/>
    <cellStyle name="百分比 2" xfId="4"/>
    <cellStyle name="百分比 3" xfId="8"/>
    <cellStyle name="常规" xfId="0" builtinId="0"/>
    <cellStyle name="常规 2" xfId="3"/>
    <cellStyle name="常规 3" xfId="6"/>
    <cellStyle name="常规 4" xfId="2"/>
    <cellStyle name="常规 5" xfId="7"/>
    <cellStyle name="千位分隔 2" xfId="5"/>
    <cellStyle name="千位分隔 3" xfId="9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9986848296230792E-2"/>
          <c:y val="3.5634895230076319E-2"/>
          <c:w val="0.88590103342913673"/>
          <c:h val="0.86493600680140648"/>
        </c:manualLayout>
      </c:layout>
      <c:lineChart>
        <c:grouping val="standard"/>
        <c:varyColors val="0"/>
        <c:ser>
          <c:idx val="0"/>
          <c:order val="0"/>
          <c:tx>
            <c:strRef>
              <c:f>'中大 &amp; 中债'!$C$9</c:f>
              <c:strCache>
                <c:ptCount val="1"/>
                <c:pt idx="0">
                  <c:v>中大期货即期收益率</c:v>
                </c:pt>
              </c:strCache>
            </c:strRef>
          </c:tx>
          <c:marker>
            <c:symbol val="none"/>
          </c:marker>
          <c:cat>
            <c:numRef>
              <c:f>'中大 &amp; 中债'!$B$10:$B$40</c:f>
              <c:numCache>
                <c:formatCode>yyyy-m-d</c:formatCode>
                <c:ptCount val="31"/>
                <c:pt idx="0">
                  <c:v>41142</c:v>
                </c:pt>
                <c:pt idx="1">
                  <c:v>41507</c:v>
                </c:pt>
                <c:pt idx="2">
                  <c:v>41872</c:v>
                </c:pt>
                <c:pt idx="3">
                  <c:v>42237</c:v>
                </c:pt>
                <c:pt idx="4">
                  <c:v>42603</c:v>
                </c:pt>
                <c:pt idx="5">
                  <c:v>42968</c:v>
                </c:pt>
                <c:pt idx="6">
                  <c:v>43333</c:v>
                </c:pt>
                <c:pt idx="7">
                  <c:v>43698</c:v>
                </c:pt>
                <c:pt idx="8">
                  <c:v>44064</c:v>
                </c:pt>
                <c:pt idx="9">
                  <c:v>44429</c:v>
                </c:pt>
                <c:pt idx="10">
                  <c:v>44794</c:v>
                </c:pt>
                <c:pt idx="11">
                  <c:v>45159</c:v>
                </c:pt>
                <c:pt idx="12">
                  <c:v>45525</c:v>
                </c:pt>
                <c:pt idx="13">
                  <c:v>45890</c:v>
                </c:pt>
                <c:pt idx="14">
                  <c:v>46255</c:v>
                </c:pt>
                <c:pt idx="15">
                  <c:v>46620</c:v>
                </c:pt>
                <c:pt idx="16">
                  <c:v>46986</c:v>
                </c:pt>
                <c:pt idx="17">
                  <c:v>47351</c:v>
                </c:pt>
                <c:pt idx="18">
                  <c:v>47716</c:v>
                </c:pt>
                <c:pt idx="19">
                  <c:v>48081</c:v>
                </c:pt>
                <c:pt idx="20">
                  <c:v>48447</c:v>
                </c:pt>
                <c:pt idx="21">
                  <c:v>48812</c:v>
                </c:pt>
                <c:pt idx="22">
                  <c:v>49177</c:v>
                </c:pt>
                <c:pt idx="23">
                  <c:v>49542</c:v>
                </c:pt>
                <c:pt idx="24">
                  <c:v>49908</c:v>
                </c:pt>
                <c:pt idx="25">
                  <c:v>50273</c:v>
                </c:pt>
                <c:pt idx="26">
                  <c:v>50638</c:v>
                </c:pt>
                <c:pt idx="27">
                  <c:v>51003</c:v>
                </c:pt>
                <c:pt idx="28">
                  <c:v>51369</c:v>
                </c:pt>
                <c:pt idx="29">
                  <c:v>51734</c:v>
                </c:pt>
                <c:pt idx="30">
                  <c:v>52099</c:v>
                </c:pt>
              </c:numCache>
            </c:numRef>
          </c:cat>
          <c:val>
            <c:numRef>
              <c:f>'中大 &amp; 中债'!$C$10:$C$40</c:f>
              <c:numCache>
                <c:formatCode>0.00%</c:formatCode>
                <c:ptCount val="31"/>
                <c:pt idx="0">
                  <c:v>2.1579628358372904E-2</c:v>
                </c:pt>
                <c:pt idx="1">
                  <c:v>2.7794408870290388E-2</c:v>
                </c:pt>
                <c:pt idx="2">
                  <c:v>2.5364543065168554E-2</c:v>
                </c:pt>
                <c:pt idx="3">
                  <c:v>2.867616990129962E-2</c:v>
                </c:pt>
                <c:pt idx="4">
                  <c:v>2.939491514501813E-2</c:v>
                </c:pt>
                <c:pt idx="5">
                  <c:v>3.115629102516082E-2</c:v>
                </c:pt>
                <c:pt idx="6">
                  <c:v>3.215110332836546E-2</c:v>
                </c:pt>
                <c:pt idx="7">
                  <c:v>3.2227182957786482E-2</c:v>
                </c:pt>
                <c:pt idx="8">
                  <c:v>3.3849482356430149E-2</c:v>
                </c:pt>
                <c:pt idx="9">
                  <c:v>3.4087989452341816E-2</c:v>
                </c:pt>
                <c:pt idx="10">
                  <c:v>3.442762494909779E-2</c:v>
                </c:pt>
                <c:pt idx="11">
                  <c:v>3.5550796744383772E-2</c:v>
                </c:pt>
                <c:pt idx="12">
                  <c:v>3.6487704769222695E-2</c:v>
                </c:pt>
                <c:pt idx="13">
                  <c:v>3.7281135146106203E-2</c:v>
                </c:pt>
                <c:pt idx="14">
                  <c:v>3.7961701725786279E-2</c:v>
                </c:pt>
                <c:pt idx="15">
                  <c:v>3.8548885681991774E-2</c:v>
                </c:pt>
                <c:pt idx="16">
                  <c:v>3.8863071373213209E-2</c:v>
                </c:pt>
                <c:pt idx="17">
                  <c:v>3.9140372974119986E-2</c:v>
                </c:pt>
                <c:pt idx="18">
                  <c:v>4.111696564929912E-2</c:v>
                </c:pt>
                <c:pt idx="19">
                  <c:v>4.0960594742162293E-2</c:v>
                </c:pt>
                <c:pt idx="20">
                  <c:v>4.0819881006523451E-2</c:v>
                </c:pt>
                <c:pt idx="21">
                  <c:v>4.0692584969290513E-2</c:v>
                </c:pt>
                <c:pt idx="22">
                  <c:v>4.0576874809214791E-2</c:v>
                </c:pt>
                <c:pt idx="23">
                  <c:v>4.0471237638098678E-2</c:v>
                </c:pt>
                <c:pt idx="24">
                  <c:v>4.0374412985393571E-2</c:v>
                </c:pt>
                <c:pt idx="25">
                  <c:v>4.0285342262868618E-2</c:v>
                </c:pt>
                <c:pt idx="26">
                  <c:v>4.0203129902780743E-2</c:v>
                </c:pt>
                <c:pt idx="27">
                  <c:v>4.0127013140208945E-2</c:v>
                </c:pt>
                <c:pt idx="28">
                  <c:v>4.0056338276535319E-2</c:v>
                </c:pt>
                <c:pt idx="29">
                  <c:v>3.9990541858272E-2</c:v>
                </c:pt>
                <c:pt idx="30">
                  <c:v>3.9929135623340883E-2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'中大 &amp; 中债'!$D$9</c:f>
              <c:strCache>
                <c:ptCount val="1"/>
                <c:pt idx="0">
                  <c:v>中债公司即期收益率</c:v>
                </c:pt>
              </c:strCache>
            </c:strRef>
          </c:tx>
          <c:marker>
            <c:symbol val="none"/>
          </c:marker>
          <c:cat>
            <c:numRef>
              <c:f>'中大 &amp; 中债'!$B$10:$B$40</c:f>
              <c:numCache>
                <c:formatCode>yyyy-m-d</c:formatCode>
                <c:ptCount val="31"/>
                <c:pt idx="0">
                  <c:v>41142</c:v>
                </c:pt>
                <c:pt idx="1">
                  <c:v>41507</c:v>
                </c:pt>
                <c:pt idx="2">
                  <c:v>41872</c:v>
                </c:pt>
                <c:pt idx="3">
                  <c:v>42237</c:v>
                </c:pt>
                <c:pt idx="4">
                  <c:v>42603</c:v>
                </c:pt>
                <c:pt idx="5">
                  <c:v>42968</c:v>
                </c:pt>
                <c:pt idx="6">
                  <c:v>43333</c:v>
                </c:pt>
                <c:pt idx="7">
                  <c:v>43698</c:v>
                </c:pt>
                <c:pt idx="8">
                  <c:v>44064</c:v>
                </c:pt>
                <c:pt idx="9">
                  <c:v>44429</c:v>
                </c:pt>
                <c:pt idx="10">
                  <c:v>44794</c:v>
                </c:pt>
                <c:pt idx="11">
                  <c:v>45159</c:v>
                </c:pt>
                <c:pt idx="12">
                  <c:v>45525</c:v>
                </c:pt>
                <c:pt idx="13">
                  <c:v>45890</c:v>
                </c:pt>
                <c:pt idx="14">
                  <c:v>46255</c:v>
                </c:pt>
                <c:pt idx="15">
                  <c:v>46620</c:v>
                </c:pt>
                <c:pt idx="16">
                  <c:v>46986</c:v>
                </c:pt>
                <c:pt idx="17">
                  <c:v>47351</c:v>
                </c:pt>
                <c:pt idx="18">
                  <c:v>47716</c:v>
                </c:pt>
                <c:pt idx="19">
                  <c:v>48081</c:v>
                </c:pt>
                <c:pt idx="20">
                  <c:v>48447</c:v>
                </c:pt>
                <c:pt idx="21">
                  <c:v>48812</c:v>
                </c:pt>
                <c:pt idx="22">
                  <c:v>49177</c:v>
                </c:pt>
                <c:pt idx="23">
                  <c:v>49542</c:v>
                </c:pt>
                <c:pt idx="24">
                  <c:v>49908</c:v>
                </c:pt>
                <c:pt idx="25">
                  <c:v>50273</c:v>
                </c:pt>
                <c:pt idx="26">
                  <c:v>50638</c:v>
                </c:pt>
                <c:pt idx="27">
                  <c:v>51003</c:v>
                </c:pt>
                <c:pt idx="28">
                  <c:v>51369</c:v>
                </c:pt>
                <c:pt idx="29">
                  <c:v>51734</c:v>
                </c:pt>
                <c:pt idx="30">
                  <c:v>52099</c:v>
                </c:pt>
              </c:numCache>
            </c:numRef>
          </c:cat>
          <c:val>
            <c:numRef>
              <c:f>'中大 &amp; 中债'!$D$11:$D$40</c:f>
              <c:numCache>
                <c:formatCode>0.00%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1157120"/>
        <c:axId val="741270656"/>
      </c:lineChart>
      <c:lineChart>
        <c:grouping val="standard"/>
        <c:varyColors val="0"/>
        <c:ser>
          <c:idx val="2"/>
          <c:order val="2"/>
          <c:tx>
            <c:strRef>
              <c:f>'中大 &amp; 中债'!$E$9</c:f>
              <c:strCache>
                <c:ptCount val="1"/>
                <c:pt idx="0">
                  <c:v>中大期货折现因子</c:v>
                </c:pt>
              </c:strCache>
            </c:strRef>
          </c:tx>
          <c:marker>
            <c:symbol val="none"/>
          </c:marker>
          <c:cat>
            <c:numRef>
              <c:f>'中大 &amp; 中债'!$B$11:$B$40</c:f>
              <c:numCache>
                <c:formatCode>yyyy-m-d</c:formatCode>
                <c:ptCount val="30"/>
                <c:pt idx="0">
                  <c:v>41507</c:v>
                </c:pt>
                <c:pt idx="1">
                  <c:v>41872</c:v>
                </c:pt>
                <c:pt idx="2">
                  <c:v>42237</c:v>
                </c:pt>
                <c:pt idx="3">
                  <c:v>42603</c:v>
                </c:pt>
                <c:pt idx="4">
                  <c:v>42968</c:v>
                </c:pt>
                <c:pt idx="5">
                  <c:v>43333</c:v>
                </c:pt>
                <c:pt idx="6">
                  <c:v>43698</c:v>
                </c:pt>
                <c:pt idx="7">
                  <c:v>44064</c:v>
                </c:pt>
                <c:pt idx="8">
                  <c:v>44429</c:v>
                </c:pt>
                <c:pt idx="9">
                  <c:v>44794</c:v>
                </c:pt>
                <c:pt idx="10">
                  <c:v>45159</c:v>
                </c:pt>
                <c:pt idx="11">
                  <c:v>45525</c:v>
                </c:pt>
                <c:pt idx="12">
                  <c:v>45890</c:v>
                </c:pt>
                <c:pt idx="13">
                  <c:v>46255</c:v>
                </c:pt>
                <c:pt idx="14">
                  <c:v>46620</c:v>
                </c:pt>
                <c:pt idx="15">
                  <c:v>46986</c:v>
                </c:pt>
                <c:pt idx="16">
                  <c:v>47351</c:v>
                </c:pt>
                <c:pt idx="17">
                  <c:v>47716</c:v>
                </c:pt>
                <c:pt idx="18">
                  <c:v>48081</c:v>
                </c:pt>
                <c:pt idx="19">
                  <c:v>48447</c:v>
                </c:pt>
                <c:pt idx="20">
                  <c:v>48812</c:v>
                </c:pt>
                <c:pt idx="21">
                  <c:v>49177</c:v>
                </c:pt>
                <c:pt idx="22">
                  <c:v>49542</c:v>
                </c:pt>
                <c:pt idx="23">
                  <c:v>49908</c:v>
                </c:pt>
                <c:pt idx="24">
                  <c:v>50273</c:v>
                </c:pt>
                <c:pt idx="25">
                  <c:v>50638</c:v>
                </c:pt>
                <c:pt idx="26">
                  <c:v>51003</c:v>
                </c:pt>
                <c:pt idx="27">
                  <c:v>51369</c:v>
                </c:pt>
                <c:pt idx="28">
                  <c:v>51734</c:v>
                </c:pt>
                <c:pt idx="29">
                  <c:v>52099</c:v>
                </c:pt>
              </c:numCache>
            </c:numRef>
          </c:cat>
          <c:val>
            <c:numRef>
              <c:f>'中大 &amp; 中债'!$E$11:$E$40</c:f>
              <c:numCache>
                <c:formatCode>0.000</c:formatCode>
                <c:ptCount val="30"/>
                <c:pt idx="0">
                  <c:v>0.97295722896484627</c:v>
                </c:pt>
                <c:pt idx="1">
                  <c:v>0.95113772825022336</c:v>
                </c:pt>
                <c:pt idx="2">
                  <c:v>0.91867936697633101</c:v>
                </c:pt>
                <c:pt idx="3">
                  <c:v>0.89057792382852941</c:v>
                </c:pt>
                <c:pt idx="4">
                  <c:v>0.857783170776378</c:v>
                </c:pt>
                <c:pt idx="5">
                  <c:v>0.82706627693671575</c:v>
                </c:pt>
                <c:pt idx="6">
                  <c:v>0.8008901603235824</c:v>
                </c:pt>
                <c:pt idx="7">
                  <c:v>0.76619882722437394</c:v>
                </c:pt>
                <c:pt idx="8">
                  <c:v>0.73957556523108248</c:v>
                </c:pt>
                <c:pt idx="9">
                  <c:v>0.71285122300464709</c:v>
                </c:pt>
                <c:pt idx="10">
                  <c:v>0.68094889802827885</c:v>
                </c:pt>
                <c:pt idx="11">
                  <c:v>0.65047430201702061</c:v>
                </c:pt>
                <c:pt idx="12">
                  <c:v>0.62136353962784252</c:v>
                </c:pt>
                <c:pt idx="13">
                  <c:v>0.59355557503444423</c:v>
                </c:pt>
                <c:pt idx="14">
                  <c:v>0.5670166850692212</c:v>
                </c:pt>
                <c:pt idx="15">
                  <c:v>0.5433342247885804</c:v>
                </c:pt>
                <c:pt idx="16">
                  <c:v>0.5206409045803797</c:v>
                </c:pt>
                <c:pt idx="17">
                  <c:v>0.48418192704193808</c:v>
                </c:pt>
                <c:pt idx="18">
                  <c:v>0.46638921076926693</c:v>
                </c:pt>
                <c:pt idx="19">
                  <c:v>0.44925034119073814</c:v>
                </c:pt>
                <c:pt idx="20">
                  <c:v>0.43274129074963175</c:v>
                </c:pt>
                <c:pt idx="21">
                  <c:v>0.41683891485382368</c:v>
                </c:pt>
                <c:pt idx="22">
                  <c:v>0.40152091942860457</c:v>
                </c:pt>
                <c:pt idx="23">
                  <c:v>0.38676582966186829</c:v>
                </c:pt>
                <c:pt idx="24">
                  <c:v>0.37255295989785131</c:v>
                </c:pt>
                <c:pt idx="25">
                  <c:v>0.3588623846372177</c:v>
                </c:pt>
                <c:pt idx="26">
                  <c:v>0.34567491060283251</c:v>
                </c:pt>
                <c:pt idx="27">
                  <c:v>0.33297204983206197</c:v>
                </c:pt>
                <c:pt idx="28">
                  <c:v>0.32073599375787809</c:v>
                </c:pt>
                <c:pt idx="29">
                  <c:v>0.30894958824243057</c:v>
                </c:pt>
              </c:numCache>
            </c:numRef>
          </c:val>
          <c:smooth val="1"/>
        </c:ser>
        <c:ser>
          <c:idx val="3"/>
          <c:order val="3"/>
          <c:tx>
            <c:strRef>
              <c:f>'中大 &amp; 中债'!$F$9</c:f>
              <c:strCache>
                <c:ptCount val="1"/>
                <c:pt idx="0">
                  <c:v>中债公司折现因子</c:v>
                </c:pt>
              </c:strCache>
            </c:strRef>
          </c:tx>
          <c:marker>
            <c:symbol val="none"/>
          </c:marker>
          <c:cat>
            <c:numRef>
              <c:f>'中大 &amp; 中债'!$B$11:$B$40</c:f>
              <c:numCache>
                <c:formatCode>yyyy-m-d</c:formatCode>
                <c:ptCount val="30"/>
                <c:pt idx="0">
                  <c:v>41507</c:v>
                </c:pt>
                <c:pt idx="1">
                  <c:v>41872</c:v>
                </c:pt>
                <c:pt idx="2">
                  <c:v>42237</c:v>
                </c:pt>
                <c:pt idx="3">
                  <c:v>42603</c:v>
                </c:pt>
                <c:pt idx="4">
                  <c:v>42968</c:v>
                </c:pt>
                <c:pt idx="5">
                  <c:v>43333</c:v>
                </c:pt>
                <c:pt idx="6">
                  <c:v>43698</c:v>
                </c:pt>
                <c:pt idx="7">
                  <c:v>44064</c:v>
                </c:pt>
                <c:pt idx="8">
                  <c:v>44429</c:v>
                </c:pt>
                <c:pt idx="9">
                  <c:v>44794</c:v>
                </c:pt>
                <c:pt idx="10">
                  <c:v>45159</c:v>
                </c:pt>
                <c:pt idx="11">
                  <c:v>45525</c:v>
                </c:pt>
                <c:pt idx="12">
                  <c:v>45890</c:v>
                </c:pt>
                <c:pt idx="13">
                  <c:v>46255</c:v>
                </c:pt>
                <c:pt idx="14">
                  <c:v>46620</c:v>
                </c:pt>
                <c:pt idx="15">
                  <c:v>46986</c:v>
                </c:pt>
                <c:pt idx="16">
                  <c:v>47351</c:v>
                </c:pt>
                <c:pt idx="17">
                  <c:v>47716</c:v>
                </c:pt>
                <c:pt idx="18">
                  <c:v>48081</c:v>
                </c:pt>
                <c:pt idx="19">
                  <c:v>48447</c:v>
                </c:pt>
                <c:pt idx="20">
                  <c:v>48812</c:v>
                </c:pt>
                <c:pt idx="21">
                  <c:v>49177</c:v>
                </c:pt>
                <c:pt idx="22">
                  <c:v>49542</c:v>
                </c:pt>
                <c:pt idx="23">
                  <c:v>49908</c:v>
                </c:pt>
                <c:pt idx="24">
                  <c:v>50273</c:v>
                </c:pt>
                <c:pt idx="25">
                  <c:v>50638</c:v>
                </c:pt>
                <c:pt idx="26">
                  <c:v>51003</c:v>
                </c:pt>
                <c:pt idx="27">
                  <c:v>51369</c:v>
                </c:pt>
                <c:pt idx="28">
                  <c:v>51734</c:v>
                </c:pt>
                <c:pt idx="29">
                  <c:v>52099</c:v>
                </c:pt>
              </c:numCache>
            </c:numRef>
          </c:cat>
          <c:val>
            <c:numRef>
              <c:f>'中大 &amp; 中债'!$F$11:$F$40</c:f>
              <c:numCache>
                <c:formatCode>0.000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4042880"/>
        <c:axId val="741272192"/>
      </c:lineChart>
      <c:dateAx>
        <c:axId val="741157120"/>
        <c:scaling>
          <c:orientation val="minMax"/>
        </c:scaling>
        <c:delete val="0"/>
        <c:axPos val="b"/>
        <c:numFmt formatCode="yyyy&quot;年&quot;m&quot;月&quot;;@" sourceLinked="0"/>
        <c:majorTickMark val="none"/>
        <c:minorTickMark val="none"/>
        <c:tickLblPos val="nextTo"/>
        <c:crossAx val="741270656"/>
        <c:crosses val="autoZero"/>
        <c:auto val="1"/>
        <c:lblOffset val="100"/>
        <c:baseTimeUnit val="years"/>
        <c:majorUnit val="5"/>
        <c:majorTimeUnit val="years"/>
        <c:minorUnit val="1"/>
        <c:minorTimeUnit val="years"/>
      </c:dateAx>
      <c:valAx>
        <c:axId val="741270656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crossAx val="741157120"/>
        <c:crosses val="autoZero"/>
        <c:crossBetween val="between"/>
      </c:valAx>
      <c:valAx>
        <c:axId val="741272192"/>
        <c:scaling>
          <c:orientation val="minMax"/>
        </c:scaling>
        <c:delete val="0"/>
        <c:axPos val="r"/>
        <c:numFmt formatCode="0.000" sourceLinked="1"/>
        <c:majorTickMark val="out"/>
        <c:minorTickMark val="none"/>
        <c:tickLblPos val="nextTo"/>
        <c:crossAx val="744042880"/>
        <c:crosses val="max"/>
        <c:crossBetween val="between"/>
      </c:valAx>
      <c:dateAx>
        <c:axId val="744042880"/>
        <c:scaling>
          <c:orientation val="minMax"/>
        </c:scaling>
        <c:delete val="1"/>
        <c:axPos val="b"/>
        <c:numFmt formatCode="yyyy-m-d" sourceLinked="1"/>
        <c:majorTickMark val="out"/>
        <c:minorTickMark val="none"/>
        <c:tickLblPos val="nextTo"/>
        <c:crossAx val="741272192"/>
        <c:crosses val="autoZero"/>
        <c:auto val="1"/>
        <c:lblOffset val="100"/>
        <c:baseTimeUnit val="years"/>
      </c:dateAx>
    </c:plotArea>
    <c:legend>
      <c:legendPos val="b"/>
      <c:layout>
        <c:manualLayout>
          <c:xMode val="edge"/>
          <c:yMode val="edge"/>
          <c:x val="0.10604751619870412"/>
          <c:y val="0.77851639354688851"/>
          <c:w val="0.75334773218142559"/>
          <c:h val="4.00175088472128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CN" altLang="en-US"/>
              <a:t>收益里曲线平行移动（</a:t>
            </a:r>
            <a:r>
              <a:rPr lang="en-US" altLang="zh-CN"/>
              <a:t>2012</a:t>
            </a:r>
            <a:r>
              <a:rPr lang="zh-CN" altLang="en-US"/>
              <a:t>年</a:t>
            </a:r>
            <a:r>
              <a:rPr lang="en-US" altLang="zh-CN"/>
              <a:t>7</a:t>
            </a:r>
            <a:r>
              <a:rPr lang="zh-CN" altLang="en-US"/>
              <a:t>月</a:t>
            </a:r>
            <a:r>
              <a:rPr lang="en-US" altLang="zh-CN"/>
              <a:t>5</a:t>
            </a:r>
            <a:r>
              <a:rPr lang="zh-CN" altLang="en-US"/>
              <a:t>日）</a:t>
            </a:r>
          </a:p>
        </c:rich>
      </c:tx>
      <c:layout>
        <c:manualLayout>
          <c:xMode val="edge"/>
          <c:yMode val="edge"/>
          <c:x val="0.25306572215663126"/>
          <c:y val="3.8498552414010803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'中大 &amp; 中债'!$C$43</c:f>
              <c:strCache>
                <c:ptCount val="1"/>
                <c:pt idx="0">
                  <c:v>基础曲线（2012年7月5日）</c:v>
                </c:pt>
              </c:strCache>
            </c:strRef>
          </c:tx>
          <c:marker>
            <c:symbol val="none"/>
          </c:marker>
          <c:cat>
            <c:numRef>
              <c:f>'中大 &amp; 中债'!$A$44:$A$74</c:f>
              <c:numCache>
                <c:formatCode>G/通用格式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'中大 &amp; 中债'!$C$44:$C$74</c:f>
              <c:numCache>
                <c:formatCode>0%</c:formatCode>
                <c:ptCount val="31"/>
                <c:pt idx="0">
                  <c:v>2.1609444317183701E-2</c:v>
                </c:pt>
                <c:pt idx="1">
                  <c:v>2.2687573685647777E-2</c:v>
                </c:pt>
                <c:pt idx="2">
                  <c:v>2.3612839999730628E-2</c:v>
                </c:pt>
                <c:pt idx="3">
                  <c:v>2.5496900142083057E-2</c:v>
                </c:pt>
                <c:pt idx="4">
                  <c:v>2.6864141244806961E-2</c:v>
                </c:pt>
                <c:pt idx="5">
                  <c:v>2.9197348286732261E-2</c:v>
                </c:pt>
                <c:pt idx="6">
                  <c:v>3.1258990280260912E-2</c:v>
                </c:pt>
                <c:pt idx="7">
                  <c:v>3.1558771223038296E-2</c:v>
                </c:pt>
                <c:pt idx="8">
                  <c:v>3.3854095120158245E-2</c:v>
                </c:pt>
                <c:pt idx="9">
                  <c:v>3.4357030231712882E-2</c:v>
                </c:pt>
                <c:pt idx="10">
                  <c:v>3.4282992508601673E-2</c:v>
                </c:pt>
                <c:pt idx="11">
                  <c:v>3.5602777589163637E-2</c:v>
                </c:pt>
                <c:pt idx="12">
                  <c:v>3.6703884861286395E-2</c:v>
                </c:pt>
                <c:pt idx="13">
                  <c:v>3.7636505400705511E-2</c:v>
                </c:pt>
                <c:pt idx="14">
                  <c:v>3.8436562171049182E-2</c:v>
                </c:pt>
                <c:pt idx="15">
                  <c:v>3.9130443670662096E-2</c:v>
                </c:pt>
                <c:pt idx="16">
                  <c:v>3.9663512359585429E-2</c:v>
                </c:pt>
                <c:pt idx="17">
                  <c:v>4.0125083562080111E-2</c:v>
                </c:pt>
                <c:pt idx="18">
                  <c:v>4.0535541104288919E-2</c:v>
                </c:pt>
                <c:pt idx="19">
                  <c:v>4.0902929885814121E-2</c:v>
                </c:pt>
                <c:pt idx="20">
                  <c:v>4.1259289026769119E-2</c:v>
                </c:pt>
                <c:pt idx="21">
                  <c:v>4.1679367752477603E-2</c:v>
                </c:pt>
                <c:pt idx="22">
                  <c:v>4.2061404565338023E-2</c:v>
                </c:pt>
                <c:pt idx="23">
                  <c:v>4.2410343151011443E-2</c:v>
                </c:pt>
                <c:pt idx="24">
                  <c:v>4.2730306164056042E-2</c:v>
                </c:pt>
                <c:pt idx="25">
                  <c:v>4.3024758875444435E-2</c:v>
                </c:pt>
                <c:pt idx="26">
                  <c:v>4.3296635178972531E-2</c:v>
                </c:pt>
                <c:pt idx="27">
                  <c:v>4.3548435684547693E-2</c:v>
                </c:pt>
                <c:pt idx="28">
                  <c:v>4.3782304855389809E-2</c:v>
                </c:pt>
                <c:pt idx="29">
                  <c:v>4.3978076189930437E-2</c:v>
                </c:pt>
                <c:pt idx="30">
                  <c:v>4.349542542368412E-2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'中大 &amp; 中债'!$D$43</c:f>
              <c:strCache>
                <c:ptCount val="1"/>
                <c:pt idx="0">
                  <c:v>移动后曲线</c:v>
                </c:pt>
              </c:strCache>
            </c:strRef>
          </c:tx>
          <c:marker>
            <c:symbol val="none"/>
          </c:marker>
          <c:cat>
            <c:numRef>
              <c:f>'中大 &amp; 中债'!$A$44:$A$74</c:f>
              <c:numCache>
                <c:formatCode>G/通用格式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'中大 &amp; 中债'!$D$44:$D$74</c:f>
              <c:numCache>
                <c:formatCode>0%</c:formatCode>
                <c:ptCount val="31"/>
                <c:pt idx="0">
                  <c:v>2.6609444317183702E-2</c:v>
                </c:pt>
                <c:pt idx="1">
                  <c:v>2.7687573685647778E-2</c:v>
                </c:pt>
                <c:pt idx="2">
                  <c:v>2.8612839999730629E-2</c:v>
                </c:pt>
                <c:pt idx="3">
                  <c:v>3.0496900142083058E-2</c:v>
                </c:pt>
                <c:pt idx="4">
                  <c:v>3.1864141244806958E-2</c:v>
                </c:pt>
                <c:pt idx="5">
                  <c:v>3.4197348286732258E-2</c:v>
                </c:pt>
                <c:pt idx="6">
                  <c:v>3.625899028026091E-2</c:v>
                </c:pt>
                <c:pt idx="7">
                  <c:v>3.6558771223038293E-2</c:v>
                </c:pt>
                <c:pt idx="8">
                  <c:v>3.8854095120158243E-2</c:v>
                </c:pt>
                <c:pt idx="9">
                  <c:v>3.9357030231712879E-2</c:v>
                </c:pt>
                <c:pt idx="10">
                  <c:v>3.928299250860167E-2</c:v>
                </c:pt>
                <c:pt idx="11">
                  <c:v>4.0602777589163634E-2</c:v>
                </c:pt>
                <c:pt idx="12">
                  <c:v>4.1703884861286393E-2</c:v>
                </c:pt>
                <c:pt idx="13">
                  <c:v>4.2636505400705509E-2</c:v>
                </c:pt>
                <c:pt idx="14">
                  <c:v>4.343656217104918E-2</c:v>
                </c:pt>
                <c:pt idx="15">
                  <c:v>4.4130443670662094E-2</c:v>
                </c:pt>
                <c:pt idx="16">
                  <c:v>4.4663512359585426E-2</c:v>
                </c:pt>
                <c:pt idx="17">
                  <c:v>4.5125083562080108E-2</c:v>
                </c:pt>
                <c:pt idx="18">
                  <c:v>4.5535541104288917E-2</c:v>
                </c:pt>
                <c:pt idx="19">
                  <c:v>4.5902929885814119E-2</c:v>
                </c:pt>
                <c:pt idx="20">
                  <c:v>4.6259289026769117E-2</c:v>
                </c:pt>
                <c:pt idx="21">
                  <c:v>4.66793677524776E-2</c:v>
                </c:pt>
                <c:pt idx="22">
                  <c:v>4.7061404565338021E-2</c:v>
                </c:pt>
                <c:pt idx="23">
                  <c:v>4.741034315101144E-2</c:v>
                </c:pt>
                <c:pt idx="24">
                  <c:v>4.773030616405604E-2</c:v>
                </c:pt>
                <c:pt idx="25">
                  <c:v>4.8024758875444433E-2</c:v>
                </c:pt>
                <c:pt idx="26">
                  <c:v>4.8296635178972529E-2</c:v>
                </c:pt>
                <c:pt idx="27">
                  <c:v>4.854843568454769E-2</c:v>
                </c:pt>
                <c:pt idx="28">
                  <c:v>4.8782304855389806E-2</c:v>
                </c:pt>
                <c:pt idx="29">
                  <c:v>4.8978076189930435E-2</c:v>
                </c:pt>
                <c:pt idx="30">
                  <c:v>4.8495425423684117E-2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3632256"/>
        <c:axId val="743650816"/>
      </c:lineChart>
      <c:catAx>
        <c:axId val="743632256"/>
        <c:scaling>
          <c:orientation val="minMax"/>
          <c:max val="31"/>
          <c:min val="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zh-CN" altLang="en-US"/>
                  <a:t>期限</a:t>
                </a:r>
              </a:p>
            </c:rich>
          </c:tx>
          <c:layout>
            <c:manualLayout>
              <c:xMode val="edge"/>
              <c:yMode val="edge"/>
              <c:x val="0.51113796725822491"/>
              <c:y val="0.88429153973596253"/>
            </c:manualLayout>
          </c:layout>
          <c:overlay val="0"/>
        </c:title>
        <c:numFmt formatCode="G/通用格式" sourceLinked="1"/>
        <c:majorTickMark val="none"/>
        <c:minorTickMark val="none"/>
        <c:tickLblPos val="nextTo"/>
        <c:crossAx val="743650816"/>
        <c:crosses val="autoZero"/>
        <c:auto val="0"/>
        <c:lblAlgn val="ctr"/>
        <c:lblOffset val="100"/>
        <c:tickLblSkip val="5"/>
        <c:tickMarkSkip val="1"/>
        <c:noMultiLvlLbl val="0"/>
      </c:catAx>
      <c:valAx>
        <c:axId val="743650816"/>
        <c:scaling>
          <c:orientation val="minMax"/>
          <c:min val="2.0000000000000004E-2"/>
        </c:scaling>
        <c:delete val="0"/>
        <c:axPos val="l"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即期收益率</a:t>
                </a:r>
              </a:p>
            </c:rich>
          </c:tx>
          <c:layout/>
          <c:overlay val="0"/>
        </c:title>
        <c:numFmt formatCode="0%" sourceLinked="1"/>
        <c:majorTickMark val="none"/>
        <c:minorTickMark val="none"/>
        <c:tickLblPos val="nextTo"/>
        <c:crossAx val="743632256"/>
        <c:crosses val="autoZero"/>
        <c:crossBetween val="between"/>
        <c:majorUnit val="1.0000000000000002E-2"/>
      </c:valAx>
    </c:plotArea>
    <c:legend>
      <c:legendPos val="b"/>
      <c:layout>
        <c:manualLayout>
          <c:xMode val="edge"/>
          <c:yMode val="edge"/>
          <c:x val="0.37752847009826251"/>
          <c:y val="0.7071981986315129"/>
          <c:w val="0.41259966471133264"/>
          <c:h val="4.6411065918817974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CN" altLang="en-US"/>
              <a:t>收益率曲线非平行移动（</a:t>
            </a:r>
            <a:r>
              <a:rPr lang="en-US" altLang="zh-CN"/>
              <a:t>2012</a:t>
            </a:r>
            <a:r>
              <a:rPr lang="zh-CN" altLang="en-US"/>
              <a:t>年</a:t>
            </a:r>
            <a:r>
              <a:rPr lang="en-US" altLang="zh-CN"/>
              <a:t>7</a:t>
            </a:r>
            <a:r>
              <a:rPr lang="zh-CN" altLang="en-US"/>
              <a:t>月</a:t>
            </a:r>
            <a:r>
              <a:rPr lang="en-US" altLang="zh-CN"/>
              <a:t>5</a:t>
            </a:r>
            <a:r>
              <a:rPr lang="zh-CN" altLang="en-US"/>
              <a:t>日</a:t>
            </a:r>
            <a:r>
              <a:rPr lang="en-US" altLang="zh-CN"/>
              <a:t>&amp;2012</a:t>
            </a:r>
            <a:r>
              <a:rPr lang="zh-CN" altLang="en-US"/>
              <a:t>年</a:t>
            </a:r>
            <a:r>
              <a:rPr lang="en-US" altLang="zh-CN"/>
              <a:t>8</a:t>
            </a:r>
            <a:r>
              <a:rPr lang="zh-CN" altLang="en-US"/>
              <a:t>月</a:t>
            </a:r>
            <a:r>
              <a:rPr lang="en-US" altLang="zh-CN"/>
              <a:t>16</a:t>
            </a:r>
            <a:r>
              <a:rPr lang="zh-CN" altLang="en-US"/>
              <a:t>日）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'中大 &amp; 中债'!$H$43</c:f>
              <c:strCache>
                <c:ptCount val="1"/>
                <c:pt idx="0">
                  <c:v>2012年7月5日</c:v>
                </c:pt>
              </c:strCache>
            </c:strRef>
          </c:tx>
          <c:marker>
            <c:symbol val="none"/>
          </c:marker>
          <c:cat>
            <c:numRef>
              <c:f>'中大 &amp; 中债'!$G$44:$G$74</c:f>
              <c:numCache>
                <c:formatCode>G/通用格式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'中大 &amp; 中债'!$H$44:$H$74</c:f>
              <c:numCache>
                <c:formatCode>0%</c:formatCode>
                <c:ptCount val="31"/>
                <c:pt idx="0">
                  <c:v>2.1609444317183701E-2</c:v>
                </c:pt>
                <c:pt idx="1">
                  <c:v>2.2687573685647777E-2</c:v>
                </c:pt>
                <c:pt idx="2">
                  <c:v>2.3612839999730628E-2</c:v>
                </c:pt>
                <c:pt idx="3">
                  <c:v>2.5496900142083057E-2</c:v>
                </c:pt>
                <c:pt idx="4">
                  <c:v>2.6864141244806961E-2</c:v>
                </c:pt>
                <c:pt idx="5">
                  <c:v>2.9197348286732261E-2</c:v>
                </c:pt>
                <c:pt idx="6">
                  <c:v>3.1258990280260912E-2</c:v>
                </c:pt>
                <c:pt idx="7">
                  <c:v>3.1558771223038296E-2</c:v>
                </c:pt>
                <c:pt idx="8">
                  <c:v>3.3854095120158245E-2</c:v>
                </c:pt>
                <c:pt idx="9">
                  <c:v>3.4357030231712882E-2</c:v>
                </c:pt>
                <c:pt idx="10">
                  <c:v>3.4282992508601673E-2</c:v>
                </c:pt>
                <c:pt idx="11">
                  <c:v>3.5602777589163637E-2</c:v>
                </c:pt>
                <c:pt idx="12">
                  <c:v>3.6703884861286395E-2</c:v>
                </c:pt>
                <c:pt idx="13">
                  <c:v>3.7636505400705511E-2</c:v>
                </c:pt>
                <c:pt idx="14">
                  <c:v>3.8436562171049182E-2</c:v>
                </c:pt>
                <c:pt idx="15">
                  <c:v>3.9130443670662096E-2</c:v>
                </c:pt>
                <c:pt idx="16">
                  <c:v>3.9663512359585429E-2</c:v>
                </c:pt>
                <c:pt idx="17">
                  <c:v>4.0125083562080111E-2</c:v>
                </c:pt>
                <c:pt idx="18">
                  <c:v>4.0535541104288919E-2</c:v>
                </c:pt>
                <c:pt idx="19">
                  <c:v>4.0902929885814121E-2</c:v>
                </c:pt>
                <c:pt idx="20">
                  <c:v>4.1259289026769119E-2</c:v>
                </c:pt>
                <c:pt idx="21">
                  <c:v>4.1679367752477603E-2</c:v>
                </c:pt>
                <c:pt idx="22">
                  <c:v>4.2061404565338023E-2</c:v>
                </c:pt>
                <c:pt idx="23">
                  <c:v>4.2410343151011443E-2</c:v>
                </c:pt>
                <c:pt idx="24">
                  <c:v>4.2730306164056042E-2</c:v>
                </c:pt>
                <c:pt idx="25">
                  <c:v>4.3024758875444435E-2</c:v>
                </c:pt>
                <c:pt idx="26">
                  <c:v>4.3296635178972531E-2</c:v>
                </c:pt>
                <c:pt idx="27">
                  <c:v>4.3548435684547693E-2</c:v>
                </c:pt>
                <c:pt idx="28">
                  <c:v>4.3782304855389809E-2</c:v>
                </c:pt>
                <c:pt idx="29">
                  <c:v>4.3978076189930437E-2</c:v>
                </c:pt>
                <c:pt idx="30">
                  <c:v>4.349542542368412E-2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'中大 &amp; 中债'!$I$43</c:f>
              <c:strCache>
                <c:ptCount val="1"/>
                <c:pt idx="0">
                  <c:v>2012年8月16日</c:v>
                </c:pt>
              </c:strCache>
            </c:strRef>
          </c:tx>
          <c:marker>
            <c:symbol val="none"/>
          </c:marker>
          <c:cat>
            <c:numRef>
              <c:f>'中大 &amp; 中债'!$G$44:$G$74</c:f>
              <c:numCache>
                <c:formatCode>G/通用格式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'中大 &amp; 中债'!$I$44:$I$74</c:f>
              <c:numCache>
                <c:formatCode>G/通用格式</c:formatCode>
                <c:ptCount val="31"/>
                <c:pt idx="0">
                  <c:v>1.9486700996083295E-2</c:v>
                </c:pt>
                <c:pt idx="1">
                  <c:v>2.8091043565409812E-2</c:v>
                </c:pt>
                <c:pt idx="2">
                  <c:v>2.5087704719455983E-2</c:v>
                </c:pt>
                <c:pt idx="3">
                  <c:v>2.7700456670382678E-2</c:v>
                </c:pt>
                <c:pt idx="4">
                  <c:v>2.9108864542681356E-2</c:v>
                </c:pt>
                <c:pt idx="5">
                  <c:v>3.0262115261928679E-2</c:v>
                </c:pt>
                <c:pt idx="6">
                  <c:v>3.2065552300727829E-2</c:v>
                </c:pt>
                <c:pt idx="7">
                  <c:v>3.2072825369401592E-2</c:v>
                </c:pt>
                <c:pt idx="8">
                  <c:v>3.3645239420822204E-2</c:v>
                </c:pt>
                <c:pt idx="9">
                  <c:v>3.4048608847720541E-2</c:v>
                </c:pt>
                <c:pt idx="10">
                  <c:v>3.4330198225209996E-2</c:v>
                </c:pt>
                <c:pt idx="11">
                  <c:v>3.5494806494253739E-2</c:v>
                </c:pt>
                <c:pt idx="12">
                  <c:v>3.6466315006463912E-2</c:v>
                </c:pt>
                <c:pt idx="13">
                  <c:v>3.7289072558575276E-2</c:v>
                </c:pt>
                <c:pt idx="14">
                  <c:v>3.7994813122795845E-2</c:v>
                </c:pt>
                <c:pt idx="15">
                  <c:v>3.8606843333383711E-2</c:v>
                </c:pt>
                <c:pt idx="16">
                  <c:v>3.8912479244995968E-2</c:v>
                </c:pt>
                <c:pt idx="17">
                  <c:v>3.9182232681140183E-2</c:v>
                </c:pt>
                <c:pt idx="18">
                  <c:v>3.9947307781078134E-2</c:v>
                </c:pt>
                <c:pt idx="19">
                  <c:v>4.0648023913853359E-2</c:v>
                </c:pt>
                <c:pt idx="20">
                  <c:v>4.1279072105940395E-2</c:v>
                </c:pt>
                <c:pt idx="21">
                  <c:v>4.1850350199735153E-2</c:v>
                </c:pt>
                <c:pt idx="22">
                  <c:v>4.2369965893690242E-2</c:v>
                </c:pt>
                <c:pt idx="23">
                  <c:v>4.2844623942736249E-2</c:v>
                </c:pt>
                <c:pt idx="24">
                  <c:v>4.327991702698486E-2</c:v>
                </c:pt>
                <c:pt idx="25">
                  <c:v>4.3680547136083492E-2</c:v>
                </c:pt>
                <c:pt idx="26">
                  <c:v>4.4050496092877811E-2</c:v>
                </c:pt>
                <c:pt idx="27">
                  <c:v>4.4393158345732209E-2</c:v>
                </c:pt>
                <c:pt idx="28">
                  <c:v>4.4711445423200047E-2</c:v>
                </c:pt>
                <c:pt idx="29">
                  <c:v>4.5007868863777389E-2</c:v>
                </c:pt>
                <c:pt idx="30">
                  <c:v>4.5284606623779977E-2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3662336"/>
        <c:axId val="743664256"/>
      </c:lineChart>
      <c:catAx>
        <c:axId val="743662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zh-CN" altLang="en-US"/>
                  <a:t>期限</a:t>
                </a:r>
              </a:p>
            </c:rich>
          </c:tx>
          <c:layout/>
          <c:overlay val="0"/>
        </c:title>
        <c:numFmt formatCode="G/通用格式" sourceLinked="1"/>
        <c:majorTickMark val="none"/>
        <c:minorTickMark val="none"/>
        <c:tickLblPos val="nextTo"/>
        <c:crossAx val="743664256"/>
        <c:crosses val="autoZero"/>
        <c:auto val="1"/>
        <c:lblAlgn val="ctr"/>
        <c:lblOffset val="100"/>
        <c:tickLblSkip val="5"/>
        <c:noMultiLvlLbl val="0"/>
      </c:catAx>
      <c:valAx>
        <c:axId val="743664256"/>
        <c:scaling>
          <c:orientation val="minMax"/>
          <c:max val="5.000000000000001E-2"/>
          <c:min val="2.0000000000000004E-2"/>
        </c:scaling>
        <c:delete val="0"/>
        <c:axPos val="l"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即期收益率</a:t>
                </a:r>
              </a:p>
            </c:rich>
          </c:tx>
          <c:layout/>
          <c:overlay val="0"/>
        </c:title>
        <c:numFmt formatCode="0%" sourceLinked="1"/>
        <c:majorTickMark val="none"/>
        <c:minorTickMark val="none"/>
        <c:tickLblPos val="nextTo"/>
        <c:crossAx val="743662336"/>
        <c:crosses val="autoZero"/>
        <c:crossBetween val="between"/>
        <c:majorUnit val="1.0000000000000002E-2"/>
      </c:valAx>
    </c:plotArea>
    <c:legend>
      <c:legendPos val="b"/>
      <c:layout>
        <c:manualLayout>
          <c:xMode val="edge"/>
          <c:yMode val="edge"/>
          <c:x val="0.32185910354326908"/>
          <c:y val="0.73749940700935956"/>
          <c:w val="0.3562816363703577"/>
          <c:h val="4.0624345490464682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CN" altLang="en-US"/>
              <a:t>中国国债（银行间）即期收益率（回溯</a:t>
            </a:r>
            <a:r>
              <a:rPr lang="en-US" altLang="zh-CN"/>
              <a:t>1</a:t>
            </a:r>
            <a:r>
              <a:rPr lang="zh-CN" altLang="en-US"/>
              <a:t>年）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历史收益率比较!$C$44</c:f>
              <c:strCache>
                <c:ptCount val="1"/>
                <c:pt idx="0">
                  <c:v>2012-8-20</c:v>
                </c:pt>
              </c:strCache>
            </c:strRef>
          </c:tx>
          <c:marker>
            <c:symbol val="none"/>
          </c:marker>
          <c:cat>
            <c:numRef>
              <c:f>历史收益率比较!$A$46:$A$75</c:f>
              <c:numCache>
                <c:formatCode>G/通用格式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历史收益率比较!$C$46:$C$75</c:f>
              <c:numCache>
                <c:formatCode>0.00%</c:formatCode>
                <c:ptCount val="30"/>
                <c:pt idx="0">
                  <c:v>2.465574930943748E-2</c:v>
                </c:pt>
                <c:pt idx="1">
                  <c:v>2.6759129289106953E-2</c:v>
                </c:pt>
                <c:pt idx="2">
                  <c:v>2.8003633737023748E-2</c:v>
                </c:pt>
                <c:pt idx="3">
                  <c:v>2.9174270320064588E-2</c:v>
                </c:pt>
                <c:pt idx="4">
                  <c:v>3.0508425101937853E-2</c:v>
                </c:pt>
                <c:pt idx="5">
                  <c:v>3.1602978468950438E-2</c:v>
                </c:pt>
                <c:pt idx="6">
                  <c:v>3.2482441645473203E-2</c:v>
                </c:pt>
                <c:pt idx="7">
                  <c:v>3.3628835672184776E-2</c:v>
                </c:pt>
                <c:pt idx="8">
                  <c:v>3.4030170049038411E-2</c:v>
                </c:pt>
                <c:pt idx="9">
                  <c:v>3.4312958974863861E-2</c:v>
                </c:pt>
                <c:pt idx="10">
                  <c:v>3.5479959736425482E-2</c:v>
                </c:pt>
                <c:pt idx="11">
                  <c:v>3.6453466128587131E-2</c:v>
                </c:pt>
                <c:pt idx="12">
                  <c:v>3.7277917135647209E-2</c:v>
                </c:pt>
                <c:pt idx="13">
                  <c:v>3.798511138110916E-2</c:v>
                </c:pt>
                <c:pt idx="14">
                  <c:v>3.8598403054591168E-2</c:v>
                </c:pt>
                <c:pt idx="15">
                  <c:v>3.8905046545651523E-2</c:v>
                </c:pt>
                <c:pt idx="16">
                  <c:v>3.9175689516365075E-2</c:v>
                </c:pt>
                <c:pt idx="17">
                  <c:v>3.9939384386251886E-2</c:v>
                </c:pt>
                <c:pt idx="18">
                  <c:v>4.0638798928442021E-2</c:v>
                </c:pt>
                <c:pt idx="19">
                  <c:v>4.1268674193820631E-2</c:v>
                </c:pt>
                <c:pt idx="20">
                  <c:v>4.1838889846541383E-2</c:v>
                </c:pt>
                <c:pt idx="21">
                  <c:v>4.2357538677022299E-2</c:v>
                </c:pt>
                <c:pt idx="22">
                  <c:v>4.2831313098677049E-2</c:v>
                </c:pt>
                <c:pt idx="23">
                  <c:v>4.3265795487131609E-2</c:v>
                </c:pt>
                <c:pt idx="24">
                  <c:v>4.3665679160970861E-2</c:v>
                </c:pt>
                <c:pt idx="25">
                  <c:v>4.4034938594099682E-2</c:v>
                </c:pt>
                <c:pt idx="26">
                  <c:v>4.4376961965334694E-2</c:v>
                </c:pt>
                <c:pt idx="27">
                  <c:v>4.4694655421928742E-2</c:v>
                </c:pt>
                <c:pt idx="28">
                  <c:v>4.4990525857404595E-2</c:v>
                </c:pt>
                <c:pt idx="29">
                  <c:v>4.5266747197662438E-2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历史收益率比较!$D$44</c:f>
              <c:strCache>
                <c:ptCount val="1"/>
                <c:pt idx="0">
                  <c:v>2012-8-13</c:v>
                </c:pt>
              </c:strCache>
            </c:strRef>
          </c:tx>
          <c:marker>
            <c:symbol val="none"/>
          </c:marker>
          <c:cat>
            <c:numRef>
              <c:f>历史收益率比较!$A$46:$A$75</c:f>
              <c:numCache>
                <c:formatCode>G/通用格式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历史收益率比较!$D$46:$D$75</c:f>
              <c:numCache>
                <c:formatCode>0.00%</c:formatCode>
                <c:ptCount val="30"/>
                <c:pt idx="0">
                  <c:v>2.4820633478512821E-2</c:v>
                </c:pt>
                <c:pt idx="1">
                  <c:v>2.6018160406353852E-2</c:v>
                </c:pt>
                <c:pt idx="2">
                  <c:v>2.7181069774188105E-2</c:v>
                </c:pt>
                <c:pt idx="3">
                  <c:v>2.8162660726406052E-2</c:v>
                </c:pt>
                <c:pt idx="4">
                  <c:v>2.9901822445899562E-2</c:v>
                </c:pt>
                <c:pt idx="5">
                  <c:v>3.1160337363725699E-2</c:v>
                </c:pt>
                <c:pt idx="6">
                  <c:v>3.2452334000677707E-2</c:v>
                </c:pt>
                <c:pt idx="7">
                  <c:v>3.3627241554970988E-2</c:v>
                </c:pt>
                <c:pt idx="8">
                  <c:v>3.4370342020836775E-2</c:v>
                </c:pt>
                <c:pt idx="9">
                  <c:v>3.4397872519792205E-2</c:v>
                </c:pt>
                <c:pt idx="10">
                  <c:v>3.5552646376293406E-2</c:v>
                </c:pt>
                <c:pt idx="11">
                  <c:v>3.6515942636064613E-2</c:v>
                </c:pt>
                <c:pt idx="12">
                  <c:v>3.7331739335940251E-2</c:v>
                </c:pt>
                <c:pt idx="13">
                  <c:v>3.803150467277594E-2</c:v>
                </c:pt>
                <c:pt idx="14">
                  <c:v>3.8638349788536308E-2</c:v>
                </c:pt>
                <c:pt idx="15">
                  <c:v>3.8941674507784629E-2</c:v>
                </c:pt>
                <c:pt idx="16">
                  <c:v>3.9205132442889257E-2</c:v>
                </c:pt>
                <c:pt idx="17">
                  <c:v>3.9959834097861503E-2</c:v>
                </c:pt>
                <c:pt idx="18">
                  <c:v>4.0664799682976316E-2</c:v>
                </c:pt>
                <c:pt idx="19">
                  <c:v>4.1307641054074473E-2</c:v>
                </c:pt>
                <c:pt idx="20">
                  <c:v>4.1889601600621829E-2</c:v>
                </c:pt>
                <c:pt idx="21">
                  <c:v>4.241893887386694E-2</c:v>
                </c:pt>
                <c:pt idx="22">
                  <c:v>4.2902481686629024E-2</c:v>
                </c:pt>
                <c:pt idx="23">
                  <c:v>4.3345926303003157E-2</c:v>
                </c:pt>
                <c:pt idx="24">
                  <c:v>4.3754061878812367E-2</c:v>
                </c:pt>
                <c:pt idx="25">
                  <c:v>4.4130944113894399E-2</c:v>
                </c:pt>
                <c:pt idx="26">
                  <c:v>4.4480030483897037E-2</c:v>
                </c:pt>
                <c:pt idx="27">
                  <c:v>4.4804286616101363E-2</c:v>
                </c:pt>
                <c:pt idx="28">
                  <c:v>4.5106270746089416E-2</c:v>
                </c:pt>
                <c:pt idx="29">
                  <c:v>4.5388201349559676E-2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历史收益率比较!$E$44</c:f>
              <c:strCache>
                <c:ptCount val="1"/>
                <c:pt idx="0">
                  <c:v>2012-7-20</c:v>
                </c:pt>
              </c:strCache>
            </c:strRef>
          </c:tx>
          <c:marker>
            <c:symbol val="none"/>
          </c:marker>
          <c:cat>
            <c:numRef>
              <c:f>历史收益率比较!$A$46:$A$75</c:f>
              <c:numCache>
                <c:formatCode>G/通用格式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历史收益率比较!$E$46:$E$75</c:f>
              <c:numCache>
                <c:formatCode>0.00%</c:formatCode>
                <c:ptCount val="30"/>
                <c:pt idx="0">
                  <c:v>2.3103588698816679E-2</c:v>
                </c:pt>
                <c:pt idx="1">
                  <c:v>2.4995902034512518E-2</c:v>
                </c:pt>
                <c:pt idx="2">
                  <c:v>2.4526504955926232E-2</c:v>
                </c:pt>
                <c:pt idx="3">
                  <c:v>2.6293351865622983E-2</c:v>
                </c:pt>
                <c:pt idx="4">
                  <c:v>2.8047285270486944E-2</c:v>
                </c:pt>
                <c:pt idx="5">
                  <c:v>3.053219802932583E-2</c:v>
                </c:pt>
                <c:pt idx="6">
                  <c:v>3.1889664190261291E-2</c:v>
                </c:pt>
                <c:pt idx="7">
                  <c:v>3.3209016754762954E-2</c:v>
                </c:pt>
                <c:pt idx="8">
                  <c:v>3.4840863816978596E-2</c:v>
                </c:pt>
                <c:pt idx="9">
                  <c:v>3.3585999125128163E-2</c:v>
                </c:pt>
                <c:pt idx="10">
                  <c:v>3.535286472764998E-2</c:v>
                </c:pt>
                <c:pt idx="11">
                  <c:v>3.6647357834801886E-2</c:v>
                </c:pt>
                <c:pt idx="12">
                  <c:v>3.764871889268151E-2</c:v>
                </c:pt>
                <c:pt idx="13">
                  <c:v>3.8507798208087252E-2</c:v>
                </c:pt>
                <c:pt idx="14">
                  <c:v>3.9252908907737583E-2</c:v>
                </c:pt>
                <c:pt idx="15">
                  <c:v>3.9314326079126216E-2</c:v>
                </c:pt>
                <c:pt idx="16">
                  <c:v>3.9317967415287036E-2</c:v>
                </c:pt>
                <c:pt idx="17">
                  <c:v>4.001395959784193E-2</c:v>
                </c:pt>
                <c:pt idx="18">
                  <c:v>4.0727197834525608E-2</c:v>
                </c:pt>
                <c:pt idx="19">
                  <c:v>4.1337538738185131E-2</c:v>
                </c:pt>
                <c:pt idx="20">
                  <c:v>4.1726262455439089E-2</c:v>
                </c:pt>
                <c:pt idx="21">
                  <c:v>4.2079773571450874E-2</c:v>
                </c:pt>
                <c:pt idx="22">
                  <c:v>4.2402649359845057E-2</c:v>
                </c:pt>
                <c:pt idx="23">
                  <c:v>4.2698706713397927E-2</c:v>
                </c:pt>
                <c:pt idx="24">
                  <c:v>4.2971153741577561E-2</c:v>
                </c:pt>
                <c:pt idx="25">
                  <c:v>4.3222706490028573E-2</c:v>
                </c:pt>
                <c:pt idx="26">
                  <c:v>4.3487655669782743E-2</c:v>
                </c:pt>
                <c:pt idx="27">
                  <c:v>4.3819775593650467E-2</c:v>
                </c:pt>
                <c:pt idx="28">
                  <c:v>4.412908571740104E-2</c:v>
                </c:pt>
                <c:pt idx="29">
                  <c:v>4.4417857860122423E-2</c:v>
                </c:pt>
              </c:numCache>
            </c:numRef>
          </c:val>
          <c:smooth val="1"/>
        </c:ser>
        <c:ser>
          <c:idx val="3"/>
          <c:order val="3"/>
          <c:tx>
            <c:strRef>
              <c:f>历史收益率比较!$F$44</c:f>
              <c:strCache>
                <c:ptCount val="1"/>
                <c:pt idx="0">
                  <c:v>2012-5-21</c:v>
                </c:pt>
              </c:strCache>
            </c:strRef>
          </c:tx>
          <c:marker>
            <c:symbol val="none"/>
          </c:marker>
          <c:cat>
            <c:numRef>
              <c:f>历史收益率比较!$A$46:$A$75</c:f>
              <c:numCache>
                <c:formatCode>G/通用格式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历史收益率比较!$F$46:$F$75</c:f>
              <c:numCache>
                <c:formatCode>0.00%</c:formatCode>
                <c:ptCount val="30"/>
                <c:pt idx="0">
                  <c:v>2.3969305460415091E-2</c:v>
                </c:pt>
                <c:pt idx="1">
                  <c:v>2.5073329260193455E-2</c:v>
                </c:pt>
                <c:pt idx="2">
                  <c:v>2.857084712312874E-2</c:v>
                </c:pt>
                <c:pt idx="3">
                  <c:v>3.053188553612185E-2</c:v>
                </c:pt>
                <c:pt idx="4">
                  <c:v>3.1356354326572022E-2</c:v>
                </c:pt>
                <c:pt idx="5">
                  <c:v>3.2558856587639795E-2</c:v>
                </c:pt>
                <c:pt idx="6">
                  <c:v>3.4381779704744098E-2</c:v>
                </c:pt>
                <c:pt idx="7">
                  <c:v>3.4388527047751083E-2</c:v>
                </c:pt>
                <c:pt idx="8">
                  <c:v>3.4973227844846244E-2</c:v>
                </c:pt>
                <c:pt idx="9">
                  <c:v>3.5330034524496901E-2</c:v>
                </c:pt>
                <c:pt idx="10">
                  <c:v>3.8049253873547295E-2</c:v>
                </c:pt>
                <c:pt idx="11">
                  <c:v>3.6149836613659447E-2</c:v>
                </c:pt>
                <c:pt idx="12">
                  <c:v>3.6993261270425126E-2</c:v>
                </c:pt>
                <c:pt idx="13">
                  <c:v>3.8188175408929492E-2</c:v>
                </c:pt>
                <c:pt idx="14">
                  <c:v>3.9224881351737073E-2</c:v>
                </c:pt>
                <c:pt idx="15">
                  <c:v>4.004504688686894E-2</c:v>
                </c:pt>
                <c:pt idx="16">
                  <c:v>4.0741696707442099E-2</c:v>
                </c:pt>
                <c:pt idx="17">
                  <c:v>4.1436373800533444E-2</c:v>
                </c:pt>
                <c:pt idx="18">
                  <c:v>4.2066760441827E-2</c:v>
                </c:pt>
                <c:pt idx="19">
                  <c:v>4.2285933043785473E-2</c:v>
                </c:pt>
                <c:pt idx="20">
                  <c:v>4.2484271785506067E-2</c:v>
                </c:pt>
                <c:pt idx="21">
                  <c:v>4.2664612483908737E-2</c:v>
                </c:pt>
                <c:pt idx="22">
                  <c:v>4.2829298628409784E-2</c:v>
                </c:pt>
                <c:pt idx="23">
                  <c:v>4.2980283778031314E-2</c:v>
                </c:pt>
                <c:pt idx="24">
                  <c:v>4.3119209422586513E-2</c:v>
                </c:pt>
                <c:pt idx="25">
                  <c:v>4.3247464903585886E-2</c:v>
                </c:pt>
                <c:pt idx="26">
                  <c:v>4.3366234039139417E-2</c:v>
                </c:pt>
                <c:pt idx="27">
                  <c:v>4.3476531772099314E-2</c:v>
                </c:pt>
                <c:pt idx="28">
                  <c:v>4.3579233246299642E-2</c:v>
                </c:pt>
                <c:pt idx="29">
                  <c:v>4.3675097075309699E-2</c:v>
                </c:pt>
              </c:numCache>
            </c:numRef>
          </c:val>
          <c:smooth val="1"/>
        </c:ser>
        <c:ser>
          <c:idx val="4"/>
          <c:order val="4"/>
          <c:tx>
            <c:strRef>
              <c:f>历史收益率比较!$G$44</c:f>
              <c:strCache>
                <c:ptCount val="1"/>
                <c:pt idx="0">
                  <c:v>2011-8-22</c:v>
                </c:pt>
              </c:strCache>
            </c:strRef>
          </c:tx>
          <c:marker>
            <c:symbol val="none"/>
          </c:marker>
          <c:cat>
            <c:numRef>
              <c:f>历史收益率比较!$A$46:$A$75</c:f>
              <c:numCache>
                <c:formatCode>G/通用格式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历史收益率比较!$G$46:$G$75</c:f>
              <c:numCache>
                <c:formatCode>0.00%</c:formatCode>
                <c:ptCount val="30"/>
                <c:pt idx="0">
                  <c:v>3.5977958678154121E-2</c:v>
                </c:pt>
                <c:pt idx="1">
                  <c:v>3.6298613654038192E-2</c:v>
                </c:pt>
                <c:pt idx="2">
                  <c:v>3.674579300674452E-2</c:v>
                </c:pt>
                <c:pt idx="3">
                  <c:v>3.7574191171632965E-2</c:v>
                </c:pt>
                <c:pt idx="4">
                  <c:v>3.8513599765811701E-2</c:v>
                </c:pt>
                <c:pt idx="5">
                  <c:v>3.865149413537794E-2</c:v>
                </c:pt>
                <c:pt idx="6">
                  <c:v>4.044926446881747E-2</c:v>
                </c:pt>
                <c:pt idx="7">
                  <c:v>4.01310728762998E-2</c:v>
                </c:pt>
                <c:pt idx="8">
                  <c:v>3.9883657803985617E-2</c:v>
                </c:pt>
                <c:pt idx="9">
                  <c:v>4.004131681812817E-2</c:v>
                </c:pt>
                <c:pt idx="10">
                  <c:v>4.1083228904051028E-2</c:v>
                </c:pt>
                <c:pt idx="11">
                  <c:v>4.1952286267986194E-2</c:v>
                </c:pt>
                <c:pt idx="12">
                  <c:v>4.2688209103582953E-2</c:v>
                </c:pt>
                <c:pt idx="13">
                  <c:v>4.3319413791357064E-2</c:v>
                </c:pt>
                <c:pt idx="14">
                  <c:v>4.3866766928580825E-2</c:v>
                </c:pt>
                <c:pt idx="15">
                  <c:v>4.4345936476180903E-2</c:v>
                </c:pt>
                <c:pt idx="16">
                  <c:v>4.4768915793925501E-2</c:v>
                </c:pt>
                <c:pt idx="17">
                  <c:v>4.5145041227042437E-2</c:v>
                </c:pt>
                <c:pt idx="18">
                  <c:v>4.5481689286048121E-2</c:v>
                </c:pt>
                <c:pt idx="19">
                  <c:v>4.5784765251402737E-2</c:v>
                </c:pt>
                <c:pt idx="20">
                  <c:v>4.6059052544628942E-2</c:v>
                </c:pt>
                <c:pt idx="21">
                  <c:v>4.6308467055960367E-2</c:v>
                </c:pt>
                <c:pt idx="22">
                  <c:v>4.6536245285158762E-2</c:v>
                </c:pt>
                <c:pt idx="23">
                  <c:v>4.674508555548007E-2</c:v>
                </c:pt>
                <c:pt idx="24">
                  <c:v>4.6937255411222178E-2</c:v>
                </c:pt>
                <c:pt idx="25">
                  <c:v>4.7114674283904368E-2</c:v>
                </c:pt>
                <c:pt idx="26">
                  <c:v>4.7220499966339924E-2</c:v>
                </c:pt>
                <c:pt idx="27">
                  <c:v>4.7163706754203449E-2</c:v>
                </c:pt>
                <c:pt idx="28">
                  <c:v>4.7110833084050618E-2</c:v>
                </c:pt>
                <c:pt idx="29">
                  <c:v>4.7061486733916968E-2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3704064"/>
        <c:axId val="743705984"/>
      </c:lineChart>
      <c:catAx>
        <c:axId val="743704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zh-CN" altLang="en-US"/>
                  <a:t>期限</a:t>
                </a:r>
              </a:p>
            </c:rich>
          </c:tx>
          <c:layout>
            <c:manualLayout>
              <c:xMode val="edge"/>
              <c:yMode val="edge"/>
              <c:x val="0.47524559430071239"/>
              <c:y val="0.90113396187318695"/>
            </c:manualLayout>
          </c:layout>
          <c:overlay val="0"/>
        </c:title>
        <c:numFmt formatCode="G/通用格式" sourceLinked="1"/>
        <c:majorTickMark val="none"/>
        <c:minorTickMark val="none"/>
        <c:tickLblPos val="nextTo"/>
        <c:crossAx val="743705984"/>
        <c:crosses val="autoZero"/>
        <c:auto val="1"/>
        <c:lblAlgn val="ctr"/>
        <c:lblOffset val="100"/>
        <c:noMultiLvlLbl val="0"/>
      </c:catAx>
      <c:valAx>
        <c:axId val="743705984"/>
        <c:scaling>
          <c:orientation val="minMax"/>
          <c:min val="2.0000000000000004E-2"/>
        </c:scaling>
        <c:delete val="0"/>
        <c:axPos val="l"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即期收益率</a:t>
                </a:r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743704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3556996981216764"/>
          <c:y val="0.61604624257494134"/>
          <c:w val="0.49689228750252373"/>
          <c:h val="3.6475871680941546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Sheet1!$G$66:$G$115</c:f>
              <c:numCache>
                <c:formatCode>G/通用格式</c:formatCode>
                <c:ptCount val="50"/>
                <c:pt idx="0">
                  <c:v>5.0000000000129566E-2</c:v>
                </c:pt>
                <c:pt idx="1">
                  <c:v>7.5205479452054955E-2</c:v>
                </c:pt>
                <c:pt idx="2">
                  <c:v>0.10041095890410963</c:v>
                </c:pt>
                <c:pt idx="3">
                  <c:v>0.12479452054794526</c:v>
                </c:pt>
                <c:pt idx="4">
                  <c:v>0.15000000000000008</c:v>
                </c:pt>
                <c:pt idx="5">
                  <c:v>0.14160583941605831</c:v>
                </c:pt>
                <c:pt idx="6">
                  <c:v>0.13321167883211676</c:v>
                </c:pt>
                <c:pt idx="7">
                  <c:v>0.12509124087591245</c:v>
                </c:pt>
                <c:pt idx="8">
                  <c:v>0.11669708029197084</c:v>
                </c:pt>
                <c:pt idx="9">
                  <c:v>0.10830291970802924</c:v>
                </c:pt>
                <c:pt idx="10">
                  <c:v>9.9908759124087587E-2</c:v>
                </c:pt>
                <c:pt idx="11">
                  <c:v>9.1788321167883227E-2</c:v>
                </c:pt>
                <c:pt idx="12">
                  <c:v>8.3394160583941584E-2</c:v>
                </c:pt>
                <c:pt idx="13">
                  <c:v>7.4999999999999997E-2</c:v>
                </c:pt>
                <c:pt idx="14">
                  <c:v>6.6605839416058382E-2</c:v>
                </c:pt>
                <c:pt idx="15">
                  <c:v>5.8394160583941597E-2</c:v>
                </c:pt>
                <c:pt idx="16">
                  <c:v>0.05</c:v>
                </c:pt>
                <c:pt idx="17">
                  <c:v>5.000000000000001E-2</c:v>
                </c:pt>
                <c:pt idx="18">
                  <c:v>5.0000000000000017E-2</c:v>
                </c:pt>
                <c:pt idx="19">
                  <c:v>5.0000000000000024E-2</c:v>
                </c:pt>
                <c:pt idx="20">
                  <c:v>4.9999999999999982E-2</c:v>
                </c:pt>
                <c:pt idx="21">
                  <c:v>0.05</c:v>
                </c:pt>
                <c:pt idx="22">
                  <c:v>5.0000000000000024E-2</c:v>
                </c:pt>
                <c:pt idx="23">
                  <c:v>5.0000000000000017E-2</c:v>
                </c:pt>
                <c:pt idx="24">
                  <c:v>5.000000000000001E-2</c:v>
                </c:pt>
                <c:pt idx="25">
                  <c:v>4.9999999999999989E-2</c:v>
                </c:pt>
                <c:pt idx="26">
                  <c:v>0.05</c:v>
                </c:pt>
                <c:pt idx="27">
                  <c:v>4.9999999999999996E-2</c:v>
                </c:pt>
                <c:pt idx="28">
                  <c:v>5.000000000000001E-2</c:v>
                </c:pt>
                <c:pt idx="29">
                  <c:v>5.0000000000000017E-2</c:v>
                </c:pt>
                <c:pt idx="30">
                  <c:v>4.9999999999999996E-2</c:v>
                </c:pt>
                <c:pt idx="31">
                  <c:v>5.000000000000001E-2</c:v>
                </c:pt>
                <c:pt idx="32">
                  <c:v>0.05</c:v>
                </c:pt>
                <c:pt idx="33">
                  <c:v>5.000000000000001E-2</c:v>
                </c:pt>
                <c:pt idx="34">
                  <c:v>0.05</c:v>
                </c:pt>
                <c:pt idx="35">
                  <c:v>0.05</c:v>
                </c:pt>
                <c:pt idx="36">
                  <c:v>5.000000000000001E-2</c:v>
                </c:pt>
                <c:pt idx="37">
                  <c:v>0.05</c:v>
                </c:pt>
                <c:pt idx="38">
                  <c:v>0.05</c:v>
                </c:pt>
                <c:pt idx="39">
                  <c:v>5.0000000000000024E-2</c:v>
                </c:pt>
                <c:pt idx="40">
                  <c:v>0.05</c:v>
                </c:pt>
                <c:pt idx="41">
                  <c:v>5.0000000000000017E-2</c:v>
                </c:pt>
                <c:pt idx="42">
                  <c:v>4.9999999999999989E-2</c:v>
                </c:pt>
                <c:pt idx="43">
                  <c:v>4.9999999999999996E-2</c:v>
                </c:pt>
                <c:pt idx="44">
                  <c:v>0.05</c:v>
                </c:pt>
                <c:pt idx="45">
                  <c:v>0.05</c:v>
                </c:pt>
                <c:pt idx="46">
                  <c:v>4.9999999999999996E-2</c:v>
                </c:pt>
                <c:pt idx="47">
                  <c:v>4.9999999999999982E-2</c:v>
                </c:pt>
                <c:pt idx="48">
                  <c:v>5.000000000000001E-2</c:v>
                </c:pt>
                <c:pt idx="49">
                  <c:v>5.000000000000001E-2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3830656"/>
        <c:axId val="743832192"/>
      </c:lineChart>
      <c:catAx>
        <c:axId val="743830656"/>
        <c:scaling>
          <c:orientation val="minMax"/>
        </c:scaling>
        <c:delete val="0"/>
        <c:axPos val="b"/>
        <c:majorTickMark val="out"/>
        <c:minorTickMark val="none"/>
        <c:tickLblPos val="nextTo"/>
        <c:crossAx val="743832192"/>
        <c:crosses val="autoZero"/>
        <c:auto val="1"/>
        <c:lblAlgn val="ctr"/>
        <c:lblOffset val="100"/>
        <c:noMultiLvlLbl val="0"/>
      </c:catAx>
      <c:valAx>
        <c:axId val="743832192"/>
        <c:scaling>
          <c:orientation val="minMax"/>
        </c:scaling>
        <c:delete val="0"/>
        <c:axPos val="l"/>
        <c:majorGridlines/>
        <c:numFmt formatCode="G/通用格式" sourceLinked="1"/>
        <c:majorTickMark val="out"/>
        <c:minorTickMark val="none"/>
        <c:tickLblPos val="nextTo"/>
        <c:crossAx val="7438306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test!$B$1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cat>
            <c:numRef>
              <c:f>test!$A$2:$A$202</c:f>
              <c:numCache>
                <c:formatCode>yyyy-m-d</c:formatCode>
                <c:ptCount val="201"/>
                <c:pt idx="0">
                  <c:v>41138</c:v>
                </c:pt>
                <c:pt idx="1">
                  <c:v>41232</c:v>
                </c:pt>
                <c:pt idx="2">
                  <c:v>41324</c:v>
                </c:pt>
                <c:pt idx="3">
                  <c:v>41414</c:v>
                </c:pt>
                <c:pt idx="4">
                  <c:v>41506</c:v>
                </c:pt>
                <c:pt idx="5">
                  <c:v>41598</c:v>
                </c:pt>
                <c:pt idx="6">
                  <c:v>41690</c:v>
                </c:pt>
                <c:pt idx="7">
                  <c:v>41779</c:v>
                </c:pt>
                <c:pt idx="8">
                  <c:v>41871</c:v>
                </c:pt>
                <c:pt idx="9">
                  <c:v>41963</c:v>
                </c:pt>
                <c:pt idx="10">
                  <c:v>42055</c:v>
                </c:pt>
                <c:pt idx="11">
                  <c:v>42144</c:v>
                </c:pt>
                <c:pt idx="12">
                  <c:v>42236</c:v>
                </c:pt>
                <c:pt idx="13">
                  <c:v>42328</c:v>
                </c:pt>
                <c:pt idx="14">
                  <c:v>42422</c:v>
                </c:pt>
                <c:pt idx="15">
                  <c:v>42513</c:v>
                </c:pt>
                <c:pt idx="16">
                  <c:v>42605</c:v>
                </c:pt>
                <c:pt idx="17">
                  <c:v>42697</c:v>
                </c:pt>
                <c:pt idx="18">
                  <c:v>42789</c:v>
                </c:pt>
                <c:pt idx="19">
                  <c:v>42878</c:v>
                </c:pt>
                <c:pt idx="20">
                  <c:v>42970</c:v>
                </c:pt>
                <c:pt idx="21">
                  <c:v>43062</c:v>
                </c:pt>
                <c:pt idx="22">
                  <c:v>43154</c:v>
                </c:pt>
                <c:pt idx="23">
                  <c:v>43243</c:v>
                </c:pt>
                <c:pt idx="24">
                  <c:v>43335</c:v>
                </c:pt>
                <c:pt idx="25">
                  <c:v>43427</c:v>
                </c:pt>
                <c:pt idx="26">
                  <c:v>43521</c:v>
                </c:pt>
                <c:pt idx="27">
                  <c:v>43612</c:v>
                </c:pt>
                <c:pt idx="28">
                  <c:v>43704</c:v>
                </c:pt>
                <c:pt idx="29">
                  <c:v>43796</c:v>
                </c:pt>
                <c:pt idx="30">
                  <c:v>43888</c:v>
                </c:pt>
                <c:pt idx="31">
                  <c:v>43978</c:v>
                </c:pt>
                <c:pt idx="32">
                  <c:v>44070</c:v>
                </c:pt>
                <c:pt idx="33">
                  <c:v>44162</c:v>
                </c:pt>
                <c:pt idx="34">
                  <c:v>44256</c:v>
                </c:pt>
                <c:pt idx="35">
                  <c:v>44348</c:v>
                </c:pt>
                <c:pt idx="36">
                  <c:v>44440</c:v>
                </c:pt>
                <c:pt idx="37">
                  <c:v>44531</c:v>
                </c:pt>
                <c:pt idx="38">
                  <c:v>44621</c:v>
                </c:pt>
                <c:pt idx="39">
                  <c:v>44713</c:v>
                </c:pt>
                <c:pt idx="40">
                  <c:v>44805</c:v>
                </c:pt>
                <c:pt idx="41">
                  <c:v>44896</c:v>
                </c:pt>
                <c:pt idx="42">
                  <c:v>44986</c:v>
                </c:pt>
                <c:pt idx="43">
                  <c:v>45078</c:v>
                </c:pt>
                <c:pt idx="44">
                  <c:v>45170</c:v>
                </c:pt>
                <c:pt idx="45">
                  <c:v>45261</c:v>
                </c:pt>
                <c:pt idx="46">
                  <c:v>45352</c:v>
                </c:pt>
                <c:pt idx="47">
                  <c:v>45446</c:v>
                </c:pt>
                <c:pt idx="48">
                  <c:v>45538</c:v>
                </c:pt>
                <c:pt idx="49">
                  <c:v>45629</c:v>
                </c:pt>
                <c:pt idx="50">
                  <c:v>45719</c:v>
                </c:pt>
                <c:pt idx="51">
                  <c:v>45811</c:v>
                </c:pt>
                <c:pt idx="52">
                  <c:v>45903</c:v>
                </c:pt>
                <c:pt idx="53">
                  <c:v>45994</c:v>
                </c:pt>
                <c:pt idx="54">
                  <c:v>46084</c:v>
                </c:pt>
                <c:pt idx="55">
                  <c:v>46176</c:v>
                </c:pt>
                <c:pt idx="56">
                  <c:v>46268</c:v>
                </c:pt>
                <c:pt idx="57">
                  <c:v>46359</c:v>
                </c:pt>
                <c:pt idx="58">
                  <c:v>46449</c:v>
                </c:pt>
                <c:pt idx="59">
                  <c:v>46541</c:v>
                </c:pt>
                <c:pt idx="60">
                  <c:v>46633</c:v>
                </c:pt>
                <c:pt idx="61">
                  <c:v>46724</c:v>
                </c:pt>
                <c:pt idx="62">
                  <c:v>46815</c:v>
                </c:pt>
                <c:pt idx="63">
                  <c:v>46909</c:v>
                </c:pt>
                <c:pt idx="64">
                  <c:v>47001</c:v>
                </c:pt>
                <c:pt idx="65">
                  <c:v>47092</c:v>
                </c:pt>
                <c:pt idx="66">
                  <c:v>47182</c:v>
                </c:pt>
                <c:pt idx="67">
                  <c:v>47274</c:v>
                </c:pt>
                <c:pt idx="68">
                  <c:v>47366</c:v>
                </c:pt>
                <c:pt idx="69">
                  <c:v>47457</c:v>
                </c:pt>
                <c:pt idx="70">
                  <c:v>47547</c:v>
                </c:pt>
                <c:pt idx="71">
                  <c:v>47639</c:v>
                </c:pt>
                <c:pt idx="72">
                  <c:v>47731</c:v>
                </c:pt>
                <c:pt idx="73">
                  <c:v>47822</c:v>
                </c:pt>
                <c:pt idx="74">
                  <c:v>47912</c:v>
                </c:pt>
                <c:pt idx="75">
                  <c:v>48004</c:v>
                </c:pt>
                <c:pt idx="76">
                  <c:v>48096</c:v>
                </c:pt>
                <c:pt idx="77">
                  <c:v>48187</c:v>
                </c:pt>
                <c:pt idx="78">
                  <c:v>48278</c:v>
                </c:pt>
                <c:pt idx="79">
                  <c:v>48372</c:v>
                </c:pt>
                <c:pt idx="80">
                  <c:v>48464</c:v>
                </c:pt>
                <c:pt idx="81">
                  <c:v>48555</c:v>
                </c:pt>
                <c:pt idx="82">
                  <c:v>48645</c:v>
                </c:pt>
                <c:pt idx="83">
                  <c:v>48737</c:v>
                </c:pt>
                <c:pt idx="84">
                  <c:v>48829</c:v>
                </c:pt>
                <c:pt idx="85">
                  <c:v>48920</c:v>
                </c:pt>
                <c:pt idx="86">
                  <c:v>49010</c:v>
                </c:pt>
                <c:pt idx="87">
                  <c:v>49102</c:v>
                </c:pt>
                <c:pt idx="88">
                  <c:v>49194</c:v>
                </c:pt>
                <c:pt idx="89">
                  <c:v>49285</c:v>
                </c:pt>
                <c:pt idx="90">
                  <c:v>49375</c:v>
                </c:pt>
                <c:pt idx="91">
                  <c:v>49467</c:v>
                </c:pt>
                <c:pt idx="92">
                  <c:v>49559</c:v>
                </c:pt>
                <c:pt idx="93">
                  <c:v>49650</c:v>
                </c:pt>
                <c:pt idx="94">
                  <c:v>49741</c:v>
                </c:pt>
                <c:pt idx="95">
                  <c:v>49835</c:v>
                </c:pt>
                <c:pt idx="96">
                  <c:v>49927</c:v>
                </c:pt>
                <c:pt idx="97">
                  <c:v>50018</c:v>
                </c:pt>
                <c:pt idx="98">
                  <c:v>50108</c:v>
                </c:pt>
                <c:pt idx="99">
                  <c:v>50200</c:v>
                </c:pt>
                <c:pt idx="100">
                  <c:v>50292</c:v>
                </c:pt>
                <c:pt idx="101">
                  <c:v>50383</c:v>
                </c:pt>
                <c:pt idx="102">
                  <c:v>50473</c:v>
                </c:pt>
                <c:pt idx="103">
                  <c:v>50565</c:v>
                </c:pt>
                <c:pt idx="104">
                  <c:v>50657</c:v>
                </c:pt>
                <c:pt idx="105">
                  <c:v>50748</c:v>
                </c:pt>
                <c:pt idx="106">
                  <c:v>50838</c:v>
                </c:pt>
                <c:pt idx="107">
                  <c:v>50930</c:v>
                </c:pt>
                <c:pt idx="108">
                  <c:v>51022</c:v>
                </c:pt>
                <c:pt idx="109">
                  <c:v>51113</c:v>
                </c:pt>
                <c:pt idx="110">
                  <c:v>51204</c:v>
                </c:pt>
                <c:pt idx="111">
                  <c:v>51298</c:v>
                </c:pt>
                <c:pt idx="112">
                  <c:v>51390</c:v>
                </c:pt>
                <c:pt idx="113">
                  <c:v>51481</c:v>
                </c:pt>
                <c:pt idx="114">
                  <c:v>51571</c:v>
                </c:pt>
                <c:pt idx="115">
                  <c:v>51663</c:v>
                </c:pt>
                <c:pt idx="116">
                  <c:v>51755</c:v>
                </c:pt>
                <c:pt idx="117">
                  <c:v>51846</c:v>
                </c:pt>
                <c:pt idx="118">
                  <c:v>51936</c:v>
                </c:pt>
                <c:pt idx="119">
                  <c:v>52028</c:v>
                </c:pt>
                <c:pt idx="120">
                  <c:v>52120</c:v>
                </c:pt>
                <c:pt idx="121">
                  <c:v>52211</c:v>
                </c:pt>
                <c:pt idx="122">
                  <c:v>52301</c:v>
                </c:pt>
                <c:pt idx="123">
                  <c:v>52393</c:v>
                </c:pt>
                <c:pt idx="124">
                  <c:v>52485</c:v>
                </c:pt>
                <c:pt idx="125">
                  <c:v>52576</c:v>
                </c:pt>
                <c:pt idx="126">
                  <c:v>52667</c:v>
                </c:pt>
                <c:pt idx="127">
                  <c:v>52761</c:v>
                </c:pt>
                <c:pt idx="128">
                  <c:v>52853</c:v>
                </c:pt>
                <c:pt idx="129">
                  <c:v>52944</c:v>
                </c:pt>
                <c:pt idx="130">
                  <c:v>53034</c:v>
                </c:pt>
                <c:pt idx="131">
                  <c:v>53126</c:v>
                </c:pt>
                <c:pt idx="132">
                  <c:v>53218</c:v>
                </c:pt>
                <c:pt idx="133">
                  <c:v>53309</c:v>
                </c:pt>
                <c:pt idx="134">
                  <c:v>53399</c:v>
                </c:pt>
                <c:pt idx="135">
                  <c:v>53491</c:v>
                </c:pt>
                <c:pt idx="136">
                  <c:v>53583</c:v>
                </c:pt>
                <c:pt idx="137">
                  <c:v>53674</c:v>
                </c:pt>
                <c:pt idx="138">
                  <c:v>53764</c:v>
                </c:pt>
                <c:pt idx="139">
                  <c:v>53856</c:v>
                </c:pt>
                <c:pt idx="140">
                  <c:v>53948</c:v>
                </c:pt>
                <c:pt idx="141">
                  <c:v>54039</c:v>
                </c:pt>
                <c:pt idx="142">
                  <c:v>54130</c:v>
                </c:pt>
                <c:pt idx="143">
                  <c:v>54224</c:v>
                </c:pt>
                <c:pt idx="144">
                  <c:v>54316</c:v>
                </c:pt>
                <c:pt idx="145">
                  <c:v>54407</c:v>
                </c:pt>
                <c:pt idx="146">
                  <c:v>54497</c:v>
                </c:pt>
                <c:pt idx="147">
                  <c:v>54589</c:v>
                </c:pt>
                <c:pt idx="148">
                  <c:v>54681</c:v>
                </c:pt>
                <c:pt idx="149">
                  <c:v>54772</c:v>
                </c:pt>
                <c:pt idx="150">
                  <c:v>54862</c:v>
                </c:pt>
                <c:pt idx="151">
                  <c:v>54954</c:v>
                </c:pt>
                <c:pt idx="152">
                  <c:v>55046</c:v>
                </c:pt>
                <c:pt idx="153">
                  <c:v>55137</c:v>
                </c:pt>
                <c:pt idx="154">
                  <c:v>55227</c:v>
                </c:pt>
                <c:pt idx="155">
                  <c:v>55319</c:v>
                </c:pt>
                <c:pt idx="156">
                  <c:v>55411</c:v>
                </c:pt>
                <c:pt idx="157">
                  <c:v>55502</c:v>
                </c:pt>
                <c:pt idx="158">
                  <c:v>55593</c:v>
                </c:pt>
                <c:pt idx="159">
                  <c:v>55687</c:v>
                </c:pt>
                <c:pt idx="160">
                  <c:v>55779</c:v>
                </c:pt>
                <c:pt idx="161">
                  <c:v>55870</c:v>
                </c:pt>
                <c:pt idx="162">
                  <c:v>55960</c:v>
                </c:pt>
                <c:pt idx="163">
                  <c:v>56052</c:v>
                </c:pt>
                <c:pt idx="164">
                  <c:v>56144</c:v>
                </c:pt>
                <c:pt idx="165">
                  <c:v>56235</c:v>
                </c:pt>
                <c:pt idx="166">
                  <c:v>56325</c:v>
                </c:pt>
                <c:pt idx="167">
                  <c:v>56417</c:v>
                </c:pt>
                <c:pt idx="168">
                  <c:v>56509</c:v>
                </c:pt>
                <c:pt idx="169">
                  <c:v>56600</c:v>
                </c:pt>
                <c:pt idx="170">
                  <c:v>56690</c:v>
                </c:pt>
                <c:pt idx="171">
                  <c:v>56782</c:v>
                </c:pt>
                <c:pt idx="172">
                  <c:v>56874</c:v>
                </c:pt>
                <c:pt idx="173">
                  <c:v>56965</c:v>
                </c:pt>
                <c:pt idx="174">
                  <c:v>57056</c:v>
                </c:pt>
                <c:pt idx="175">
                  <c:v>57150</c:v>
                </c:pt>
                <c:pt idx="176">
                  <c:v>57242</c:v>
                </c:pt>
                <c:pt idx="177">
                  <c:v>57333</c:v>
                </c:pt>
                <c:pt idx="178">
                  <c:v>57423</c:v>
                </c:pt>
                <c:pt idx="179">
                  <c:v>57515</c:v>
                </c:pt>
                <c:pt idx="180">
                  <c:v>57607</c:v>
                </c:pt>
                <c:pt idx="181">
                  <c:v>57698</c:v>
                </c:pt>
                <c:pt idx="182">
                  <c:v>57788</c:v>
                </c:pt>
                <c:pt idx="183">
                  <c:v>57880</c:v>
                </c:pt>
                <c:pt idx="184">
                  <c:v>57972</c:v>
                </c:pt>
                <c:pt idx="185">
                  <c:v>58063</c:v>
                </c:pt>
                <c:pt idx="186">
                  <c:v>58153</c:v>
                </c:pt>
                <c:pt idx="187">
                  <c:v>58245</c:v>
                </c:pt>
                <c:pt idx="188">
                  <c:v>58337</c:v>
                </c:pt>
                <c:pt idx="189">
                  <c:v>58428</c:v>
                </c:pt>
                <c:pt idx="190">
                  <c:v>58519</c:v>
                </c:pt>
                <c:pt idx="191">
                  <c:v>58613</c:v>
                </c:pt>
                <c:pt idx="192">
                  <c:v>58705</c:v>
                </c:pt>
                <c:pt idx="193">
                  <c:v>58796</c:v>
                </c:pt>
                <c:pt idx="194">
                  <c:v>58886</c:v>
                </c:pt>
                <c:pt idx="195">
                  <c:v>58978</c:v>
                </c:pt>
                <c:pt idx="196">
                  <c:v>59070</c:v>
                </c:pt>
                <c:pt idx="197">
                  <c:v>59161</c:v>
                </c:pt>
                <c:pt idx="198">
                  <c:v>59251</c:v>
                </c:pt>
                <c:pt idx="199">
                  <c:v>59343</c:v>
                </c:pt>
                <c:pt idx="200">
                  <c:v>59435</c:v>
                </c:pt>
              </c:numCache>
            </c:numRef>
          </c:cat>
          <c:val>
            <c:numRef>
              <c:f>test!$B$2:$B$202</c:f>
              <c:numCache>
                <c:formatCode>G/通用格式</c:formatCode>
                <c:ptCount val="201"/>
                <c:pt idx="0">
                  <c:v>4.9095604781046007E-2</c:v>
                </c:pt>
                <c:pt idx="1">
                  <c:v>4.9095604781046007E-2</c:v>
                </c:pt>
                <c:pt idx="2">
                  <c:v>4.9396874776212463E-2</c:v>
                </c:pt>
                <c:pt idx="3">
                  <c:v>4.9703998427645578E-2</c:v>
                </c:pt>
                <c:pt idx="4">
                  <c:v>4.9989591808261472E-2</c:v>
                </c:pt>
                <c:pt idx="5">
                  <c:v>4.9807738163394767E-2</c:v>
                </c:pt>
                <c:pt idx="6">
                  <c:v>4.9791280181410325E-2</c:v>
                </c:pt>
                <c:pt idx="7">
                  <c:v>4.986878705526112E-2</c:v>
                </c:pt>
                <c:pt idx="8">
                  <c:v>4.9994646322111549E-2</c:v>
                </c:pt>
                <c:pt idx="9">
                  <c:v>4.9890083892058353E-2</c:v>
                </c:pt>
                <c:pt idx="10">
                  <c:v>4.987123605799787E-2</c:v>
                </c:pt>
                <c:pt idx="11">
                  <c:v>4.9914251401490327E-2</c:v>
                </c:pt>
                <c:pt idx="12">
                  <c:v>4.9996339373731269E-2</c:v>
                </c:pt>
                <c:pt idx="13">
                  <c:v>4.9921929297289232E-2</c:v>
                </c:pt>
                <c:pt idx="14">
                  <c:v>4.9906013211564008E-2</c:v>
                </c:pt>
                <c:pt idx="15">
                  <c:v>4.9937311436353153E-2</c:v>
                </c:pt>
                <c:pt idx="16">
                  <c:v>4.9994569235313605E-2</c:v>
                </c:pt>
                <c:pt idx="17">
                  <c:v>4.9937810135054606E-2</c:v>
                </c:pt>
                <c:pt idx="18">
                  <c:v>4.9923529019879648E-2</c:v>
                </c:pt>
                <c:pt idx="19">
                  <c:v>4.9949270328347811E-2</c:v>
                </c:pt>
                <c:pt idx="20">
                  <c:v>4.999554830006428E-2</c:v>
                </c:pt>
                <c:pt idx="21">
                  <c:v>4.994841195727745E-2</c:v>
                </c:pt>
                <c:pt idx="22">
                  <c:v>4.9935892568078281E-2</c:v>
                </c:pt>
                <c:pt idx="23">
                  <c:v>4.9957069967986122E-2</c:v>
                </c:pt>
                <c:pt idx="24">
                  <c:v>4.9996200636936362E-2</c:v>
                </c:pt>
                <c:pt idx="25">
                  <c:v>4.9955617737935651E-2</c:v>
                </c:pt>
                <c:pt idx="26">
                  <c:v>4.9945695634951742E-2</c:v>
                </c:pt>
                <c:pt idx="27">
                  <c:v>4.9963897184124098E-2</c:v>
                </c:pt>
                <c:pt idx="28">
                  <c:v>4.9994453636780685E-2</c:v>
                </c:pt>
                <c:pt idx="29">
                  <c:v>4.9959819456683617E-2</c:v>
                </c:pt>
                <c:pt idx="30">
                  <c:v>4.9951889729051478E-2</c:v>
                </c:pt>
                <c:pt idx="31">
                  <c:v>4.9967805934997014E-2</c:v>
                </c:pt>
                <c:pt idx="32">
                  <c:v>4.999503197717655E-2</c:v>
                </c:pt>
                <c:pt idx="33">
                  <c:v>4.9963853846758867E-2</c:v>
                </c:pt>
                <c:pt idx="34">
                  <c:v>4.995677973729467E-2</c:v>
                </c:pt>
                <c:pt idx="35">
                  <c:v>4.997157842252764E-2</c:v>
                </c:pt>
                <c:pt idx="36">
                  <c:v>4.9991977387831781E-2</c:v>
                </c:pt>
                <c:pt idx="37">
                  <c:v>4.9965065337496263E-2</c:v>
                </c:pt>
                <c:pt idx="38">
                  <c:v>4.9960423161874358E-2</c:v>
                </c:pt>
                <c:pt idx="39">
                  <c:v>4.9973898465538638E-2</c:v>
                </c:pt>
                <c:pt idx="40">
                  <c:v>4.9992612006209414E-2</c:v>
                </c:pt>
                <c:pt idx="41">
                  <c:v>4.9967742580478258E-2</c:v>
                </c:pt>
                <c:pt idx="42">
                  <c:v>4.9963364438895486E-2</c:v>
                </c:pt>
                <c:pt idx="43">
                  <c:v>4.9975781288927677E-2</c:v>
                </c:pt>
                <c:pt idx="44">
                  <c:v>4.999312960056819E-2</c:v>
                </c:pt>
                <c:pt idx="45">
                  <c:v>4.9969936786199785E-2</c:v>
                </c:pt>
                <c:pt idx="46">
                  <c:v>4.9965786072669327E-2</c:v>
                </c:pt>
                <c:pt idx="47">
                  <c:v>4.9978084342686427E-2</c:v>
                </c:pt>
                <c:pt idx="48">
                  <c:v>4.9994314045804712E-2</c:v>
                </c:pt>
                <c:pt idx="49">
                  <c:v>4.9972506836444497E-2</c:v>
                </c:pt>
                <c:pt idx="50">
                  <c:v>4.9967567839578848E-2</c:v>
                </c:pt>
                <c:pt idx="51">
                  <c:v>4.9979347943782428E-2</c:v>
                </c:pt>
                <c:pt idx="52">
                  <c:v>4.9994633539580224E-2</c:v>
                </c:pt>
                <c:pt idx="53">
                  <c:v>4.9974011812553454E-2</c:v>
                </c:pt>
                <c:pt idx="54">
                  <c:v>4.9969298505160686E-2</c:v>
                </c:pt>
                <c:pt idx="55">
                  <c:v>4.9980422955790631E-2</c:v>
                </c:pt>
                <c:pt idx="56">
                  <c:v>4.9994906134179062E-2</c:v>
                </c:pt>
                <c:pt idx="57">
                  <c:v>4.997529953064335E-2</c:v>
                </c:pt>
                <c:pt idx="58">
                  <c:v>4.9970783341287857E-2</c:v>
                </c:pt>
                <c:pt idx="59">
                  <c:v>4.9981347642161396E-2</c:v>
                </c:pt>
                <c:pt idx="60">
                  <c:v>4.9995141189443974E-2</c:v>
                </c:pt>
                <c:pt idx="61">
                  <c:v>4.9976412632679865E-2</c:v>
                </c:pt>
                <c:pt idx="62">
                  <c:v>4.9972069822365968E-2</c:v>
                </c:pt>
                <c:pt idx="63">
                  <c:v>4.9982523010446457E-2</c:v>
                </c:pt>
                <c:pt idx="64">
                  <c:v>4.9994807317381124E-2</c:v>
                </c:pt>
                <c:pt idx="65">
                  <c:v>4.997716527689737E-2</c:v>
                </c:pt>
                <c:pt idx="66">
                  <c:v>4.9973548313188461E-2</c:v>
                </c:pt>
                <c:pt idx="67">
                  <c:v>4.9983210979060284E-2</c:v>
                </c:pt>
                <c:pt idx="68">
                  <c:v>4.9995007382807002E-2</c:v>
                </c:pt>
                <c:pt idx="69">
                  <c:v>4.9978026057426954E-2</c:v>
                </c:pt>
                <c:pt idx="70">
                  <c:v>4.997452435650198E-2</c:v>
                </c:pt>
                <c:pt idx="71">
                  <c:v>4.998381765147792E-2</c:v>
                </c:pt>
                <c:pt idx="72">
                  <c:v>4.9995184095926133E-2</c:v>
                </c:pt>
                <c:pt idx="73">
                  <c:v>4.997878760509035E-2</c:v>
                </c:pt>
                <c:pt idx="74">
                  <c:v>4.9975389228137539E-2</c:v>
                </c:pt>
                <c:pt idx="75">
                  <c:v>4.9984356028596487E-2</c:v>
                </c:pt>
                <c:pt idx="76">
                  <c:v>4.9995341143264801E-2</c:v>
                </c:pt>
                <c:pt idx="77">
                  <c:v>4.9979465381493247E-2</c:v>
                </c:pt>
                <c:pt idx="78">
                  <c:v>4.997616003024323E-2</c:v>
                </c:pt>
                <c:pt idx="79">
                  <c:v>4.9985191177254314E-2</c:v>
                </c:pt>
                <c:pt idx="80">
                  <c:v>4.9995029254991705E-2</c:v>
                </c:pt>
                <c:pt idx="81">
                  <c:v>4.9979896343336369E-2</c:v>
                </c:pt>
                <c:pt idx="82">
                  <c:v>4.9976928907991755E-2</c:v>
                </c:pt>
                <c:pt idx="83">
                  <c:v>4.9985611843315424E-2</c:v>
                </c:pt>
                <c:pt idx="84">
                  <c:v>4.999516781638267E-2</c:v>
                </c:pt>
                <c:pt idx="85">
                  <c:v>4.9980446067483496E-2</c:v>
                </c:pt>
                <c:pt idx="86">
                  <c:v>4.9977547984505051E-2</c:v>
                </c:pt>
                <c:pt idx="87">
                  <c:v>4.9985990843675485E-2</c:v>
                </c:pt>
                <c:pt idx="88">
                  <c:v>4.9995292783464047E-2</c:v>
                </c:pt>
                <c:pt idx="89">
                  <c:v>4.9980942373196668E-2</c:v>
                </c:pt>
                <c:pt idx="90">
                  <c:v>4.9978107462462562E-2</c:v>
                </c:pt>
                <c:pt idx="91">
                  <c:v>4.9986333687639446E-2</c:v>
                </c:pt>
                <c:pt idx="92">
                  <c:v>4.9995405934893537E-2</c:v>
                </c:pt>
                <c:pt idx="93">
                  <c:v>4.9981392175287444E-2</c:v>
                </c:pt>
                <c:pt idx="94">
                  <c:v>4.9978614976524241E-2</c:v>
                </c:pt>
                <c:pt idx="95">
                  <c:v>4.9986852142374714E-2</c:v>
                </c:pt>
                <c:pt idx="96">
                  <c:v>4.9994618629373891E-2</c:v>
                </c:pt>
                <c:pt idx="97">
                  <c:v>4.9981288859722806E-2</c:v>
                </c:pt>
                <c:pt idx="98">
                  <c:v>4.9978747945344348E-2</c:v>
                </c:pt>
                <c:pt idx="99">
                  <c:v>4.9987131183895327E-2</c:v>
                </c:pt>
                <c:pt idx="100">
                  <c:v>4.9994730894718981E-2</c:v>
                </c:pt>
                <c:pt idx="101">
                  <c:v>4.9981672435154917E-2</c:v>
                </c:pt>
                <c:pt idx="102">
                  <c:v>4.9979176176540754E-2</c:v>
                </c:pt>
                <c:pt idx="103">
                  <c:v>4.99873861441026E-2</c:v>
                </c:pt>
                <c:pt idx="104">
                  <c:v>4.9994833544077869E-2</c:v>
                </c:pt>
                <c:pt idx="105">
                  <c:v>4.9982023404095875E-2</c:v>
                </c:pt>
                <c:pt idx="106">
                  <c:v>4.9979568273208687E-2</c:v>
                </c:pt>
                <c:pt idx="107">
                  <c:v>4.998761974478505E-2</c:v>
                </c:pt>
                <c:pt idx="108">
                  <c:v>4.9994927654749374E-2</c:v>
                </c:pt>
                <c:pt idx="109">
                  <c:v>4.9982345387007424E-2</c:v>
                </c:pt>
                <c:pt idx="110">
                  <c:v>4.9979928212640481E-2</c:v>
                </c:pt>
                <c:pt idx="111">
                  <c:v>4.9988204739978948E-2</c:v>
                </c:pt>
                <c:pt idx="112">
                  <c:v>4.9995033540974329E-2</c:v>
                </c:pt>
                <c:pt idx="113">
                  <c:v>4.9982773000378143E-2</c:v>
                </c:pt>
                <c:pt idx="114">
                  <c:v>4.9980688739055368E-2</c:v>
                </c:pt>
                <c:pt idx="115">
                  <c:v>4.9988396209267184E-2</c:v>
                </c:pt>
                <c:pt idx="116">
                  <c:v>4.9995112881137754E-2</c:v>
                </c:pt>
                <c:pt idx="117">
                  <c:v>4.9983043754171168E-2</c:v>
                </c:pt>
                <c:pt idx="118">
                  <c:v>4.9980987420265882E-2</c:v>
                </c:pt>
                <c:pt idx="119">
                  <c:v>4.9988572869777738E-2</c:v>
                </c:pt>
                <c:pt idx="120">
                  <c:v>4.9995186121761764E-2</c:v>
                </c:pt>
                <c:pt idx="121">
                  <c:v>4.9983293819099425E-2</c:v>
                </c:pt>
                <c:pt idx="122">
                  <c:v>4.9981263413505131E-2</c:v>
                </c:pt>
                <c:pt idx="123">
                  <c:v>4.9988736188386798E-2</c:v>
                </c:pt>
                <c:pt idx="124">
                  <c:v>4.9995253862534714E-2</c:v>
                </c:pt>
                <c:pt idx="125">
                  <c:v>4.9983525213884834E-2</c:v>
                </c:pt>
                <c:pt idx="126">
                  <c:v>4.9981518916227499E-2</c:v>
                </c:pt>
                <c:pt idx="127">
                  <c:v>4.998916429468938E-2</c:v>
                </c:pt>
                <c:pt idx="128">
                  <c:v>4.9994971814300043E-2</c:v>
                </c:pt>
                <c:pt idx="129">
                  <c:v>4.9983611218518555E-2</c:v>
                </c:pt>
                <c:pt idx="130">
                  <c:v>4.9981814670508169E-2</c:v>
                </c:pt>
                <c:pt idx="131">
                  <c:v>4.9989301080582638E-2</c:v>
                </c:pt>
                <c:pt idx="132">
                  <c:v>4.999503433449979E-2</c:v>
                </c:pt>
                <c:pt idx="133">
                  <c:v>4.9983811875095319E-2</c:v>
                </c:pt>
                <c:pt idx="134">
                  <c:v>4.9982033964810949E-2</c:v>
                </c:pt>
                <c:pt idx="135">
                  <c:v>4.9989428180296919E-2</c:v>
                </c:pt>
                <c:pt idx="136">
                  <c:v>4.9995092449008384E-2</c:v>
                </c:pt>
                <c:pt idx="137">
                  <c:v>4.9983998461151563E-2</c:v>
                </c:pt>
                <c:pt idx="138">
                  <c:v>4.9982237955260606E-2</c:v>
                </c:pt>
                <c:pt idx="139">
                  <c:v>4.9989546451522253E-2</c:v>
                </c:pt>
                <c:pt idx="140">
                  <c:v>4.9995146545459612E-2</c:v>
                </c:pt>
                <c:pt idx="141">
                  <c:v>4.9984172206709247E-2</c:v>
                </c:pt>
                <c:pt idx="142">
                  <c:v>4.9982427971270796E-2</c:v>
                </c:pt>
                <c:pt idx="143">
                  <c:v>4.9989797965661324E-2</c:v>
                </c:pt>
                <c:pt idx="144">
                  <c:v>4.9994120327597917E-2</c:v>
                </c:pt>
                <c:pt idx="145">
                  <c:v>4.9983675789538148E-2</c:v>
                </c:pt>
                <c:pt idx="146">
                  <c:v>4.9982686757732812E-2</c:v>
                </c:pt>
                <c:pt idx="147">
                  <c:v>4.9989899346556343E-2</c:v>
                </c:pt>
                <c:pt idx="148">
                  <c:v>4.9994177913600425E-2</c:v>
                </c:pt>
                <c:pt idx="149">
                  <c:v>4.9983833325078962E-2</c:v>
                </c:pt>
                <c:pt idx="150">
                  <c:v>4.998285142358791E-2</c:v>
                </c:pt>
                <c:pt idx="151">
                  <c:v>4.9989994044080853E-2</c:v>
                </c:pt>
                <c:pt idx="152">
                  <c:v>4.9994231718392575E-2</c:v>
                </c:pt>
                <c:pt idx="153">
                  <c:v>4.9983980557838682E-2</c:v>
                </c:pt>
                <c:pt idx="154">
                  <c:v>4.9983005362268441E-2</c:v>
                </c:pt>
                <c:pt idx="155">
                  <c:v>4.9990082595976537E-2</c:v>
                </c:pt>
                <c:pt idx="156">
                  <c:v>4.9994282044550961E-2</c:v>
                </c:pt>
                <c:pt idx="157">
                  <c:v>4.9984118307717325E-2</c:v>
                </c:pt>
                <c:pt idx="158">
                  <c:v>4.9983149422851515E-2</c:v>
                </c:pt>
                <c:pt idx="159">
                  <c:v>4.9990534309244265E-2</c:v>
                </c:pt>
                <c:pt idx="160">
                  <c:v>4.9994710953980434E-2</c:v>
                </c:pt>
                <c:pt idx="161">
                  <c:v>4.9984624014483149E-2</c:v>
                </c:pt>
                <c:pt idx="162">
                  <c:v>4.99831864468019E-2</c:v>
                </c:pt>
                <c:pt idx="163">
                  <c:v>4.9990609038633373E-2</c:v>
                </c:pt>
                <c:pt idx="164">
                  <c:v>4.9994752128110269E-2</c:v>
                </c:pt>
                <c:pt idx="165">
                  <c:v>4.9984742015752898E-2</c:v>
                </c:pt>
                <c:pt idx="166">
                  <c:v>4.9983313675726233E-2</c:v>
                </c:pt>
                <c:pt idx="167">
                  <c:v>4.9990679120668763E-2</c:v>
                </c:pt>
                <c:pt idx="168">
                  <c:v>4.9994790749952819E-2</c:v>
                </c:pt>
                <c:pt idx="169">
                  <c:v>4.9984852726273739E-2</c:v>
                </c:pt>
                <c:pt idx="170">
                  <c:v>4.9983433068797142E-2</c:v>
                </c:pt>
                <c:pt idx="171">
                  <c:v>4.9990744899851912E-2</c:v>
                </c:pt>
                <c:pt idx="172">
                  <c:v>4.9994827007822769E-2</c:v>
                </c:pt>
                <c:pt idx="173">
                  <c:v>4.998495668144181E-2</c:v>
                </c:pt>
                <c:pt idx="174">
                  <c:v>4.9983545198787456E-2</c:v>
                </c:pt>
                <c:pt idx="175">
                  <c:v>4.9991053169126144E-2</c:v>
                </c:pt>
                <c:pt idx="176">
                  <c:v>4.9994554287849803E-2</c:v>
                </c:pt>
                <c:pt idx="177">
                  <c:v>4.998494043416931E-2</c:v>
                </c:pt>
                <c:pt idx="178">
                  <c:v>4.9983876675460254E-2</c:v>
                </c:pt>
                <c:pt idx="179">
                  <c:v>4.9991109679726232E-2</c:v>
                </c:pt>
                <c:pt idx="180">
                  <c:v>4.999458821782448E-2</c:v>
                </c:pt>
                <c:pt idx="181">
                  <c:v>4.9985032969012341E-2</c:v>
                </c:pt>
                <c:pt idx="182">
                  <c:v>4.9983974397868162E-2</c:v>
                </c:pt>
                <c:pt idx="183">
                  <c:v>4.9991162839623016E-2</c:v>
                </c:pt>
                <c:pt idx="184">
                  <c:v>4.999462014131878E-2</c:v>
                </c:pt>
                <c:pt idx="185">
                  <c:v>4.9985120046345692E-2</c:v>
                </c:pt>
                <c:pt idx="186">
                  <c:v>4.9984066371840191E-2</c:v>
                </c:pt>
                <c:pt idx="187">
                  <c:v>4.999121288039042E-2</c:v>
                </c:pt>
                <c:pt idx="188">
                  <c:v>4.9994650196451496E-2</c:v>
                </c:pt>
                <c:pt idx="189">
                  <c:v>4.9985202040332417E-2</c:v>
                </c:pt>
                <c:pt idx="190">
                  <c:v>4.9984152989933771E-2</c:v>
                </c:pt>
                <c:pt idx="191">
                  <c:v>4.999152422299491E-2</c:v>
                </c:pt>
                <c:pt idx="192">
                  <c:v>4.9994390998942734E-2</c:v>
                </c:pt>
                <c:pt idx="193">
                  <c:v>4.9985179901163634E-2</c:v>
                </c:pt>
                <c:pt idx="194">
                  <c:v>4.998431023397612E-2</c:v>
                </c:pt>
                <c:pt idx="195">
                  <c:v>4.9991567289137333E-2</c:v>
                </c:pt>
                <c:pt idx="196">
                  <c:v>4.9994419120191841E-2</c:v>
                </c:pt>
                <c:pt idx="197">
                  <c:v>4.9985253199741057E-2</c:v>
                </c:pt>
                <c:pt idx="198">
                  <c:v>4.9984386799877989E-2</c:v>
                </c:pt>
                <c:pt idx="199">
                  <c:v>4.9991607899589299E-2</c:v>
                </c:pt>
                <c:pt idx="200">
                  <c:v>4.9994445641424162E-2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test!$C$1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cat>
            <c:numRef>
              <c:f>test!$A$2:$A$202</c:f>
              <c:numCache>
                <c:formatCode>yyyy-m-d</c:formatCode>
                <c:ptCount val="201"/>
                <c:pt idx="0">
                  <c:v>41138</c:v>
                </c:pt>
                <c:pt idx="1">
                  <c:v>41232</c:v>
                </c:pt>
                <c:pt idx="2">
                  <c:v>41324</c:v>
                </c:pt>
                <c:pt idx="3">
                  <c:v>41414</c:v>
                </c:pt>
                <c:pt idx="4">
                  <c:v>41506</c:v>
                </c:pt>
                <c:pt idx="5">
                  <c:v>41598</c:v>
                </c:pt>
                <c:pt idx="6">
                  <c:v>41690</c:v>
                </c:pt>
                <c:pt idx="7">
                  <c:v>41779</c:v>
                </c:pt>
                <c:pt idx="8">
                  <c:v>41871</c:v>
                </c:pt>
                <c:pt idx="9">
                  <c:v>41963</c:v>
                </c:pt>
                <c:pt idx="10">
                  <c:v>42055</c:v>
                </c:pt>
                <c:pt idx="11">
                  <c:v>42144</c:v>
                </c:pt>
                <c:pt idx="12">
                  <c:v>42236</c:v>
                </c:pt>
                <c:pt idx="13">
                  <c:v>42328</c:v>
                </c:pt>
                <c:pt idx="14">
                  <c:v>42422</c:v>
                </c:pt>
                <c:pt idx="15">
                  <c:v>42513</c:v>
                </c:pt>
                <c:pt idx="16">
                  <c:v>42605</c:v>
                </c:pt>
                <c:pt idx="17">
                  <c:v>42697</c:v>
                </c:pt>
                <c:pt idx="18">
                  <c:v>42789</c:v>
                </c:pt>
                <c:pt idx="19">
                  <c:v>42878</c:v>
                </c:pt>
                <c:pt idx="20">
                  <c:v>42970</c:v>
                </c:pt>
                <c:pt idx="21">
                  <c:v>43062</c:v>
                </c:pt>
                <c:pt idx="22">
                  <c:v>43154</c:v>
                </c:pt>
                <c:pt idx="23">
                  <c:v>43243</c:v>
                </c:pt>
                <c:pt idx="24">
                  <c:v>43335</c:v>
                </c:pt>
                <c:pt idx="25">
                  <c:v>43427</c:v>
                </c:pt>
                <c:pt idx="26">
                  <c:v>43521</c:v>
                </c:pt>
                <c:pt idx="27">
                  <c:v>43612</c:v>
                </c:pt>
                <c:pt idx="28">
                  <c:v>43704</c:v>
                </c:pt>
                <c:pt idx="29">
                  <c:v>43796</c:v>
                </c:pt>
                <c:pt idx="30">
                  <c:v>43888</c:v>
                </c:pt>
                <c:pt idx="31">
                  <c:v>43978</c:v>
                </c:pt>
                <c:pt idx="32">
                  <c:v>44070</c:v>
                </c:pt>
                <c:pt idx="33">
                  <c:v>44162</c:v>
                </c:pt>
                <c:pt idx="34">
                  <c:v>44256</c:v>
                </c:pt>
                <c:pt idx="35">
                  <c:v>44348</c:v>
                </c:pt>
                <c:pt idx="36">
                  <c:v>44440</c:v>
                </c:pt>
                <c:pt idx="37">
                  <c:v>44531</c:v>
                </c:pt>
                <c:pt idx="38">
                  <c:v>44621</c:v>
                </c:pt>
                <c:pt idx="39">
                  <c:v>44713</c:v>
                </c:pt>
                <c:pt idx="40">
                  <c:v>44805</c:v>
                </c:pt>
                <c:pt idx="41">
                  <c:v>44896</c:v>
                </c:pt>
                <c:pt idx="42">
                  <c:v>44986</c:v>
                </c:pt>
                <c:pt idx="43">
                  <c:v>45078</c:v>
                </c:pt>
                <c:pt idx="44">
                  <c:v>45170</c:v>
                </c:pt>
                <c:pt idx="45">
                  <c:v>45261</c:v>
                </c:pt>
                <c:pt idx="46">
                  <c:v>45352</c:v>
                </c:pt>
                <c:pt idx="47">
                  <c:v>45446</c:v>
                </c:pt>
                <c:pt idx="48">
                  <c:v>45538</c:v>
                </c:pt>
                <c:pt idx="49">
                  <c:v>45629</c:v>
                </c:pt>
                <c:pt idx="50">
                  <c:v>45719</c:v>
                </c:pt>
                <c:pt idx="51">
                  <c:v>45811</c:v>
                </c:pt>
                <c:pt idx="52">
                  <c:v>45903</c:v>
                </c:pt>
                <c:pt idx="53">
                  <c:v>45994</c:v>
                </c:pt>
                <c:pt idx="54">
                  <c:v>46084</c:v>
                </c:pt>
                <c:pt idx="55">
                  <c:v>46176</c:v>
                </c:pt>
                <c:pt idx="56">
                  <c:v>46268</c:v>
                </c:pt>
                <c:pt idx="57">
                  <c:v>46359</c:v>
                </c:pt>
                <c:pt idx="58">
                  <c:v>46449</c:v>
                </c:pt>
                <c:pt idx="59">
                  <c:v>46541</c:v>
                </c:pt>
                <c:pt idx="60">
                  <c:v>46633</c:v>
                </c:pt>
                <c:pt idx="61">
                  <c:v>46724</c:v>
                </c:pt>
                <c:pt idx="62">
                  <c:v>46815</c:v>
                </c:pt>
                <c:pt idx="63">
                  <c:v>46909</c:v>
                </c:pt>
                <c:pt idx="64">
                  <c:v>47001</c:v>
                </c:pt>
                <c:pt idx="65">
                  <c:v>47092</c:v>
                </c:pt>
                <c:pt idx="66">
                  <c:v>47182</c:v>
                </c:pt>
                <c:pt idx="67">
                  <c:v>47274</c:v>
                </c:pt>
                <c:pt idx="68">
                  <c:v>47366</c:v>
                </c:pt>
                <c:pt idx="69">
                  <c:v>47457</c:v>
                </c:pt>
                <c:pt idx="70">
                  <c:v>47547</c:v>
                </c:pt>
                <c:pt idx="71">
                  <c:v>47639</c:v>
                </c:pt>
                <c:pt idx="72">
                  <c:v>47731</c:v>
                </c:pt>
                <c:pt idx="73">
                  <c:v>47822</c:v>
                </c:pt>
                <c:pt idx="74">
                  <c:v>47912</c:v>
                </c:pt>
                <c:pt idx="75">
                  <c:v>48004</c:v>
                </c:pt>
                <c:pt idx="76">
                  <c:v>48096</c:v>
                </c:pt>
                <c:pt idx="77">
                  <c:v>48187</c:v>
                </c:pt>
                <c:pt idx="78">
                  <c:v>48278</c:v>
                </c:pt>
                <c:pt idx="79">
                  <c:v>48372</c:v>
                </c:pt>
                <c:pt idx="80">
                  <c:v>48464</c:v>
                </c:pt>
                <c:pt idx="81">
                  <c:v>48555</c:v>
                </c:pt>
                <c:pt idx="82">
                  <c:v>48645</c:v>
                </c:pt>
                <c:pt idx="83">
                  <c:v>48737</c:v>
                </c:pt>
                <c:pt idx="84">
                  <c:v>48829</c:v>
                </c:pt>
                <c:pt idx="85">
                  <c:v>48920</c:v>
                </c:pt>
                <c:pt idx="86">
                  <c:v>49010</c:v>
                </c:pt>
                <c:pt idx="87">
                  <c:v>49102</c:v>
                </c:pt>
                <c:pt idx="88">
                  <c:v>49194</c:v>
                </c:pt>
                <c:pt idx="89">
                  <c:v>49285</c:v>
                </c:pt>
                <c:pt idx="90">
                  <c:v>49375</c:v>
                </c:pt>
                <c:pt idx="91">
                  <c:v>49467</c:v>
                </c:pt>
                <c:pt idx="92">
                  <c:v>49559</c:v>
                </c:pt>
                <c:pt idx="93">
                  <c:v>49650</c:v>
                </c:pt>
                <c:pt idx="94">
                  <c:v>49741</c:v>
                </c:pt>
                <c:pt idx="95">
                  <c:v>49835</c:v>
                </c:pt>
                <c:pt idx="96">
                  <c:v>49927</c:v>
                </c:pt>
                <c:pt idx="97">
                  <c:v>50018</c:v>
                </c:pt>
                <c:pt idx="98">
                  <c:v>50108</c:v>
                </c:pt>
                <c:pt idx="99">
                  <c:v>50200</c:v>
                </c:pt>
                <c:pt idx="100">
                  <c:v>50292</c:v>
                </c:pt>
                <c:pt idx="101">
                  <c:v>50383</c:v>
                </c:pt>
                <c:pt idx="102">
                  <c:v>50473</c:v>
                </c:pt>
                <c:pt idx="103">
                  <c:v>50565</c:v>
                </c:pt>
                <c:pt idx="104">
                  <c:v>50657</c:v>
                </c:pt>
                <c:pt idx="105">
                  <c:v>50748</c:v>
                </c:pt>
                <c:pt idx="106">
                  <c:v>50838</c:v>
                </c:pt>
                <c:pt idx="107">
                  <c:v>50930</c:v>
                </c:pt>
                <c:pt idx="108">
                  <c:v>51022</c:v>
                </c:pt>
                <c:pt idx="109">
                  <c:v>51113</c:v>
                </c:pt>
                <c:pt idx="110">
                  <c:v>51204</c:v>
                </c:pt>
                <c:pt idx="111">
                  <c:v>51298</c:v>
                </c:pt>
                <c:pt idx="112">
                  <c:v>51390</c:v>
                </c:pt>
                <c:pt idx="113">
                  <c:v>51481</c:v>
                </c:pt>
                <c:pt idx="114">
                  <c:v>51571</c:v>
                </c:pt>
                <c:pt idx="115">
                  <c:v>51663</c:v>
                </c:pt>
                <c:pt idx="116">
                  <c:v>51755</c:v>
                </c:pt>
                <c:pt idx="117">
                  <c:v>51846</c:v>
                </c:pt>
                <c:pt idx="118">
                  <c:v>51936</c:v>
                </c:pt>
                <c:pt idx="119">
                  <c:v>52028</c:v>
                </c:pt>
                <c:pt idx="120">
                  <c:v>52120</c:v>
                </c:pt>
                <c:pt idx="121">
                  <c:v>52211</c:v>
                </c:pt>
                <c:pt idx="122">
                  <c:v>52301</c:v>
                </c:pt>
                <c:pt idx="123">
                  <c:v>52393</c:v>
                </c:pt>
                <c:pt idx="124">
                  <c:v>52485</c:v>
                </c:pt>
                <c:pt idx="125">
                  <c:v>52576</c:v>
                </c:pt>
                <c:pt idx="126">
                  <c:v>52667</c:v>
                </c:pt>
                <c:pt idx="127">
                  <c:v>52761</c:v>
                </c:pt>
                <c:pt idx="128">
                  <c:v>52853</c:v>
                </c:pt>
                <c:pt idx="129">
                  <c:v>52944</c:v>
                </c:pt>
                <c:pt idx="130">
                  <c:v>53034</c:v>
                </c:pt>
                <c:pt idx="131">
                  <c:v>53126</c:v>
                </c:pt>
                <c:pt idx="132">
                  <c:v>53218</c:v>
                </c:pt>
                <c:pt idx="133">
                  <c:v>53309</c:v>
                </c:pt>
                <c:pt idx="134">
                  <c:v>53399</c:v>
                </c:pt>
                <c:pt idx="135">
                  <c:v>53491</c:v>
                </c:pt>
                <c:pt idx="136">
                  <c:v>53583</c:v>
                </c:pt>
                <c:pt idx="137">
                  <c:v>53674</c:v>
                </c:pt>
                <c:pt idx="138">
                  <c:v>53764</c:v>
                </c:pt>
                <c:pt idx="139">
                  <c:v>53856</c:v>
                </c:pt>
                <c:pt idx="140">
                  <c:v>53948</c:v>
                </c:pt>
                <c:pt idx="141">
                  <c:v>54039</c:v>
                </c:pt>
                <c:pt idx="142">
                  <c:v>54130</c:v>
                </c:pt>
                <c:pt idx="143">
                  <c:v>54224</c:v>
                </c:pt>
                <c:pt idx="144">
                  <c:v>54316</c:v>
                </c:pt>
                <c:pt idx="145">
                  <c:v>54407</c:v>
                </c:pt>
                <c:pt idx="146">
                  <c:v>54497</c:v>
                </c:pt>
                <c:pt idx="147">
                  <c:v>54589</c:v>
                </c:pt>
                <c:pt idx="148">
                  <c:v>54681</c:v>
                </c:pt>
                <c:pt idx="149">
                  <c:v>54772</c:v>
                </c:pt>
                <c:pt idx="150">
                  <c:v>54862</c:v>
                </c:pt>
                <c:pt idx="151">
                  <c:v>54954</c:v>
                </c:pt>
                <c:pt idx="152">
                  <c:v>55046</c:v>
                </c:pt>
                <c:pt idx="153">
                  <c:v>55137</c:v>
                </c:pt>
                <c:pt idx="154">
                  <c:v>55227</c:v>
                </c:pt>
                <c:pt idx="155">
                  <c:v>55319</c:v>
                </c:pt>
                <c:pt idx="156">
                  <c:v>55411</c:v>
                </c:pt>
                <c:pt idx="157">
                  <c:v>55502</c:v>
                </c:pt>
                <c:pt idx="158">
                  <c:v>55593</c:v>
                </c:pt>
                <c:pt idx="159">
                  <c:v>55687</c:v>
                </c:pt>
                <c:pt idx="160">
                  <c:v>55779</c:v>
                </c:pt>
                <c:pt idx="161">
                  <c:v>55870</c:v>
                </c:pt>
                <c:pt idx="162">
                  <c:v>55960</c:v>
                </c:pt>
                <c:pt idx="163">
                  <c:v>56052</c:v>
                </c:pt>
                <c:pt idx="164">
                  <c:v>56144</c:v>
                </c:pt>
                <c:pt idx="165">
                  <c:v>56235</c:v>
                </c:pt>
                <c:pt idx="166">
                  <c:v>56325</c:v>
                </c:pt>
                <c:pt idx="167">
                  <c:v>56417</c:v>
                </c:pt>
                <c:pt idx="168">
                  <c:v>56509</c:v>
                </c:pt>
                <c:pt idx="169">
                  <c:v>56600</c:v>
                </c:pt>
                <c:pt idx="170">
                  <c:v>56690</c:v>
                </c:pt>
                <c:pt idx="171">
                  <c:v>56782</c:v>
                </c:pt>
                <c:pt idx="172">
                  <c:v>56874</c:v>
                </c:pt>
                <c:pt idx="173">
                  <c:v>56965</c:v>
                </c:pt>
                <c:pt idx="174">
                  <c:v>57056</c:v>
                </c:pt>
                <c:pt idx="175">
                  <c:v>57150</c:v>
                </c:pt>
                <c:pt idx="176">
                  <c:v>57242</c:v>
                </c:pt>
                <c:pt idx="177">
                  <c:v>57333</c:v>
                </c:pt>
                <c:pt idx="178">
                  <c:v>57423</c:v>
                </c:pt>
                <c:pt idx="179">
                  <c:v>57515</c:v>
                </c:pt>
                <c:pt idx="180">
                  <c:v>57607</c:v>
                </c:pt>
                <c:pt idx="181">
                  <c:v>57698</c:v>
                </c:pt>
                <c:pt idx="182">
                  <c:v>57788</c:v>
                </c:pt>
                <c:pt idx="183">
                  <c:v>57880</c:v>
                </c:pt>
                <c:pt idx="184">
                  <c:v>57972</c:v>
                </c:pt>
                <c:pt idx="185">
                  <c:v>58063</c:v>
                </c:pt>
                <c:pt idx="186">
                  <c:v>58153</c:v>
                </c:pt>
                <c:pt idx="187">
                  <c:v>58245</c:v>
                </c:pt>
                <c:pt idx="188">
                  <c:v>58337</c:v>
                </c:pt>
                <c:pt idx="189">
                  <c:v>58428</c:v>
                </c:pt>
                <c:pt idx="190">
                  <c:v>58519</c:v>
                </c:pt>
                <c:pt idx="191">
                  <c:v>58613</c:v>
                </c:pt>
                <c:pt idx="192">
                  <c:v>58705</c:v>
                </c:pt>
                <c:pt idx="193">
                  <c:v>58796</c:v>
                </c:pt>
                <c:pt idx="194">
                  <c:v>58886</c:v>
                </c:pt>
                <c:pt idx="195">
                  <c:v>58978</c:v>
                </c:pt>
                <c:pt idx="196">
                  <c:v>59070</c:v>
                </c:pt>
                <c:pt idx="197">
                  <c:v>59161</c:v>
                </c:pt>
                <c:pt idx="198">
                  <c:v>59251</c:v>
                </c:pt>
                <c:pt idx="199">
                  <c:v>59343</c:v>
                </c:pt>
                <c:pt idx="200">
                  <c:v>59435</c:v>
                </c:pt>
              </c:numCache>
            </c:numRef>
          </c:cat>
          <c:val>
            <c:numRef>
              <c:f>test!$C$2:$C$202</c:f>
              <c:numCache>
                <c:formatCode>G/通用格式</c:formatCode>
                <c:ptCount val="201"/>
                <c:pt idx="0">
                  <c:v>4.9095604781046007E-2</c:v>
                </c:pt>
                <c:pt idx="1">
                  <c:v>4.9351039563654706E-2</c:v>
                </c:pt>
                <c:pt idx="2">
                  <c:v>4.9902309558821162E-2</c:v>
                </c:pt>
                <c:pt idx="3">
                  <c:v>5.0453998427645579E-2</c:v>
                </c:pt>
                <c:pt idx="4">
                  <c:v>5.0989591808261472E-2</c:v>
                </c:pt>
                <c:pt idx="5">
                  <c:v>5.055568336887422E-2</c:v>
                </c:pt>
                <c:pt idx="6">
                  <c:v>5.0287170592369229E-2</c:v>
                </c:pt>
                <c:pt idx="7">
                  <c:v>5.0120841849781668E-2</c:v>
                </c:pt>
                <c:pt idx="8">
                  <c:v>4.9994646322111549E-2</c:v>
                </c:pt>
                <c:pt idx="9">
                  <c:v>4.9890083892058353E-2</c:v>
                </c:pt>
                <c:pt idx="10">
                  <c:v>4.987123605799787E-2</c:v>
                </c:pt>
                <c:pt idx="11">
                  <c:v>4.9914251401490327E-2</c:v>
                </c:pt>
                <c:pt idx="12">
                  <c:v>4.9996339373731269E-2</c:v>
                </c:pt>
                <c:pt idx="13">
                  <c:v>4.9921929297289232E-2</c:v>
                </c:pt>
                <c:pt idx="14">
                  <c:v>4.9906013211564008E-2</c:v>
                </c:pt>
                <c:pt idx="15">
                  <c:v>4.9937311436353153E-2</c:v>
                </c:pt>
                <c:pt idx="16">
                  <c:v>4.9994569235313605E-2</c:v>
                </c:pt>
                <c:pt idx="17">
                  <c:v>4.9937810135054606E-2</c:v>
                </c:pt>
                <c:pt idx="18">
                  <c:v>4.9923529019879648E-2</c:v>
                </c:pt>
                <c:pt idx="19">
                  <c:v>4.9949270328347811E-2</c:v>
                </c:pt>
                <c:pt idx="20">
                  <c:v>4.999554830006428E-2</c:v>
                </c:pt>
                <c:pt idx="21">
                  <c:v>4.994841195727745E-2</c:v>
                </c:pt>
                <c:pt idx="22">
                  <c:v>4.9935892568078281E-2</c:v>
                </c:pt>
                <c:pt idx="23">
                  <c:v>4.9957069967986122E-2</c:v>
                </c:pt>
                <c:pt idx="24">
                  <c:v>4.9996200636936362E-2</c:v>
                </c:pt>
                <c:pt idx="25">
                  <c:v>4.9955617737935651E-2</c:v>
                </c:pt>
                <c:pt idx="26">
                  <c:v>4.9945695634951742E-2</c:v>
                </c:pt>
                <c:pt idx="27">
                  <c:v>4.9963897184124098E-2</c:v>
                </c:pt>
                <c:pt idx="28">
                  <c:v>4.9994453636780685E-2</c:v>
                </c:pt>
                <c:pt idx="29">
                  <c:v>4.9959819456683617E-2</c:v>
                </c:pt>
                <c:pt idx="30">
                  <c:v>4.9951889729051478E-2</c:v>
                </c:pt>
                <c:pt idx="31">
                  <c:v>4.9967805934997014E-2</c:v>
                </c:pt>
                <c:pt idx="32">
                  <c:v>4.999503197717655E-2</c:v>
                </c:pt>
                <c:pt idx="33">
                  <c:v>4.9963853846758867E-2</c:v>
                </c:pt>
                <c:pt idx="34">
                  <c:v>4.995677973729467E-2</c:v>
                </c:pt>
                <c:pt idx="35">
                  <c:v>4.997157842252764E-2</c:v>
                </c:pt>
                <c:pt idx="36">
                  <c:v>4.9991977387831781E-2</c:v>
                </c:pt>
                <c:pt idx="37">
                  <c:v>4.9965065337496263E-2</c:v>
                </c:pt>
                <c:pt idx="38">
                  <c:v>4.9960423161874358E-2</c:v>
                </c:pt>
                <c:pt idx="39">
                  <c:v>4.9973898465538638E-2</c:v>
                </c:pt>
                <c:pt idx="40">
                  <c:v>4.9992612006209414E-2</c:v>
                </c:pt>
                <c:pt idx="41">
                  <c:v>4.9967742580478258E-2</c:v>
                </c:pt>
                <c:pt idx="42">
                  <c:v>4.9963364438895486E-2</c:v>
                </c:pt>
                <c:pt idx="43">
                  <c:v>4.9975781288927677E-2</c:v>
                </c:pt>
                <c:pt idx="44">
                  <c:v>4.999312960056819E-2</c:v>
                </c:pt>
                <c:pt idx="45">
                  <c:v>4.9969936786199785E-2</c:v>
                </c:pt>
                <c:pt idx="46">
                  <c:v>4.9965786072669327E-2</c:v>
                </c:pt>
                <c:pt idx="47">
                  <c:v>4.9978084342686427E-2</c:v>
                </c:pt>
                <c:pt idx="48">
                  <c:v>4.9994314045804712E-2</c:v>
                </c:pt>
                <c:pt idx="49">
                  <c:v>4.9972506836444497E-2</c:v>
                </c:pt>
                <c:pt idx="50">
                  <c:v>4.9967567839578848E-2</c:v>
                </c:pt>
                <c:pt idx="51">
                  <c:v>4.9979347943782428E-2</c:v>
                </c:pt>
                <c:pt idx="52">
                  <c:v>4.9994633539580224E-2</c:v>
                </c:pt>
                <c:pt idx="53">
                  <c:v>4.9974011812553454E-2</c:v>
                </c:pt>
                <c:pt idx="54">
                  <c:v>4.9969298505160686E-2</c:v>
                </c:pt>
                <c:pt idx="55">
                  <c:v>4.9980422955790631E-2</c:v>
                </c:pt>
                <c:pt idx="56">
                  <c:v>4.9994906134179062E-2</c:v>
                </c:pt>
                <c:pt idx="57">
                  <c:v>4.997529953064335E-2</c:v>
                </c:pt>
                <c:pt idx="58">
                  <c:v>4.9970783341287857E-2</c:v>
                </c:pt>
                <c:pt idx="59">
                  <c:v>4.9981347642161396E-2</c:v>
                </c:pt>
                <c:pt idx="60">
                  <c:v>4.9995141189443974E-2</c:v>
                </c:pt>
                <c:pt idx="61">
                  <c:v>4.9976412632679865E-2</c:v>
                </c:pt>
                <c:pt idx="62">
                  <c:v>4.9972069822365968E-2</c:v>
                </c:pt>
                <c:pt idx="63">
                  <c:v>4.9982523010446457E-2</c:v>
                </c:pt>
                <c:pt idx="64">
                  <c:v>4.9994807317381124E-2</c:v>
                </c:pt>
                <c:pt idx="65">
                  <c:v>4.997716527689737E-2</c:v>
                </c:pt>
                <c:pt idx="66">
                  <c:v>4.9973548313188461E-2</c:v>
                </c:pt>
                <c:pt idx="67">
                  <c:v>4.9983210979060284E-2</c:v>
                </c:pt>
                <c:pt idx="68">
                  <c:v>4.9995007382807002E-2</c:v>
                </c:pt>
                <c:pt idx="69">
                  <c:v>4.9978026057426954E-2</c:v>
                </c:pt>
                <c:pt idx="70">
                  <c:v>4.997452435650198E-2</c:v>
                </c:pt>
                <c:pt idx="71">
                  <c:v>4.998381765147792E-2</c:v>
                </c:pt>
                <c:pt idx="72">
                  <c:v>4.9995184095926133E-2</c:v>
                </c:pt>
                <c:pt idx="73">
                  <c:v>4.997878760509035E-2</c:v>
                </c:pt>
                <c:pt idx="74">
                  <c:v>4.9975389228137539E-2</c:v>
                </c:pt>
                <c:pt idx="75">
                  <c:v>4.9984356028596487E-2</c:v>
                </c:pt>
                <c:pt idx="76">
                  <c:v>4.9995341143264801E-2</c:v>
                </c:pt>
                <c:pt idx="77">
                  <c:v>4.9979465381493247E-2</c:v>
                </c:pt>
                <c:pt idx="78">
                  <c:v>4.997616003024323E-2</c:v>
                </c:pt>
                <c:pt idx="79">
                  <c:v>4.9985191177254314E-2</c:v>
                </c:pt>
                <c:pt idx="80">
                  <c:v>4.9995029254991705E-2</c:v>
                </c:pt>
                <c:pt idx="81">
                  <c:v>4.9979896343336369E-2</c:v>
                </c:pt>
                <c:pt idx="82">
                  <c:v>4.9976928907991755E-2</c:v>
                </c:pt>
                <c:pt idx="83">
                  <c:v>4.9985611843315424E-2</c:v>
                </c:pt>
                <c:pt idx="84">
                  <c:v>4.999516781638267E-2</c:v>
                </c:pt>
                <c:pt idx="85">
                  <c:v>4.9980446067483496E-2</c:v>
                </c:pt>
                <c:pt idx="86">
                  <c:v>4.9977547984505051E-2</c:v>
                </c:pt>
                <c:pt idx="87">
                  <c:v>4.9985990843675485E-2</c:v>
                </c:pt>
                <c:pt idx="88">
                  <c:v>4.9995292783464047E-2</c:v>
                </c:pt>
                <c:pt idx="89">
                  <c:v>4.9980942373196668E-2</c:v>
                </c:pt>
                <c:pt idx="90">
                  <c:v>4.9978107462462562E-2</c:v>
                </c:pt>
                <c:pt idx="91">
                  <c:v>4.9986333687639446E-2</c:v>
                </c:pt>
                <c:pt idx="92">
                  <c:v>4.9995405934893537E-2</c:v>
                </c:pt>
                <c:pt idx="93">
                  <c:v>4.9981392175287444E-2</c:v>
                </c:pt>
                <c:pt idx="94">
                  <c:v>4.9978614976524241E-2</c:v>
                </c:pt>
                <c:pt idx="95">
                  <c:v>4.9986852142374714E-2</c:v>
                </c:pt>
                <c:pt idx="96">
                  <c:v>4.9994618629373891E-2</c:v>
                </c:pt>
                <c:pt idx="97">
                  <c:v>4.9981288859722806E-2</c:v>
                </c:pt>
                <c:pt idx="98">
                  <c:v>4.9978747945344348E-2</c:v>
                </c:pt>
                <c:pt idx="99">
                  <c:v>4.9987131183895327E-2</c:v>
                </c:pt>
                <c:pt idx="100">
                  <c:v>4.9994730894718981E-2</c:v>
                </c:pt>
                <c:pt idx="101">
                  <c:v>4.9981672435154917E-2</c:v>
                </c:pt>
                <c:pt idx="102">
                  <c:v>4.9979176176540754E-2</c:v>
                </c:pt>
                <c:pt idx="103">
                  <c:v>4.99873861441026E-2</c:v>
                </c:pt>
                <c:pt idx="104">
                  <c:v>4.9994833544077869E-2</c:v>
                </c:pt>
                <c:pt idx="105">
                  <c:v>4.9982023404095875E-2</c:v>
                </c:pt>
                <c:pt idx="106">
                  <c:v>4.9979568273208687E-2</c:v>
                </c:pt>
                <c:pt idx="107">
                  <c:v>4.998761974478505E-2</c:v>
                </c:pt>
                <c:pt idx="108">
                  <c:v>4.9994927654749374E-2</c:v>
                </c:pt>
                <c:pt idx="109">
                  <c:v>4.9982345387007424E-2</c:v>
                </c:pt>
                <c:pt idx="110">
                  <c:v>4.9979928212640481E-2</c:v>
                </c:pt>
                <c:pt idx="111">
                  <c:v>4.9988204739978948E-2</c:v>
                </c:pt>
                <c:pt idx="112">
                  <c:v>4.9995033540974329E-2</c:v>
                </c:pt>
                <c:pt idx="113">
                  <c:v>4.9982773000378143E-2</c:v>
                </c:pt>
                <c:pt idx="114">
                  <c:v>4.9980688739055368E-2</c:v>
                </c:pt>
                <c:pt idx="115">
                  <c:v>4.9988396209267184E-2</c:v>
                </c:pt>
                <c:pt idx="116">
                  <c:v>4.9995112881137754E-2</c:v>
                </c:pt>
                <c:pt idx="117">
                  <c:v>4.9983043754171168E-2</c:v>
                </c:pt>
                <c:pt idx="118">
                  <c:v>4.9980987420265882E-2</c:v>
                </c:pt>
                <c:pt idx="119">
                  <c:v>4.9988572869777738E-2</c:v>
                </c:pt>
                <c:pt idx="120">
                  <c:v>4.9995186121761764E-2</c:v>
                </c:pt>
                <c:pt idx="121">
                  <c:v>4.9983293819099425E-2</c:v>
                </c:pt>
                <c:pt idx="122">
                  <c:v>4.9981263413505131E-2</c:v>
                </c:pt>
                <c:pt idx="123">
                  <c:v>4.9988736188386798E-2</c:v>
                </c:pt>
                <c:pt idx="124">
                  <c:v>4.9995253862534714E-2</c:v>
                </c:pt>
                <c:pt idx="125">
                  <c:v>4.9983525213884834E-2</c:v>
                </c:pt>
                <c:pt idx="126">
                  <c:v>4.9981518916227499E-2</c:v>
                </c:pt>
                <c:pt idx="127">
                  <c:v>4.998916429468938E-2</c:v>
                </c:pt>
                <c:pt idx="128">
                  <c:v>4.9994971814300043E-2</c:v>
                </c:pt>
                <c:pt idx="129">
                  <c:v>4.9983611218518555E-2</c:v>
                </c:pt>
                <c:pt idx="130">
                  <c:v>4.9981814670508169E-2</c:v>
                </c:pt>
                <c:pt idx="131">
                  <c:v>4.9989301080582638E-2</c:v>
                </c:pt>
                <c:pt idx="132">
                  <c:v>4.999503433449979E-2</c:v>
                </c:pt>
                <c:pt idx="133">
                  <c:v>4.9983811875095319E-2</c:v>
                </c:pt>
                <c:pt idx="134">
                  <c:v>4.9982033964810949E-2</c:v>
                </c:pt>
                <c:pt idx="135">
                  <c:v>4.9989428180296919E-2</c:v>
                </c:pt>
                <c:pt idx="136">
                  <c:v>4.9995092449008384E-2</c:v>
                </c:pt>
                <c:pt idx="137">
                  <c:v>4.9983998461151563E-2</c:v>
                </c:pt>
                <c:pt idx="138">
                  <c:v>4.9982237955260606E-2</c:v>
                </c:pt>
                <c:pt idx="139">
                  <c:v>4.9989546451522253E-2</c:v>
                </c:pt>
                <c:pt idx="140">
                  <c:v>4.9995146545459612E-2</c:v>
                </c:pt>
                <c:pt idx="141">
                  <c:v>4.9984172206709247E-2</c:v>
                </c:pt>
                <c:pt idx="142">
                  <c:v>4.9982427971270796E-2</c:v>
                </c:pt>
                <c:pt idx="143">
                  <c:v>4.9989797965661324E-2</c:v>
                </c:pt>
                <c:pt idx="144">
                  <c:v>4.9994120327597917E-2</c:v>
                </c:pt>
                <c:pt idx="145">
                  <c:v>4.9983675789538148E-2</c:v>
                </c:pt>
                <c:pt idx="146">
                  <c:v>4.9982686757732812E-2</c:v>
                </c:pt>
                <c:pt idx="147">
                  <c:v>4.9989899346556343E-2</c:v>
                </c:pt>
                <c:pt idx="148">
                  <c:v>4.9994177913600425E-2</c:v>
                </c:pt>
                <c:pt idx="149">
                  <c:v>4.9983833325078962E-2</c:v>
                </c:pt>
                <c:pt idx="150">
                  <c:v>4.998285142358791E-2</c:v>
                </c:pt>
                <c:pt idx="151">
                  <c:v>4.9989994044080853E-2</c:v>
                </c:pt>
                <c:pt idx="152">
                  <c:v>4.9994231718392575E-2</c:v>
                </c:pt>
                <c:pt idx="153">
                  <c:v>4.9983980557838682E-2</c:v>
                </c:pt>
                <c:pt idx="154">
                  <c:v>4.9983005362268441E-2</c:v>
                </c:pt>
                <c:pt idx="155">
                  <c:v>4.9990082595976537E-2</c:v>
                </c:pt>
                <c:pt idx="156">
                  <c:v>4.9994282044550961E-2</c:v>
                </c:pt>
                <c:pt idx="157">
                  <c:v>4.9984118307717325E-2</c:v>
                </c:pt>
                <c:pt idx="158">
                  <c:v>4.9983149422851515E-2</c:v>
                </c:pt>
                <c:pt idx="159">
                  <c:v>4.9990534309244265E-2</c:v>
                </c:pt>
                <c:pt idx="160">
                  <c:v>4.9994710953980434E-2</c:v>
                </c:pt>
                <c:pt idx="161">
                  <c:v>4.9984624014483149E-2</c:v>
                </c:pt>
                <c:pt idx="162">
                  <c:v>4.99831864468019E-2</c:v>
                </c:pt>
                <c:pt idx="163">
                  <c:v>4.9990609038633373E-2</c:v>
                </c:pt>
                <c:pt idx="164">
                  <c:v>4.9994752128110269E-2</c:v>
                </c:pt>
                <c:pt idx="165">
                  <c:v>4.9984742015752898E-2</c:v>
                </c:pt>
                <c:pt idx="166">
                  <c:v>4.9983313675726233E-2</c:v>
                </c:pt>
                <c:pt idx="167">
                  <c:v>4.9990679120668763E-2</c:v>
                </c:pt>
                <c:pt idx="168">
                  <c:v>4.9994790749952819E-2</c:v>
                </c:pt>
                <c:pt idx="169">
                  <c:v>4.9984852726273739E-2</c:v>
                </c:pt>
                <c:pt idx="170">
                  <c:v>4.9983433068797142E-2</c:v>
                </c:pt>
                <c:pt idx="171">
                  <c:v>4.9990744899851912E-2</c:v>
                </c:pt>
                <c:pt idx="172">
                  <c:v>4.9994827007822769E-2</c:v>
                </c:pt>
                <c:pt idx="173">
                  <c:v>4.998495668144181E-2</c:v>
                </c:pt>
                <c:pt idx="174">
                  <c:v>4.9983545198787456E-2</c:v>
                </c:pt>
                <c:pt idx="175">
                  <c:v>4.9991053169126144E-2</c:v>
                </c:pt>
                <c:pt idx="176">
                  <c:v>4.9994554287849803E-2</c:v>
                </c:pt>
                <c:pt idx="177">
                  <c:v>4.998494043416931E-2</c:v>
                </c:pt>
                <c:pt idx="178">
                  <c:v>4.9983876675460254E-2</c:v>
                </c:pt>
                <c:pt idx="179">
                  <c:v>4.9991109679726232E-2</c:v>
                </c:pt>
                <c:pt idx="180">
                  <c:v>4.999458821782448E-2</c:v>
                </c:pt>
                <c:pt idx="181">
                  <c:v>4.9985032969012341E-2</c:v>
                </c:pt>
                <c:pt idx="182">
                  <c:v>4.9983974397868162E-2</c:v>
                </c:pt>
                <c:pt idx="183">
                  <c:v>4.9991162839623016E-2</c:v>
                </c:pt>
                <c:pt idx="184">
                  <c:v>4.999462014131878E-2</c:v>
                </c:pt>
                <c:pt idx="185">
                  <c:v>4.9985120046345692E-2</c:v>
                </c:pt>
                <c:pt idx="186">
                  <c:v>4.9984066371840191E-2</c:v>
                </c:pt>
                <c:pt idx="187">
                  <c:v>4.999121288039042E-2</c:v>
                </c:pt>
                <c:pt idx="188">
                  <c:v>4.9994650196451496E-2</c:v>
                </c:pt>
                <c:pt idx="189">
                  <c:v>4.9985202040332417E-2</c:v>
                </c:pt>
                <c:pt idx="190">
                  <c:v>4.9984152989933771E-2</c:v>
                </c:pt>
                <c:pt idx="191">
                  <c:v>4.999152422299491E-2</c:v>
                </c:pt>
                <c:pt idx="192">
                  <c:v>4.9994390998942734E-2</c:v>
                </c:pt>
                <c:pt idx="193">
                  <c:v>4.9985179901163634E-2</c:v>
                </c:pt>
                <c:pt idx="194">
                  <c:v>4.998431023397612E-2</c:v>
                </c:pt>
                <c:pt idx="195">
                  <c:v>4.9991567289137333E-2</c:v>
                </c:pt>
                <c:pt idx="196">
                  <c:v>4.9994419120191841E-2</c:v>
                </c:pt>
                <c:pt idx="197">
                  <c:v>4.9985253199741057E-2</c:v>
                </c:pt>
                <c:pt idx="198">
                  <c:v>4.9984386799877989E-2</c:v>
                </c:pt>
                <c:pt idx="199">
                  <c:v>4.9991607899589299E-2</c:v>
                </c:pt>
                <c:pt idx="200">
                  <c:v>4.9994445641424162E-2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test!$D$1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cat>
            <c:numRef>
              <c:f>test!$A$2:$A$202</c:f>
              <c:numCache>
                <c:formatCode>yyyy-m-d</c:formatCode>
                <c:ptCount val="201"/>
                <c:pt idx="0">
                  <c:v>41138</c:v>
                </c:pt>
                <c:pt idx="1">
                  <c:v>41232</c:v>
                </c:pt>
                <c:pt idx="2">
                  <c:v>41324</c:v>
                </c:pt>
                <c:pt idx="3">
                  <c:v>41414</c:v>
                </c:pt>
                <c:pt idx="4">
                  <c:v>41506</c:v>
                </c:pt>
                <c:pt idx="5">
                  <c:v>41598</c:v>
                </c:pt>
                <c:pt idx="6">
                  <c:v>41690</c:v>
                </c:pt>
                <c:pt idx="7">
                  <c:v>41779</c:v>
                </c:pt>
                <c:pt idx="8">
                  <c:v>41871</c:v>
                </c:pt>
                <c:pt idx="9">
                  <c:v>41963</c:v>
                </c:pt>
                <c:pt idx="10">
                  <c:v>42055</c:v>
                </c:pt>
                <c:pt idx="11">
                  <c:v>42144</c:v>
                </c:pt>
                <c:pt idx="12">
                  <c:v>42236</c:v>
                </c:pt>
                <c:pt idx="13">
                  <c:v>42328</c:v>
                </c:pt>
                <c:pt idx="14">
                  <c:v>42422</c:v>
                </c:pt>
                <c:pt idx="15">
                  <c:v>42513</c:v>
                </c:pt>
                <c:pt idx="16">
                  <c:v>42605</c:v>
                </c:pt>
                <c:pt idx="17">
                  <c:v>42697</c:v>
                </c:pt>
                <c:pt idx="18">
                  <c:v>42789</c:v>
                </c:pt>
                <c:pt idx="19">
                  <c:v>42878</c:v>
                </c:pt>
                <c:pt idx="20">
                  <c:v>42970</c:v>
                </c:pt>
                <c:pt idx="21">
                  <c:v>43062</c:v>
                </c:pt>
                <c:pt idx="22">
                  <c:v>43154</c:v>
                </c:pt>
                <c:pt idx="23">
                  <c:v>43243</c:v>
                </c:pt>
                <c:pt idx="24">
                  <c:v>43335</c:v>
                </c:pt>
                <c:pt idx="25">
                  <c:v>43427</c:v>
                </c:pt>
                <c:pt idx="26">
                  <c:v>43521</c:v>
                </c:pt>
                <c:pt idx="27">
                  <c:v>43612</c:v>
                </c:pt>
                <c:pt idx="28">
                  <c:v>43704</c:v>
                </c:pt>
                <c:pt idx="29">
                  <c:v>43796</c:v>
                </c:pt>
                <c:pt idx="30">
                  <c:v>43888</c:v>
                </c:pt>
                <c:pt idx="31">
                  <c:v>43978</c:v>
                </c:pt>
                <c:pt idx="32">
                  <c:v>44070</c:v>
                </c:pt>
                <c:pt idx="33">
                  <c:v>44162</c:v>
                </c:pt>
                <c:pt idx="34">
                  <c:v>44256</c:v>
                </c:pt>
                <c:pt idx="35">
                  <c:v>44348</c:v>
                </c:pt>
                <c:pt idx="36">
                  <c:v>44440</c:v>
                </c:pt>
                <c:pt idx="37">
                  <c:v>44531</c:v>
                </c:pt>
                <c:pt idx="38">
                  <c:v>44621</c:v>
                </c:pt>
                <c:pt idx="39">
                  <c:v>44713</c:v>
                </c:pt>
                <c:pt idx="40">
                  <c:v>44805</c:v>
                </c:pt>
                <c:pt idx="41">
                  <c:v>44896</c:v>
                </c:pt>
                <c:pt idx="42">
                  <c:v>44986</c:v>
                </c:pt>
                <c:pt idx="43">
                  <c:v>45078</c:v>
                </c:pt>
                <c:pt idx="44">
                  <c:v>45170</c:v>
                </c:pt>
                <c:pt idx="45">
                  <c:v>45261</c:v>
                </c:pt>
                <c:pt idx="46">
                  <c:v>45352</c:v>
                </c:pt>
                <c:pt idx="47">
                  <c:v>45446</c:v>
                </c:pt>
                <c:pt idx="48">
                  <c:v>45538</c:v>
                </c:pt>
                <c:pt idx="49">
                  <c:v>45629</c:v>
                </c:pt>
                <c:pt idx="50">
                  <c:v>45719</c:v>
                </c:pt>
                <c:pt idx="51">
                  <c:v>45811</c:v>
                </c:pt>
                <c:pt idx="52">
                  <c:v>45903</c:v>
                </c:pt>
                <c:pt idx="53">
                  <c:v>45994</c:v>
                </c:pt>
                <c:pt idx="54">
                  <c:v>46084</c:v>
                </c:pt>
                <c:pt idx="55">
                  <c:v>46176</c:v>
                </c:pt>
                <c:pt idx="56">
                  <c:v>46268</c:v>
                </c:pt>
                <c:pt idx="57">
                  <c:v>46359</c:v>
                </c:pt>
                <c:pt idx="58">
                  <c:v>46449</c:v>
                </c:pt>
                <c:pt idx="59">
                  <c:v>46541</c:v>
                </c:pt>
                <c:pt idx="60">
                  <c:v>46633</c:v>
                </c:pt>
                <c:pt idx="61">
                  <c:v>46724</c:v>
                </c:pt>
                <c:pt idx="62">
                  <c:v>46815</c:v>
                </c:pt>
                <c:pt idx="63">
                  <c:v>46909</c:v>
                </c:pt>
                <c:pt idx="64">
                  <c:v>47001</c:v>
                </c:pt>
                <c:pt idx="65">
                  <c:v>47092</c:v>
                </c:pt>
                <c:pt idx="66">
                  <c:v>47182</c:v>
                </c:pt>
                <c:pt idx="67">
                  <c:v>47274</c:v>
                </c:pt>
                <c:pt idx="68">
                  <c:v>47366</c:v>
                </c:pt>
                <c:pt idx="69">
                  <c:v>47457</c:v>
                </c:pt>
                <c:pt idx="70">
                  <c:v>47547</c:v>
                </c:pt>
                <c:pt idx="71">
                  <c:v>47639</c:v>
                </c:pt>
                <c:pt idx="72">
                  <c:v>47731</c:v>
                </c:pt>
                <c:pt idx="73">
                  <c:v>47822</c:v>
                </c:pt>
                <c:pt idx="74">
                  <c:v>47912</c:v>
                </c:pt>
                <c:pt idx="75">
                  <c:v>48004</c:v>
                </c:pt>
                <c:pt idx="76">
                  <c:v>48096</c:v>
                </c:pt>
                <c:pt idx="77">
                  <c:v>48187</c:v>
                </c:pt>
                <c:pt idx="78">
                  <c:v>48278</c:v>
                </c:pt>
                <c:pt idx="79">
                  <c:v>48372</c:v>
                </c:pt>
                <c:pt idx="80">
                  <c:v>48464</c:v>
                </c:pt>
                <c:pt idx="81">
                  <c:v>48555</c:v>
                </c:pt>
                <c:pt idx="82">
                  <c:v>48645</c:v>
                </c:pt>
                <c:pt idx="83">
                  <c:v>48737</c:v>
                </c:pt>
                <c:pt idx="84">
                  <c:v>48829</c:v>
                </c:pt>
                <c:pt idx="85">
                  <c:v>48920</c:v>
                </c:pt>
                <c:pt idx="86">
                  <c:v>49010</c:v>
                </c:pt>
                <c:pt idx="87">
                  <c:v>49102</c:v>
                </c:pt>
                <c:pt idx="88">
                  <c:v>49194</c:v>
                </c:pt>
                <c:pt idx="89">
                  <c:v>49285</c:v>
                </c:pt>
                <c:pt idx="90">
                  <c:v>49375</c:v>
                </c:pt>
                <c:pt idx="91">
                  <c:v>49467</c:v>
                </c:pt>
                <c:pt idx="92">
                  <c:v>49559</c:v>
                </c:pt>
                <c:pt idx="93">
                  <c:v>49650</c:v>
                </c:pt>
                <c:pt idx="94">
                  <c:v>49741</c:v>
                </c:pt>
                <c:pt idx="95">
                  <c:v>49835</c:v>
                </c:pt>
                <c:pt idx="96">
                  <c:v>49927</c:v>
                </c:pt>
                <c:pt idx="97">
                  <c:v>50018</c:v>
                </c:pt>
                <c:pt idx="98">
                  <c:v>50108</c:v>
                </c:pt>
                <c:pt idx="99">
                  <c:v>50200</c:v>
                </c:pt>
                <c:pt idx="100">
                  <c:v>50292</c:v>
                </c:pt>
                <c:pt idx="101">
                  <c:v>50383</c:v>
                </c:pt>
                <c:pt idx="102">
                  <c:v>50473</c:v>
                </c:pt>
                <c:pt idx="103">
                  <c:v>50565</c:v>
                </c:pt>
                <c:pt idx="104">
                  <c:v>50657</c:v>
                </c:pt>
                <c:pt idx="105">
                  <c:v>50748</c:v>
                </c:pt>
                <c:pt idx="106">
                  <c:v>50838</c:v>
                </c:pt>
                <c:pt idx="107">
                  <c:v>50930</c:v>
                </c:pt>
                <c:pt idx="108">
                  <c:v>51022</c:v>
                </c:pt>
                <c:pt idx="109">
                  <c:v>51113</c:v>
                </c:pt>
                <c:pt idx="110">
                  <c:v>51204</c:v>
                </c:pt>
                <c:pt idx="111">
                  <c:v>51298</c:v>
                </c:pt>
                <c:pt idx="112">
                  <c:v>51390</c:v>
                </c:pt>
                <c:pt idx="113">
                  <c:v>51481</c:v>
                </c:pt>
                <c:pt idx="114">
                  <c:v>51571</c:v>
                </c:pt>
                <c:pt idx="115">
                  <c:v>51663</c:v>
                </c:pt>
                <c:pt idx="116">
                  <c:v>51755</c:v>
                </c:pt>
                <c:pt idx="117">
                  <c:v>51846</c:v>
                </c:pt>
                <c:pt idx="118">
                  <c:v>51936</c:v>
                </c:pt>
                <c:pt idx="119">
                  <c:v>52028</c:v>
                </c:pt>
                <c:pt idx="120">
                  <c:v>52120</c:v>
                </c:pt>
                <c:pt idx="121">
                  <c:v>52211</c:v>
                </c:pt>
                <c:pt idx="122">
                  <c:v>52301</c:v>
                </c:pt>
                <c:pt idx="123">
                  <c:v>52393</c:v>
                </c:pt>
                <c:pt idx="124">
                  <c:v>52485</c:v>
                </c:pt>
                <c:pt idx="125">
                  <c:v>52576</c:v>
                </c:pt>
                <c:pt idx="126">
                  <c:v>52667</c:v>
                </c:pt>
                <c:pt idx="127">
                  <c:v>52761</c:v>
                </c:pt>
                <c:pt idx="128">
                  <c:v>52853</c:v>
                </c:pt>
                <c:pt idx="129">
                  <c:v>52944</c:v>
                </c:pt>
                <c:pt idx="130">
                  <c:v>53034</c:v>
                </c:pt>
                <c:pt idx="131">
                  <c:v>53126</c:v>
                </c:pt>
                <c:pt idx="132">
                  <c:v>53218</c:v>
                </c:pt>
                <c:pt idx="133">
                  <c:v>53309</c:v>
                </c:pt>
                <c:pt idx="134">
                  <c:v>53399</c:v>
                </c:pt>
                <c:pt idx="135">
                  <c:v>53491</c:v>
                </c:pt>
                <c:pt idx="136">
                  <c:v>53583</c:v>
                </c:pt>
                <c:pt idx="137">
                  <c:v>53674</c:v>
                </c:pt>
                <c:pt idx="138">
                  <c:v>53764</c:v>
                </c:pt>
                <c:pt idx="139">
                  <c:v>53856</c:v>
                </c:pt>
                <c:pt idx="140">
                  <c:v>53948</c:v>
                </c:pt>
                <c:pt idx="141">
                  <c:v>54039</c:v>
                </c:pt>
                <c:pt idx="142">
                  <c:v>54130</c:v>
                </c:pt>
                <c:pt idx="143">
                  <c:v>54224</c:v>
                </c:pt>
                <c:pt idx="144">
                  <c:v>54316</c:v>
                </c:pt>
                <c:pt idx="145">
                  <c:v>54407</c:v>
                </c:pt>
                <c:pt idx="146">
                  <c:v>54497</c:v>
                </c:pt>
                <c:pt idx="147">
                  <c:v>54589</c:v>
                </c:pt>
                <c:pt idx="148">
                  <c:v>54681</c:v>
                </c:pt>
                <c:pt idx="149">
                  <c:v>54772</c:v>
                </c:pt>
                <c:pt idx="150">
                  <c:v>54862</c:v>
                </c:pt>
                <c:pt idx="151">
                  <c:v>54954</c:v>
                </c:pt>
                <c:pt idx="152">
                  <c:v>55046</c:v>
                </c:pt>
                <c:pt idx="153">
                  <c:v>55137</c:v>
                </c:pt>
                <c:pt idx="154">
                  <c:v>55227</c:v>
                </c:pt>
                <c:pt idx="155">
                  <c:v>55319</c:v>
                </c:pt>
                <c:pt idx="156">
                  <c:v>55411</c:v>
                </c:pt>
                <c:pt idx="157">
                  <c:v>55502</c:v>
                </c:pt>
                <c:pt idx="158">
                  <c:v>55593</c:v>
                </c:pt>
                <c:pt idx="159">
                  <c:v>55687</c:v>
                </c:pt>
                <c:pt idx="160">
                  <c:v>55779</c:v>
                </c:pt>
                <c:pt idx="161">
                  <c:v>55870</c:v>
                </c:pt>
                <c:pt idx="162">
                  <c:v>55960</c:v>
                </c:pt>
                <c:pt idx="163">
                  <c:v>56052</c:v>
                </c:pt>
                <c:pt idx="164">
                  <c:v>56144</c:v>
                </c:pt>
                <c:pt idx="165">
                  <c:v>56235</c:v>
                </c:pt>
                <c:pt idx="166">
                  <c:v>56325</c:v>
                </c:pt>
                <c:pt idx="167">
                  <c:v>56417</c:v>
                </c:pt>
                <c:pt idx="168">
                  <c:v>56509</c:v>
                </c:pt>
                <c:pt idx="169">
                  <c:v>56600</c:v>
                </c:pt>
                <c:pt idx="170">
                  <c:v>56690</c:v>
                </c:pt>
                <c:pt idx="171">
                  <c:v>56782</c:v>
                </c:pt>
                <c:pt idx="172">
                  <c:v>56874</c:v>
                </c:pt>
                <c:pt idx="173">
                  <c:v>56965</c:v>
                </c:pt>
                <c:pt idx="174">
                  <c:v>57056</c:v>
                </c:pt>
                <c:pt idx="175">
                  <c:v>57150</c:v>
                </c:pt>
                <c:pt idx="176">
                  <c:v>57242</c:v>
                </c:pt>
                <c:pt idx="177">
                  <c:v>57333</c:v>
                </c:pt>
                <c:pt idx="178">
                  <c:v>57423</c:v>
                </c:pt>
                <c:pt idx="179">
                  <c:v>57515</c:v>
                </c:pt>
                <c:pt idx="180">
                  <c:v>57607</c:v>
                </c:pt>
                <c:pt idx="181">
                  <c:v>57698</c:v>
                </c:pt>
                <c:pt idx="182">
                  <c:v>57788</c:v>
                </c:pt>
                <c:pt idx="183">
                  <c:v>57880</c:v>
                </c:pt>
                <c:pt idx="184">
                  <c:v>57972</c:v>
                </c:pt>
                <c:pt idx="185">
                  <c:v>58063</c:v>
                </c:pt>
                <c:pt idx="186">
                  <c:v>58153</c:v>
                </c:pt>
                <c:pt idx="187">
                  <c:v>58245</c:v>
                </c:pt>
                <c:pt idx="188">
                  <c:v>58337</c:v>
                </c:pt>
                <c:pt idx="189">
                  <c:v>58428</c:v>
                </c:pt>
                <c:pt idx="190">
                  <c:v>58519</c:v>
                </c:pt>
                <c:pt idx="191">
                  <c:v>58613</c:v>
                </c:pt>
                <c:pt idx="192">
                  <c:v>58705</c:v>
                </c:pt>
                <c:pt idx="193">
                  <c:v>58796</c:v>
                </c:pt>
                <c:pt idx="194">
                  <c:v>58886</c:v>
                </c:pt>
                <c:pt idx="195">
                  <c:v>58978</c:v>
                </c:pt>
                <c:pt idx="196">
                  <c:v>59070</c:v>
                </c:pt>
                <c:pt idx="197">
                  <c:v>59161</c:v>
                </c:pt>
                <c:pt idx="198">
                  <c:v>59251</c:v>
                </c:pt>
                <c:pt idx="199">
                  <c:v>59343</c:v>
                </c:pt>
                <c:pt idx="200">
                  <c:v>59435</c:v>
                </c:pt>
              </c:numCache>
            </c:numRef>
          </c:cat>
          <c:val>
            <c:numRef>
              <c:f>test!$D$2:$D$202</c:f>
              <c:numCache>
                <c:formatCode>G/通用格式</c:formatCode>
                <c:ptCount val="201"/>
                <c:pt idx="0">
                  <c:v>4.9095604781046007E-2</c:v>
                </c:pt>
                <c:pt idx="1">
                  <c:v>4.9095604781046007E-2</c:v>
                </c:pt>
                <c:pt idx="2">
                  <c:v>4.9396874776212463E-2</c:v>
                </c:pt>
                <c:pt idx="3">
                  <c:v>4.9703998427645578E-2</c:v>
                </c:pt>
                <c:pt idx="4">
                  <c:v>4.9989591808261472E-2</c:v>
                </c:pt>
                <c:pt idx="5">
                  <c:v>5.0059792957915315E-2</c:v>
                </c:pt>
                <c:pt idx="6">
                  <c:v>5.0295389770451421E-2</c:v>
                </c:pt>
                <c:pt idx="7">
                  <c:v>5.0616732260740573E-2</c:v>
                </c:pt>
                <c:pt idx="8">
                  <c:v>5.099464632211155E-2</c:v>
                </c:pt>
                <c:pt idx="9">
                  <c:v>5.0806371426180282E-2</c:v>
                </c:pt>
                <c:pt idx="10">
                  <c:v>5.0703811126241727E-2</c:v>
                </c:pt>
                <c:pt idx="11">
                  <c:v>5.0665843758178224E-2</c:v>
                </c:pt>
                <c:pt idx="12">
                  <c:v>5.0664219264541094E-2</c:v>
                </c:pt>
                <c:pt idx="13">
                  <c:v>5.0506096722220985E-2</c:v>
                </c:pt>
                <c:pt idx="14">
                  <c:v>5.0404648334402953E-2</c:v>
                </c:pt>
                <c:pt idx="15">
                  <c:v>5.0353144011421394E-2</c:v>
                </c:pt>
                <c:pt idx="16">
                  <c:v>5.0326689344503781E-2</c:v>
                </c:pt>
                <c:pt idx="17">
                  <c:v>5.018621777836671E-2</c:v>
                </c:pt>
                <c:pt idx="18">
                  <c:v>5.008822419731368E-2</c:v>
                </c:pt>
                <c:pt idx="19">
                  <c:v>5.0032982794225883E-2</c:v>
                </c:pt>
                <c:pt idx="20">
                  <c:v>4.999554830006428E-2</c:v>
                </c:pt>
                <c:pt idx="21">
                  <c:v>4.994841195727745E-2</c:v>
                </c:pt>
                <c:pt idx="22">
                  <c:v>4.9935892568078281E-2</c:v>
                </c:pt>
                <c:pt idx="23">
                  <c:v>4.9957069967986122E-2</c:v>
                </c:pt>
                <c:pt idx="24">
                  <c:v>4.9996200636936362E-2</c:v>
                </c:pt>
                <c:pt idx="25">
                  <c:v>4.9955617737935651E-2</c:v>
                </c:pt>
                <c:pt idx="26">
                  <c:v>4.9945695634951742E-2</c:v>
                </c:pt>
                <c:pt idx="27">
                  <c:v>4.9963897184124098E-2</c:v>
                </c:pt>
                <c:pt idx="28">
                  <c:v>4.9994453636780685E-2</c:v>
                </c:pt>
                <c:pt idx="29">
                  <c:v>4.9959819456683617E-2</c:v>
                </c:pt>
                <c:pt idx="30">
                  <c:v>4.9951889729051478E-2</c:v>
                </c:pt>
                <c:pt idx="31">
                  <c:v>4.9967805934997014E-2</c:v>
                </c:pt>
                <c:pt idx="32">
                  <c:v>4.999503197717655E-2</c:v>
                </c:pt>
                <c:pt idx="33">
                  <c:v>4.9963853846758867E-2</c:v>
                </c:pt>
                <c:pt idx="34">
                  <c:v>4.995677973729467E-2</c:v>
                </c:pt>
                <c:pt idx="35">
                  <c:v>4.997157842252764E-2</c:v>
                </c:pt>
                <c:pt idx="36">
                  <c:v>4.9991977387831781E-2</c:v>
                </c:pt>
                <c:pt idx="37">
                  <c:v>4.9965065337496263E-2</c:v>
                </c:pt>
                <c:pt idx="38">
                  <c:v>4.9960423161874358E-2</c:v>
                </c:pt>
                <c:pt idx="39">
                  <c:v>4.9973898465538638E-2</c:v>
                </c:pt>
                <c:pt idx="40">
                  <c:v>4.9992612006209414E-2</c:v>
                </c:pt>
                <c:pt idx="41">
                  <c:v>4.9967742580478258E-2</c:v>
                </c:pt>
                <c:pt idx="42">
                  <c:v>4.9963364438895486E-2</c:v>
                </c:pt>
                <c:pt idx="43">
                  <c:v>4.9975781288927677E-2</c:v>
                </c:pt>
                <c:pt idx="44">
                  <c:v>4.999312960056819E-2</c:v>
                </c:pt>
                <c:pt idx="45">
                  <c:v>4.9969936786199785E-2</c:v>
                </c:pt>
                <c:pt idx="46">
                  <c:v>4.9965786072669327E-2</c:v>
                </c:pt>
                <c:pt idx="47">
                  <c:v>4.9978084342686427E-2</c:v>
                </c:pt>
                <c:pt idx="48">
                  <c:v>4.9994314045804712E-2</c:v>
                </c:pt>
                <c:pt idx="49">
                  <c:v>4.9972506836444497E-2</c:v>
                </c:pt>
                <c:pt idx="50">
                  <c:v>4.9967567839578848E-2</c:v>
                </c:pt>
                <c:pt idx="51">
                  <c:v>4.9979347943782428E-2</c:v>
                </c:pt>
                <c:pt idx="52">
                  <c:v>4.9994633539580224E-2</c:v>
                </c:pt>
                <c:pt idx="53">
                  <c:v>4.9974011812553454E-2</c:v>
                </c:pt>
                <c:pt idx="54">
                  <c:v>4.9969298505160686E-2</c:v>
                </c:pt>
                <c:pt idx="55">
                  <c:v>4.9980422955790631E-2</c:v>
                </c:pt>
                <c:pt idx="56">
                  <c:v>4.9994906134179062E-2</c:v>
                </c:pt>
                <c:pt idx="57">
                  <c:v>4.997529953064335E-2</c:v>
                </c:pt>
                <c:pt idx="58">
                  <c:v>4.9970783341287857E-2</c:v>
                </c:pt>
                <c:pt idx="59">
                  <c:v>4.9981347642161396E-2</c:v>
                </c:pt>
                <c:pt idx="60">
                  <c:v>4.9995141189443974E-2</c:v>
                </c:pt>
                <c:pt idx="61">
                  <c:v>4.9976412632679865E-2</c:v>
                </c:pt>
                <c:pt idx="62">
                  <c:v>4.9972069822365968E-2</c:v>
                </c:pt>
                <c:pt idx="63">
                  <c:v>4.9982523010446457E-2</c:v>
                </c:pt>
                <c:pt idx="64">
                  <c:v>4.9994807317381124E-2</c:v>
                </c:pt>
                <c:pt idx="65">
                  <c:v>4.997716527689737E-2</c:v>
                </c:pt>
                <c:pt idx="66">
                  <c:v>4.9973548313188461E-2</c:v>
                </c:pt>
                <c:pt idx="67">
                  <c:v>4.9983210979060284E-2</c:v>
                </c:pt>
                <c:pt idx="68">
                  <c:v>4.9995007382807002E-2</c:v>
                </c:pt>
                <c:pt idx="69">
                  <c:v>4.9978026057426954E-2</c:v>
                </c:pt>
                <c:pt idx="70">
                  <c:v>4.997452435650198E-2</c:v>
                </c:pt>
                <c:pt idx="71">
                  <c:v>4.998381765147792E-2</c:v>
                </c:pt>
                <c:pt idx="72">
                  <c:v>4.9995184095926133E-2</c:v>
                </c:pt>
                <c:pt idx="73">
                  <c:v>4.997878760509035E-2</c:v>
                </c:pt>
                <c:pt idx="74">
                  <c:v>4.9975389228137539E-2</c:v>
                </c:pt>
                <c:pt idx="75">
                  <c:v>4.9984356028596487E-2</c:v>
                </c:pt>
                <c:pt idx="76">
                  <c:v>4.9995341143264801E-2</c:v>
                </c:pt>
                <c:pt idx="77">
                  <c:v>4.9979465381493247E-2</c:v>
                </c:pt>
                <c:pt idx="78">
                  <c:v>4.997616003024323E-2</c:v>
                </c:pt>
                <c:pt idx="79">
                  <c:v>4.9985191177254314E-2</c:v>
                </c:pt>
                <c:pt idx="80">
                  <c:v>4.9995029254991705E-2</c:v>
                </c:pt>
                <c:pt idx="81">
                  <c:v>4.9979896343336369E-2</c:v>
                </c:pt>
                <c:pt idx="82">
                  <c:v>4.9976928907991755E-2</c:v>
                </c:pt>
                <c:pt idx="83">
                  <c:v>4.9985611843315424E-2</c:v>
                </c:pt>
                <c:pt idx="84">
                  <c:v>4.999516781638267E-2</c:v>
                </c:pt>
                <c:pt idx="85">
                  <c:v>4.9980446067483496E-2</c:v>
                </c:pt>
                <c:pt idx="86">
                  <c:v>4.9977547984505051E-2</c:v>
                </c:pt>
                <c:pt idx="87">
                  <c:v>4.9985990843675485E-2</c:v>
                </c:pt>
                <c:pt idx="88">
                  <c:v>4.9995292783464047E-2</c:v>
                </c:pt>
                <c:pt idx="89">
                  <c:v>4.9980942373196668E-2</c:v>
                </c:pt>
                <c:pt idx="90">
                  <c:v>4.9978107462462562E-2</c:v>
                </c:pt>
                <c:pt idx="91">
                  <c:v>4.9986333687639446E-2</c:v>
                </c:pt>
                <c:pt idx="92">
                  <c:v>4.9995405934893537E-2</c:v>
                </c:pt>
                <c:pt idx="93">
                  <c:v>4.9981392175287444E-2</c:v>
                </c:pt>
                <c:pt idx="94">
                  <c:v>4.9978614976524241E-2</c:v>
                </c:pt>
                <c:pt idx="95">
                  <c:v>4.9986852142374714E-2</c:v>
                </c:pt>
                <c:pt idx="96">
                  <c:v>4.9994618629373891E-2</c:v>
                </c:pt>
                <c:pt idx="97">
                  <c:v>4.9981288859722806E-2</c:v>
                </c:pt>
                <c:pt idx="98">
                  <c:v>4.9978747945344348E-2</c:v>
                </c:pt>
                <c:pt idx="99">
                  <c:v>4.9987131183895327E-2</c:v>
                </c:pt>
                <c:pt idx="100">
                  <c:v>4.9994730894718981E-2</c:v>
                </c:pt>
                <c:pt idx="101">
                  <c:v>4.9981672435154917E-2</c:v>
                </c:pt>
                <c:pt idx="102">
                  <c:v>4.9979176176540754E-2</c:v>
                </c:pt>
                <c:pt idx="103">
                  <c:v>4.99873861441026E-2</c:v>
                </c:pt>
                <c:pt idx="104">
                  <c:v>4.9994833544077869E-2</c:v>
                </c:pt>
                <c:pt idx="105">
                  <c:v>4.9982023404095875E-2</c:v>
                </c:pt>
                <c:pt idx="106">
                  <c:v>4.9979568273208687E-2</c:v>
                </c:pt>
                <c:pt idx="107">
                  <c:v>4.998761974478505E-2</c:v>
                </c:pt>
                <c:pt idx="108">
                  <c:v>4.9994927654749374E-2</c:v>
                </c:pt>
                <c:pt idx="109">
                  <c:v>4.9982345387007424E-2</c:v>
                </c:pt>
                <c:pt idx="110">
                  <c:v>4.9979928212640481E-2</c:v>
                </c:pt>
                <c:pt idx="111">
                  <c:v>4.9988204739978948E-2</c:v>
                </c:pt>
                <c:pt idx="112">
                  <c:v>4.9995033540974329E-2</c:v>
                </c:pt>
                <c:pt idx="113">
                  <c:v>4.9982773000378143E-2</c:v>
                </c:pt>
                <c:pt idx="114">
                  <c:v>4.9980688739055368E-2</c:v>
                </c:pt>
                <c:pt idx="115">
                  <c:v>4.9988396209267184E-2</c:v>
                </c:pt>
                <c:pt idx="116">
                  <c:v>4.9995112881137754E-2</c:v>
                </c:pt>
                <c:pt idx="117">
                  <c:v>4.9983043754171168E-2</c:v>
                </c:pt>
                <c:pt idx="118">
                  <c:v>4.9980987420265882E-2</c:v>
                </c:pt>
                <c:pt idx="119">
                  <c:v>4.9988572869777738E-2</c:v>
                </c:pt>
                <c:pt idx="120">
                  <c:v>4.9995186121761764E-2</c:v>
                </c:pt>
                <c:pt idx="121">
                  <c:v>4.9983293819099425E-2</c:v>
                </c:pt>
                <c:pt idx="122">
                  <c:v>4.9981263413505131E-2</c:v>
                </c:pt>
                <c:pt idx="123">
                  <c:v>4.9988736188386798E-2</c:v>
                </c:pt>
                <c:pt idx="124">
                  <c:v>4.9995253862534714E-2</c:v>
                </c:pt>
                <c:pt idx="125">
                  <c:v>4.9983525213884834E-2</c:v>
                </c:pt>
                <c:pt idx="126">
                  <c:v>4.9981518916227499E-2</c:v>
                </c:pt>
                <c:pt idx="127">
                  <c:v>4.998916429468938E-2</c:v>
                </c:pt>
                <c:pt idx="128">
                  <c:v>4.9994971814300043E-2</c:v>
                </c:pt>
                <c:pt idx="129">
                  <c:v>4.9983611218518555E-2</c:v>
                </c:pt>
                <c:pt idx="130">
                  <c:v>4.9981814670508169E-2</c:v>
                </c:pt>
                <c:pt idx="131">
                  <c:v>4.9989301080582638E-2</c:v>
                </c:pt>
                <c:pt idx="132">
                  <c:v>4.999503433449979E-2</c:v>
                </c:pt>
                <c:pt idx="133">
                  <c:v>4.9983811875095319E-2</c:v>
                </c:pt>
                <c:pt idx="134">
                  <c:v>4.9982033964810949E-2</c:v>
                </c:pt>
                <c:pt idx="135">
                  <c:v>4.9989428180296919E-2</c:v>
                </c:pt>
                <c:pt idx="136">
                  <c:v>4.9995092449008384E-2</c:v>
                </c:pt>
                <c:pt idx="137">
                  <c:v>4.9983998461151563E-2</c:v>
                </c:pt>
                <c:pt idx="138">
                  <c:v>4.9982237955260606E-2</c:v>
                </c:pt>
                <c:pt idx="139">
                  <c:v>4.9989546451522253E-2</c:v>
                </c:pt>
                <c:pt idx="140">
                  <c:v>4.9995146545459612E-2</c:v>
                </c:pt>
                <c:pt idx="141">
                  <c:v>4.9984172206709247E-2</c:v>
                </c:pt>
                <c:pt idx="142">
                  <c:v>4.9982427971270796E-2</c:v>
                </c:pt>
                <c:pt idx="143">
                  <c:v>4.9989797965661324E-2</c:v>
                </c:pt>
                <c:pt idx="144">
                  <c:v>4.9994120327597917E-2</c:v>
                </c:pt>
                <c:pt idx="145">
                  <c:v>4.9983675789538148E-2</c:v>
                </c:pt>
                <c:pt idx="146">
                  <c:v>4.9982686757732812E-2</c:v>
                </c:pt>
                <c:pt idx="147">
                  <c:v>4.9989899346556343E-2</c:v>
                </c:pt>
                <c:pt idx="148">
                  <c:v>4.9994177913600425E-2</c:v>
                </c:pt>
                <c:pt idx="149">
                  <c:v>4.9983833325078962E-2</c:v>
                </c:pt>
                <c:pt idx="150">
                  <c:v>4.998285142358791E-2</c:v>
                </c:pt>
                <c:pt idx="151">
                  <c:v>4.9989994044080853E-2</c:v>
                </c:pt>
                <c:pt idx="152">
                  <c:v>4.9994231718392575E-2</c:v>
                </c:pt>
                <c:pt idx="153">
                  <c:v>4.9983980557838682E-2</c:v>
                </c:pt>
                <c:pt idx="154">
                  <c:v>4.9983005362268441E-2</c:v>
                </c:pt>
                <c:pt idx="155">
                  <c:v>4.9990082595976537E-2</c:v>
                </c:pt>
                <c:pt idx="156">
                  <c:v>4.9994282044550961E-2</c:v>
                </c:pt>
                <c:pt idx="157">
                  <c:v>4.9984118307717325E-2</c:v>
                </c:pt>
                <c:pt idx="158">
                  <c:v>4.9983149422851515E-2</c:v>
                </c:pt>
                <c:pt idx="159">
                  <c:v>4.9990534309244265E-2</c:v>
                </c:pt>
                <c:pt idx="160">
                  <c:v>4.9994710953980434E-2</c:v>
                </c:pt>
                <c:pt idx="161">
                  <c:v>4.9984624014483149E-2</c:v>
                </c:pt>
                <c:pt idx="162">
                  <c:v>4.99831864468019E-2</c:v>
                </c:pt>
                <c:pt idx="163">
                  <c:v>4.9990609038633373E-2</c:v>
                </c:pt>
                <c:pt idx="164">
                  <c:v>4.9994752128110269E-2</c:v>
                </c:pt>
                <c:pt idx="165">
                  <c:v>4.9984742015752898E-2</c:v>
                </c:pt>
                <c:pt idx="166">
                  <c:v>4.9983313675726233E-2</c:v>
                </c:pt>
                <c:pt idx="167">
                  <c:v>4.9990679120668763E-2</c:v>
                </c:pt>
                <c:pt idx="168">
                  <c:v>4.9994790749952819E-2</c:v>
                </c:pt>
                <c:pt idx="169">
                  <c:v>4.9984852726273739E-2</c:v>
                </c:pt>
                <c:pt idx="170">
                  <c:v>4.9983433068797142E-2</c:v>
                </c:pt>
                <c:pt idx="171">
                  <c:v>4.9990744899851912E-2</c:v>
                </c:pt>
                <c:pt idx="172">
                  <c:v>4.9994827007822769E-2</c:v>
                </c:pt>
                <c:pt idx="173">
                  <c:v>4.998495668144181E-2</c:v>
                </c:pt>
                <c:pt idx="174">
                  <c:v>4.9983545198787456E-2</c:v>
                </c:pt>
                <c:pt idx="175">
                  <c:v>4.9991053169126144E-2</c:v>
                </c:pt>
                <c:pt idx="176">
                  <c:v>4.9994554287849803E-2</c:v>
                </c:pt>
                <c:pt idx="177">
                  <c:v>4.998494043416931E-2</c:v>
                </c:pt>
                <c:pt idx="178">
                  <c:v>4.9983876675460254E-2</c:v>
                </c:pt>
                <c:pt idx="179">
                  <c:v>4.9991109679726232E-2</c:v>
                </c:pt>
                <c:pt idx="180">
                  <c:v>4.999458821782448E-2</c:v>
                </c:pt>
                <c:pt idx="181">
                  <c:v>4.9985032969012341E-2</c:v>
                </c:pt>
                <c:pt idx="182">
                  <c:v>4.9983974397868162E-2</c:v>
                </c:pt>
                <c:pt idx="183">
                  <c:v>4.9991162839623016E-2</c:v>
                </c:pt>
                <c:pt idx="184">
                  <c:v>4.999462014131878E-2</c:v>
                </c:pt>
                <c:pt idx="185">
                  <c:v>4.9985120046345692E-2</c:v>
                </c:pt>
                <c:pt idx="186">
                  <c:v>4.9984066371840191E-2</c:v>
                </c:pt>
                <c:pt idx="187">
                  <c:v>4.999121288039042E-2</c:v>
                </c:pt>
                <c:pt idx="188">
                  <c:v>4.9994650196451496E-2</c:v>
                </c:pt>
                <c:pt idx="189">
                  <c:v>4.9985202040332417E-2</c:v>
                </c:pt>
                <c:pt idx="190">
                  <c:v>4.9984152989933771E-2</c:v>
                </c:pt>
                <c:pt idx="191">
                  <c:v>4.999152422299491E-2</c:v>
                </c:pt>
                <c:pt idx="192">
                  <c:v>4.9994390998942734E-2</c:v>
                </c:pt>
                <c:pt idx="193">
                  <c:v>4.9985179901163634E-2</c:v>
                </c:pt>
                <c:pt idx="194">
                  <c:v>4.998431023397612E-2</c:v>
                </c:pt>
                <c:pt idx="195">
                  <c:v>4.9991567289137333E-2</c:v>
                </c:pt>
                <c:pt idx="196">
                  <c:v>4.9994419120191841E-2</c:v>
                </c:pt>
                <c:pt idx="197">
                  <c:v>4.9985253199741057E-2</c:v>
                </c:pt>
                <c:pt idx="198">
                  <c:v>4.9984386799877989E-2</c:v>
                </c:pt>
                <c:pt idx="199">
                  <c:v>4.9991607899589299E-2</c:v>
                </c:pt>
                <c:pt idx="200">
                  <c:v>4.9994445641424162E-2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test!$E$1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cat>
            <c:numRef>
              <c:f>test!$A$2:$A$202</c:f>
              <c:numCache>
                <c:formatCode>yyyy-m-d</c:formatCode>
                <c:ptCount val="201"/>
                <c:pt idx="0">
                  <c:v>41138</c:v>
                </c:pt>
                <c:pt idx="1">
                  <c:v>41232</c:v>
                </c:pt>
                <c:pt idx="2">
                  <c:v>41324</c:v>
                </c:pt>
                <c:pt idx="3">
                  <c:v>41414</c:v>
                </c:pt>
                <c:pt idx="4">
                  <c:v>41506</c:v>
                </c:pt>
                <c:pt idx="5">
                  <c:v>41598</c:v>
                </c:pt>
                <c:pt idx="6">
                  <c:v>41690</c:v>
                </c:pt>
                <c:pt idx="7">
                  <c:v>41779</c:v>
                </c:pt>
                <c:pt idx="8">
                  <c:v>41871</c:v>
                </c:pt>
                <c:pt idx="9">
                  <c:v>41963</c:v>
                </c:pt>
                <c:pt idx="10">
                  <c:v>42055</c:v>
                </c:pt>
                <c:pt idx="11">
                  <c:v>42144</c:v>
                </c:pt>
                <c:pt idx="12">
                  <c:v>42236</c:v>
                </c:pt>
                <c:pt idx="13">
                  <c:v>42328</c:v>
                </c:pt>
                <c:pt idx="14">
                  <c:v>42422</c:v>
                </c:pt>
                <c:pt idx="15">
                  <c:v>42513</c:v>
                </c:pt>
                <c:pt idx="16">
                  <c:v>42605</c:v>
                </c:pt>
                <c:pt idx="17">
                  <c:v>42697</c:v>
                </c:pt>
                <c:pt idx="18">
                  <c:v>42789</c:v>
                </c:pt>
                <c:pt idx="19">
                  <c:v>42878</c:v>
                </c:pt>
                <c:pt idx="20">
                  <c:v>42970</c:v>
                </c:pt>
                <c:pt idx="21">
                  <c:v>43062</c:v>
                </c:pt>
                <c:pt idx="22">
                  <c:v>43154</c:v>
                </c:pt>
                <c:pt idx="23">
                  <c:v>43243</c:v>
                </c:pt>
                <c:pt idx="24">
                  <c:v>43335</c:v>
                </c:pt>
                <c:pt idx="25">
                  <c:v>43427</c:v>
                </c:pt>
                <c:pt idx="26">
                  <c:v>43521</c:v>
                </c:pt>
                <c:pt idx="27">
                  <c:v>43612</c:v>
                </c:pt>
                <c:pt idx="28">
                  <c:v>43704</c:v>
                </c:pt>
                <c:pt idx="29">
                  <c:v>43796</c:v>
                </c:pt>
                <c:pt idx="30">
                  <c:v>43888</c:v>
                </c:pt>
                <c:pt idx="31">
                  <c:v>43978</c:v>
                </c:pt>
                <c:pt idx="32">
                  <c:v>44070</c:v>
                </c:pt>
                <c:pt idx="33">
                  <c:v>44162</c:v>
                </c:pt>
                <c:pt idx="34">
                  <c:v>44256</c:v>
                </c:pt>
                <c:pt idx="35">
                  <c:v>44348</c:v>
                </c:pt>
                <c:pt idx="36">
                  <c:v>44440</c:v>
                </c:pt>
                <c:pt idx="37">
                  <c:v>44531</c:v>
                </c:pt>
                <c:pt idx="38">
                  <c:v>44621</c:v>
                </c:pt>
                <c:pt idx="39">
                  <c:v>44713</c:v>
                </c:pt>
                <c:pt idx="40">
                  <c:v>44805</c:v>
                </c:pt>
                <c:pt idx="41">
                  <c:v>44896</c:v>
                </c:pt>
                <c:pt idx="42">
                  <c:v>44986</c:v>
                </c:pt>
                <c:pt idx="43">
                  <c:v>45078</c:v>
                </c:pt>
                <c:pt idx="44">
                  <c:v>45170</c:v>
                </c:pt>
                <c:pt idx="45">
                  <c:v>45261</c:v>
                </c:pt>
                <c:pt idx="46">
                  <c:v>45352</c:v>
                </c:pt>
                <c:pt idx="47">
                  <c:v>45446</c:v>
                </c:pt>
                <c:pt idx="48">
                  <c:v>45538</c:v>
                </c:pt>
                <c:pt idx="49">
                  <c:v>45629</c:v>
                </c:pt>
                <c:pt idx="50">
                  <c:v>45719</c:v>
                </c:pt>
                <c:pt idx="51">
                  <c:v>45811</c:v>
                </c:pt>
                <c:pt idx="52">
                  <c:v>45903</c:v>
                </c:pt>
                <c:pt idx="53">
                  <c:v>45994</c:v>
                </c:pt>
                <c:pt idx="54">
                  <c:v>46084</c:v>
                </c:pt>
                <c:pt idx="55">
                  <c:v>46176</c:v>
                </c:pt>
                <c:pt idx="56">
                  <c:v>46268</c:v>
                </c:pt>
                <c:pt idx="57">
                  <c:v>46359</c:v>
                </c:pt>
                <c:pt idx="58">
                  <c:v>46449</c:v>
                </c:pt>
                <c:pt idx="59">
                  <c:v>46541</c:v>
                </c:pt>
                <c:pt idx="60">
                  <c:v>46633</c:v>
                </c:pt>
                <c:pt idx="61">
                  <c:v>46724</c:v>
                </c:pt>
                <c:pt idx="62">
                  <c:v>46815</c:v>
                </c:pt>
                <c:pt idx="63">
                  <c:v>46909</c:v>
                </c:pt>
                <c:pt idx="64">
                  <c:v>47001</c:v>
                </c:pt>
                <c:pt idx="65">
                  <c:v>47092</c:v>
                </c:pt>
                <c:pt idx="66">
                  <c:v>47182</c:v>
                </c:pt>
                <c:pt idx="67">
                  <c:v>47274</c:v>
                </c:pt>
                <c:pt idx="68">
                  <c:v>47366</c:v>
                </c:pt>
                <c:pt idx="69">
                  <c:v>47457</c:v>
                </c:pt>
                <c:pt idx="70">
                  <c:v>47547</c:v>
                </c:pt>
                <c:pt idx="71">
                  <c:v>47639</c:v>
                </c:pt>
                <c:pt idx="72">
                  <c:v>47731</c:v>
                </c:pt>
                <c:pt idx="73">
                  <c:v>47822</c:v>
                </c:pt>
                <c:pt idx="74">
                  <c:v>47912</c:v>
                </c:pt>
                <c:pt idx="75">
                  <c:v>48004</c:v>
                </c:pt>
                <c:pt idx="76">
                  <c:v>48096</c:v>
                </c:pt>
                <c:pt idx="77">
                  <c:v>48187</c:v>
                </c:pt>
                <c:pt idx="78">
                  <c:v>48278</c:v>
                </c:pt>
                <c:pt idx="79">
                  <c:v>48372</c:v>
                </c:pt>
                <c:pt idx="80">
                  <c:v>48464</c:v>
                </c:pt>
                <c:pt idx="81">
                  <c:v>48555</c:v>
                </c:pt>
                <c:pt idx="82">
                  <c:v>48645</c:v>
                </c:pt>
                <c:pt idx="83">
                  <c:v>48737</c:v>
                </c:pt>
                <c:pt idx="84">
                  <c:v>48829</c:v>
                </c:pt>
                <c:pt idx="85">
                  <c:v>48920</c:v>
                </c:pt>
                <c:pt idx="86">
                  <c:v>49010</c:v>
                </c:pt>
                <c:pt idx="87">
                  <c:v>49102</c:v>
                </c:pt>
                <c:pt idx="88">
                  <c:v>49194</c:v>
                </c:pt>
                <c:pt idx="89">
                  <c:v>49285</c:v>
                </c:pt>
                <c:pt idx="90">
                  <c:v>49375</c:v>
                </c:pt>
                <c:pt idx="91">
                  <c:v>49467</c:v>
                </c:pt>
                <c:pt idx="92">
                  <c:v>49559</c:v>
                </c:pt>
                <c:pt idx="93">
                  <c:v>49650</c:v>
                </c:pt>
                <c:pt idx="94">
                  <c:v>49741</c:v>
                </c:pt>
                <c:pt idx="95">
                  <c:v>49835</c:v>
                </c:pt>
                <c:pt idx="96">
                  <c:v>49927</c:v>
                </c:pt>
                <c:pt idx="97">
                  <c:v>50018</c:v>
                </c:pt>
                <c:pt idx="98">
                  <c:v>50108</c:v>
                </c:pt>
                <c:pt idx="99">
                  <c:v>50200</c:v>
                </c:pt>
                <c:pt idx="100">
                  <c:v>50292</c:v>
                </c:pt>
                <c:pt idx="101">
                  <c:v>50383</c:v>
                </c:pt>
                <c:pt idx="102">
                  <c:v>50473</c:v>
                </c:pt>
                <c:pt idx="103">
                  <c:v>50565</c:v>
                </c:pt>
                <c:pt idx="104">
                  <c:v>50657</c:v>
                </c:pt>
                <c:pt idx="105">
                  <c:v>50748</c:v>
                </c:pt>
                <c:pt idx="106">
                  <c:v>50838</c:v>
                </c:pt>
                <c:pt idx="107">
                  <c:v>50930</c:v>
                </c:pt>
                <c:pt idx="108">
                  <c:v>51022</c:v>
                </c:pt>
                <c:pt idx="109">
                  <c:v>51113</c:v>
                </c:pt>
                <c:pt idx="110">
                  <c:v>51204</c:v>
                </c:pt>
                <c:pt idx="111">
                  <c:v>51298</c:v>
                </c:pt>
                <c:pt idx="112">
                  <c:v>51390</c:v>
                </c:pt>
                <c:pt idx="113">
                  <c:v>51481</c:v>
                </c:pt>
                <c:pt idx="114">
                  <c:v>51571</c:v>
                </c:pt>
                <c:pt idx="115">
                  <c:v>51663</c:v>
                </c:pt>
                <c:pt idx="116">
                  <c:v>51755</c:v>
                </c:pt>
                <c:pt idx="117">
                  <c:v>51846</c:v>
                </c:pt>
                <c:pt idx="118">
                  <c:v>51936</c:v>
                </c:pt>
                <c:pt idx="119">
                  <c:v>52028</c:v>
                </c:pt>
                <c:pt idx="120">
                  <c:v>52120</c:v>
                </c:pt>
                <c:pt idx="121">
                  <c:v>52211</c:v>
                </c:pt>
                <c:pt idx="122">
                  <c:v>52301</c:v>
                </c:pt>
                <c:pt idx="123">
                  <c:v>52393</c:v>
                </c:pt>
                <c:pt idx="124">
                  <c:v>52485</c:v>
                </c:pt>
                <c:pt idx="125">
                  <c:v>52576</c:v>
                </c:pt>
                <c:pt idx="126">
                  <c:v>52667</c:v>
                </c:pt>
                <c:pt idx="127">
                  <c:v>52761</c:v>
                </c:pt>
                <c:pt idx="128">
                  <c:v>52853</c:v>
                </c:pt>
                <c:pt idx="129">
                  <c:v>52944</c:v>
                </c:pt>
                <c:pt idx="130">
                  <c:v>53034</c:v>
                </c:pt>
                <c:pt idx="131">
                  <c:v>53126</c:v>
                </c:pt>
                <c:pt idx="132">
                  <c:v>53218</c:v>
                </c:pt>
                <c:pt idx="133">
                  <c:v>53309</c:v>
                </c:pt>
                <c:pt idx="134">
                  <c:v>53399</c:v>
                </c:pt>
                <c:pt idx="135">
                  <c:v>53491</c:v>
                </c:pt>
                <c:pt idx="136">
                  <c:v>53583</c:v>
                </c:pt>
                <c:pt idx="137">
                  <c:v>53674</c:v>
                </c:pt>
                <c:pt idx="138">
                  <c:v>53764</c:v>
                </c:pt>
                <c:pt idx="139">
                  <c:v>53856</c:v>
                </c:pt>
                <c:pt idx="140">
                  <c:v>53948</c:v>
                </c:pt>
                <c:pt idx="141">
                  <c:v>54039</c:v>
                </c:pt>
                <c:pt idx="142">
                  <c:v>54130</c:v>
                </c:pt>
                <c:pt idx="143">
                  <c:v>54224</c:v>
                </c:pt>
                <c:pt idx="144">
                  <c:v>54316</c:v>
                </c:pt>
                <c:pt idx="145">
                  <c:v>54407</c:v>
                </c:pt>
                <c:pt idx="146">
                  <c:v>54497</c:v>
                </c:pt>
                <c:pt idx="147">
                  <c:v>54589</c:v>
                </c:pt>
                <c:pt idx="148">
                  <c:v>54681</c:v>
                </c:pt>
                <c:pt idx="149">
                  <c:v>54772</c:v>
                </c:pt>
                <c:pt idx="150">
                  <c:v>54862</c:v>
                </c:pt>
                <c:pt idx="151">
                  <c:v>54954</c:v>
                </c:pt>
                <c:pt idx="152">
                  <c:v>55046</c:v>
                </c:pt>
                <c:pt idx="153">
                  <c:v>55137</c:v>
                </c:pt>
                <c:pt idx="154">
                  <c:v>55227</c:v>
                </c:pt>
                <c:pt idx="155">
                  <c:v>55319</c:v>
                </c:pt>
                <c:pt idx="156">
                  <c:v>55411</c:v>
                </c:pt>
                <c:pt idx="157">
                  <c:v>55502</c:v>
                </c:pt>
                <c:pt idx="158">
                  <c:v>55593</c:v>
                </c:pt>
                <c:pt idx="159">
                  <c:v>55687</c:v>
                </c:pt>
                <c:pt idx="160">
                  <c:v>55779</c:v>
                </c:pt>
                <c:pt idx="161">
                  <c:v>55870</c:v>
                </c:pt>
                <c:pt idx="162">
                  <c:v>55960</c:v>
                </c:pt>
                <c:pt idx="163">
                  <c:v>56052</c:v>
                </c:pt>
                <c:pt idx="164">
                  <c:v>56144</c:v>
                </c:pt>
                <c:pt idx="165">
                  <c:v>56235</c:v>
                </c:pt>
                <c:pt idx="166">
                  <c:v>56325</c:v>
                </c:pt>
                <c:pt idx="167">
                  <c:v>56417</c:v>
                </c:pt>
                <c:pt idx="168">
                  <c:v>56509</c:v>
                </c:pt>
                <c:pt idx="169">
                  <c:v>56600</c:v>
                </c:pt>
                <c:pt idx="170">
                  <c:v>56690</c:v>
                </c:pt>
                <c:pt idx="171">
                  <c:v>56782</c:v>
                </c:pt>
                <c:pt idx="172">
                  <c:v>56874</c:v>
                </c:pt>
                <c:pt idx="173">
                  <c:v>56965</c:v>
                </c:pt>
                <c:pt idx="174">
                  <c:v>57056</c:v>
                </c:pt>
                <c:pt idx="175">
                  <c:v>57150</c:v>
                </c:pt>
                <c:pt idx="176">
                  <c:v>57242</c:v>
                </c:pt>
                <c:pt idx="177">
                  <c:v>57333</c:v>
                </c:pt>
                <c:pt idx="178">
                  <c:v>57423</c:v>
                </c:pt>
                <c:pt idx="179">
                  <c:v>57515</c:v>
                </c:pt>
                <c:pt idx="180">
                  <c:v>57607</c:v>
                </c:pt>
                <c:pt idx="181">
                  <c:v>57698</c:v>
                </c:pt>
                <c:pt idx="182">
                  <c:v>57788</c:v>
                </c:pt>
                <c:pt idx="183">
                  <c:v>57880</c:v>
                </c:pt>
                <c:pt idx="184">
                  <c:v>57972</c:v>
                </c:pt>
                <c:pt idx="185">
                  <c:v>58063</c:v>
                </c:pt>
                <c:pt idx="186">
                  <c:v>58153</c:v>
                </c:pt>
                <c:pt idx="187">
                  <c:v>58245</c:v>
                </c:pt>
                <c:pt idx="188">
                  <c:v>58337</c:v>
                </c:pt>
                <c:pt idx="189">
                  <c:v>58428</c:v>
                </c:pt>
                <c:pt idx="190">
                  <c:v>58519</c:v>
                </c:pt>
                <c:pt idx="191">
                  <c:v>58613</c:v>
                </c:pt>
                <c:pt idx="192">
                  <c:v>58705</c:v>
                </c:pt>
                <c:pt idx="193">
                  <c:v>58796</c:v>
                </c:pt>
                <c:pt idx="194">
                  <c:v>58886</c:v>
                </c:pt>
                <c:pt idx="195">
                  <c:v>58978</c:v>
                </c:pt>
                <c:pt idx="196">
                  <c:v>59070</c:v>
                </c:pt>
                <c:pt idx="197">
                  <c:v>59161</c:v>
                </c:pt>
                <c:pt idx="198">
                  <c:v>59251</c:v>
                </c:pt>
                <c:pt idx="199">
                  <c:v>59343</c:v>
                </c:pt>
                <c:pt idx="200">
                  <c:v>59435</c:v>
                </c:pt>
              </c:numCache>
            </c:numRef>
          </c:cat>
          <c:val>
            <c:numRef>
              <c:f>test!$E$2:$E$202</c:f>
              <c:numCache>
                <c:formatCode>G/通用格式</c:formatCode>
                <c:ptCount val="201"/>
                <c:pt idx="0">
                  <c:v>4.9095604781046007E-2</c:v>
                </c:pt>
                <c:pt idx="1">
                  <c:v>4.9095604781046007E-2</c:v>
                </c:pt>
                <c:pt idx="2">
                  <c:v>4.9396874776212463E-2</c:v>
                </c:pt>
                <c:pt idx="3">
                  <c:v>4.9703998427645578E-2</c:v>
                </c:pt>
                <c:pt idx="4">
                  <c:v>4.9989591808261472E-2</c:v>
                </c:pt>
                <c:pt idx="5">
                  <c:v>4.9807738163394767E-2</c:v>
                </c:pt>
                <c:pt idx="6">
                  <c:v>4.9791280181410325E-2</c:v>
                </c:pt>
                <c:pt idx="7">
                  <c:v>4.986878705526112E-2</c:v>
                </c:pt>
                <c:pt idx="8">
                  <c:v>4.9994646322111549E-2</c:v>
                </c:pt>
                <c:pt idx="9">
                  <c:v>4.9973796357936424E-2</c:v>
                </c:pt>
                <c:pt idx="10">
                  <c:v>5.0038660989754014E-2</c:v>
                </c:pt>
                <c:pt idx="11">
                  <c:v>5.0162659044802431E-2</c:v>
                </c:pt>
                <c:pt idx="12">
                  <c:v>5.0328459482921445E-2</c:v>
                </c:pt>
                <c:pt idx="13">
                  <c:v>5.0337761872357473E-2</c:v>
                </c:pt>
                <c:pt idx="14">
                  <c:v>5.0407378088725065E-2</c:v>
                </c:pt>
                <c:pt idx="15">
                  <c:v>5.0521478861284906E-2</c:v>
                </c:pt>
                <c:pt idx="16">
                  <c:v>5.0662449126123429E-2</c:v>
                </c:pt>
                <c:pt idx="17">
                  <c:v>5.0689402491742502E-2</c:v>
                </c:pt>
                <c:pt idx="18">
                  <c:v>5.0758833842445616E-2</c:v>
                </c:pt>
                <c:pt idx="19">
                  <c:v>5.086555786246974E-2</c:v>
                </c:pt>
                <c:pt idx="20">
                  <c:v>5.0995548300064281E-2</c:v>
                </c:pt>
                <c:pt idx="21">
                  <c:v>5.0898275717495431E-2</c:v>
                </c:pt>
                <c:pt idx="22">
                  <c:v>5.083562008851425E-2</c:v>
                </c:pt>
                <c:pt idx="23">
                  <c:v>5.080829612602427E-2</c:v>
                </c:pt>
                <c:pt idx="24">
                  <c:v>5.0797290555192491E-2</c:v>
                </c:pt>
                <c:pt idx="25">
                  <c:v>5.0706571416409767E-2</c:v>
                </c:pt>
                <c:pt idx="26">
                  <c:v>5.0645423155387712E-2</c:v>
                </c:pt>
                <c:pt idx="27">
                  <c:v>5.0614033423906114E-2</c:v>
                </c:pt>
                <c:pt idx="28">
                  <c:v>5.0594453636780688E-2</c:v>
                </c:pt>
                <c:pt idx="29">
                  <c:v>5.0509683216901601E-2</c:v>
                </c:pt>
                <c:pt idx="30">
                  <c:v>5.0451617249487449E-2</c:v>
                </c:pt>
                <c:pt idx="31">
                  <c:v>5.0418487133907099E-2</c:v>
                </c:pt>
                <c:pt idx="32">
                  <c:v>5.0395576936304615E-2</c:v>
                </c:pt>
                <c:pt idx="33">
                  <c:v>5.0314262566104918E-2</c:v>
                </c:pt>
                <c:pt idx="34">
                  <c:v>5.0255962298602574E-2</c:v>
                </c:pt>
                <c:pt idx="35">
                  <c:v>5.0220624744053526E-2</c:v>
                </c:pt>
                <c:pt idx="36">
                  <c:v>5.0190887469575653E-2</c:v>
                </c:pt>
                <c:pt idx="37">
                  <c:v>5.0114384138586182E-2</c:v>
                </c:pt>
                <c:pt idx="38">
                  <c:v>5.0060695641438391E-2</c:v>
                </c:pt>
                <c:pt idx="39">
                  <c:v>5.0024034705320651E-2</c:v>
                </c:pt>
                <c:pt idx="40">
                  <c:v>4.9992612006209414E-2</c:v>
                </c:pt>
                <c:pt idx="41">
                  <c:v>4.9967742580478258E-2</c:v>
                </c:pt>
                <c:pt idx="42">
                  <c:v>4.9963364438895486E-2</c:v>
                </c:pt>
                <c:pt idx="43">
                  <c:v>4.9975781288927677E-2</c:v>
                </c:pt>
                <c:pt idx="44">
                  <c:v>4.999312960056819E-2</c:v>
                </c:pt>
                <c:pt idx="45">
                  <c:v>4.9969936786199785E-2</c:v>
                </c:pt>
                <c:pt idx="46">
                  <c:v>4.9965786072669327E-2</c:v>
                </c:pt>
                <c:pt idx="47">
                  <c:v>4.9978084342686427E-2</c:v>
                </c:pt>
                <c:pt idx="48">
                  <c:v>4.9994314045804712E-2</c:v>
                </c:pt>
                <c:pt idx="49">
                  <c:v>4.9972506836444497E-2</c:v>
                </c:pt>
                <c:pt idx="50">
                  <c:v>4.9967567839578848E-2</c:v>
                </c:pt>
                <c:pt idx="51">
                  <c:v>4.9979347943782428E-2</c:v>
                </c:pt>
                <c:pt idx="52">
                  <c:v>4.9994633539580224E-2</c:v>
                </c:pt>
                <c:pt idx="53">
                  <c:v>4.9974011812553454E-2</c:v>
                </c:pt>
                <c:pt idx="54">
                  <c:v>4.9969298505160686E-2</c:v>
                </c:pt>
                <c:pt idx="55">
                  <c:v>4.9980422955790631E-2</c:v>
                </c:pt>
                <c:pt idx="56">
                  <c:v>4.9994906134179062E-2</c:v>
                </c:pt>
                <c:pt idx="57">
                  <c:v>4.997529953064335E-2</c:v>
                </c:pt>
                <c:pt idx="58">
                  <c:v>4.9970783341287857E-2</c:v>
                </c:pt>
                <c:pt idx="59">
                  <c:v>4.9981347642161396E-2</c:v>
                </c:pt>
                <c:pt idx="60">
                  <c:v>4.9995141189443974E-2</c:v>
                </c:pt>
                <c:pt idx="61">
                  <c:v>4.9976412632679865E-2</c:v>
                </c:pt>
                <c:pt idx="62">
                  <c:v>4.9972069822365968E-2</c:v>
                </c:pt>
                <c:pt idx="63">
                  <c:v>4.9982523010446457E-2</c:v>
                </c:pt>
                <c:pt idx="64">
                  <c:v>4.9994807317381124E-2</c:v>
                </c:pt>
                <c:pt idx="65">
                  <c:v>4.997716527689737E-2</c:v>
                </c:pt>
                <c:pt idx="66">
                  <c:v>4.9973548313188461E-2</c:v>
                </c:pt>
                <c:pt idx="67">
                  <c:v>4.9983210979060284E-2</c:v>
                </c:pt>
                <c:pt idx="68">
                  <c:v>4.9995007382807002E-2</c:v>
                </c:pt>
                <c:pt idx="69">
                  <c:v>4.9978026057426954E-2</c:v>
                </c:pt>
                <c:pt idx="70">
                  <c:v>4.997452435650198E-2</c:v>
                </c:pt>
                <c:pt idx="71">
                  <c:v>4.998381765147792E-2</c:v>
                </c:pt>
                <c:pt idx="72">
                  <c:v>4.9995184095926133E-2</c:v>
                </c:pt>
                <c:pt idx="73">
                  <c:v>4.997878760509035E-2</c:v>
                </c:pt>
                <c:pt idx="74">
                  <c:v>4.9975389228137539E-2</c:v>
                </c:pt>
                <c:pt idx="75">
                  <c:v>4.9984356028596487E-2</c:v>
                </c:pt>
                <c:pt idx="76">
                  <c:v>4.9995341143264801E-2</c:v>
                </c:pt>
                <c:pt idx="77">
                  <c:v>4.9979465381493247E-2</c:v>
                </c:pt>
                <c:pt idx="78">
                  <c:v>4.997616003024323E-2</c:v>
                </c:pt>
                <c:pt idx="79">
                  <c:v>4.9985191177254314E-2</c:v>
                </c:pt>
                <c:pt idx="80">
                  <c:v>4.9995029254991705E-2</c:v>
                </c:pt>
                <c:pt idx="81">
                  <c:v>4.9979896343336369E-2</c:v>
                </c:pt>
                <c:pt idx="82">
                  <c:v>4.9976928907991755E-2</c:v>
                </c:pt>
                <c:pt idx="83">
                  <c:v>4.9985611843315424E-2</c:v>
                </c:pt>
                <c:pt idx="84">
                  <c:v>4.999516781638267E-2</c:v>
                </c:pt>
                <c:pt idx="85">
                  <c:v>4.9980446067483496E-2</c:v>
                </c:pt>
                <c:pt idx="86">
                  <c:v>4.9977547984505051E-2</c:v>
                </c:pt>
                <c:pt idx="87">
                  <c:v>4.9985990843675485E-2</c:v>
                </c:pt>
                <c:pt idx="88">
                  <c:v>4.9995292783464047E-2</c:v>
                </c:pt>
                <c:pt idx="89">
                  <c:v>4.9980942373196668E-2</c:v>
                </c:pt>
                <c:pt idx="90">
                  <c:v>4.9978107462462562E-2</c:v>
                </c:pt>
                <c:pt idx="91">
                  <c:v>4.9986333687639446E-2</c:v>
                </c:pt>
                <c:pt idx="92">
                  <c:v>4.9995405934893537E-2</c:v>
                </c:pt>
                <c:pt idx="93">
                  <c:v>4.9981392175287444E-2</c:v>
                </c:pt>
                <c:pt idx="94">
                  <c:v>4.9978614976524241E-2</c:v>
                </c:pt>
                <c:pt idx="95">
                  <c:v>4.9986852142374714E-2</c:v>
                </c:pt>
                <c:pt idx="96">
                  <c:v>4.9994618629373891E-2</c:v>
                </c:pt>
                <c:pt idx="97">
                  <c:v>4.9981288859722806E-2</c:v>
                </c:pt>
                <c:pt idx="98">
                  <c:v>4.9978747945344348E-2</c:v>
                </c:pt>
                <c:pt idx="99">
                  <c:v>4.9987131183895327E-2</c:v>
                </c:pt>
                <c:pt idx="100">
                  <c:v>4.9994730894718981E-2</c:v>
                </c:pt>
                <c:pt idx="101">
                  <c:v>4.9981672435154917E-2</c:v>
                </c:pt>
                <c:pt idx="102">
                  <c:v>4.9979176176540754E-2</c:v>
                </c:pt>
                <c:pt idx="103">
                  <c:v>4.99873861441026E-2</c:v>
                </c:pt>
                <c:pt idx="104">
                  <c:v>4.9994833544077869E-2</c:v>
                </c:pt>
                <c:pt idx="105">
                  <c:v>4.9982023404095875E-2</c:v>
                </c:pt>
                <c:pt idx="106">
                  <c:v>4.9979568273208687E-2</c:v>
                </c:pt>
                <c:pt idx="107">
                  <c:v>4.998761974478505E-2</c:v>
                </c:pt>
                <c:pt idx="108">
                  <c:v>4.9994927654749374E-2</c:v>
                </c:pt>
                <c:pt idx="109">
                  <c:v>4.9982345387007424E-2</c:v>
                </c:pt>
                <c:pt idx="110">
                  <c:v>4.9979928212640481E-2</c:v>
                </c:pt>
                <c:pt idx="111">
                  <c:v>4.9988204739978948E-2</c:v>
                </c:pt>
                <c:pt idx="112">
                  <c:v>4.9995033540974329E-2</c:v>
                </c:pt>
                <c:pt idx="113">
                  <c:v>4.9982773000378143E-2</c:v>
                </c:pt>
                <c:pt idx="114">
                  <c:v>4.9980688739055368E-2</c:v>
                </c:pt>
                <c:pt idx="115">
                  <c:v>4.9988396209267184E-2</c:v>
                </c:pt>
                <c:pt idx="116">
                  <c:v>4.9995112881137754E-2</c:v>
                </c:pt>
                <c:pt idx="117">
                  <c:v>4.9983043754171168E-2</c:v>
                </c:pt>
                <c:pt idx="118">
                  <c:v>4.9980987420265882E-2</c:v>
                </c:pt>
                <c:pt idx="119">
                  <c:v>4.9988572869777738E-2</c:v>
                </c:pt>
                <c:pt idx="120">
                  <c:v>4.9995186121761764E-2</c:v>
                </c:pt>
                <c:pt idx="121">
                  <c:v>4.9983293819099425E-2</c:v>
                </c:pt>
                <c:pt idx="122">
                  <c:v>4.9981263413505131E-2</c:v>
                </c:pt>
                <c:pt idx="123">
                  <c:v>4.9988736188386798E-2</c:v>
                </c:pt>
                <c:pt idx="124">
                  <c:v>4.9995253862534714E-2</c:v>
                </c:pt>
                <c:pt idx="125">
                  <c:v>4.9983525213884834E-2</c:v>
                </c:pt>
                <c:pt idx="126">
                  <c:v>4.9981518916227499E-2</c:v>
                </c:pt>
                <c:pt idx="127">
                  <c:v>4.998916429468938E-2</c:v>
                </c:pt>
                <c:pt idx="128">
                  <c:v>4.9994971814300043E-2</c:v>
                </c:pt>
                <c:pt idx="129">
                  <c:v>4.9983611218518555E-2</c:v>
                </c:pt>
                <c:pt idx="130">
                  <c:v>4.9981814670508169E-2</c:v>
                </c:pt>
                <c:pt idx="131">
                  <c:v>4.9989301080582638E-2</c:v>
                </c:pt>
                <c:pt idx="132">
                  <c:v>4.999503433449979E-2</c:v>
                </c:pt>
                <c:pt idx="133">
                  <c:v>4.9983811875095319E-2</c:v>
                </c:pt>
                <c:pt idx="134">
                  <c:v>4.9982033964810949E-2</c:v>
                </c:pt>
                <c:pt idx="135">
                  <c:v>4.9989428180296919E-2</c:v>
                </c:pt>
                <c:pt idx="136">
                  <c:v>4.9995092449008384E-2</c:v>
                </c:pt>
                <c:pt idx="137">
                  <c:v>4.9983998461151563E-2</c:v>
                </c:pt>
                <c:pt idx="138">
                  <c:v>4.9982237955260606E-2</c:v>
                </c:pt>
                <c:pt idx="139">
                  <c:v>4.9989546451522253E-2</c:v>
                </c:pt>
                <c:pt idx="140">
                  <c:v>4.9995146545459612E-2</c:v>
                </c:pt>
                <c:pt idx="141">
                  <c:v>4.9984172206709247E-2</c:v>
                </c:pt>
                <c:pt idx="142">
                  <c:v>4.9982427971270796E-2</c:v>
                </c:pt>
                <c:pt idx="143">
                  <c:v>4.9989797965661324E-2</c:v>
                </c:pt>
                <c:pt idx="144">
                  <c:v>4.9994120327597917E-2</c:v>
                </c:pt>
                <c:pt idx="145">
                  <c:v>4.9983675789538148E-2</c:v>
                </c:pt>
                <c:pt idx="146">
                  <c:v>4.9982686757732812E-2</c:v>
                </c:pt>
                <c:pt idx="147">
                  <c:v>4.9989899346556343E-2</c:v>
                </c:pt>
                <c:pt idx="148">
                  <c:v>4.9994177913600425E-2</c:v>
                </c:pt>
                <c:pt idx="149">
                  <c:v>4.9983833325078962E-2</c:v>
                </c:pt>
                <c:pt idx="150">
                  <c:v>4.998285142358791E-2</c:v>
                </c:pt>
                <c:pt idx="151">
                  <c:v>4.9989994044080853E-2</c:v>
                </c:pt>
                <c:pt idx="152">
                  <c:v>4.9994231718392575E-2</c:v>
                </c:pt>
                <c:pt idx="153">
                  <c:v>4.9983980557838682E-2</c:v>
                </c:pt>
                <c:pt idx="154">
                  <c:v>4.9983005362268441E-2</c:v>
                </c:pt>
                <c:pt idx="155">
                  <c:v>4.9990082595976537E-2</c:v>
                </c:pt>
                <c:pt idx="156">
                  <c:v>4.9994282044550961E-2</c:v>
                </c:pt>
                <c:pt idx="157">
                  <c:v>4.9984118307717325E-2</c:v>
                </c:pt>
                <c:pt idx="158">
                  <c:v>4.9983149422851515E-2</c:v>
                </c:pt>
                <c:pt idx="159">
                  <c:v>4.9990534309244265E-2</c:v>
                </c:pt>
                <c:pt idx="160">
                  <c:v>4.9994710953980434E-2</c:v>
                </c:pt>
                <c:pt idx="161">
                  <c:v>4.9984624014483149E-2</c:v>
                </c:pt>
                <c:pt idx="162">
                  <c:v>4.99831864468019E-2</c:v>
                </c:pt>
                <c:pt idx="163">
                  <c:v>4.9990609038633373E-2</c:v>
                </c:pt>
                <c:pt idx="164">
                  <c:v>4.9994752128110269E-2</c:v>
                </c:pt>
                <c:pt idx="165">
                  <c:v>4.9984742015752898E-2</c:v>
                </c:pt>
                <c:pt idx="166">
                  <c:v>4.9983313675726233E-2</c:v>
                </c:pt>
                <c:pt idx="167">
                  <c:v>4.9990679120668763E-2</c:v>
                </c:pt>
                <c:pt idx="168">
                  <c:v>4.9994790749952819E-2</c:v>
                </c:pt>
                <c:pt idx="169">
                  <c:v>4.9984852726273739E-2</c:v>
                </c:pt>
                <c:pt idx="170">
                  <c:v>4.9983433068797142E-2</c:v>
                </c:pt>
                <c:pt idx="171">
                  <c:v>4.9990744899851912E-2</c:v>
                </c:pt>
                <c:pt idx="172">
                  <c:v>4.9994827007822769E-2</c:v>
                </c:pt>
                <c:pt idx="173">
                  <c:v>4.998495668144181E-2</c:v>
                </c:pt>
                <c:pt idx="174">
                  <c:v>4.9983545198787456E-2</c:v>
                </c:pt>
                <c:pt idx="175">
                  <c:v>4.9991053169126144E-2</c:v>
                </c:pt>
                <c:pt idx="176">
                  <c:v>4.9994554287849803E-2</c:v>
                </c:pt>
                <c:pt idx="177">
                  <c:v>4.998494043416931E-2</c:v>
                </c:pt>
                <c:pt idx="178">
                  <c:v>4.9983876675460254E-2</c:v>
                </c:pt>
                <c:pt idx="179">
                  <c:v>4.9991109679726232E-2</c:v>
                </c:pt>
                <c:pt idx="180">
                  <c:v>4.999458821782448E-2</c:v>
                </c:pt>
                <c:pt idx="181">
                  <c:v>4.9985032969012341E-2</c:v>
                </c:pt>
                <c:pt idx="182">
                  <c:v>4.9983974397868162E-2</c:v>
                </c:pt>
                <c:pt idx="183">
                  <c:v>4.9991162839623016E-2</c:v>
                </c:pt>
                <c:pt idx="184">
                  <c:v>4.999462014131878E-2</c:v>
                </c:pt>
                <c:pt idx="185">
                  <c:v>4.9985120046345692E-2</c:v>
                </c:pt>
                <c:pt idx="186">
                  <c:v>4.9984066371840191E-2</c:v>
                </c:pt>
                <c:pt idx="187">
                  <c:v>4.999121288039042E-2</c:v>
                </c:pt>
                <c:pt idx="188">
                  <c:v>4.9994650196451496E-2</c:v>
                </c:pt>
                <c:pt idx="189">
                  <c:v>4.9985202040332417E-2</c:v>
                </c:pt>
                <c:pt idx="190">
                  <c:v>4.9984152989933771E-2</c:v>
                </c:pt>
                <c:pt idx="191">
                  <c:v>4.999152422299491E-2</c:v>
                </c:pt>
                <c:pt idx="192">
                  <c:v>4.9994390998942734E-2</c:v>
                </c:pt>
                <c:pt idx="193">
                  <c:v>4.9985179901163634E-2</c:v>
                </c:pt>
                <c:pt idx="194">
                  <c:v>4.998431023397612E-2</c:v>
                </c:pt>
                <c:pt idx="195">
                  <c:v>4.9991567289137333E-2</c:v>
                </c:pt>
                <c:pt idx="196">
                  <c:v>4.9994419120191841E-2</c:v>
                </c:pt>
                <c:pt idx="197">
                  <c:v>4.9985253199741057E-2</c:v>
                </c:pt>
                <c:pt idx="198">
                  <c:v>4.9984386799877989E-2</c:v>
                </c:pt>
                <c:pt idx="199">
                  <c:v>4.9991607899589299E-2</c:v>
                </c:pt>
                <c:pt idx="200">
                  <c:v>4.9994445641424162E-2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test!$F$1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cat>
            <c:numRef>
              <c:f>test!$A$2:$A$202</c:f>
              <c:numCache>
                <c:formatCode>yyyy-m-d</c:formatCode>
                <c:ptCount val="201"/>
                <c:pt idx="0">
                  <c:v>41138</c:v>
                </c:pt>
                <c:pt idx="1">
                  <c:v>41232</c:v>
                </c:pt>
                <c:pt idx="2">
                  <c:v>41324</c:v>
                </c:pt>
                <c:pt idx="3">
                  <c:v>41414</c:v>
                </c:pt>
                <c:pt idx="4">
                  <c:v>41506</c:v>
                </c:pt>
                <c:pt idx="5">
                  <c:v>41598</c:v>
                </c:pt>
                <c:pt idx="6">
                  <c:v>41690</c:v>
                </c:pt>
                <c:pt idx="7">
                  <c:v>41779</c:v>
                </c:pt>
                <c:pt idx="8">
                  <c:v>41871</c:v>
                </c:pt>
                <c:pt idx="9">
                  <c:v>41963</c:v>
                </c:pt>
                <c:pt idx="10">
                  <c:v>42055</c:v>
                </c:pt>
                <c:pt idx="11">
                  <c:v>42144</c:v>
                </c:pt>
                <c:pt idx="12">
                  <c:v>42236</c:v>
                </c:pt>
                <c:pt idx="13">
                  <c:v>42328</c:v>
                </c:pt>
                <c:pt idx="14">
                  <c:v>42422</c:v>
                </c:pt>
                <c:pt idx="15">
                  <c:v>42513</c:v>
                </c:pt>
                <c:pt idx="16">
                  <c:v>42605</c:v>
                </c:pt>
                <c:pt idx="17">
                  <c:v>42697</c:v>
                </c:pt>
                <c:pt idx="18">
                  <c:v>42789</c:v>
                </c:pt>
                <c:pt idx="19">
                  <c:v>42878</c:v>
                </c:pt>
                <c:pt idx="20">
                  <c:v>42970</c:v>
                </c:pt>
                <c:pt idx="21">
                  <c:v>43062</c:v>
                </c:pt>
                <c:pt idx="22">
                  <c:v>43154</c:v>
                </c:pt>
                <c:pt idx="23">
                  <c:v>43243</c:v>
                </c:pt>
                <c:pt idx="24">
                  <c:v>43335</c:v>
                </c:pt>
                <c:pt idx="25">
                  <c:v>43427</c:v>
                </c:pt>
                <c:pt idx="26">
                  <c:v>43521</c:v>
                </c:pt>
                <c:pt idx="27">
                  <c:v>43612</c:v>
                </c:pt>
                <c:pt idx="28">
                  <c:v>43704</c:v>
                </c:pt>
                <c:pt idx="29">
                  <c:v>43796</c:v>
                </c:pt>
                <c:pt idx="30">
                  <c:v>43888</c:v>
                </c:pt>
                <c:pt idx="31">
                  <c:v>43978</c:v>
                </c:pt>
                <c:pt idx="32">
                  <c:v>44070</c:v>
                </c:pt>
                <c:pt idx="33">
                  <c:v>44162</c:v>
                </c:pt>
                <c:pt idx="34">
                  <c:v>44256</c:v>
                </c:pt>
                <c:pt idx="35">
                  <c:v>44348</c:v>
                </c:pt>
                <c:pt idx="36">
                  <c:v>44440</c:v>
                </c:pt>
                <c:pt idx="37">
                  <c:v>44531</c:v>
                </c:pt>
                <c:pt idx="38">
                  <c:v>44621</c:v>
                </c:pt>
                <c:pt idx="39">
                  <c:v>44713</c:v>
                </c:pt>
                <c:pt idx="40">
                  <c:v>44805</c:v>
                </c:pt>
                <c:pt idx="41">
                  <c:v>44896</c:v>
                </c:pt>
                <c:pt idx="42">
                  <c:v>44986</c:v>
                </c:pt>
                <c:pt idx="43">
                  <c:v>45078</c:v>
                </c:pt>
                <c:pt idx="44">
                  <c:v>45170</c:v>
                </c:pt>
                <c:pt idx="45">
                  <c:v>45261</c:v>
                </c:pt>
                <c:pt idx="46">
                  <c:v>45352</c:v>
                </c:pt>
                <c:pt idx="47">
                  <c:v>45446</c:v>
                </c:pt>
                <c:pt idx="48">
                  <c:v>45538</c:v>
                </c:pt>
                <c:pt idx="49">
                  <c:v>45629</c:v>
                </c:pt>
                <c:pt idx="50">
                  <c:v>45719</c:v>
                </c:pt>
                <c:pt idx="51">
                  <c:v>45811</c:v>
                </c:pt>
                <c:pt idx="52">
                  <c:v>45903</c:v>
                </c:pt>
                <c:pt idx="53">
                  <c:v>45994</c:v>
                </c:pt>
                <c:pt idx="54">
                  <c:v>46084</c:v>
                </c:pt>
                <c:pt idx="55">
                  <c:v>46176</c:v>
                </c:pt>
                <c:pt idx="56">
                  <c:v>46268</c:v>
                </c:pt>
                <c:pt idx="57">
                  <c:v>46359</c:v>
                </c:pt>
                <c:pt idx="58">
                  <c:v>46449</c:v>
                </c:pt>
                <c:pt idx="59">
                  <c:v>46541</c:v>
                </c:pt>
                <c:pt idx="60">
                  <c:v>46633</c:v>
                </c:pt>
                <c:pt idx="61">
                  <c:v>46724</c:v>
                </c:pt>
                <c:pt idx="62">
                  <c:v>46815</c:v>
                </c:pt>
                <c:pt idx="63">
                  <c:v>46909</c:v>
                </c:pt>
                <c:pt idx="64">
                  <c:v>47001</c:v>
                </c:pt>
                <c:pt idx="65">
                  <c:v>47092</c:v>
                </c:pt>
                <c:pt idx="66">
                  <c:v>47182</c:v>
                </c:pt>
                <c:pt idx="67">
                  <c:v>47274</c:v>
                </c:pt>
                <c:pt idx="68">
                  <c:v>47366</c:v>
                </c:pt>
                <c:pt idx="69">
                  <c:v>47457</c:v>
                </c:pt>
                <c:pt idx="70">
                  <c:v>47547</c:v>
                </c:pt>
                <c:pt idx="71">
                  <c:v>47639</c:v>
                </c:pt>
                <c:pt idx="72">
                  <c:v>47731</c:v>
                </c:pt>
                <c:pt idx="73">
                  <c:v>47822</c:v>
                </c:pt>
                <c:pt idx="74">
                  <c:v>47912</c:v>
                </c:pt>
                <c:pt idx="75">
                  <c:v>48004</c:v>
                </c:pt>
                <c:pt idx="76">
                  <c:v>48096</c:v>
                </c:pt>
                <c:pt idx="77">
                  <c:v>48187</c:v>
                </c:pt>
                <c:pt idx="78">
                  <c:v>48278</c:v>
                </c:pt>
                <c:pt idx="79">
                  <c:v>48372</c:v>
                </c:pt>
                <c:pt idx="80">
                  <c:v>48464</c:v>
                </c:pt>
                <c:pt idx="81">
                  <c:v>48555</c:v>
                </c:pt>
                <c:pt idx="82">
                  <c:v>48645</c:v>
                </c:pt>
                <c:pt idx="83">
                  <c:v>48737</c:v>
                </c:pt>
                <c:pt idx="84">
                  <c:v>48829</c:v>
                </c:pt>
                <c:pt idx="85">
                  <c:v>48920</c:v>
                </c:pt>
                <c:pt idx="86">
                  <c:v>49010</c:v>
                </c:pt>
                <c:pt idx="87">
                  <c:v>49102</c:v>
                </c:pt>
                <c:pt idx="88">
                  <c:v>49194</c:v>
                </c:pt>
                <c:pt idx="89">
                  <c:v>49285</c:v>
                </c:pt>
                <c:pt idx="90">
                  <c:v>49375</c:v>
                </c:pt>
                <c:pt idx="91">
                  <c:v>49467</c:v>
                </c:pt>
                <c:pt idx="92">
                  <c:v>49559</c:v>
                </c:pt>
                <c:pt idx="93">
                  <c:v>49650</c:v>
                </c:pt>
                <c:pt idx="94">
                  <c:v>49741</c:v>
                </c:pt>
                <c:pt idx="95">
                  <c:v>49835</c:v>
                </c:pt>
                <c:pt idx="96">
                  <c:v>49927</c:v>
                </c:pt>
                <c:pt idx="97">
                  <c:v>50018</c:v>
                </c:pt>
                <c:pt idx="98">
                  <c:v>50108</c:v>
                </c:pt>
                <c:pt idx="99">
                  <c:v>50200</c:v>
                </c:pt>
                <c:pt idx="100">
                  <c:v>50292</c:v>
                </c:pt>
                <c:pt idx="101">
                  <c:v>50383</c:v>
                </c:pt>
                <c:pt idx="102">
                  <c:v>50473</c:v>
                </c:pt>
                <c:pt idx="103">
                  <c:v>50565</c:v>
                </c:pt>
                <c:pt idx="104">
                  <c:v>50657</c:v>
                </c:pt>
                <c:pt idx="105">
                  <c:v>50748</c:v>
                </c:pt>
                <c:pt idx="106">
                  <c:v>50838</c:v>
                </c:pt>
                <c:pt idx="107">
                  <c:v>50930</c:v>
                </c:pt>
                <c:pt idx="108">
                  <c:v>51022</c:v>
                </c:pt>
                <c:pt idx="109">
                  <c:v>51113</c:v>
                </c:pt>
                <c:pt idx="110">
                  <c:v>51204</c:v>
                </c:pt>
                <c:pt idx="111">
                  <c:v>51298</c:v>
                </c:pt>
                <c:pt idx="112">
                  <c:v>51390</c:v>
                </c:pt>
                <c:pt idx="113">
                  <c:v>51481</c:v>
                </c:pt>
                <c:pt idx="114">
                  <c:v>51571</c:v>
                </c:pt>
                <c:pt idx="115">
                  <c:v>51663</c:v>
                </c:pt>
                <c:pt idx="116">
                  <c:v>51755</c:v>
                </c:pt>
                <c:pt idx="117">
                  <c:v>51846</c:v>
                </c:pt>
                <c:pt idx="118">
                  <c:v>51936</c:v>
                </c:pt>
                <c:pt idx="119">
                  <c:v>52028</c:v>
                </c:pt>
                <c:pt idx="120">
                  <c:v>52120</c:v>
                </c:pt>
                <c:pt idx="121">
                  <c:v>52211</c:v>
                </c:pt>
                <c:pt idx="122">
                  <c:v>52301</c:v>
                </c:pt>
                <c:pt idx="123">
                  <c:v>52393</c:v>
                </c:pt>
                <c:pt idx="124">
                  <c:v>52485</c:v>
                </c:pt>
                <c:pt idx="125">
                  <c:v>52576</c:v>
                </c:pt>
                <c:pt idx="126">
                  <c:v>52667</c:v>
                </c:pt>
                <c:pt idx="127">
                  <c:v>52761</c:v>
                </c:pt>
                <c:pt idx="128">
                  <c:v>52853</c:v>
                </c:pt>
                <c:pt idx="129">
                  <c:v>52944</c:v>
                </c:pt>
                <c:pt idx="130">
                  <c:v>53034</c:v>
                </c:pt>
                <c:pt idx="131">
                  <c:v>53126</c:v>
                </c:pt>
                <c:pt idx="132">
                  <c:v>53218</c:v>
                </c:pt>
                <c:pt idx="133">
                  <c:v>53309</c:v>
                </c:pt>
                <c:pt idx="134">
                  <c:v>53399</c:v>
                </c:pt>
                <c:pt idx="135">
                  <c:v>53491</c:v>
                </c:pt>
                <c:pt idx="136">
                  <c:v>53583</c:v>
                </c:pt>
                <c:pt idx="137">
                  <c:v>53674</c:v>
                </c:pt>
                <c:pt idx="138">
                  <c:v>53764</c:v>
                </c:pt>
                <c:pt idx="139">
                  <c:v>53856</c:v>
                </c:pt>
                <c:pt idx="140">
                  <c:v>53948</c:v>
                </c:pt>
                <c:pt idx="141">
                  <c:v>54039</c:v>
                </c:pt>
                <c:pt idx="142">
                  <c:v>54130</c:v>
                </c:pt>
                <c:pt idx="143">
                  <c:v>54224</c:v>
                </c:pt>
                <c:pt idx="144">
                  <c:v>54316</c:v>
                </c:pt>
                <c:pt idx="145">
                  <c:v>54407</c:v>
                </c:pt>
                <c:pt idx="146">
                  <c:v>54497</c:v>
                </c:pt>
                <c:pt idx="147">
                  <c:v>54589</c:v>
                </c:pt>
                <c:pt idx="148">
                  <c:v>54681</c:v>
                </c:pt>
                <c:pt idx="149">
                  <c:v>54772</c:v>
                </c:pt>
                <c:pt idx="150">
                  <c:v>54862</c:v>
                </c:pt>
                <c:pt idx="151">
                  <c:v>54954</c:v>
                </c:pt>
                <c:pt idx="152">
                  <c:v>55046</c:v>
                </c:pt>
                <c:pt idx="153">
                  <c:v>55137</c:v>
                </c:pt>
                <c:pt idx="154">
                  <c:v>55227</c:v>
                </c:pt>
                <c:pt idx="155">
                  <c:v>55319</c:v>
                </c:pt>
                <c:pt idx="156">
                  <c:v>55411</c:v>
                </c:pt>
                <c:pt idx="157">
                  <c:v>55502</c:v>
                </c:pt>
                <c:pt idx="158">
                  <c:v>55593</c:v>
                </c:pt>
                <c:pt idx="159">
                  <c:v>55687</c:v>
                </c:pt>
                <c:pt idx="160">
                  <c:v>55779</c:v>
                </c:pt>
                <c:pt idx="161">
                  <c:v>55870</c:v>
                </c:pt>
                <c:pt idx="162">
                  <c:v>55960</c:v>
                </c:pt>
                <c:pt idx="163">
                  <c:v>56052</c:v>
                </c:pt>
                <c:pt idx="164">
                  <c:v>56144</c:v>
                </c:pt>
                <c:pt idx="165">
                  <c:v>56235</c:v>
                </c:pt>
                <c:pt idx="166">
                  <c:v>56325</c:v>
                </c:pt>
                <c:pt idx="167">
                  <c:v>56417</c:v>
                </c:pt>
                <c:pt idx="168">
                  <c:v>56509</c:v>
                </c:pt>
                <c:pt idx="169">
                  <c:v>56600</c:v>
                </c:pt>
                <c:pt idx="170">
                  <c:v>56690</c:v>
                </c:pt>
                <c:pt idx="171">
                  <c:v>56782</c:v>
                </c:pt>
                <c:pt idx="172">
                  <c:v>56874</c:v>
                </c:pt>
                <c:pt idx="173">
                  <c:v>56965</c:v>
                </c:pt>
                <c:pt idx="174">
                  <c:v>57056</c:v>
                </c:pt>
                <c:pt idx="175">
                  <c:v>57150</c:v>
                </c:pt>
                <c:pt idx="176">
                  <c:v>57242</c:v>
                </c:pt>
                <c:pt idx="177">
                  <c:v>57333</c:v>
                </c:pt>
                <c:pt idx="178">
                  <c:v>57423</c:v>
                </c:pt>
                <c:pt idx="179">
                  <c:v>57515</c:v>
                </c:pt>
                <c:pt idx="180">
                  <c:v>57607</c:v>
                </c:pt>
                <c:pt idx="181">
                  <c:v>57698</c:v>
                </c:pt>
                <c:pt idx="182">
                  <c:v>57788</c:v>
                </c:pt>
                <c:pt idx="183">
                  <c:v>57880</c:v>
                </c:pt>
                <c:pt idx="184">
                  <c:v>57972</c:v>
                </c:pt>
                <c:pt idx="185">
                  <c:v>58063</c:v>
                </c:pt>
                <c:pt idx="186">
                  <c:v>58153</c:v>
                </c:pt>
                <c:pt idx="187">
                  <c:v>58245</c:v>
                </c:pt>
                <c:pt idx="188">
                  <c:v>58337</c:v>
                </c:pt>
                <c:pt idx="189">
                  <c:v>58428</c:v>
                </c:pt>
                <c:pt idx="190">
                  <c:v>58519</c:v>
                </c:pt>
                <c:pt idx="191">
                  <c:v>58613</c:v>
                </c:pt>
                <c:pt idx="192">
                  <c:v>58705</c:v>
                </c:pt>
                <c:pt idx="193">
                  <c:v>58796</c:v>
                </c:pt>
                <c:pt idx="194">
                  <c:v>58886</c:v>
                </c:pt>
                <c:pt idx="195">
                  <c:v>58978</c:v>
                </c:pt>
                <c:pt idx="196">
                  <c:v>59070</c:v>
                </c:pt>
                <c:pt idx="197">
                  <c:v>59161</c:v>
                </c:pt>
                <c:pt idx="198">
                  <c:v>59251</c:v>
                </c:pt>
                <c:pt idx="199">
                  <c:v>59343</c:v>
                </c:pt>
                <c:pt idx="200">
                  <c:v>59435</c:v>
                </c:pt>
              </c:numCache>
            </c:numRef>
          </c:cat>
          <c:val>
            <c:numRef>
              <c:f>test!$F$2:$F$202</c:f>
              <c:numCache>
                <c:formatCode>G/通用格式</c:formatCode>
                <c:ptCount val="201"/>
                <c:pt idx="0">
                  <c:v>4.9095604781046007E-2</c:v>
                </c:pt>
                <c:pt idx="1">
                  <c:v>4.9095604781046007E-2</c:v>
                </c:pt>
                <c:pt idx="2">
                  <c:v>4.9396874776212463E-2</c:v>
                </c:pt>
                <c:pt idx="3">
                  <c:v>4.9703998427645578E-2</c:v>
                </c:pt>
                <c:pt idx="4">
                  <c:v>4.9989591808261472E-2</c:v>
                </c:pt>
                <c:pt idx="5">
                  <c:v>4.9807738163394767E-2</c:v>
                </c:pt>
                <c:pt idx="6">
                  <c:v>4.9791280181410325E-2</c:v>
                </c:pt>
                <c:pt idx="7">
                  <c:v>4.986878705526112E-2</c:v>
                </c:pt>
                <c:pt idx="8">
                  <c:v>4.9994646322111549E-2</c:v>
                </c:pt>
                <c:pt idx="9">
                  <c:v>4.9890083892058353E-2</c:v>
                </c:pt>
                <c:pt idx="10">
                  <c:v>4.987123605799787E-2</c:v>
                </c:pt>
                <c:pt idx="11">
                  <c:v>4.9914251401490327E-2</c:v>
                </c:pt>
                <c:pt idx="12">
                  <c:v>4.9996339373731269E-2</c:v>
                </c:pt>
                <c:pt idx="13">
                  <c:v>4.9921929297289232E-2</c:v>
                </c:pt>
                <c:pt idx="14">
                  <c:v>4.9906013211564008E-2</c:v>
                </c:pt>
                <c:pt idx="15">
                  <c:v>4.9937311436353153E-2</c:v>
                </c:pt>
                <c:pt idx="16">
                  <c:v>4.9994569235313605E-2</c:v>
                </c:pt>
                <c:pt idx="17">
                  <c:v>4.9937810135054606E-2</c:v>
                </c:pt>
                <c:pt idx="18">
                  <c:v>4.9923529019879648E-2</c:v>
                </c:pt>
                <c:pt idx="19">
                  <c:v>4.9949270328347811E-2</c:v>
                </c:pt>
                <c:pt idx="20">
                  <c:v>4.999554830006428E-2</c:v>
                </c:pt>
                <c:pt idx="21">
                  <c:v>4.9998548197059463E-2</c:v>
                </c:pt>
                <c:pt idx="22">
                  <c:v>5.0036165047642314E-2</c:v>
                </c:pt>
                <c:pt idx="23">
                  <c:v>5.0105843809947974E-2</c:v>
                </c:pt>
                <c:pt idx="24">
                  <c:v>5.0195110718680234E-2</c:v>
                </c:pt>
                <c:pt idx="25">
                  <c:v>5.0204664059461536E-2</c:v>
                </c:pt>
                <c:pt idx="26">
                  <c:v>5.0245968114515774E-2</c:v>
                </c:pt>
                <c:pt idx="27">
                  <c:v>5.0313760944342083E-2</c:v>
                </c:pt>
                <c:pt idx="28">
                  <c:v>5.0394453636780683E-2</c:v>
                </c:pt>
                <c:pt idx="29">
                  <c:v>5.0409955696465635E-2</c:v>
                </c:pt>
                <c:pt idx="30">
                  <c:v>5.0452162208615509E-2</c:v>
                </c:pt>
                <c:pt idx="31">
                  <c:v>5.0517124736086931E-2</c:v>
                </c:pt>
                <c:pt idx="32">
                  <c:v>5.0594487018048487E-2</c:v>
                </c:pt>
                <c:pt idx="33">
                  <c:v>5.0613445127412816E-2</c:v>
                </c:pt>
                <c:pt idx="34">
                  <c:v>5.0657597175986765E-2</c:v>
                </c:pt>
                <c:pt idx="35">
                  <c:v>5.0722532101001756E-2</c:v>
                </c:pt>
                <c:pt idx="36">
                  <c:v>5.0793067306087909E-2</c:v>
                </c:pt>
                <c:pt idx="37">
                  <c:v>5.0815746536406345E-2</c:v>
                </c:pt>
                <c:pt idx="38">
                  <c:v>5.0860150682310326E-2</c:v>
                </c:pt>
                <c:pt idx="39">
                  <c:v>5.0923762225756619E-2</c:v>
                </c:pt>
                <c:pt idx="40">
                  <c:v>5.0992612006209415E-2</c:v>
                </c:pt>
                <c:pt idx="41">
                  <c:v>5.0942872397368118E-2</c:v>
                </c:pt>
                <c:pt idx="42">
                  <c:v>5.0913897371390703E-2</c:v>
                </c:pt>
                <c:pt idx="43">
                  <c:v>5.0901170739597261E-2</c:v>
                </c:pt>
                <c:pt idx="44">
                  <c:v>5.0893375569412133E-2</c:v>
                </c:pt>
                <c:pt idx="45">
                  <c:v>5.0845312571933594E-2</c:v>
                </c:pt>
                <c:pt idx="46">
                  <c:v>5.0816291675292995E-2</c:v>
                </c:pt>
                <c:pt idx="47">
                  <c:v>5.0802899866053464E-2</c:v>
                </c:pt>
                <c:pt idx="48">
                  <c:v>5.0793986087346116E-2</c:v>
                </c:pt>
                <c:pt idx="49">
                  <c:v>5.0747308694875759E-2</c:v>
                </c:pt>
                <c:pt idx="50">
                  <c:v>5.0717772813615468E-2</c:v>
                </c:pt>
                <c:pt idx="51">
                  <c:v>5.0704409435993414E-2</c:v>
                </c:pt>
                <c:pt idx="52">
                  <c:v>5.0694551549965577E-2</c:v>
                </c:pt>
                <c:pt idx="53">
                  <c:v>5.0649059639828665E-2</c:v>
                </c:pt>
                <c:pt idx="54">
                  <c:v>5.0619749448041255E-2</c:v>
                </c:pt>
                <c:pt idx="55">
                  <c:v>5.0605730416845567E-2</c:v>
                </c:pt>
                <c:pt idx="56">
                  <c:v>5.0595070113408358E-2</c:v>
                </c:pt>
                <c:pt idx="57">
                  <c:v>5.0550593326762511E-2</c:v>
                </c:pt>
                <c:pt idx="58">
                  <c:v>5.0521480253012369E-2</c:v>
                </c:pt>
                <c:pt idx="59">
                  <c:v>5.0506901072060274E-2</c:v>
                </c:pt>
                <c:pt idx="60">
                  <c:v>5.0495551137517219E-2</c:v>
                </c:pt>
                <c:pt idx="61">
                  <c:v>5.0451952397642968E-2</c:v>
                </c:pt>
                <c:pt idx="62">
                  <c:v>5.042273940421893E-2</c:v>
                </c:pt>
                <c:pt idx="63">
                  <c:v>5.0407502513042796E-2</c:v>
                </c:pt>
                <c:pt idx="64">
                  <c:v>5.0394643338151829E-2</c:v>
                </c:pt>
                <c:pt idx="65">
                  <c:v>5.0352131114557934E-2</c:v>
                </c:pt>
                <c:pt idx="66">
                  <c:v>5.0323917266454382E-2</c:v>
                </c:pt>
                <c:pt idx="67">
                  <c:v>5.0308436450500565E-2</c:v>
                </c:pt>
                <c:pt idx="68">
                  <c:v>5.029508937242165E-2</c:v>
                </c:pt>
                <c:pt idx="69">
                  <c:v>5.025323786393146E-2</c:v>
                </c:pt>
                <c:pt idx="70">
                  <c:v>5.0225139278611844E-2</c:v>
                </c:pt>
                <c:pt idx="71">
                  <c:v>5.0209289091762151E-2</c:v>
                </c:pt>
                <c:pt idx="72">
                  <c:v>5.0195512054384731E-2</c:v>
                </c:pt>
                <c:pt idx="73">
                  <c:v>5.0154245380438806E-2</c:v>
                </c:pt>
                <c:pt idx="74">
                  <c:v>5.0126250119091352E-2</c:v>
                </c:pt>
                <c:pt idx="75">
                  <c:v>5.0110073437724667E-2</c:v>
                </c:pt>
                <c:pt idx="76">
                  <c:v>5.0095915070567341E-2</c:v>
                </c:pt>
                <c:pt idx="77">
                  <c:v>5.0055169125685653E-2</c:v>
                </c:pt>
                <c:pt idx="78">
                  <c:v>5.0026993591325494E-2</c:v>
                </c:pt>
                <c:pt idx="79">
                  <c:v>5.0010334659079947E-2</c:v>
                </c:pt>
                <c:pt idx="80">
                  <c:v>4.9995029254991705E-2</c:v>
                </c:pt>
                <c:pt idx="81">
                  <c:v>4.9979896343336369E-2</c:v>
                </c:pt>
                <c:pt idx="82">
                  <c:v>4.9976928907991755E-2</c:v>
                </c:pt>
                <c:pt idx="83">
                  <c:v>4.9985611843315424E-2</c:v>
                </c:pt>
                <c:pt idx="84">
                  <c:v>4.999516781638267E-2</c:v>
                </c:pt>
                <c:pt idx="85">
                  <c:v>4.9980446067483496E-2</c:v>
                </c:pt>
                <c:pt idx="86">
                  <c:v>4.9977547984505051E-2</c:v>
                </c:pt>
                <c:pt idx="87">
                  <c:v>4.9985990843675485E-2</c:v>
                </c:pt>
                <c:pt idx="88">
                  <c:v>4.9995292783464047E-2</c:v>
                </c:pt>
                <c:pt idx="89">
                  <c:v>4.9980942373196668E-2</c:v>
                </c:pt>
                <c:pt idx="90">
                  <c:v>4.9978107462462562E-2</c:v>
                </c:pt>
                <c:pt idx="91">
                  <c:v>4.9986333687639446E-2</c:v>
                </c:pt>
                <c:pt idx="92">
                  <c:v>4.9995405934893537E-2</c:v>
                </c:pt>
                <c:pt idx="93">
                  <c:v>4.9981392175287444E-2</c:v>
                </c:pt>
                <c:pt idx="94">
                  <c:v>4.9978614976524241E-2</c:v>
                </c:pt>
                <c:pt idx="95">
                  <c:v>4.9986852142374714E-2</c:v>
                </c:pt>
                <c:pt idx="96">
                  <c:v>4.9994618629373891E-2</c:v>
                </c:pt>
                <c:pt idx="97">
                  <c:v>4.9981288859722806E-2</c:v>
                </c:pt>
                <c:pt idx="98">
                  <c:v>4.9978747945344348E-2</c:v>
                </c:pt>
                <c:pt idx="99">
                  <c:v>4.9987131183895327E-2</c:v>
                </c:pt>
                <c:pt idx="100">
                  <c:v>4.9994730894718981E-2</c:v>
                </c:pt>
                <c:pt idx="101">
                  <c:v>4.9981672435154917E-2</c:v>
                </c:pt>
                <c:pt idx="102">
                  <c:v>4.9979176176540754E-2</c:v>
                </c:pt>
                <c:pt idx="103">
                  <c:v>4.99873861441026E-2</c:v>
                </c:pt>
                <c:pt idx="104">
                  <c:v>4.9994833544077869E-2</c:v>
                </c:pt>
                <c:pt idx="105">
                  <c:v>4.9982023404095875E-2</c:v>
                </c:pt>
                <c:pt idx="106">
                  <c:v>4.9979568273208687E-2</c:v>
                </c:pt>
                <c:pt idx="107">
                  <c:v>4.998761974478505E-2</c:v>
                </c:pt>
                <c:pt idx="108">
                  <c:v>4.9994927654749374E-2</c:v>
                </c:pt>
                <c:pt idx="109">
                  <c:v>4.9982345387007424E-2</c:v>
                </c:pt>
                <c:pt idx="110">
                  <c:v>4.9979928212640481E-2</c:v>
                </c:pt>
                <c:pt idx="111">
                  <c:v>4.9988204739978948E-2</c:v>
                </c:pt>
                <c:pt idx="112">
                  <c:v>4.9995033540974329E-2</c:v>
                </c:pt>
                <c:pt idx="113">
                  <c:v>4.9982773000378143E-2</c:v>
                </c:pt>
                <c:pt idx="114">
                  <c:v>4.9980688739055368E-2</c:v>
                </c:pt>
                <c:pt idx="115">
                  <c:v>4.9988396209267184E-2</c:v>
                </c:pt>
                <c:pt idx="116">
                  <c:v>4.9995112881137754E-2</c:v>
                </c:pt>
                <c:pt idx="117">
                  <c:v>4.9983043754171168E-2</c:v>
                </c:pt>
                <c:pt idx="118">
                  <c:v>4.9980987420265882E-2</c:v>
                </c:pt>
                <c:pt idx="119">
                  <c:v>4.9988572869777738E-2</c:v>
                </c:pt>
                <c:pt idx="120">
                  <c:v>4.9995186121761764E-2</c:v>
                </c:pt>
                <c:pt idx="121">
                  <c:v>4.9983293819099425E-2</c:v>
                </c:pt>
                <c:pt idx="122">
                  <c:v>4.9981263413505131E-2</c:v>
                </c:pt>
                <c:pt idx="123">
                  <c:v>4.9988736188386798E-2</c:v>
                </c:pt>
                <c:pt idx="124">
                  <c:v>4.9995253862534714E-2</c:v>
                </c:pt>
                <c:pt idx="125">
                  <c:v>4.9983525213884834E-2</c:v>
                </c:pt>
                <c:pt idx="126">
                  <c:v>4.9981518916227499E-2</c:v>
                </c:pt>
                <c:pt idx="127">
                  <c:v>4.998916429468938E-2</c:v>
                </c:pt>
                <c:pt idx="128">
                  <c:v>4.9994971814300043E-2</c:v>
                </c:pt>
                <c:pt idx="129">
                  <c:v>4.9983611218518555E-2</c:v>
                </c:pt>
                <c:pt idx="130">
                  <c:v>4.9981814670508169E-2</c:v>
                </c:pt>
                <c:pt idx="131">
                  <c:v>4.9989301080582638E-2</c:v>
                </c:pt>
                <c:pt idx="132">
                  <c:v>4.999503433449979E-2</c:v>
                </c:pt>
                <c:pt idx="133">
                  <c:v>4.9983811875095319E-2</c:v>
                </c:pt>
                <c:pt idx="134">
                  <c:v>4.9982033964810949E-2</c:v>
                </c:pt>
                <c:pt idx="135">
                  <c:v>4.9989428180296919E-2</c:v>
                </c:pt>
                <c:pt idx="136">
                  <c:v>4.9995092449008384E-2</c:v>
                </c:pt>
                <c:pt idx="137">
                  <c:v>4.9983998461151563E-2</c:v>
                </c:pt>
                <c:pt idx="138">
                  <c:v>4.9982237955260606E-2</c:v>
                </c:pt>
                <c:pt idx="139">
                  <c:v>4.9989546451522253E-2</c:v>
                </c:pt>
                <c:pt idx="140">
                  <c:v>4.9995146545459612E-2</c:v>
                </c:pt>
                <c:pt idx="141">
                  <c:v>4.9984172206709247E-2</c:v>
                </c:pt>
                <c:pt idx="142">
                  <c:v>4.9982427971270796E-2</c:v>
                </c:pt>
                <c:pt idx="143">
                  <c:v>4.9989797965661324E-2</c:v>
                </c:pt>
                <c:pt idx="144">
                  <c:v>4.9994120327597917E-2</c:v>
                </c:pt>
                <c:pt idx="145">
                  <c:v>4.9983675789538148E-2</c:v>
                </c:pt>
                <c:pt idx="146">
                  <c:v>4.9982686757732812E-2</c:v>
                </c:pt>
                <c:pt idx="147">
                  <c:v>4.9989899346556343E-2</c:v>
                </c:pt>
                <c:pt idx="148">
                  <c:v>4.9994177913600425E-2</c:v>
                </c:pt>
                <c:pt idx="149">
                  <c:v>4.9983833325078962E-2</c:v>
                </c:pt>
                <c:pt idx="150">
                  <c:v>4.998285142358791E-2</c:v>
                </c:pt>
                <c:pt idx="151">
                  <c:v>4.9989994044080853E-2</c:v>
                </c:pt>
                <c:pt idx="152">
                  <c:v>4.9994231718392575E-2</c:v>
                </c:pt>
                <c:pt idx="153">
                  <c:v>4.9983980557838682E-2</c:v>
                </c:pt>
                <c:pt idx="154">
                  <c:v>4.9983005362268441E-2</c:v>
                </c:pt>
                <c:pt idx="155">
                  <c:v>4.9990082595976537E-2</c:v>
                </c:pt>
                <c:pt idx="156">
                  <c:v>4.9994282044550961E-2</c:v>
                </c:pt>
                <c:pt idx="157">
                  <c:v>4.9984118307717325E-2</c:v>
                </c:pt>
                <c:pt idx="158">
                  <c:v>4.9983149422851515E-2</c:v>
                </c:pt>
                <c:pt idx="159">
                  <c:v>4.9990534309244265E-2</c:v>
                </c:pt>
                <c:pt idx="160">
                  <c:v>4.9994710953980434E-2</c:v>
                </c:pt>
                <c:pt idx="161">
                  <c:v>4.9984624014483149E-2</c:v>
                </c:pt>
                <c:pt idx="162">
                  <c:v>4.99831864468019E-2</c:v>
                </c:pt>
                <c:pt idx="163">
                  <c:v>4.9990609038633373E-2</c:v>
                </c:pt>
                <c:pt idx="164">
                  <c:v>4.9994752128110269E-2</c:v>
                </c:pt>
                <c:pt idx="165">
                  <c:v>4.9984742015752898E-2</c:v>
                </c:pt>
                <c:pt idx="166">
                  <c:v>4.9983313675726233E-2</c:v>
                </c:pt>
                <c:pt idx="167">
                  <c:v>4.9990679120668763E-2</c:v>
                </c:pt>
                <c:pt idx="168">
                  <c:v>4.9994790749952819E-2</c:v>
                </c:pt>
                <c:pt idx="169">
                  <c:v>4.9984852726273739E-2</c:v>
                </c:pt>
                <c:pt idx="170">
                  <c:v>4.9983433068797142E-2</c:v>
                </c:pt>
                <c:pt idx="171">
                  <c:v>4.9990744899851912E-2</c:v>
                </c:pt>
                <c:pt idx="172">
                  <c:v>4.9994827007822769E-2</c:v>
                </c:pt>
                <c:pt idx="173">
                  <c:v>4.998495668144181E-2</c:v>
                </c:pt>
                <c:pt idx="174">
                  <c:v>4.9983545198787456E-2</c:v>
                </c:pt>
                <c:pt idx="175">
                  <c:v>4.9991053169126144E-2</c:v>
                </c:pt>
                <c:pt idx="176">
                  <c:v>4.9994554287849803E-2</c:v>
                </c:pt>
                <c:pt idx="177">
                  <c:v>4.998494043416931E-2</c:v>
                </c:pt>
                <c:pt idx="178">
                  <c:v>4.9983876675460254E-2</c:v>
                </c:pt>
                <c:pt idx="179">
                  <c:v>4.9991109679726232E-2</c:v>
                </c:pt>
                <c:pt idx="180">
                  <c:v>4.999458821782448E-2</c:v>
                </c:pt>
                <c:pt idx="181">
                  <c:v>4.9985032969012341E-2</c:v>
                </c:pt>
                <c:pt idx="182">
                  <c:v>4.9983974397868162E-2</c:v>
                </c:pt>
                <c:pt idx="183">
                  <c:v>4.9991162839623016E-2</c:v>
                </c:pt>
                <c:pt idx="184">
                  <c:v>4.999462014131878E-2</c:v>
                </c:pt>
                <c:pt idx="185">
                  <c:v>4.9985120046345692E-2</c:v>
                </c:pt>
                <c:pt idx="186">
                  <c:v>4.9984066371840191E-2</c:v>
                </c:pt>
                <c:pt idx="187">
                  <c:v>4.999121288039042E-2</c:v>
                </c:pt>
                <c:pt idx="188">
                  <c:v>4.9994650196451496E-2</c:v>
                </c:pt>
                <c:pt idx="189">
                  <c:v>4.9985202040332417E-2</c:v>
                </c:pt>
                <c:pt idx="190">
                  <c:v>4.9984152989933771E-2</c:v>
                </c:pt>
                <c:pt idx="191">
                  <c:v>4.999152422299491E-2</c:v>
                </c:pt>
                <c:pt idx="192">
                  <c:v>4.9994390998942734E-2</c:v>
                </c:pt>
                <c:pt idx="193">
                  <c:v>4.9985179901163634E-2</c:v>
                </c:pt>
                <c:pt idx="194">
                  <c:v>4.998431023397612E-2</c:v>
                </c:pt>
                <c:pt idx="195">
                  <c:v>4.9991567289137333E-2</c:v>
                </c:pt>
                <c:pt idx="196">
                  <c:v>4.9994419120191841E-2</c:v>
                </c:pt>
                <c:pt idx="197">
                  <c:v>4.9985253199741057E-2</c:v>
                </c:pt>
                <c:pt idx="198">
                  <c:v>4.9984386799877989E-2</c:v>
                </c:pt>
                <c:pt idx="199">
                  <c:v>4.9991607899589299E-2</c:v>
                </c:pt>
                <c:pt idx="200">
                  <c:v>4.9994445641424162E-2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test!$G$1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cat>
            <c:numRef>
              <c:f>test!$A$2:$A$202</c:f>
              <c:numCache>
                <c:formatCode>yyyy-m-d</c:formatCode>
                <c:ptCount val="201"/>
                <c:pt idx="0">
                  <c:v>41138</c:v>
                </c:pt>
                <c:pt idx="1">
                  <c:v>41232</c:v>
                </c:pt>
                <c:pt idx="2">
                  <c:v>41324</c:v>
                </c:pt>
                <c:pt idx="3">
                  <c:v>41414</c:v>
                </c:pt>
                <c:pt idx="4">
                  <c:v>41506</c:v>
                </c:pt>
                <c:pt idx="5">
                  <c:v>41598</c:v>
                </c:pt>
                <c:pt idx="6">
                  <c:v>41690</c:v>
                </c:pt>
                <c:pt idx="7">
                  <c:v>41779</c:v>
                </c:pt>
                <c:pt idx="8">
                  <c:v>41871</c:v>
                </c:pt>
                <c:pt idx="9">
                  <c:v>41963</c:v>
                </c:pt>
                <c:pt idx="10">
                  <c:v>42055</c:v>
                </c:pt>
                <c:pt idx="11">
                  <c:v>42144</c:v>
                </c:pt>
                <c:pt idx="12">
                  <c:v>42236</c:v>
                </c:pt>
                <c:pt idx="13">
                  <c:v>42328</c:v>
                </c:pt>
                <c:pt idx="14">
                  <c:v>42422</c:v>
                </c:pt>
                <c:pt idx="15">
                  <c:v>42513</c:v>
                </c:pt>
                <c:pt idx="16">
                  <c:v>42605</c:v>
                </c:pt>
                <c:pt idx="17">
                  <c:v>42697</c:v>
                </c:pt>
                <c:pt idx="18">
                  <c:v>42789</c:v>
                </c:pt>
                <c:pt idx="19">
                  <c:v>42878</c:v>
                </c:pt>
                <c:pt idx="20">
                  <c:v>42970</c:v>
                </c:pt>
                <c:pt idx="21">
                  <c:v>43062</c:v>
                </c:pt>
                <c:pt idx="22">
                  <c:v>43154</c:v>
                </c:pt>
                <c:pt idx="23">
                  <c:v>43243</c:v>
                </c:pt>
                <c:pt idx="24">
                  <c:v>43335</c:v>
                </c:pt>
                <c:pt idx="25">
                  <c:v>43427</c:v>
                </c:pt>
                <c:pt idx="26">
                  <c:v>43521</c:v>
                </c:pt>
                <c:pt idx="27">
                  <c:v>43612</c:v>
                </c:pt>
                <c:pt idx="28">
                  <c:v>43704</c:v>
                </c:pt>
                <c:pt idx="29">
                  <c:v>43796</c:v>
                </c:pt>
                <c:pt idx="30">
                  <c:v>43888</c:v>
                </c:pt>
                <c:pt idx="31">
                  <c:v>43978</c:v>
                </c:pt>
                <c:pt idx="32">
                  <c:v>44070</c:v>
                </c:pt>
                <c:pt idx="33">
                  <c:v>44162</c:v>
                </c:pt>
                <c:pt idx="34">
                  <c:v>44256</c:v>
                </c:pt>
                <c:pt idx="35">
                  <c:v>44348</c:v>
                </c:pt>
                <c:pt idx="36">
                  <c:v>44440</c:v>
                </c:pt>
                <c:pt idx="37">
                  <c:v>44531</c:v>
                </c:pt>
                <c:pt idx="38">
                  <c:v>44621</c:v>
                </c:pt>
                <c:pt idx="39">
                  <c:v>44713</c:v>
                </c:pt>
                <c:pt idx="40">
                  <c:v>44805</c:v>
                </c:pt>
                <c:pt idx="41">
                  <c:v>44896</c:v>
                </c:pt>
                <c:pt idx="42">
                  <c:v>44986</c:v>
                </c:pt>
                <c:pt idx="43">
                  <c:v>45078</c:v>
                </c:pt>
                <c:pt idx="44">
                  <c:v>45170</c:v>
                </c:pt>
                <c:pt idx="45">
                  <c:v>45261</c:v>
                </c:pt>
                <c:pt idx="46">
                  <c:v>45352</c:v>
                </c:pt>
                <c:pt idx="47">
                  <c:v>45446</c:v>
                </c:pt>
                <c:pt idx="48">
                  <c:v>45538</c:v>
                </c:pt>
                <c:pt idx="49">
                  <c:v>45629</c:v>
                </c:pt>
                <c:pt idx="50">
                  <c:v>45719</c:v>
                </c:pt>
                <c:pt idx="51">
                  <c:v>45811</c:v>
                </c:pt>
                <c:pt idx="52">
                  <c:v>45903</c:v>
                </c:pt>
                <c:pt idx="53">
                  <c:v>45994</c:v>
                </c:pt>
                <c:pt idx="54">
                  <c:v>46084</c:v>
                </c:pt>
                <c:pt idx="55">
                  <c:v>46176</c:v>
                </c:pt>
                <c:pt idx="56">
                  <c:v>46268</c:v>
                </c:pt>
                <c:pt idx="57">
                  <c:v>46359</c:v>
                </c:pt>
                <c:pt idx="58">
                  <c:v>46449</c:v>
                </c:pt>
                <c:pt idx="59">
                  <c:v>46541</c:v>
                </c:pt>
                <c:pt idx="60">
                  <c:v>46633</c:v>
                </c:pt>
                <c:pt idx="61">
                  <c:v>46724</c:v>
                </c:pt>
                <c:pt idx="62">
                  <c:v>46815</c:v>
                </c:pt>
                <c:pt idx="63">
                  <c:v>46909</c:v>
                </c:pt>
                <c:pt idx="64">
                  <c:v>47001</c:v>
                </c:pt>
                <c:pt idx="65">
                  <c:v>47092</c:v>
                </c:pt>
                <c:pt idx="66">
                  <c:v>47182</c:v>
                </c:pt>
                <c:pt idx="67">
                  <c:v>47274</c:v>
                </c:pt>
                <c:pt idx="68">
                  <c:v>47366</c:v>
                </c:pt>
                <c:pt idx="69">
                  <c:v>47457</c:v>
                </c:pt>
                <c:pt idx="70">
                  <c:v>47547</c:v>
                </c:pt>
                <c:pt idx="71">
                  <c:v>47639</c:v>
                </c:pt>
                <c:pt idx="72">
                  <c:v>47731</c:v>
                </c:pt>
                <c:pt idx="73">
                  <c:v>47822</c:v>
                </c:pt>
                <c:pt idx="74">
                  <c:v>47912</c:v>
                </c:pt>
                <c:pt idx="75">
                  <c:v>48004</c:v>
                </c:pt>
                <c:pt idx="76">
                  <c:v>48096</c:v>
                </c:pt>
                <c:pt idx="77">
                  <c:v>48187</c:v>
                </c:pt>
                <c:pt idx="78">
                  <c:v>48278</c:v>
                </c:pt>
                <c:pt idx="79">
                  <c:v>48372</c:v>
                </c:pt>
                <c:pt idx="80">
                  <c:v>48464</c:v>
                </c:pt>
                <c:pt idx="81">
                  <c:v>48555</c:v>
                </c:pt>
                <c:pt idx="82">
                  <c:v>48645</c:v>
                </c:pt>
                <c:pt idx="83">
                  <c:v>48737</c:v>
                </c:pt>
                <c:pt idx="84">
                  <c:v>48829</c:v>
                </c:pt>
                <c:pt idx="85">
                  <c:v>48920</c:v>
                </c:pt>
                <c:pt idx="86">
                  <c:v>49010</c:v>
                </c:pt>
                <c:pt idx="87">
                  <c:v>49102</c:v>
                </c:pt>
                <c:pt idx="88">
                  <c:v>49194</c:v>
                </c:pt>
                <c:pt idx="89">
                  <c:v>49285</c:v>
                </c:pt>
                <c:pt idx="90">
                  <c:v>49375</c:v>
                </c:pt>
                <c:pt idx="91">
                  <c:v>49467</c:v>
                </c:pt>
                <c:pt idx="92">
                  <c:v>49559</c:v>
                </c:pt>
                <c:pt idx="93">
                  <c:v>49650</c:v>
                </c:pt>
                <c:pt idx="94">
                  <c:v>49741</c:v>
                </c:pt>
                <c:pt idx="95">
                  <c:v>49835</c:v>
                </c:pt>
                <c:pt idx="96">
                  <c:v>49927</c:v>
                </c:pt>
                <c:pt idx="97">
                  <c:v>50018</c:v>
                </c:pt>
                <c:pt idx="98">
                  <c:v>50108</c:v>
                </c:pt>
                <c:pt idx="99">
                  <c:v>50200</c:v>
                </c:pt>
                <c:pt idx="100">
                  <c:v>50292</c:v>
                </c:pt>
                <c:pt idx="101">
                  <c:v>50383</c:v>
                </c:pt>
                <c:pt idx="102">
                  <c:v>50473</c:v>
                </c:pt>
                <c:pt idx="103">
                  <c:v>50565</c:v>
                </c:pt>
                <c:pt idx="104">
                  <c:v>50657</c:v>
                </c:pt>
                <c:pt idx="105">
                  <c:v>50748</c:v>
                </c:pt>
                <c:pt idx="106">
                  <c:v>50838</c:v>
                </c:pt>
                <c:pt idx="107">
                  <c:v>50930</c:v>
                </c:pt>
                <c:pt idx="108">
                  <c:v>51022</c:v>
                </c:pt>
                <c:pt idx="109">
                  <c:v>51113</c:v>
                </c:pt>
                <c:pt idx="110">
                  <c:v>51204</c:v>
                </c:pt>
                <c:pt idx="111">
                  <c:v>51298</c:v>
                </c:pt>
                <c:pt idx="112">
                  <c:v>51390</c:v>
                </c:pt>
                <c:pt idx="113">
                  <c:v>51481</c:v>
                </c:pt>
                <c:pt idx="114">
                  <c:v>51571</c:v>
                </c:pt>
                <c:pt idx="115">
                  <c:v>51663</c:v>
                </c:pt>
                <c:pt idx="116">
                  <c:v>51755</c:v>
                </c:pt>
                <c:pt idx="117">
                  <c:v>51846</c:v>
                </c:pt>
                <c:pt idx="118">
                  <c:v>51936</c:v>
                </c:pt>
                <c:pt idx="119">
                  <c:v>52028</c:v>
                </c:pt>
                <c:pt idx="120">
                  <c:v>52120</c:v>
                </c:pt>
                <c:pt idx="121">
                  <c:v>52211</c:v>
                </c:pt>
                <c:pt idx="122">
                  <c:v>52301</c:v>
                </c:pt>
                <c:pt idx="123">
                  <c:v>52393</c:v>
                </c:pt>
                <c:pt idx="124">
                  <c:v>52485</c:v>
                </c:pt>
                <c:pt idx="125">
                  <c:v>52576</c:v>
                </c:pt>
                <c:pt idx="126">
                  <c:v>52667</c:v>
                </c:pt>
                <c:pt idx="127">
                  <c:v>52761</c:v>
                </c:pt>
                <c:pt idx="128">
                  <c:v>52853</c:v>
                </c:pt>
                <c:pt idx="129">
                  <c:v>52944</c:v>
                </c:pt>
                <c:pt idx="130">
                  <c:v>53034</c:v>
                </c:pt>
                <c:pt idx="131">
                  <c:v>53126</c:v>
                </c:pt>
                <c:pt idx="132">
                  <c:v>53218</c:v>
                </c:pt>
                <c:pt idx="133">
                  <c:v>53309</c:v>
                </c:pt>
                <c:pt idx="134">
                  <c:v>53399</c:v>
                </c:pt>
                <c:pt idx="135">
                  <c:v>53491</c:v>
                </c:pt>
                <c:pt idx="136">
                  <c:v>53583</c:v>
                </c:pt>
                <c:pt idx="137">
                  <c:v>53674</c:v>
                </c:pt>
                <c:pt idx="138">
                  <c:v>53764</c:v>
                </c:pt>
                <c:pt idx="139">
                  <c:v>53856</c:v>
                </c:pt>
                <c:pt idx="140">
                  <c:v>53948</c:v>
                </c:pt>
                <c:pt idx="141">
                  <c:v>54039</c:v>
                </c:pt>
                <c:pt idx="142">
                  <c:v>54130</c:v>
                </c:pt>
                <c:pt idx="143">
                  <c:v>54224</c:v>
                </c:pt>
                <c:pt idx="144">
                  <c:v>54316</c:v>
                </c:pt>
                <c:pt idx="145">
                  <c:v>54407</c:v>
                </c:pt>
                <c:pt idx="146">
                  <c:v>54497</c:v>
                </c:pt>
                <c:pt idx="147">
                  <c:v>54589</c:v>
                </c:pt>
                <c:pt idx="148">
                  <c:v>54681</c:v>
                </c:pt>
                <c:pt idx="149">
                  <c:v>54772</c:v>
                </c:pt>
                <c:pt idx="150">
                  <c:v>54862</c:v>
                </c:pt>
                <c:pt idx="151">
                  <c:v>54954</c:v>
                </c:pt>
                <c:pt idx="152">
                  <c:v>55046</c:v>
                </c:pt>
                <c:pt idx="153">
                  <c:v>55137</c:v>
                </c:pt>
                <c:pt idx="154">
                  <c:v>55227</c:v>
                </c:pt>
                <c:pt idx="155">
                  <c:v>55319</c:v>
                </c:pt>
                <c:pt idx="156">
                  <c:v>55411</c:v>
                </c:pt>
                <c:pt idx="157">
                  <c:v>55502</c:v>
                </c:pt>
                <c:pt idx="158">
                  <c:v>55593</c:v>
                </c:pt>
                <c:pt idx="159">
                  <c:v>55687</c:v>
                </c:pt>
                <c:pt idx="160">
                  <c:v>55779</c:v>
                </c:pt>
                <c:pt idx="161">
                  <c:v>55870</c:v>
                </c:pt>
                <c:pt idx="162">
                  <c:v>55960</c:v>
                </c:pt>
                <c:pt idx="163">
                  <c:v>56052</c:v>
                </c:pt>
                <c:pt idx="164">
                  <c:v>56144</c:v>
                </c:pt>
                <c:pt idx="165">
                  <c:v>56235</c:v>
                </c:pt>
                <c:pt idx="166">
                  <c:v>56325</c:v>
                </c:pt>
                <c:pt idx="167">
                  <c:v>56417</c:v>
                </c:pt>
                <c:pt idx="168">
                  <c:v>56509</c:v>
                </c:pt>
                <c:pt idx="169">
                  <c:v>56600</c:v>
                </c:pt>
                <c:pt idx="170">
                  <c:v>56690</c:v>
                </c:pt>
                <c:pt idx="171">
                  <c:v>56782</c:v>
                </c:pt>
                <c:pt idx="172">
                  <c:v>56874</c:v>
                </c:pt>
                <c:pt idx="173">
                  <c:v>56965</c:v>
                </c:pt>
                <c:pt idx="174">
                  <c:v>57056</c:v>
                </c:pt>
                <c:pt idx="175">
                  <c:v>57150</c:v>
                </c:pt>
                <c:pt idx="176">
                  <c:v>57242</c:v>
                </c:pt>
                <c:pt idx="177">
                  <c:v>57333</c:v>
                </c:pt>
                <c:pt idx="178">
                  <c:v>57423</c:v>
                </c:pt>
                <c:pt idx="179">
                  <c:v>57515</c:v>
                </c:pt>
                <c:pt idx="180">
                  <c:v>57607</c:v>
                </c:pt>
                <c:pt idx="181">
                  <c:v>57698</c:v>
                </c:pt>
                <c:pt idx="182">
                  <c:v>57788</c:v>
                </c:pt>
                <c:pt idx="183">
                  <c:v>57880</c:v>
                </c:pt>
                <c:pt idx="184">
                  <c:v>57972</c:v>
                </c:pt>
                <c:pt idx="185">
                  <c:v>58063</c:v>
                </c:pt>
                <c:pt idx="186">
                  <c:v>58153</c:v>
                </c:pt>
                <c:pt idx="187">
                  <c:v>58245</c:v>
                </c:pt>
                <c:pt idx="188">
                  <c:v>58337</c:v>
                </c:pt>
                <c:pt idx="189">
                  <c:v>58428</c:v>
                </c:pt>
                <c:pt idx="190">
                  <c:v>58519</c:v>
                </c:pt>
                <c:pt idx="191">
                  <c:v>58613</c:v>
                </c:pt>
                <c:pt idx="192">
                  <c:v>58705</c:v>
                </c:pt>
                <c:pt idx="193">
                  <c:v>58796</c:v>
                </c:pt>
                <c:pt idx="194">
                  <c:v>58886</c:v>
                </c:pt>
                <c:pt idx="195">
                  <c:v>58978</c:v>
                </c:pt>
                <c:pt idx="196">
                  <c:v>59070</c:v>
                </c:pt>
                <c:pt idx="197">
                  <c:v>59161</c:v>
                </c:pt>
                <c:pt idx="198">
                  <c:v>59251</c:v>
                </c:pt>
                <c:pt idx="199">
                  <c:v>59343</c:v>
                </c:pt>
                <c:pt idx="200">
                  <c:v>59435</c:v>
                </c:pt>
              </c:numCache>
            </c:numRef>
          </c:cat>
          <c:val>
            <c:numRef>
              <c:f>test!$G$2:$G$202</c:f>
              <c:numCache>
                <c:formatCode>G/通用格式</c:formatCode>
                <c:ptCount val="201"/>
                <c:pt idx="0">
                  <c:v>4.9095604781046007E-2</c:v>
                </c:pt>
                <c:pt idx="1">
                  <c:v>4.9095604781046007E-2</c:v>
                </c:pt>
                <c:pt idx="2">
                  <c:v>4.9396874776212463E-2</c:v>
                </c:pt>
                <c:pt idx="3">
                  <c:v>4.9703998427645578E-2</c:v>
                </c:pt>
                <c:pt idx="4">
                  <c:v>4.9989591808261472E-2</c:v>
                </c:pt>
                <c:pt idx="5">
                  <c:v>4.9807738163394767E-2</c:v>
                </c:pt>
                <c:pt idx="6">
                  <c:v>4.9791280181410325E-2</c:v>
                </c:pt>
                <c:pt idx="7">
                  <c:v>4.986878705526112E-2</c:v>
                </c:pt>
                <c:pt idx="8">
                  <c:v>4.9994646322111549E-2</c:v>
                </c:pt>
                <c:pt idx="9">
                  <c:v>4.9890083892058353E-2</c:v>
                </c:pt>
                <c:pt idx="10">
                  <c:v>4.987123605799787E-2</c:v>
                </c:pt>
                <c:pt idx="11">
                  <c:v>4.9914251401490327E-2</c:v>
                </c:pt>
                <c:pt idx="12">
                  <c:v>4.9996339373731269E-2</c:v>
                </c:pt>
                <c:pt idx="13">
                  <c:v>4.9921929297289232E-2</c:v>
                </c:pt>
                <c:pt idx="14">
                  <c:v>4.9906013211564008E-2</c:v>
                </c:pt>
                <c:pt idx="15">
                  <c:v>4.9937311436353153E-2</c:v>
                </c:pt>
                <c:pt idx="16">
                  <c:v>4.9994569235313605E-2</c:v>
                </c:pt>
                <c:pt idx="17">
                  <c:v>4.9937810135054606E-2</c:v>
                </c:pt>
                <c:pt idx="18">
                  <c:v>4.9923529019879648E-2</c:v>
                </c:pt>
                <c:pt idx="19">
                  <c:v>4.9949270328347811E-2</c:v>
                </c:pt>
                <c:pt idx="20">
                  <c:v>4.999554830006428E-2</c:v>
                </c:pt>
                <c:pt idx="21">
                  <c:v>4.994841195727745E-2</c:v>
                </c:pt>
                <c:pt idx="22">
                  <c:v>4.9935892568078281E-2</c:v>
                </c:pt>
                <c:pt idx="23">
                  <c:v>4.9957069967986122E-2</c:v>
                </c:pt>
                <c:pt idx="24">
                  <c:v>4.9996200636936362E-2</c:v>
                </c:pt>
                <c:pt idx="25">
                  <c:v>4.9955617737935651E-2</c:v>
                </c:pt>
                <c:pt idx="26">
                  <c:v>4.9945695634951742E-2</c:v>
                </c:pt>
                <c:pt idx="27">
                  <c:v>4.9963897184124098E-2</c:v>
                </c:pt>
                <c:pt idx="28">
                  <c:v>4.9994453636780685E-2</c:v>
                </c:pt>
                <c:pt idx="29">
                  <c:v>4.9959819456683617E-2</c:v>
                </c:pt>
                <c:pt idx="30">
                  <c:v>4.9951889729051478E-2</c:v>
                </c:pt>
                <c:pt idx="31">
                  <c:v>4.9967805934997014E-2</c:v>
                </c:pt>
                <c:pt idx="32">
                  <c:v>4.999503197717655E-2</c:v>
                </c:pt>
                <c:pt idx="33">
                  <c:v>4.9963853846758867E-2</c:v>
                </c:pt>
                <c:pt idx="34">
                  <c:v>4.995677973729467E-2</c:v>
                </c:pt>
                <c:pt idx="35">
                  <c:v>4.997157842252764E-2</c:v>
                </c:pt>
                <c:pt idx="36">
                  <c:v>4.9991977387831781E-2</c:v>
                </c:pt>
                <c:pt idx="37">
                  <c:v>4.9965065337496263E-2</c:v>
                </c:pt>
                <c:pt idx="38">
                  <c:v>4.9960423161874358E-2</c:v>
                </c:pt>
                <c:pt idx="39">
                  <c:v>4.9973898465538638E-2</c:v>
                </c:pt>
                <c:pt idx="40">
                  <c:v>4.9992612006209414E-2</c:v>
                </c:pt>
                <c:pt idx="41">
                  <c:v>4.99926127635884E-2</c:v>
                </c:pt>
                <c:pt idx="42">
                  <c:v>5.001283150640027E-2</c:v>
                </c:pt>
                <c:pt idx="43">
                  <c:v>5.0050391838258095E-2</c:v>
                </c:pt>
                <c:pt idx="44">
                  <c:v>5.009288363172424E-2</c:v>
                </c:pt>
                <c:pt idx="45">
                  <c:v>5.0094561000465977E-2</c:v>
                </c:pt>
                <c:pt idx="46">
                  <c:v>5.011528047004566E-2</c:v>
                </c:pt>
                <c:pt idx="47">
                  <c:v>5.0153268819319384E-2</c:v>
                </c:pt>
                <c:pt idx="48">
                  <c:v>5.019464200426331E-2</c:v>
                </c:pt>
                <c:pt idx="49">
                  <c:v>5.0197704978013229E-2</c:v>
                </c:pt>
                <c:pt idx="50">
                  <c:v>5.021736286554223E-2</c:v>
                </c:pt>
                <c:pt idx="51">
                  <c:v>5.0254286451571442E-2</c:v>
                </c:pt>
                <c:pt idx="52">
                  <c:v>5.0294715529194872E-2</c:v>
                </c:pt>
                <c:pt idx="53">
                  <c:v>5.0298963985278243E-2</c:v>
                </c:pt>
                <c:pt idx="54">
                  <c:v>5.0318847562280118E-2</c:v>
                </c:pt>
                <c:pt idx="55">
                  <c:v>5.0355115494735696E-2</c:v>
                </c:pt>
                <c:pt idx="56">
                  <c:v>5.0394742154949768E-2</c:v>
                </c:pt>
                <c:pt idx="57">
                  <c:v>5.0400005734524189E-2</c:v>
                </c:pt>
                <c:pt idx="58">
                  <c:v>5.0420086429563339E-2</c:v>
                </c:pt>
                <c:pt idx="59">
                  <c:v>5.0455794212262518E-2</c:v>
                </c:pt>
                <c:pt idx="60">
                  <c:v>5.049473124137073E-2</c:v>
                </c:pt>
                <c:pt idx="61">
                  <c:v>5.0500872867716762E-2</c:v>
                </c:pt>
                <c:pt idx="62">
                  <c:v>5.0521400240512999E-2</c:v>
                </c:pt>
                <c:pt idx="63">
                  <c:v>5.055754350785012E-2</c:v>
                </c:pt>
                <c:pt idx="64">
                  <c:v>5.0594971296610419E-2</c:v>
                </c:pt>
                <c:pt idx="65">
                  <c:v>5.0602199439236807E-2</c:v>
                </c:pt>
                <c:pt idx="66">
                  <c:v>5.062317935992254E-2</c:v>
                </c:pt>
                <c:pt idx="67">
                  <c:v>5.0657985507619997E-2</c:v>
                </c:pt>
                <c:pt idx="68">
                  <c:v>5.0694925393192355E-2</c:v>
                </c:pt>
                <c:pt idx="69">
                  <c:v>5.0702814250922441E-2</c:v>
                </c:pt>
                <c:pt idx="70">
                  <c:v>5.0723909434392117E-2</c:v>
                </c:pt>
                <c:pt idx="71">
                  <c:v>5.075834621119369E-2</c:v>
                </c:pt>
                <c:pt idx="72">
                  <c:v>5.0794856137467537E-2</c:v>
                </c:pt>
                <c:pt idx="73">
                  <c:v>5.0803329829741894E-2</c:v>
                </c:pt>
                <c:pt idx="74">
                  <c:v>5.0824528337183726E-2</c:v>
                </c:pt>
                <c:pt idx="75">
                  <c:v>5.0858638619468308E-2</c:v>
                </c:pt>
                <c:pt idx="76">
                  <c:v>5.0894767215962262E-2</c:v>
                </c:pt>
                <c:pt idx="77">
                  <c:v>5.0903761637300843E-2</c:v>
                </c:pt>
                <c:pt idx="78">
                  <c:v>5.0925326469160967E-2</c:v>
                </c:pt>
                <c:pt idx="79">
                  <c:v>5.0960047695428681E-2</c:v>
                </c:pt>
                <c:pt idx="80">
                  <c:v>5.0995029254991706E-2</c:v>
                </c:pt>
                <c:pt idx="81">
                  <c:v>5.095500575252674E-2</c:v>
                </c:pt>
                <c:pt idx="82">
                  <c:v>5.0927421249348431E-2</c:v>
                </c:pt>
                <c:pt idx="83">
                  <c:v>5.0910940070886541E-2</c:v>
                </c:pt>
                <c:pt idx="84">
                  <c:v>5.0895331930168229E-2</c:v>
                </c:pt>
                <c:pt idx="85">
                  <c:v>5.0855719590459425E-2</c:v>
                </c:pt>
                <c:pt idx="86">
                  <c:v>5.0828204439647286E-2</c:v>
                </c:pt>
                <c:pt idx="87">
                  <c:v>5.0811483185032161E-2</c:v>
                </c:pt>
                <c:pt idx="88">
                  <c:v>5.0795621011035165E-2</c:v>
                </c:pt>
                <c:pt idx="89">
                  <c:v>5.0756380009958156E-2</c:v>
                </c:pt>
                <c:pt idx="90">
                  <c:v>5.0728928031390355E-2</c:v>
                </c:pt>
                <c:pt idx="91">
                  <c:v>5.0711990142781681E-2</c:v>
                </c:pt>
                <c:pt idx="92">
                  <c:v>5.0695898276250213E-2</c:v>
                </c:pt>
                <c:pt idx="93">
                  <c:v>5.065699392583449E-2</c:v>
                </c:pt>
                <c:pt idx="94">
                  <c:v>5.0629326136261657E-2</c:v>
                </c:pt>
                <c:pt idx="95">
                  <c:v>5.0611852142374715E-2</c:v>
                </c:pt>
                <c:pt idx="96">
                  <c:v>5.0594454515588333E-2</c:v>
                </c:pt>
                <c:pt idx="97">
                  <c:v>5.0556234155127618E-2</c:v>
                </c:pt>
                <c:pt idx="98">
                  <c:v>5.0529076172915466E-2</c:v>
                </c:pt>
                <c:pt idx="99">
                  <c:v>5.0512295297680886E-2</c:v>
                </c:pt>
                <c:pt idx="100">
                  <c:v>5.0494730894718981E-2</c:v>
                </c:pt>
                <c:pt idx="101">
                  <c:v>5.0456781844345287E-2</c:v>
                </c:pt>
                <c:pt idx="102">
                  <c:v>5.042966851789743E-2</c:v>
                </c:pt>
                <c:pt idx="103">
                  <c:v>5.0412714371673717E-2</c:v>
                </c:pt>
                <c:pt idx="104">
                  <c:v>5.0394997657863427E-2</c:v>
                </c:pt>
                <c:pt idx="105">
                  <c:v>5.0357296927071804E-2</c:v>
                </c:pt>
                <c:pt idx="106">
                  <c:v>5.0330224728350921E-2</c:v>
                </c:pt>
                <c:pt idx="107">
                  <c:v>5.0313112086141726E-2</c:v>
                </c:pt>
                <c:pt idx="108">
                  <c:v>5.0295255882320491E-2</c:v>
                </c:pt>
                <c:pt idx="109">
                  <c:v>5.0257783023768911E-2</c:v>
                </c:pt>
                <c:pt idx="110">
                  <c:v>5.0230475258592339E-2</c:v>
                </c:pt>
                <c:pt idx="111">
                  <c:v>5.0213040626193389E-2</c:v>
                </c:pt>
                <c:pt idx="112">
                  <c:v>5.0194705313403212E-2</c:v>
                </c:pt>
                <c:pt idx="113">
                  <c:v>5.0157554181997396E-2</c:v>
                </c:pt>
                <c:pt idx="114">
                  <c:v>5.0130852852840926E-2</c:v>
                </c:pt>
                <c:pt idx="115">
                  <c:v>5.0113396209267184E-2</c:v>
                </c:pt>
                <c:pt idx="116">
                  <c:v>5.0094948767352196E-2</c:v>
                </c:pt>
                <c:pt idx="117">
                  <c:v>5.0057989049575979E-2</c:v>
                </c:pt>
                <c:pt idx="118">
                  <c:v>5.0031315647836999E-2</c:v>
                </c:pt>
                <c:pt idx="119">
                  <c:v>5.0013736983563296E-2</c:v>
                </c:pt>
                <c:pt idx="120">
                  <c:v>4.9995186121761764E-2</c:v>
                </c:pt>
                <c:pt idx="121">
                  <c:v>4.9983293819099425E-2</c:v>
                </c:pt>
                <c:pt idx="122">
                  <c:v>4.9981263413505131E-2</c:v>
                </c:pt>
                <c:pt idx="123">
                  <c:v>4.9988736188386798E-2</c:v>
                </c:pt>
                <c:pt idx="124">
                  <c:v>4.9995253862534714E-2</c:v>
                </c:pt>
                <c:pt idx="125">
                  <c:v>4.9983525213884834E-2</c:v>
                </c:pt>
                <c:pt idx="126">
                  <c:v>4.9981518916227499E-2</c:v>
                </c:pt>
                <c:pt idx="127">
                  <c:v>4.998916429468938E-2</c:v>
                </c:pt>
                <c:pt idx="128">
                  <c:v>4.9994971814300043E-2</c:v>
                </c:pt>
                <c:pt idx="129">
                  <c:v>4.9983611218518555E-2</c:v>
                </c:pt>
                <c:pt idx="130">
                  <c:v>4.9981814670508169E-2</c:v>
                </c:pt>
                <c:pt idx="131">
                  <c:v>4.9989301080582638E-2</c:v>
                </c:pt>
                <c:pt idx="132">
                  <c:v>4.999503433449979E-2</c:v>
                </c:pt>
                <c:pt idx="133">
                  <c:v>4.9983811875095319E-2</c:v>
                </c:pt>
                <c:pt idx="134">
                  <c:v>4.9982033964810949E-2</c:v>
                </c:pt>
                <c:pt idx="135">
                  <c:v>4.9989428180296919E-2</c:v>
                </c:pt>
                <c:pt idx="136">
                  <c:v>4.9995092449008384E-2</c:v>
                </c:pt>
                <c:pt idx="137">
                  <c:v>4.9983998461151563E-2</c:v>
                </c:pt>
                <c:pt idx="138">
                  <c:v>4.9982237955260606E-2</c:v>
                </c:pt>
                <c:pt idx="139">
                  <c:v>4.9989546451522253E-2</c:v>
                </c:pt>
                <c:pt idx="140">
                  <c:v>4.9995146545459612E-2</c:v>
                </c:pt>
                <c:pt idx="141">
                  <c:v>4.9984172206709247E-2</c:v>
                </c:pt>
                <c:pt idx="142">
                  <c:v>4.9982427971270796E-2</c:v>
                </c:pt>
                <c:pt idx="143">
                  <c:v>4.9989797965661324E-2</c:v>
                </c:pt>
                <c:pt idx="144">
                  <c:v>4.9994120327597917E-2</c:v>
                </c:pt>
                <c:pt idx="145">
                  <c:v>4.9983675789538148E-2</c:v>
                </c:pt>
                <c:pt idx="146">
                  <c:v>4.9982686757732812E-2</c:v>
                </c:pt>
                <c:pt idx="147">
                  <c:v>4.9989899346556343E-2</c:v>
                </c:pt>
                <c:pt idx="148">
                  <c:v>4.9994177913600425E-2</c:v>
                </c:pt>
                <c:pt idx="149">
                  <c:v>4.9983833325078962E-2</c:v>
                </c:pt>
                <c:pt idx="150">
                  <c:v>4.998285142358791E-2</c:v>
                </c:pt>
                <c:pt idx="151">
                  <c:v>4.9989994044080853E-2</c:v>
                </c:pt>
                <c:pt idx="152">
                  <c:v>4.9994231718392575E-2</c:v>
                </c:pt>
                <c:pt idx="153">
                  <c:v>4.9983980557838682E-2</c:v>
                </c:pt>
                <c:pt idx="154">
                  <c:v>4.9983005362268441E-2</c:v>
                </c:pt>
                <c:pt idx="155">
                  <c:v>4.9990082595976537E-2</c:v>
                </c:pt>
                <c:pt idx="156">
                  <c:v>4.9994282044550961E-2</c:v>
                </c:pt>
                <c:pt idx="157">
                  <c:v>4.9984118307717325E-2</c:v>
                </c:pt>
                <c:pt idx="158">
                  <c:v>4.9983149422851515E-2</c:v>
                </c:pt>
                <c:pt idx="159">
                  <c:v>4.9990534309244265E-2</c:v>
                </c:pt>
                <c:pt idx="160">
                  <c:v>4.9994710953980434E-2</c:v>
                </c:pt>
                <c:pt idx="161">
                  <c:v>4.9984624014483149E-2</c:v>
                </c:pt>
                <c:pt idx="162">
                  <c:v>4.99831864468019E-2</c:v>
                </c:pt>
                <c:pt idx="163">
                  <c:v>4.9990609038633373E-2</c:v>
                </c:pt>
                <c:pt idx="164">
                  <c:v>4.9994752128110269E-2</c:v>
                </c:pt>
                <c:pt idx="165">
                  <c:v>4.9984742015752898E-2</c:v>
                </c:pt>
                <c:pt idx="166">
                  <c:v>4.9983313675726233E-2</c:v>
                </c:pt>
                <c:pt idx="167">
                  <c:v>4.9990679120668763E-2</c:v>
                </c:pt>
                <c:pt idx="168">
                  <c:v>4.9994790749952819E-2</c:v>
                </c:pt>
                <c:pt idx="169">
                  <c:v>4.9984852726273739E-2</c:v>
                </c:pt>
                <c:pt idx="170">
                  <c:v>4.9983433068797142E-2</c:v>
                </c:pt>
                <c:pt idx="171">
                  <c:v>4.9990744899851912E-2</c:v>
                </c:pt>
                <c:pt idx="172">
                  <c:v>4.9994827007822769E-2</c:v>
                </c:pt>
                <c:pt idx="173">
                  <c:v>4.998495668144181E-2</c:v>
                </c:pt>
                <c:pt idx="174">
                  <c:v>4.9983545198787456E-2</c:v>
                </c:pt>
                <c:pt idx="175">
                  <c:v>4.9991053169126144E-2</c:v>
                </c:pt>
                <c:pt idx="176">
                  <c:v>4.9994554287849803E-2</c:v>
                </c:pt>
                <c:pt idx="177">
                  <c:v>4.998494043416931E-2</c:v>
                </c:pt>
                <c:pt idx="178">
                  <c:v>4.9983876675460254E-2</c:v>
                </c:pt>
                <c:pt idx="179">
                  <c:v>4.9991109679726232E-2</c:v>
                </c:pt>
                <c:pt idx="180">
                  <c:v>4.999458821782448E-2</c:v>
                </c:pt>
                <c:pt idx="181">
                  <c:v>4.9985032969012341E-2</c:v>
                </c:pt>
                <c:pt idx="182">
                  <c:v>4.9983974397868162E-2</c:v>
                </c:pt>
                <c:pt idx="183">
                  <c:v>4.9991162839623016E-2</c:v>
                </c:pt>
                <c:pt idx="184">
                  <c:v>4.999462014131878E-2</c:v>
                </c:pt>
                <c:pt idx="185">
                  <c:v>4.9985120046345692E-2</c:v>
                </c:pt>
                <c:pt idx="186">
                  <c:v>4.9984066371840191E-2</c:v>
                </c:pt>
                <c:pt idx="187">
                  <c:v>4.999121288039042E-2</c:v>
                </c:pt>
                <c:pt idx="188">
                  <c:v>4.9994650196451496E-2</c:v>
                </c:pt>
                <c:pt idx="189">
                  <c:v>4.9985202040332417E-2</c:v>
                </c:pt>
                <c:pt idx="190">
                  <c:v>4.9984152989933771E-2</c:v>
                </c:pt>
                <c:pt idx="191">
                  <c:v>4.999152422299491E-2</c:v>
                </c:pt>
                <c:pt idx="192">
                  <c:v>4.9994390998942734E-2</c:v>
                </c:pt>
                <c:pt idx="193">
                  <c:v>4.9985179901163634E-2</c:v>
                </c:pt>
                <c:pt idx="194">
                  <c:v>4.998431023397612E-2</c:v>
                </c:pt>
                <c:pt idx="195">
                  <c:v>4.9991567289137333E-2</c:v>
                </c:pt>
                <c:pt idx="196">
                  <c:v>4.9994419120191841E-2</c:v>
                </c:pt>
                <c:pt idx="197">
                  <c:v>4.9985253199741057E-2</c:v>
                </c:pt>
                <c:pt idx="198">
                  <c:v>4.9984386799877989E-2</c:v>
                </c:pt>
                <c:pt idx="199">
                  <c:v>4.9991607899589299E-2</c:v>
                </c:pt>
                <c:pt idx="200">
                  <c:v>4.9994445641424162E-2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test!$H$1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cat>
            <c:numRef>
              <c:f>test!$A$2:$A$202</c:f>
              <c:numCache>
                <c:formatCode>yyyy-m-d</c:formatCode>
                <c:ptCount val="201"/>
                <c:pt idx="0">
                  <c:v>41138</c:v>
                </c:pt>
                <c:pt idx="1">
                  <c:v>41232</c:v>
                </c:pt>
                <c:pt idx="2">
                  <c:v>41324</c:v>
                </c:pt>
                <c:pt idx="3">
                  <c:v>41414</c:v>
                </c:pt>
                <c:pt idx="4">
                  <c:v>41506</c:v>
                </c:pt>
                <c:pt idx="5">
                  <c:v>41598</c:v>
                </c:pt>
                <c:pt idx="6">
                  <c:v>41690</c:v>
                </c:pt>
                <c:pt idx="7">
                  <c:v>41779</c:v>
                </c:pt>
                <c:pt idx="8">
                  <c:v>41871</c:v>
                </c:pt>
                <c:pt idx="9">
                  <c:v>41963</c:v>
                </c:pt>
                <c:pt idx="10">
                  <c:v>42055</c:v>
                </c:pt>
                <c:pt idx="11">
                  <c:v>42144</c:v>
                </c:pt>
                <c:pt idx="12">
                  <c:v>42236</c:v>
                </c:pt>
                <c:pt idx="13">
                  <c:v>42328</c:v>
                </c:pt>
                <c:pt idx="14">
                  <c:v>42422</c:v>
                </c:pt>
                <c:pt idx="15">
                  <c:v>42513</c:v>
                </c:pt>
                <c:pt idx="16">
                  <c:v>42605</c:v>
                </c:pt>
                <c:pt idx="17">
                  <c:v>42697</c:v>
                </c:pt>
                <c:pt idx="18">
                  <c:v>42789</c:v>
                </c:pt>
                <c:pt idx="19">
                  <c:v>42878</c:v>
                </c:pt>
                <c:pt idx="20">
                  <c:v>42970</c:v>
                </c:pt>
                <c:pt idx="21">
                  <c:v>43062</c:v>
                </c:pt>
                <c:pt idx="22">
                  <c:v>43154</c:v>
                </c:pt>
                <c:pt idx="23">
                  <c:v>43243</c:v>
                </c:pt>
                <c:pt idx="24">
                  <c:v>43335</c:v>
                </c:pt>
                <c:pt idx="25">
                  <c:v>43427</c:v>
                </c:pt>
                <c:pt idx="26">
                  <c:v>43521</c:v>
                </c:pt>
                <c:pt idx="27">
                  <c:v>43612</c:v>
                </c:pt>
                <c:pt idx="28">
                  <c:v>43704</c:v>
                </c:pt>
                <c:pt idx="29">
                  <c:v>43796</c:v>
                </c:pt>
                <c:pt idx="30">
                  <c:v>43888</c:v>
                </c:pt>
                <c:pt idx="31">
                  <c:v>43978</c:v>
                </c:pt>
                <c:pt idx="32">
                  <c:v>44070</c:v>
                </c:pt>
                <c:pt idx="33">
                  <c:v>44162</c:v>
                </c:pt>
                <c:pt idx="34">
                  <c:v>44256</c:v>
                </c:pt>
                <c:pt idx="35">
                  <c:v>44348</c:v>
                </c:pt>
                <c:pt idx="36">
                  <c:v>44440</c:v>
                </c:pt>
                <c:pt idx="37">
                  <c:v>44531</c:v>
                </c:pt>
                <c:pt idx="38">
                  <c:v>44621</c:v>
                </c:pt>
                <c:pt idx="39">
                  <c:v>44713</c:v>
                </c:pt>
                <c:pt idx="40">
                  <c:v>44805</c:v>
                </c:pt>
                <c:pt idx="41">
                  <c:v>44896</c:v>
                </c:pt>
                <c:pt idx="42">
                  <c:v>44986</c:v>
                </c:pt>
                <c:pt idx="43">
                  <c:v>45078</c:v>
                </c:pt>
                <c:pt idx="44">
                  <c:v>45170</c:v>
                </c:pt>
                <c:pt idx="45">
                  <c:v>45261</c:v>
                </c:pt>
                <c:pt idx="46">
                  <c:v>45352</c:v>
                </c:pt>
                <c:pt idx="47">
                  <c:v>45446</c:v>
                </c:pt>
                <c:pt idx="48">
                  <c:v>45538</c:v>
                </c:pt>
                <c:pt idx="49">
                  <c:v>45629</c:v>
                </c:pt>
                <c:pt idx="50">
                  <c:v>45719</c:v>
                </c:pt>
                <c:pt idx="51">
                  <c:v>45811</c:v>
                </c:pt>
                <c:pt idx="52">
                  <c:v>45903</c:v>
                </c:pt>
                <c:pt idx="53">
                  <c:v>45994</c:v>
                </c:pt>
                <c:pt idx="54">
                  <c:v>46084</c:v>
                </c:pt>
                <c:pt idx="55">
                  <c:v>46176</c:v>
                </c:pt>
                <c:pt idx="56">
                  <c:v>46268</c:v>
                </c:pt>
                <c:pt idx="57">
                  <c:v>46359</c:v>
                </c:pt>
                <c:pt idx="58">
                  <c:v>46449</c:v>
                </c:pt>
                <c:pt idx="59">
                  <c:v>46541</c:v>
                </c:pt>
                <c:pt idx="60">
                  <c:v>46633</c:v>
                </c:pt>
                <c:pt idx="61">
                  <c:v>46724</c:v>
                </c:pt>
                <c:pt idx="62">
                  <c:v>46815</c:v>
                </c:pt>
                <c:pt idx="63">
                  <c:v>46909</c:v>
                </c:pt>
                <c:pt idx="64">
                  <c:v>47001</c:v>
                </c:pt>
                <c:pt idx="65">
                  <c:v>47092</c:v>
                </c:pt>
                <c:pt idx="66">
                  <c:v>47182</c:v>
                </c:pt>
                <c:pt idx="67">
                  <c:v>47274</c:v>
                </c:pt>
                <c:pt idx="68">
                  <c:v>47366</c:v>
                </c:pt>
                <c:pt idx="69">
                  <c:v>47457</c:v>
                </c:pt>
                <c:pt idx="70">
                  <c:v>47547</c:v>
                </c:pt>
                <c:pt idx="71">
                  <c:v>47639</c:v>
                </c:pt>
                <c:pt idx="72">
                  <c:v>47731</c:v>
                </c:pt>
                <c:pt idx="73">
                  <c:v>47822</c:v>
                </c:pt>
                <c:pt idx="74">
                  <c:v>47912</c:v>
                </c:pt>
                <c:pt idx="75">
                  <c:v>48004</c:v>
                </c:pt>
                <c:pt idx="76">
                  <c:v>48096</c:v>
                </c:pt>
                <c:pt idx="77">
                  <c:v>48187</c:v>
                </c:pt>
                <c:pt idx="78">
                  <c:v>48278</c:v>
                </c:pt>
                <c:pt idx="79">
                  <c:v>48372</c:v>
                </c:pt>
                <c:pt idx="80">
                  <c:v>48464</c:v>
                </c:pt>
                <c:pt idx="81">
                  <c:v>48555</c:v>
                </c:pt>
                <c:pt idx="82">
                  <c:v>48645</c:v>
                </c:pt>
                <c:pt idx="83">
                  <c:v>48737</c:v>
                </c:pt>
                <c:pt idx="84">
                  <c:v>48829</c:v>
                </c:pt>
                <c:pt idx="85">
                  <c:v>48920</c:v>
                </c:pt>
                <c:pt idx="86">
                  <c:v>49010</c:v>
                </c:pt>
                <c:pt idx="87">
                  <c:v>49102</c:v>
                </c:pt>
                <c:pt idx="88">
                  <c:v>49194</c:v>
                </c:pt>
                <c:pt idx="89">
                  <c:v>49285</c:v>
                </c:pt>
                <c:pt idx="90">
                  <c:v>49375</c:v>
                </c:pt>
                <c:pt idx="91">
                  <c:v>49467</c:v>
                </c:pt>
                <c:pt idx="92">
                  <c:v>49559</c:v>
                </c:pt>
                <c:pt idx="93">
                  <c:v>49650</c:v>
                </c:pt>
                <c:pt idx="94">
                  <c:v>49741</c:v>
                </c:pt>
                <c:pt idx="95">
                  <c:v>49835</c:v>
                </c:pt>
                <c:pt idx="96">
                  <c:v>49927</c:v>
                </c:pt>
                <c:pt idx="97">
                  <c:v>50018</c:v>
                </c:pt>
                <c:pt idx="98">
                  <c:v>50108</c:v>
                </c:pt>
                <c:pt idx="99">
                  <c:v>50200</c:v>
                </c:pt>
                <c:pt idx="100">
                  <c:v>50292</c:v>
                </c:pt>
                <c:pt idx="101">
                  <c:v>50383</c:v>
                </c:pt>
                <c:pt idx="102">
                  <c:v>50473</c:v>
                </c:pt>
                <c:pt idx="103">
                  <c:v>50565</c:v>
                </c:pt>
                <c:pt idx="104">
                  <c:v>50657</c:v>
                </c:pt>
                <c:pt idx="105">
                  <c:v>50748</c:v>
                </c:pt>
                <c:pt idx="106">
                  <c:v>50838</c:v>
                </c:pt>
                <c:pt idx="107">
                  <c:v>50930</c:v>
                </c:pt>
                <c:pt idx="108">
                  <c:v>51022</c:v>
                </c:pt>
                <c:pt idx="109">
                  <c:v>51113</c:v>
                </c:pt>
                <c:pt idx="110">
                  <c:v>51204</c:v>
                </c:pt>
                <c:pt idx="111">
                  <c:v>51298</c:v>
                </c:pt>
                <c:pt idx="112">
                  <c:v>51390</c:v>
                </c:pt>
                <c:pt idx="113">
                  <c:v>51481</c:v>
                </c:pt>
                <c:pt idx="114">
                  <c:v>51571</c:v>
                </c:pt>
                <c:pt idx="115">
                  <c:v>51663</c:v>
                </c:pt>
                <c:pt idx="116">
                  <c:v>51755</c:v>
                </c:pt>
                <c:pt idx="117">
                  <c:v>51846</c:v>
                </c:pt>
                <c:pt idx="118">
                  <c:v>51936</c:v>
                </c:pt>
                <c:pt idx="119">
                  <c:v>52028</c:v>
                </c:pt>
                <c:pt idx="120">
                  <c:v>52120</c:v>
                </c:pt>
                <c:pt idx="121">
                  <c:v>52211</c:v>
                </c:pt>
                <c:pt idx="122">
                  <c:v>52301</c:v>
                </c:pt>
                <c:pt idx="123">
                  <c:v>52393</c:v>
                </c:pt>
                <c:pt idx="124">
                  <c:v>52485</c:v>
                </c:pt>
                <c:pt idx="125">
                  <c:v>52576</c:v>
                </c:pt>
                <c:pt idx="126">
                  <c:v>52667</c:v>
                </c:pt>
                <c:pt idx="127">
                  <c:v>52761</c:v>
                </c:pt>
                <c:pt idx="128">
                  <c:v>52853</c:v>
                </c:pt>
                <c:pt idx="129">
                  <c:v>52944</c:v>
                </c:pt>
                <c:pt idx="130">
                  <c:v>53034</c:v>
                </c:pt>
                <c:pt idx="131">
                  <c:v>53126</c:v>
                </c:pt>
                <c:pt idx="132">
                  <c:v>53218</c:v>
                </c:pt>
                <c:pt idx="133">
                  <c:v>53309</c:v>
                </c:pt>
                <c:pt idx="134">
                  <c:v>53399</c:v>
                </c:pt>
                <c:pt idx="135">
                  <c:v>53491</c:v>
                </c:pt>
                <c:pt idx="136">
                  <c:v>53583</c:v>
                </c:pt>
                <c:pt idx="137">
                  <c:v>53674</c:v>
                </c:pt>
                <c:pt idx="138">
                  <c:v>53764</c:v>
                </c:pt>
                <c:pt idx="139">
                  <c:v>53856</c:v>
                </c:pt>
                <c:pt idx="140">
                  <c:v>53948</c:v>
                </c:pt>
                <c:pt idx="141">
                  <c:v>54039</c:v>
                </c:pt>
                <c:pt idx="142">
                  <c:v>54130</c:v>
                </c:pt>
                <c:pt idx="143">
                  <c:v>54224</c:v>
                </c:pt>
                <c:pt idx="144">
                  <c:v>54316</c:v>
                </c:pt>
                <c:pt idx="145">
                  <c:v>54407</c:v>
                </c:pt>
                <c:pt idx="146">
                  <c:v>54497</c:v>
                </c:pt>
                <c:pt idx="147">
                  <c:v>54589</c:v>
                </c:pt>
                <c:pt idx="148">
                  <c:v>54681</c:v>
                </c:pt>
                <c:pt idx="149">
                  <c:v>54772</c:v>
                </c:pt>
                <c:pt idx="150">
                  <c:v>54862</c:v>
                </c:pt>
                <c:pt idx="151">
                  <c:v>54954</c:v>
                </c:pt>
                <c:pt idx="152">
                  <c:v>55046</c:v>
                </c:pt>
                <c:pt idx="153">
                  <c:v>55137</c:v>
                </c:pt>
                <c:pt idx="154">
                  <c:v>55227</c:v>
                </c:pt>
                <c:pt idx="155">
                  <c:v>55319</c:v>
                </c:pt>
                <c:pt idx="156">
                  <c:v>55411</c:v>
                </c:pt>
                <c:pt idx="157">
                  <c:v>55502</c:v>
                </c:pt>
                <c:pt idx="158">
                  <c:v>55593</c:v>
                </c:pt>
                <c:pt idx="159">
                  <c:v>55687</c:v>
                </c:pt>
                <c:pt idx="160">
                  <c:v>55779</c:v>
                </c:pt>
                <c:pt idx="161">
                  <c:v>55870</c:v>
                </c:pt>
                <c:pt idx="162">
                  <c:v>55960</c:v>
                </c:pt>
                <c:pt idx="163">
                  <c:v>56052</c:v>
                </c:pt>
                <c:pt idx="164">
                  <c:v>56144</c:v>
                </c:pt>
                <c:pt idx="165">
                  <c:v>56235</c:v>
                </c:pt>
                <c:pt idx="166">
                  <c:v>56325</c:v>
                </c:pt>
                <c:pt idx="167">
                  <c:v>56417</c:v>
                </c:pt>
                <c:pt idx="168">
                  <c:v>56509</c:v>
                </c:pt>
                <c:pt idx="169">
                  <c:v>56600</c:v>
                </c:pt>
                <c:pt idx="170">
                  <c:v>56690</c:v>
                </c:pt>
                <c:pt idx="171">
                  <c:v>56782</c:v>
                </c:pt>
                <c:pt idx="172">
                  <c:v>56874</c:v>
                </c:pt>
                <c:pt idx="173">
                  <c:v>56965</c:v>
                </c:pt>
                <c:pt idx="174">
                  <c:v>57056</c:v>
                </c:pt>
                <c:pt idx="175">
                  <c:v>57150</c:v>
                </c:pt>
                <c:pt idx="176">
                  <c:v>57242</c:v>
                </c:pt>
                <c:pt idx="177">
                  <c:v>57333</c:v>
                </c:pt>
                <c:pt idx="178">
                  <c:v>57423</c:v>
                </c:pt>
                <c:pt idx="179">
                  <c:v>57515</c:v>
                </c:pt>
                <c:pt idx="180">
                  <c:v>57607</c:v>
                </c:pt>
                <c:pt idx="181">
                  <c:v>57698</c:v>
                </c:pt>
                <c:pt idx="182">
                  <c:v>57788</c:v>
                </c:pt>
                <c:pt idx="183">
                  <c:v>57880</c:v>
                </c:pt>
                <c:pt idx="184">
                  <c:v>57972</c:v>
                </c:pt>
                <c:pt idx="185">
                  <c:v>58063</c:v>
                </c:pt>
                <c:pt idx="186">
                  <c:v>58153</c:v>
                </c:pt>
                <c:pt idx="187">
                  <c:v>58245</c:v>
                </c:pt>
                <c:pt idx="188">
                  <c:v>58337</c:v>
                </c:pt>
                <c:pt idx="189">
                  <c:v>58428</c:v>
                </c:pt>
                <c:pt idx="190">
                  <c:v>58519</c:v>
                </c:pt>
                <c:pt idx="191">
                  <c:v>58613</c:v>
                </c:pt>
                <c:pt idx="192">
                  <c:v>58705</c:v>
                </c:pt>
                <c:pt idx="193">
                  <c:v>58796</c:v>
                </c:pt>
                <c:pt idx="194">
                  <c:v>58886</c:v>
                </c:pt>
                <c:pt idx="195">
                  <c:v>58978</c:v>
                </c:pt>
                <c:pt idx="196">
                  <c:v>59070</c:v>
                </c:pt>
                <c:pt idx="197">
                  <c:v>59161</c:v>
                </c:pt>
                <c:pt idx="198">
                  <c:v>59251</c:v>
                </c:pt>
                <c:pt idx="199">
                  <c:v>59343</c:v>
                </c:pt>
                <c:pt idx="200">
                  <c:v>59435</c:v>
                </c:pt>
              </c:numCache>
            </c:numRef>
          </c:cat>
          <c:val>
            <c:numRef>
              <c:f>test!$H$2:$H$202</c:f>
              <c:numCache>
                <c:formatCode>G/通用格式</c:formatCode>
                <c:ptCount val="201"/>
                <c:pt idx="0">
                  <c:v>4.9095604781046007E-2</c:v>
                </c:pt>
                <c:pt idx="1">
                  <c:v>4.9095604781046007E-2</c:v>
                </c:pt>
                <c:pt idx="2">
                  <c:v>4.9396874776212463E-2</c:v>
                </c:pt>
                <c:pt idx="3">
                  <c:v>4.9703998427645578E-2</c:v>
                </c:pt>
                <c:pt idx="4">
                  <c:v>4.9989591808261472E-2</c:v>
                </c:pt>
                <c:pt idx="5">
                  <c:v>4.9807738163394767E-2</c:v>
                </c:pt>
                <c:pt idx="6">
                  <c:v>4.9791280181410325E-2</c:v>
                </c:pt>
                <c:pt idx="7">
                  <c:v>4.986878705526112E-2</c:v>
                </c:pt>
                <c:pt idx="8">
                  <c:v>4.9994646322111549E-2</c:v>
                </c:pt>
                <c:pt idx="9">
                  <c:v>4.9890083892058353E-2</c:v>
                </c:pt>
                <c:pt idx="10">
                  <c:v>4.987123605799787E-2</c:v>
                </c:pt>
                <c:pt idx="11">
                  <c:v>4.9914251401490327E-2</c:v>
                </c:pt>
                <c:pt idx="12">
                  <c:v>4.9996339373731269E-2</c:v>
                </c:pt>
                <c:pt idx="13">
                  <c:v>4.9921929297289232E-2</c:v>
                </c:pt>
                <c:pt idx="14">
                  <c:v>4.9906013211564008E-2</c:v>
                </c:pt>
                <c:pt idx="15">
                  <c:v>4.9937311436353153E-2</c:v>
                </c:pt>
                <c:pt idx="16">
                  <c:v>4.9994569235313605E-2</c:v>
                </c:pt>
                <c:pt idx="17">
                  <c:v>4.9937810135054606E-2</c:v>
                </c:pt>
                <c:pt idx="18">
                  <c:v>4.9923529019879648E-2</c:v>
                </c:pt>
                <c:pt idx="19">
                  <c:v>4.9949270328347811E-2</c:v>
                </c:pt>
                <c:pt idx="20">
                  <c:v>4.999554830006428E-2</c:v>
                </c:pt>
                <c:pt idx="21">
                  <c:v>4.994841195727745E-2</c:v>
                </c:pt>
                <c:pt idx="22">
                  <c:v>4.9935892568078281E-2</c:v>
                </c:pt>
                <c:pt idx="23">
                  <c:v>4.9957069967986122E-2</c:v>
                </c:pt>
                <c:pt idx="24">
                  <c:v>4.9996200636936362E-2</c:v>
                </c:pt>
                <c:pt idx="25">
                  <c:v>4.9955617737935651E-2</c:v>
                </c:pt>
                <c:pt idx="26">
                  <c:v>4.9945695634951742E-2</c:v>
                </c:pt>
                <c:pt idx="27">
                  <c:v>4.9963897184124098E-2</c:v>
                </c:pt>
                <c:pt idx="28">
                  <c:v>4.9994453636780685E-2</c:v>
                </c:pt>
                <c:pt idx="29">
                  <c:v>4.9959819456683617E-2</c:v>
                </c:pt>
                <c:pt idx="30">
                  <c:v>4.9951889729051478E-2</c:v>
                </c:pt>
                <c:pt idx="31">
                  <c:v>4.9967805934997014E-2</c:v>
                </c:pt>
                <c:pt idx="32">
                  <c:v>4.999503197717655E-2</c:v>
                </c:pt>
                <c:pt idx="33">
                  <c:v>4.9963853846758867E-2</c:v>
                </c:pt>
                <c:pt idx="34">
                  <c:v>4.995677973729467E-2</c:v>
                </c:pt>
                <c:pt idx="35">
                  <c:v>4.997157842252764E-2</c:v>
                </c:pt>
                <c:pt idx="36">
                  <c:v>4.9991977387831781E-2</c:v>
                </c:pt>
                <c:pt idx="37">
                  <c:v>4.9965065337496263E-2</c:v>
                </c:pt>
                <c:pt idx="38">
                  <c:v>4.9960423161874358E-2</c:v>
                </c:pt>
                <c:pt idx="39">
                  <c:v>4.9973898465538638E-2</c:v>
                </c:pt>
                <c:pt idx="40">
                  <c:v>4.9992612006209414E-2</c:v>
                </c:pt>
                <c:pt idx="41">
                  <c:v>4.9967742580478258E-2</c:v>
                </c:pt>
                <c:pt idx="42">
                  <c:v>4.9963364438895486E-2</c:v>
                </c:pt>
                <c:pt idx="43">
                  <c:v>4.9975781288927677E-2</c:v>
                </c:pt>
                <c:pt idx="44">
                  <c:v>4.999312960056819E-2</c:v>
                </c:pt>
                <c:pt idx="45">
                  <c:v>4.9969936786199785E-2</c:v>
                </c:pt>
                <c:pt idx="46">
                  <c:v>4.9965786072669327E-2</c:v>
                </c:pt>
                <c:pt idx="47">
                  <c:v>4.9978084342686427E-2</c:v>
                </c:pt>
                <c:pt idx="48">
                  <c:v>4.9994314045804712E-2</c:v>
                </c:pt>
                <c:pt idx="49">
                  <c:v>4.9972506836444497E-2</c:v>
                </c:pt>
                <c:pt idx="50">
                  <c:v>4.9967567839578848E-2</c:v>
                </c:pt>
                <c:pt idx="51">
                  <c:v>4.9979347943782428E-2</c:v>
                </c:pt>
                <c:pt idx="52">
                  <c:v>4.9994633539580224E-2</c:v>
                </c:pt>
                <c:pt idx="53">
                  <c:v>4.9974011812553454E-2</c:v>
                </c:pt>
                <c:pt idx="54">
                  <c:v>4.9969298505160686E-2</c:v>
                </c:pt>
                <c:pt idx="55">
                  <c:v>4.9980422955790631E-2</c:v>
                </c:pt>
                <c:pt idx="56">
                  <c:v>4.9994906134179062E-2</c:v>
                </c:pt>
                <c:pt idx="57">
                  <c:v>4.997529953064335E-2</c:v>
                </c:pt>
                <c:pt idx="58">
                  <c:v>4.9970783341287857E-2</c:v>
                </c:pt>
                <c:pt idx="59">
                  <c:v>4.9981347642161396E-2</c:v>
                </c:pt>
                <c:pt idx="60">
                  <c:v>4.9995141189443974E-2</c:v>
                </c:pt>
                <c:pt idx="61">
                  <c:v>4.9976412632679865E-2</c:v>
                </c:pt>
                <c:pt idx="62">
                  <c:v>4.9972069822365968E-2</c:v>
                </c:pt>
                <c:pt idx="63">
                  <c:v>4.9982523010446457E-2</c:v>
                </c:pt>
                <c:pt idx="64">
                  <c:v>4.9994807317381124E-2</c:v>
                </c:pt>
                <c:pt idx="65">
                  <c:v>4.997716527689737E-2</c:v>
                </c:pt>
                <c:pt idx="66">
                  <c:v>4.9973548313188461E-2</c:v>
                </c:pt>
                <c:pt idx="67">
                  <c:v>4.9983210979060284E-2</c:v>
                </c:pt>
                <c:pt idx="68">
                  <c:v>4.9995007382807002E-2</c:v>
                </c:pt>
                <c:pt idx="69">
                  <c:v>4.9978026057426954E-2</c:v>
                </c:pt>
                <c:pt idx="70">
                  <c:v>4.997452435650198E-2</c:v>
                </c:pt>
                <c:pt idx="71">
                  <c:v>4.998381765147792E-2</c:v>
                </c:pt>
                <c:pt idx="72">
                  <c:v>4.9995184095926133E-2</c:v>
                </c:pt>
                <c:pt idx="73">
                  <c:v>4.997878760509035E-2</c:v>
                </c:pt>
                <c:pt idx="74">
                  <c:v>4.9975389228137539E-2</c:v>
                </c:pt>
                <c:pt idx="75">
                  <c:v>4.9984356028596487E-2</c:v>
                </c:pt>
                <c:pt idx="76">
                  <c:v>4.9995341143264801E-2</c:v>
                </c:pt>
                <c:pt idx="77">
                  <c:v>4.9979465381493247E-2</c:v>
                </c:pt>
                <c:pt idx="78">
                  <c:v>4.997616003024323E-2</c:v>
                </c:pt>
                <c:pt idx="79">
                  <c:v>4.9985191177254314E-2</c:v>
                </c:pt>
                <c:pt idx="80">
                  <c:v>4.9995029254991705E-2</c:v>
                </c:pt>
                <c:pt idx="81">
                  <c:v>5.0004786934145999E-2</c:v>
                </c:pt>
                <c:pt idx="82">
                  <c:v>5.002643656663508E-2</c:v>
                </c:pt>
                <c:pt idx="83">
                  <c:v>5.0060283615744307E-2</c:v>
                </c:pt>
                <c:pt idx="84">
                  <c:v>5.0095003702597111E-2</c:v>
                </c:pt>
                <c:pt idx="85">
                  <c:v>5.0105172544507567E-2</c:v>
                </c:pt>
                <c:pt idx="86">
                  <c:v>5.0126891529362817E-2</c:v>
                </c:pt>
                <c:pt idx="87">
                  <c:v>5.0160498502318809E-2</c:v>
                </c:pt>
                <c:pt idx="88">
                  <c:v>5.0194964555892931E-2</c:v>
                </c:pt>
                <c:pt idx="89">
                  <c:v>5.0205504736435182E-2</c:v>
                </c:pt>
                <c:pt idx="90">
                  <c:v>5.022728689353477E-2</c:v>
                </c:pt>
                <c:pt idx="91">
                  <c:v>5.0260677232497213E-2</c:v>
                </c:pt>
                <c:pt idx="92">
                  <c:v>5.0294913593536862E-2</c:v>
                </c:pt>
                <c:pt idx="93">
                  <c:v>5.0305790424740399E-2</c:v>
                </c:pt>
                <c:pt idx="94">
                  <c:v>5.0327903816786826E-2</c:v>
                </c:pt>
                <c:pt idx="95">
                  <c:v>5.0361852142374715E-2</c:v>
                </c:pt>
                <c:pt idx="96">
                  <c:v>5.039478274315945E-2</c:v>
                </c:pt>
                <c:pt idx="97">
                  <c:v>5.0406343564317994E-2</c:v>
                </c:pt>
                <c:pt idx="98">
                  <c:v>5.0428419717773232E-2</c:v>
                </c:pt>
                <c:pt idx="99">
                  <c:v>5.0461967070109769E-2</c:v>
                </c:pt>
                <c:pt idx="100">
                  <c:v>5.0494730894718981E-2</c:v>
                </c:pt>
                <c:pt idx="101">
                  <c:v>5.0506563025964547E-2</c:v>
                </c:pt>
                <c:pt idx="102">
                  <c:v>5.0528683835184079E-2</c:v>
                </c:pt>
                <c:pt idx="103">
                  <c:v>5.0562057916531483E-2</c:v>
                </c:pt>
                <c:pt idx="104">
                  <c:v>5.0594669430292311E-2</c:v>
                </c:pt>
                <c:pt idx="105">
                  <c:v>5.0606749881119947E-2</c:v>
                </c:pt>
                <c:pt idx="106">
                  <c:v>5.0628911818066454E-2</c:v>
                </c:pt>
                <c:pt idx="107">
                  <c:v>5.0662127403428375E-2</c:v>
                </c:pt>
                <c:pt idx="108">
                  <c:v>5.0694599427178258E-2</c:v>
                </c:pt>
                <c:pt idx="109">
                  <c:v>5.0706907750245937E-2</c:v>
                </c:pt>
                <c:pt idx="110">
                  <c:v>5.0729381166688618E-2</c:v>
                </c:pt>
                <c:pt idx="111">
                  <c:v>5.0763368853764507E-2</c:v>
                </c:pt>
                <c:pt idx="112">
                  <c:v>5.0795361768545447E-2</c:v>
                </c:pt>
                <c:pt idx="113">
                  <c:v>5.0807991818758884E-2</c:v>
                </c:pt>
                <c:pt idx="114">
                  <c:v>5.083052462526981E-2</c:v>
                </c:pt>
                <c:pt idx="115">
                  <c:v>5.0863396209267185E-2</c:v>
                </c:pt>
                <c:pt idx="116">
                  <c:v>5.0895276994923314E-2</c:v>
                </c:pt>
                <c:pt idx="117">
                  <c:v>5.0908098458766357E-2</c:v>
                </c:pt>
                <c:pt idx="118">
                  <c:v>5.0930659192694766E-2</c:v>
                </c:pt>
                <c:pt idx="119">
                  <c:v>5.096340875599218E-2</c:v>
                </c:pt>
                <c:pt idx="120">
                  <c:v>5.0995186121761765E-2</c:v>
                </c:pt>
                <c:pt idx="121">
                  <c:v>5.0970853627711865E-2</c:v>
                </c:pt>
                <c:pt idx="122">
                  <c:v>5.0956519736129878E-2</c:v>
                </c:pt>
                <c:pt idx="123">
                  <c:v>5.0951415614224116E-2</c:v>
                </c:pt>
                <c:pt idx="124">
                  <c:v>5.0945356391584609E-2</c:v>
                </c:pt>
                <c:pt idx="125">
                  <c:v>5.0921187551547169E-2</c:v>
                </c:pt>
                <c:pt idx="126">
                  <c:v>5.090674106250228E-2</c:v>
                </c:pt>
                <c:pt idx="127">
                  <c:v>5.0901536133377008E-2</c:v>
                </c:pt>
                <c:pt idx="128">
                  <c:v>5.0894766756200249E-2</c:v>
                </c:pt>
                <c:pt idx="129">
                  <c:v>5.08709659690312E-2</c:v>
                </c:pt>
                <c:pt idx="130">
                  <c:v>5.0856865935033121E-2</c:v>
                </c:pt>
                <c:pt idx="131">
                  <c:v>5.0851775448320161E-2</c:v>
                </c:pt>
                <c:pt idx="132">
                  <c:v>5.084493180544989E-2</c:v>
                </c:pt>
                <c:pt idx="133">
                  <c:v>5.0821269154657858E-2</c:v>
                </c:pt>
                <c:pt idx="134">
                  <c:v>5.0807187758385795E-2</c:v>
                </c:pt>
                <c:pt idx="135">
                  <c:v>5.0802005077084343E-2</c:v>
                </c:pt>
                <c:pt idx="136">
                  <c:v>5.0795092449008386E-2</c:v>
                </c:pt>
                <c:pt idx="137">
                  <c:v>5.0771558269764004E-2</c:v>
                </c:pt>
                <c:pt idx="138">
                  <c:v>5.0757494277885347E-2</c:v>
                </c:pt>
                <c:pt idx="139">
                  <c:v>5.0752225877359572E-2</c:v>
                </c:pt>
                <c:pt idx="140">
                  <c:v>5.0745249074509509E-2</c:v>
                </c:pt>
                <c:pt idx="141">
                  <c:v>5.0721834544371583E-2</c:v>
                </c:pt>
                <c:pt idx="142">
                  <c:v>5.070765011754557E-2</c:v>
                </c:pt>
                <c:pt idx="143">
                  <c:v>5.0702169804348954E-2</c:v>
                </c:pt>
                <c:pt idx="144">
                  <c:v>5.0693915269498124E-2</c:v>
                </c:pt>
                <c:pt idx="145">
                  <c:v>5.0671030540050795E-2</c:v>
                </c:pt>
                <c:pt idx="146">
                  <c:v>5.0657738022257759E-2</c:v>
                </c:pt>
                <c:pt idx="147">
                  <c:v>5.0652373714293868E-2</c:v>
                </c:pt>
                <c:pt idx="148">
                  <c:v>5.0644075384550527E-2</c:v>
                </c:pt>
                <c:pt idx="149">
                  <c:v>5.0621290604641503E-2</c:v>
                </c:pt>
                <c:pt idx="150">
                  <c:v>5.0608005217162758E-2</c:v>
                </c:pt>
                <c:pt idx="151">
                  <c:v>5.0602570940868279E-2</c:v>
                </c:pt>
                <c:pt idx="152">
                  <c:v>5.0594231718392578E-2</c:v>
                </c:pt>
                <c:pt idx="153">
                  <c:v>5.0571540366451125E-2</c:v>
                </c:pt>
                <c:pt idx="154">
                  <c:v>5.0558261684893184E-2</c:v>
                </c:pt>
                <c:pt idx="155">
                  <c:v>5.0552762021813857E-2</c:v>
                </c:pt>
                <c:pt idx="156">
                  <c:v>5.0544384573600859E-2</c:v>
                </c:pt>
                <c:pt idx="157">
                  <c:v>5.0521780645379662E-2</c:v>
                </c:pt>
                <c:pt idx="158">
                  <c:v>5.0508371569126291E-2</c:v>
                </c:pt>
                <c:pt idx="159">
                  <c:v>5.0502906147931896E-2</c:v>
                </c:pt>
                <c:pt idx="160">
                  <c:v>5.0494505895880643E-2</c:v>
                </c:pt>
                <c:pt idx="161">
                  <c:v>5.0471978764995797E-2</c:v>
                </c:pt>
                <c:pt idx="162">
                  <c:v>5.0458237711326848E-2</c:v>
                </c:pt>
                <c:pt idx="163">
                  <c:v>5.0453083406370898E-2</c:v>
                </c:pt>
                <c:pt idx="164">
                  <c:v>5.0444649599060372E-2</c:v>
                </c:pt>
                <c:pt idx="165">
                  <c:v>5.042219929531544E-2</c:v>
                </c:pt>
                <c:pt idx="166">
                  <c:v>5.0408467469301083E-2</c:v>
                </c:pt>
                <c:pt idx="167">
                  <c:v>5.0403256017456183E-2</c:v>
                </c:pt>
                <c:pt idx="168">
                  <c:v>5.0394790749952817E-2</c:v>
                </c:pt>
                <c:pt idx="169">
                  <c:v>5.0372412534886182E-2</c:v>
                </c:pt>
                <c:pt idx="170">
                  <c:v>5.0358689391421886E-2</c:v>
                </c:pt>
                <c:pt idx="171">
                  <c:v>5.0353424325689233E-2</c:v>
                </c:pt>
                <c:pt idx="172">
                  <c:v>5.0344929536872668E-2</c:v>
                </c:pt>
                <c:pt idx="173">
                  <c:v>5.0322619019104148E-2</c:v>
                </c:pt>
                <c:pt idx="174">
                  <c:v>5.0308767345062233E-2</c:v>
                </c:pt>
                <c:pt idx="175">
                  <c:v>5.0303425007813769E-2</c:v>
                </c:pt>
                <c:pt idx="176">
                  <c:v>5.0294349229750006E-2</c:v>
                </c:pt>
                <c:pt idx="177">
                  <c:v>5.0272295184681959E-2</c:v>
                </c:pt>
                <c:pt idx="178">
                  <c:v>5.0258927939985203E-2</c:v>
                </c:pt>
                <c:pt idx="179">
                  <c:v>5.0253584047463759E-2</c:v>
                </c:pt>
                <c:pt idx="180">
                  <c:v>5.0244485688774584E-2</c:v>
                </c:pt>
                <c:pt idx="181">
                  <c:v>5.0222490248574884E-2</c:v>
                </c:pt>
                <c:pt idx="182">
                  <c:v>5.0209128191443006E-2</c:v>
                </c:pt>
                <c:pt idx="183">
                  <c:v>5.0203739736410437E-2</c:v>
                </c:pt>
                <c:pt idx="184">
                  <c:v>5.0194620141318778E-2</c:v>
                </c:pt>
                <c:pt idx="185">
                  <c:v>5.017267985495813E-2</c:v>
                </c:pt>
                <c:pt idx="186">
                  <c:v>5.0159322694464936E-2</c:v>
                </c:pt>
                <c:pt idx="187">
                  <c:v>5.0153892306227743E-2</c:v>
                </c:pt>
                <c:pt idx="188">
                  <c:v>5.0144752725501396E-2</c:v>
                </c:pt>
                <c:pt idx="189">
                  <c:v>5.0122864377994757E-2</c:v>
                </c:pt>
                <c:pt idx="190">
                  <c:v>5.0109375136208549E-2</c:v>
                </c:pt>
                <c:pt idx="191">
                  <c:v>5.0103896061682536E-2</c:v>
                </c:pt>
                <c:pt idx="192">
                  <c:v>5.0094185940842938E-2</c:v>
                </c:pt>
                <c:pt idx="193">
                  <c:v>5.0072534651676277E-2</c:v>
                </c:pt>
                <c:pt idx="194">
                  <c:v>5.005936149850107E-2</c:v>
                </c:pt>
                <c:pt idx="195">
                  <c:v>5.0054041656874861E-2</c:v>
                </c:pt>
                <c:pt idx="196">
                  <c:v>5.0044316591141946E-2</c:v>
                </c:pt>
                <c:pt idx="197">
                  <c:v>5.0022710479303602E-2</c:v>
                </c:pt>
                <c:pt idx="198">
                  <c:v>5.0009540593452834E-2</c:v>
                </c:pt>
                <c:pt idx="199">
                  <c:v>5.0004184796376722E-2</c:v>
                </c:pt>
                <c:pt idx="200">
                  <c:v>4.9994445641424162E-2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4214528"/>
        <c:axId val="744216064"/>
      </c:lineChart>
      <c:dateAx>
        <c:axId val="744214528"/>
        <c:scaling>
          <c:orientation val="minMax"/>
        </c:scaling>
        <c:delete val="0"/>
        <c:axPos val="b"/>
        <c:numFmt formatCode="yyyy-m-d" sourceLinked="1"/>
        <c:majorTickMark val="out"/>
        <c:minorTickMark val="none"/>
        <c:tickLblPos val="nextTo"/>
        <c:crossAx val="744216064"/>
        <c:crosses val="autoZero"/>
        <c:auto val="1"/>
        <c:lblOffset val="100"/>
        <c:baseTimeUnit val="months"/>
      </c:dateAx>
      <c:valAx>
        <c:axId val="744216064"/>
        <c:scaling>
          <c:orientation val="minMax"/>
        </c:scaling>
        <c:delete val="0"/>
        <c:axPos val="l"/>
        <c:majorGridlines/>
        <c:numFmt formatCode="G/通用格式" sourceLinked="1"/>
        <c:majorTickMark val="out"/>
        <c:minorTickMark val="none"/>
        <c:tickLblPos val="nextTo"/>
        <c:crossAx val="7442145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test!$I$2:$I$202</c:f>
              <c:numCache>
                <c:formatCode>0.0%</c:formatCode>
                <c:ptCount val="201"/>
                <c:pt idx="0">
                  <c:v>5.0000000001760858E-2</c:v>
                </c:pt>
                <c:pt idx="1">
                  <c:v>5.00000000017784E-2</c:v>
                </c:pt>
                <c:pt idx="2">
                  <c:v>5.0000000001069411E-2</c:v>
                </c:pt>
                <c:pt idx="3">
                  <c:v>5.0000000000006928E-2</c:v>
                </c:pt>
                <c:pt idx="4">
                  <c:v>5.0000000000004929E-2</c:v>
                </c:pt>
                <c:pt idx="5">
                  <c:v>4.9999999999556399E-2</c:v>
                </c:pt>
                <c:pt idx="6">
                  <c:v>4.9999999999620348E-2</c:v>
                </c:pt>
                <c:pt idx="7">
                  <c:v>5.0000000000002931E-2</c:v>
                </c:pt>
                <c:pt idx="8">
                  <c:v>5.0000000000002709E-2</c:v>
                </c:pt>
                <c:pt idx="9">
                  <c:v>5.0000000000012035E-2</c:v>
                </c:pt>
                <c:pt idx="10">
                  <c:v>5.0000000000008038E-2</c:v>
                </c:pt>
                <c:pt idx="11">
                  <c:v>5.0000000000219647E-2</c:v>
                </c:pt>
                <c:pt idx="12">
                  <c:v>5.0000000000001821E-2</c:v>
                </c:pt>
                <c:pt idx="13">
                  <c:v>5.0000000000008482E-2</c:v>
                </c:pt>
                <c:pt idx="14">
                  <c:v>5.0000000000182343E-2</c:v>
                </c:pt>
                <c:pt idx="15">
                  <c:v>4.9999999999826406E-2</c:v>
                </c:pt>
                <c:pt idx="16">
                  <c:v>5.0000000000001599E-2</c:v>
                </c:pt>
                <c:pt idx="17">
                  <c:v>5.0000000000157696E-2</c:v>
                </c:pt>
                <c:pt idx="18">
                  <c:v>4.9999999999997158E-2</c:v>
                </c:pt>
                <c:pt idx="19">
                  <c:v>5.0000000000001599E-2</c:v>
                </c:pt>
                <c:pt idx="20">
                  <c:v>5.0000000000134825E-2</c:v>
                </c:pt>
                <c:pt idx="21">
                  <c:v>4.9999999999998934E-2</c:v>
                </c:pt>
                <c:pt idx="22">
                  <c:v>4.9999999999997824E-2</c:v>
                </c:pt>
                <c:pt idx="23">
                  <c:v>5.0000000000001377E-2</c:v>
                </c:pt>
                <c:pt idx="24">
                  <c:v>4.9999999999995381E-2</c:v>
                </c:pt>
                <c:pt idx="25">
                  <c:v>5.0000000000112843E-2</c:v>
                </c:pt>
                <c:pt idx="26">
                  <c:v>4.9999999999998046E-2</c:v>
                </c:pt>
                <c:pt idx="27">
                  <c:v>5.0000000000000711E-2</c:v>
                </c:pt>
                <c:pt idx="28">
                  <c:v>4.9999999999890798E-2</c:v>
                </c:pt>
                <c:pt idx="29">
                  <c:v>5.00000000000973E-2</c:v>
                </c:pt>
                <c:pt idx="30">
                  <c:v>4.9999999999998712E-2</c:v>
                </c:pt>
                <c:pt idx="31">
                  <c:v>5.0000000000000711E-2</c:v>
                </c:pt>
                <c:pt idx="32">
                  <c:v>5.0000000000001155E-2</c:v>
                </c:pt>
                <c:pt idx="33">
                  <c:v>4.9999999999990719E-2</c:v>
                </c:pt>
                <c:pt idx="34">
                  <c:v>4.999999999999849E-2</c:v>
                </c:pt>
                <c:pt idx="35">
                  <c:v>4.9999999999909006E-2</c:v>
                </c:pt>
                <c:pt idx="36">
                  <c:v>5.0000000000090861E-2</c:v>
                </c:pt>
                <c:pt idx="37">
                  <c:v>4.9999999999992051E-2</c:v>
                </c:pt>
                <c:pt idx="38">
                  <c:v>4.9999999999998712E-2</c:v>
                </c:pt>
                <c:pt idx="39">
                  <c:v>5.0000000000004929E-2</c:v>
                </c:pt>
                <c:pt idx="40">
                  <c:v>4.999999999999627E-2</c:v>
                </c:pt>
                <c:pt idx="41">
                  <c:v>4.9999999999992939E-2</c:v>
                </c:pt>
                <c:pt idx="42">
                  <c:v>4.9999999999998712E-2</c:v>
                </c:pt>
                <c:pt idx="43">
                  <c:v>5.0000000000004485E-2</c:v>
                </c:pt>
                <c:pt idx="44">
                  <c:v>4.9999999999996714E-2</c:v>
                </c:pt>
                <c:pt idx="45">
                  <c:v>5.0000000000074207E-2</c:v>
                </c:pt>
                <c:pt idx="46">
                  <c:v>4.9999999999998934E-2</c:v>
                </c:pt>
                <c:pt idx="47">
                  <c:v>5.0000000000003819E-2</c:v>
                </c:pt>
                <c:pt idx="48">
                  <c:v>4.9999999999996936E-2</c:v>
                </c:pt>
                <c:pt idx="49">
                  <c:v>4.9999999999990496E-2</c:v>
                </c:pt>
                <c:pt idx="50">
                  <c:v>4.9999999999999156E-2</c:v>
                </c:pt>
                <c:pt idx="51">
                  <c:v>5.0000000000003375E-2</c:v>
                </c:pt>
                <c:pt idx="52">
                  <c:v>4.9999999999997158E-2</c:v>
                </c:pt>
                <c:pt idx="53">
                  <c:v>4.9999999999991163E-2</c:v>
                </c:pt>
                <c:pt idx="54">
                  <c:v>5.0000000000074429E-2</c:v>
                </c:pt>
                <c:pt idx="55">
                  <c:v>5.0000000000003153E-2</c:v>
                </c:pt>
                <c:pt idx="56">
                  <c:v>4.999999999999738E-2</c:v>
                </c:pt>
                <c:pt idx="57">
                  <c:v>4.9999999999991829E-2</c:v>
                </c:pt>
                <c:pt idx="58">
                  <c:v>4.9999999999995826E-2</c:v>
                </c:pt>
                <c:pt idx="59">
                  <c:v>5.0000000000075984E-2</c:v>
                </c:pt>
                <c:pt idx="60">
                  <c:v>5.0000000000070211E-2</c:v>
                </c:pt>
                <c:pt idx="61">
                  <c:v>4.9999999999992495E-2</c:v>
                </c:pt>
                <c:pt idx="62">
                  <c:v>5.0000000000068212E-2</c:v>
                </c:pt>
                <c:pt idx="63">
                  <c:v>4.9999999999927214E-2</c:v>
                </c:pt>
                <c:pt idx="64">
                  <c:v>4.9999999999994493E-2</c:v>
                </c:pt>
                <c:pt idx="65">
                  <c:v>4.9999999999992717E-2</c:v>
                </c:pt>
                <c:pt idx="66">
                  <c:v>5.0000000000064437E-2</c:v>
                </c:pt>
                <c:pt idx="67">
                  <c:v>5.0000000000002487E-2</c:v>
                </c:pt>
                <c:pt idx="68">
                  <c:v>4.9999999999994715E-2</c:v>
                </c:pt>
                <c:pt idx="69">
                  <c:v>4.9999999999922551E-2</c:v>
                </c:pt>
                <c:pt idx="70">
                  <c:v>4.9999999999990496E-2</c:v>
                </c:pt>
                <c:pt idx="71">
                  <c:v>5.0000000000002487E-2</c:v>
                </c:pt>
                <c:pt idx="72">
                  <c:v>5.0000000000065326E-2</c:v>
                </c:pt>
                <c:pt idx="73">
                  <c:v>4.9999999999996714E-2</c:v>
                </c:pt>
                <c:pt idx="74">
                  <c:v>4.9999999999990941E-2</c:v>
                </c:pt>
                <c:pt idx="75">
                  <c:v>5.0000000000002265E-2</c:v>
                </c:pt>
                <c:pt idx="76">
                  <c:v>4.9999999999992051E-2</c:v>
                </c:pt>
                <c:pt idx="77">
                  <c:v>4.9999999999996936E-2</c:v>
                </c:pt>
                <c:pt idx="78">
                  <c:v>4.9999999999991385E-2</c:v>
                </c:pt>
                <c:pt idx="79">
                  <c:v>5.0000000000002265E-2</c:v>
                </c:pt>
                <c:pt idx="80">
                  <c:v>4.9999999999992495E-2</c:v>
                </c:pt>
                <c:pt idx="81">
                  <c:v>4.9999999999997158E-2</c:v>
                </c:pt>
                <c:pt idx="82">
                  <c:v>4.9999999999991829E-2</c:v>
                </c:pt>
                <c:pt idx="83">
                  <c:v>5.0000000000071765E-2</c:v>
                </c:pt>
                <c:pt idx="84">
                  <c:v>4.9999999999992717E-2</c:v>
                </c:pt>
                <c:pt idx="85">
                  <c:v>4.9999999999927658E-2</c:v>
                </c:pt>
                <c:pt idx="86">
                  <c:v>4.9999999999992273E-2</c:v>
                </c:pt>
                <c:pt idx="87">
                  <c:v>4.9999999999998712E-2</c:v>
                </c:pt>
                <c:pt idx="88">
                  <c:v>4.9999999999923217E-2</c:v>
                </c:pt>
                <c:pt idx="89">
                  <c:v>5.0000000000000711E-2</c:v>
                </c:pt>
                <c:pt idx="90">
                  <c:v>4.9999999999992495E-2</c:v>
                </c:pt>
                <c:pt idx="91">
                  <c:v>4.9999999999998712E-2</c:v>
                </c:pt>
                <c:pt idx="92">
                  <c:v>4.9999999999996714E-2</c:v>
                </c:pt>
                <c:pt idx="93">
                  <c:v>5.0000000000000711E-2</c:v>
                </c:pt>
                <c:pt idx="94">
                  <c:v>5.0000000000063327E-2</c:v>
                </c:pt>
                <c:pt idx="95">
                  <c:v>5.00000000000691E-2</c:v>
                </c:pt>
                <c:pt idx="96">
                  <c:v>4.9999999999996936E-2</c:v>
                </c:pt>
                <c:pt idx="97">
                  <c:v>5.0000000000071099E-2</c:v>
                </c:pt>
                <c:pt idx="98">
                  <c:v>4.999999999998983E-2</c:v>
                </c:pt>
                <c:pt idx="99">
                  <c:v>5.0000000000066436E-2</c:v>
                </c:pt>
                <c:pt idx="100">
                  <c:v>4.9999999999996936E-2</c:v>
                </c:pt>
                <c:pt idx="101">
                  <c:v>4.9999999999925659E-2</c:v>
                </c:pt>
                <c:pt idx="102">
                  <c:v>4.9999999999990274E-2</c:v>
                </c:pt>
                <c:pt idx="103">
                  <c:v>4.9999999999992273E-2</c:v>
                </c:pt>
                <c:pt idx="104">
                  <c:v>5.0000000000068878E-2</c:v>
                </c:pt>
                <c:pt idx="105">
                  <c:v>5.0000000000000488E-2</c:v>
                </c:pt>
                <c:pt idx="106">
                  <c:v>5.0000000000062883E-2</c:v>
                </c:pt>
                <c:pt idx="107">
                  <c:v>5.0000000000064881E-2</c:v>
                </c:pt>
                <c:pt idx="108">
                  <c:v>4.9999999999993827E-2</c:v>
                </c:pt>
                <c:pt idx="109">
                  <c:v>5.0000000000000488E-2</c:v>
                </c:pt>
                <c:pt idx="110">
                  <c:v>4.9999999999987388E-2</c:v>
                </c:pt>
                <c:pt idx="111">
                  <c:v>4.9999999999989386E-2</c:v>
                </c:pt>
                <c:pt idx="112">
                  <c:v>4.9999999999994271E-2</c:v>
                </c:pt>
                <c:pt idx="113">
                  <c:v>5.0000000000073763E-2</c:v>
                </c:pt>
                <c:pt idx="114">
                  <c:v>5.0000000000062217E-2</c:v>
                </c:pt>
                <c:pt idx="115">
                  <c:v>4.999999999998983E-2</c:v>
                </c:pt>
                <c:pt idx="116">
                  <c:v>5.00000000000691E-2</c:v>
                </c:pt>
                <c:pt idx="117">
                  <c:v>5.0000000000071321E-2</c:v>
                </c:pt>
                <c:pt idx="118">
                  <c:v>4.9999999999909894E-2</c:v>
                </c:pt>
                <c:pt idx="119">
                  <c:v>4.9999999999990052E-2</c:v>
                </c:pt>
                <c:pt idx="120">
                  <c:v>4.9999999999991163E-2</c:v>
                </c:pt>
                <c:pt idx="121">
                  <c:v>4.9999999999992939E-2</c:v>
                </c:pt>
                <c:pt idx="122">
                  <c:v>4.9999999999989164E-2</c:v>
                </c:pt>
                <c:pt idx="123">
                  <c:v>5.0000000000067102E-2</c:v>
                </c:pt>
                <c:pt idx="124">
                  <c:v>4.9999999999991385E-2</c:v>
                </c:pt>
                <c:pt idx="125">
                  <c:v>4.9999999999993161E-2</c:v>
                </c:pt>
                <c:pt idx="126">
                  <c:v>4.9999999999989608E-2</c:v>
                </c:pt>
                <c:pt idx="127">
                  <c:v>5.0000000000065103E-2</c:v>
                </c:pt>
                <c:pt idx="128">
                  <c:v>4.9999999999991607E-2</c:v>
                </c:pt>
                <c:pt idx="129">
                  <c:v>4.9999999999993383E-2</c:v>
                </c:pt>
                <c:pt idx="130">
                  <c:v>4.999999999991056E-2</c:v>
                </c:pt>
                <c:pt idx="131">
                  <c:v>4.9999999999983835E-2</c:v>
                </c:pt>
                <c:pt idx="132">
                  <c:v>4.9999999999912115E-2</c:v>
                </c:pt>
                <c:pt idx="133">
                  <c:v>4.9999999999993605E-2</c:v>
                </c:pt>
                <c:pt idx="134">
                  <c:v>4.9999999999993605E-2</c:v>
                </c:pt>
                <c:pt idx="135">
                  <c:v>4.9999999999984279E-2</c:v>
                </c:pt>
                <c:pt idx="136">
                  <c:v>4.9999999999995826E-2</c:v>
                </c:pt>
                <c:pt idx="137">
                  <c:v>4.9999999999912115E-2</c:v>
                </c:pt>
                <c:pt idx="138">
                  <c:v>5.0000000000075984E-2</c:v>
                </c:pt>
                <c:pt idx="139">
                  <c:v>4.9999999999984723E-2</c:v>
                </c:pt>
                <c:pt idx="140">
                  <c:v>4.9999999999996048E-2</c:v>
                </c:pt>
                <c:pt idx="141">
                  <c:v>5.0000000000081313E-2</c:v>
                </c:pt>
                <c:pt idx="142">
                  <c:v>4.9999999999990052E-2</c:v>
                </c:pt>
                <c:pt idx="143">
                  <c:v>5.0000000000069322E-2</c:v>
                </c:pt>
                <c:pt idx="144">
                  <c:v>4.9999999999996048E-2</c:v>
                </c:pt>
                <c:pt idx="145">
                  <c:v>4.9999999999993827E-2</c:v>
                </c:pt>
                <c:pt idx="146">
                  <c:v>4.999999999998983E-2</c:v>
                </c:pt>
                <c:pt idx="147">
                  <c:v>4.9999999999981615E-2</c:v>
                </c:pt>
                <c:pt idx="148">
                  <c:v>4.9999999999909672E-2</c:v>
                </c:pt>
                <c:pt idx="149">
                  <c:v>4.9999999999994049E-2</c:v>
                </c:pt>
                <c:pt idx="150">
                  <c:v>4.9999999999990052E-2</c:v>
                </c:pt>
                <c:pt idx="151">
                  <c:v>5.0000000000069988E-2</c:v>
                </c:pt>
                <c:pt idx="152">
                  <c:v>5.0000000000000488E-2</c:v>
                </c:pt>
                <c:pt idx="153">
                  <c:v>4.9999999999994271E-2</c:v>
                </c:pt>
                <c:pt idx="154">
                  <c:v>5.0000000000079758E-2</c:v>
                </c:pt>
                <c:pt idx="155">
                  <c:v>4.9999999999978284E-2</c:v>
                </c:pt>
                <c:pt idx="156">
                  <c:v>5.0000000000000488E-2</c:v>
                </c:pt>
                <c:pt idx="157">
                  <c:v>5.000000000008531E-2</c:v>
                </c:pt>
                <c:pt idx="158">
                  <c:v>4.9999999999986278E-2</c:v>
                </c:pt>
                <c:pt idx="159">
                  <c:v>4.9999999999979172E-2</c:v>
                </c:pt>
                <c:pt idx="160">
                  <c:v>5.0000000000000044E-2</c:v>
                </c:pt>
                <c:pt idx="161">
                  <c:v>4.9999999999990274E-2</c:v>
                </c:pt>
                <c:pt idx="162">
                  <c:v>4.9999999999986944E-2</c:v>
                </c:pt>
                <c:pt idx="163">
                  <c:v>4.9999999999979838E-2</c:v>
                </c:pt>
                <c:pt idx="164">
                  <c:v>5.0000000000095079E-2</c:v>
                </c:pt>
                <c:pt idx="165">
                  <c:v>4.9999999999990274E-2</c:v>
                </c:pt>
                <c:pt idx="166">
                  <c:v>4.9999999999987388E-2</c:v>
                </c:pt>
                <c:pt idx="167">
                  <c:v>4.999999999998006E-2</c:v>
                </c:pt>
                <c:pt idx="168">
                  <c:v>5.0000000000092859E-2</c:v>
                </c:pt>
                <c:pt idx="169">
                  <c:v>4.9999999999990719E-2</c:v>
                </c:pt>
                <c:pt idx="170">
                  <c:v>4.999999999998761E-2</c:v>
                </c:pt>
                <c:pt idx="171">
                  <c:v>4.9999999999980727E-2</c:v>
                </c:pt>
                <c:pt idx="172">
                  <c:v>4.9999999999891021E-2</c:v>
                </c:pt>
                <c:pt idx="173">
                  <c:v>4.9999999999990941E-2</c:v>
                </c:pt>
                <c:pt idx="174">
                  <c:v>4.9999999999886802E-2</c:v>
                </c:pt>
                <c:pt idx="175">
                  <c:v>4.9999999999981615E-2</c:v>
                </c:pt>
                <c:pt idx="176">
                  <c:v>4.999999999999627E-2</c:v>
                </c:pt>
                <c:pt idx="177">
                  <c:v>4.9999999999990719E-2</c:v>
                </c:pt>
                <c:pt idx="178">
                  <c:v>4.9999999999992495E-2</c:v>
                </c:pt>
                <c:pt idx="179">
                  <c:v>4.9999999999981837E-2</c:v>
                </c:pt>
                <c:pt idx="180">
                  <c:v>5.0000000000101519E-2</c:v>
                </c:pt>
                <c:pt idx="181">
                  <c:v>4.9999999999990941E-2</c:v>
                </c:pt>
                <c:pt idx="182">
                  <c:v>4.9999999999992717E-2</c:v>
                </c:pt>
                <c:pt idx="183">
                  <c:v>4.9999999999982281E-2</c:v>
                </c:pt>
                <c:pt idx="184">
                  <c:v>5.0000000000099076E-2</c:v>
                </c:pt>
                <c:pt idx="185">
                  <c:v>5.0000000000099964E-2</c:v>
                </c:pt>
                <c:pt idx="186">
                  <c:v>4.9999999999992939E-2</c:v>
                </c:pt>
                <c:pt idx="187">
                  <c:v>4.9999999999982725E-2</c:v>
                </c:pt>
                <c:pt idx="188">
                  <c:v>4.99999999999865E-2</c:v>
                </c:pt>
                <c:pt idx="189">
                  <c:v>4.9999999999985834E-2</c:v>
                </c:pt>
                <c:pt idx="190">
                  <c:v>5.0000000000105294E-2</c:v>
                </c:pt>
                <c:pt idx="191">
                  <c:v>4.9999999999983169E-2</c:v>
                </c:pt>
                <c:pt idx="192">
                  <c:v>4.9999999999872147E-2</c:v>
                </c:pt>
                <c:pt idx="193">
                  <c:v>5.0000000000101963E-2</c:v>
                </c:pt>
                <c:pt idx="194">
                  <c:v>4.9999999999987166E-2</c:v>
                </c:pt>
                <c:pt idx="195">
                  <c:v>4.9999999999983613E-2</c:v>
                </c:pt>
                <c:pt idx="196">
                  <c:v>4.9999999999991829E-2</c:v>
                </c:pt>
                <c:pt idx="197">
                  <c:v>4.9999999999981837E-2</c:v>
                </c:pt>
                <c:pt idx="198">
                  <c:v>4.999999999998761E-2</c:v>
                </c:pt>
                <c:pt idx="199">
                  <c:v>5.0000000000103961E-2</c:v>
                </c:pt>
                <c:pt idx="200">
                  <c:v>4.9999999999992051E-2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val>
            <c:numRef>
              <c:f>test!$J$2:$J$202</c:f>
              <c:numCache>
                <c:formatCode>0.0%</c:formatCode>
                <c:ptCount val="201"/>
                <c:pt idx="0">
                  <c:v>5.026490800011052E-2</c:v>
                </c:pt>
                <c:pt idx="1">
                  <c:v>5.0264908000100306E-2</c:v>
                </c:pt>
                <c:pt idx="2">
                  <c:v>5.0516456986090974E-2</c:v>
                </c:pt>
                <c:pt idx="3">
                  <c:v>5.0757158286949045E-2</c:v>
                </c:pt>
                <c:pt idx="4">
                  <c:v>5.0998405214587983E-2</c:v>
                </c:pt>
                <c:pt idx="5">
                  <c:v>5.0754031293961832E-2</c:v>
                </c:pt>
                <c:pt idx="6">
                  <c:v>5.0499482660100181E-2</c:v>
                </c:pt>
                <c:pt idx="7">
                  <c:v>5.0245138859883465E-2</c:v>
                </c:pt>
                <c:pt idx="8">
                  <c:v>4.9975313032564195E-2</c:v>
                </c:pt>
                <c:pt idx="9">
                  <c:v>4.9978957662925483E-2</c:v>
                </c:pt>
                <c:pt idx="10">
                  <c:v>4.9982514277876255E-2</c:v>
                </c:pt>
                <c:pt idx="11">
                  <c:v>4.9984197714804779E-2</c:v>
                </c:pt>
                <c:pt idx="12">
                  <c:v>4.9983510967096301E-2</c:v>
                </c:pt>
                <c:pt idx="13">
                  <c:v>4.9985399564371313E-2</c:v>
                </c:pt>
                <c:pt idx="14">
                  <c:v>4.9987577550079543E-2</c:v>
                </c:pt>
                <c:pt idx="15">
                  <c:v>4.9988414702204276E-2</c:v>
                </c:pt>
                <c:pt idx="16">
                  <c:v>4.9987671081189067E-2</c:v>
                </c:pt>
                <c:pt idx="17">
                  <c:v>4.9988881834894361E-2</c:v>
                </c:pt>
                <c:pt idx="18">
                  <c:v>4.999030739241106E-2</c:v>
                </c:pt>
                <c:pt idx="19">
                  <c:v>4.9990841078577208E-2</c:v>
                </c:pt>
                <c:pt idx="20">
                  <c:v>4.9990127062572887E-2</c:v>
                </c:pt>
                <c:pt idx="21">
                  <c:v>4.9990989365419791E-2</c:v>
                </c:pt>
                <c:pt idx="22">
                  <c:v>4.9992060978402586E-2</c:v>
                </c:pt>
                <c:pt idx="23">
                  <c:v>4.9992427043552778E-2</c:v>
                </c:pt>
                <c:pt idx="24">
                  <c:v>4.9991767091207784E-2</c:v>
                </c:pt>
                <c:pt idx="25">
                  <c:v>4.9992425155780396E-2</c:v>
                </c:pt>
                <c:pt idx="26">
                  <c:v>4.999329664580987E-2</c:v>
                </c:pt>
                <c:pt idx="27">
                  <c:v>4.9993553131705504E-2</c:v>
                </c:pt>
                <c:pt idx="28">
                  <c:v>4.999297007104464E-2</c:v>
                </c:pt>
                <c:pt idx="29">
                  <c:v>4.9993524053102867E-2</c:v>
                </c:pt>
                <c:pt idx="30">
                  <c:v>4.9994205104798128E-2</c:v>
                </c:pt>
                <c:pt idx="31">
                  <c:v>4.9994381094442097E-2</c:v>
                </c:pt>
                <c:pt idx="32">
                  <c:v>4.999384536416196E-2</c:v>
                </c:pt>
                <c:pt idx="33">
                  <c:v>4.9994305451746657E-2</c:v>
                </c:pt>
                <c:pt idx="34">
                  <c:v>4.9994940117529252E-2</c:v>
                </c:pt>
                <c:pt idx="35">
                  <c:v>4.9994983826854744E-2</c:v>
                </c:pt>
                <c:pt idx="36">
                  <c:v>4.9994573976053447E-2</c:v>
                </c:pt>
                <c:pt idx="37">
                  <c:v>4.9994977479621339E-2</c:v>
                </c:pt>
                <c:pt idx="38">
                  <c:v>4.9995469900126821E-2</c:v>
                </c:pt>
                <c:pt idx="39">
                  <c:v>4.9995495789532107E-2</c:v>
                </c:pt>
                <c:pt idx="40">
                  <c:v>4.999511422797287E-2</c:v>
                </c:pt>
                <c:pt idx="41">
                  <c:v>4.9995465108353399E-2</c:v>
                </c:pt>
                <c:pt idx="42">
                  <c:v>4.9995899241153108E-2</c:v>
                </c:pt>
                <c:pt idx="43">
                  <c:v>4.9995912914831742E-2</c:v>
                </c:pt>
                <c:pt idx="44">
                  <c:v>4.9995556635767935E-2</c:v>
                </c:pt>
                <c:pt idx="45">
                  <c:v>4.9995866417090751E-2</c:v>
                </c:pt>
                <c:pt idx="46">
                  <c:v>4.9996254232174575E-2</c:v>
                </c:pt>
                <c:pt idx="47">
                  <c:v>4.9996295710751593E-2</c:v>
                </c:pt>
                <c:pt idx="48">
                  <c:v>4.9995910069289939E-2</c:v>
                </c:pt>
                <c:pt idx="49">
                  <c:v>4.9996196824719119E-2</c:v>
                </c:pt>
                <c:pt idx="50">
                  <c:v>4.9996537366180593E-2</c:v>
                </c:pt>
                <c:pt idx="51">
                  <c:v>4.9996585014608907E-2</c:v>
                </c:pt>
                <c:pt idx="52">
                  <c:v>4.9996223495943903E-2</c:v>
                </c:pt>
                <c:pt idx="53">
                  <c:v>4.9996482640992657E-2</c:v>
                </c:pt>
                <c:pt idx="54">
                  <c:v>4.9996792754798847E-2</c:v>
                </c:pt>
                <c:pt idx="55">
                  <c:v>4.9996832397439128E-2</c:v>
                </c:pt>
                <c:pt idx="56">
                  <c:v>4.9996492302364359E-2</c:v>
                </c:pt>
                <c:pt idx="57">
                  <c:v>4.9996728493771903E-2</c:v>
                </c:pt>
                <c:pt idx="58">
                  <c:v>4.9997013051028105E-2</c:v>
                </c:pt>
                <c:pt idx="59">
                  <c:v>4.9997046355675812E-2</c:v>
                </c:pt>
                <c:pt idx="60">
                  <c:v>4.9996725383632423E-2</c:v>
                </c:pt>
                <c:pt idx="61">
                  <c:v>4.9996942217282792E-2</c:v>
                </c:pt>
                <c:pt idx="62">
                  <c:v>4.9997205023069924E-2</c:v>
                </c:pt>
                <c:pt idx="63">
                  <c:v>4.9997234568497806E-2</c:v>
                </c:pt>
                <c:pt idx="64">
                  <c:v>4.9996934382994684E-2</c:v>
                </c:pt>
                <c:pt idx="65">
                  <c:v>4.9997140403637896E-2</c:v>
                </c:pt>
                <c:pt idx="66">
                  <c:v>4.9997388689170918E-2</c:v>
                </c:pt>
                <c:pt idx="67">
                  <c:v>4.9997399071411985E-2</c:v>
                </c:pt>
                <c:pt idx="68">
                  <c:v>4.9997114129395781E-2</c:v>
                </c:pt>
                <c:pt idx="69">
                  <c:v>4.9997305567063499E-2</c:v>
                </c:pt>
                <c:pt idx="70">
                  <c:v>4.9997537348480003E-2</c:v>
                </c:pt>
                <c:pt idx="71">
                  <c:v>4.9997545099188523E-2</c:v>
                </c:pt>
                <c:pt idx="72">
                  <c:v>4.9997273964075939E-2</c:v>
                </c:pt>
                <c:pt idx="73">
                  <c:v>4.999745268954392E-2</c:v>
                </c:pt>
                <c:pt idx="74">
                  <c:v>4.9997669989401805E-2</c:v>
                </c:pt>
                <c:pt idx="75">
                  <c:v>4.9997675598983493E-2</c:v>
                </c:pt>
                <c:pt idx="76">
                  <c:v>4.999741702223881E-2</c:v>
                </c:pt>
                <c:pt idx="77">
                  <c:v>4.9997584574212883E-2</c:v>
                </c:pt>
                <c:pt idx="78">
                  <c:v>4.9997789068741749E-2</c:v>
                </c:pt>
                <c:pt idx="79">
                  <c:v>4.9997845151420917E-2</c:v>
                </c:pt>
                <c:pt idx="80">
                  <c:v>4.9997524327185516E-2</c:v>
                </c:pt>
                <c:pt idx="81">
                  <c:v>4.9997708648173766E-2</c:v>
                </c:pt>
                <c:pt idx="82">
                  <c:v>4.9997905024738554E-2</c:v>
                </c:pt>
                <c:pt idx="83">
                  <c:v>4.9997948662166003E-2</c:v>
                </c:pt>
                <c:pt idx="84">
                  <c:v>4.9997641872096876E-2</c:v>
                </c:pt>
                <c:pt idx="85">
                  <c:v>4.9997816115483262E-2</c:v>
                </c:pt>
                <c:pt idx="86">
                  <c:v>4.9998002133079034E-2</c:v>
                </c:pt>
                <c:pt idx="87">
                  <c:v>4.9998042682527499E-2</c:v>
                </c:pt>
                <c:pt idx="88">
                  <c:v>4.9997748760134408E-2</c:v>
                </c:pt>
                <c:pt idx="89">
                  <c:v>4.9997913951343786E-2</c:v>
                </c:pt>
                <c:pt idx="90">
                  <c:v>4.9998090635244186E-2</c:v>
                </c:pt>
                <c:pt idx="91">
                  <c:v>4.9998128460507552E-2</c:v>
                </c:pt>
                <c:pt idx="92">
                  <c:v>4.9997846377901611E-2</c:v>
                </c:pt>
                <c:pt idx="93">
                  <c:v>4.9998003395041124E-2</c:v>
                </c:pt>
                <c:pt idx="94">
                  <c:v>4.9998171626727483E-2</c:v>
                </c:pt>
                <c:pt idx="95">
                  <c:v>4.9998129074672715E-2</c:v>
                </c:pt>
                <c:pt idx="96">
                  <c:v>4.9997980693120558E-2</c:v>
                </c:pt>
                <c:pt idx="97">
                  <c:v>4.9998106689069344E-2</c:v>
                </c:pt>
                <c:pt idx="98">
                  <c:v>4.9998251052960185E-2</c:v>
                </c:pt>
                <c:pt idx="99">
                  <c:v>4.9998204440291127E-2</c:v>
                </c:pt>
                <c:pt idx="100">
                  <c:v>4.9998061245205339E-2</c:v>
                </c:pt>
                <c:pt idx="101">
                  <c:v>4.9998181435870093E-2</c:v>
                </c:pt>
                <c:pt idx="102">
                  <c:v>4.9998319419108928E-2</c:v>
                </c:pt>
                <c:pt idx="103">
                  <c:v>4.999827396817258E-2</c:v>
                </c:pt>
                <c:pt idx="104">
                  <c:v>4.9998135616650341E-2</c:v>
                </c:pt>
                <c:pt idx="105">
                  <c:v>4.9998250503401787E-2</c:v>
                </c:pt>
                <c:pt idx="106">
                  <c:v>4.9998382639692585E-2</c:v>
                </c:pt>
                <c:pt idx="107">
                  <c:v>4.9998338311125545E-2</c:v>
                </c:pt>
                <c:pt idx="108">
                  <c:v>4.9998204492511134E-2</c:v>
                </c:pt>
                <c:pt idx="109">
                  <c:v>4.9998314515065756E-2</c:v>
                </c:pt>
                <c:pt idx="110">
                  <c:v>4.9998441274707872E-2</c:v>
                </c:pt>
                <c:pt idx="111">
                  <c:v>4.9998431624276973E-2</c:v>
                </c:pt>
                <c:pt idx="112">
                  <c:v>4.9998253983503771E-2</c:v>
                </c:pt>
                <c:pt idx="113">
                  <c:v>4.999837231486759E-2</c:v>
                </c:pt>
                <c:pt idx="114">
                  <c:v>4.999850698057684E-2</c:v>
                </c:pt>
                <c:pt idx="115">
                  <c:v>4.9998486022001742E-2</c:v>
                </c:pt>
                <c:pt idx="116">
                  <c:v>4.9998314036410196E-2</c:v>
                </c:pt>
                <c:pt idx="117">
                  <c:v>4.9998427795856726E-2</c:v>
                </c:pt>
                <c:pt idx="118">
                  <c:v>4.9998557437169966E-2</c:v>
                </c:pt>
                <c:pt idx="119">
                  <c:v>4.9998536772093871E-2</c:v>
                </c:pt>
                <c:pt idx="120">
                  <c:v>4.9998370095279743E-2</c:v>
                </c:pt>
                <c:pt idx="121">
                  <c:v>4.9998479618088565E-2</c:v>
                </c:pt>
                <c:pt idx="122">
                  <c:v>4.9998604593668894E-2</c:v>
                </c:pt>
                <c:pt idx="123">
                  <c:v>4.9998584229264953E-2</c:v>
                </c:pt>
                <c:pt idx="124">
                  <c:v>4.9998422545887378E-2</c:v>
                </c:pt>
                <c:pt idx="125">
                  <c:v>4.9998528132015219E-2</c:v>
                </c:pt>
                <c:pt idx="126">
                  <c:v>4.9998648763589948E-2</c:v>
                </c:pt>
                <c:pt idx="127">
                  <c:v>4.9998631248248326E-2</c:v>
                </c:pt>
                <c:pt idx="128">
                  <c:v>4.9998473424561984E-2</c:v>
                </c:pt>
                <c:pt idx="129">
                  <c:v>4.9998580282524685E-2</c:v>
                </c:pt>
                <c:pt idx="130">
                  <c:v>4.9998698423493471E-2</c:v>
                </c:pt>
                <c:pt idx="131">
                  <c:v>4.9998672929312482E-2</c:v>
                </c:pt>
                <c:pt idx="132">
                  <c:v>4.9998519570587874E-2</c:v>
                </c:pt>
                <c:pt idx="133">
                  <c:v>4.9998622857402752E-2</c:v>
                </c:pt>
                <c:pt idx="134">
                  <c:v>4.9998737162010753E-2</c:v>
                </c:pt>
                <c:pt idx="135">
                  <c:v>4.9998712146200885E-2</c:v>
                </c:pt>
                <c:pt idx="136">
                  <c:v>4.9998563008331498E-2</c:v>
                </c:pt>
                <c:pt idx="137">
                  <c:v>4.9998662952373429E-2</c:v>
                </c:pt>
                <c:pt idx="138">
                  <c:v>4.9998773660391516E-2</c:v>
                </c:pt>
                <c:pt idx="139">
                  <c:v>4.9998749111232588E-2</c:v>
                </c:pt>
                <c:pt idx="140">
                  <c:v>4.9998603969252153E-2</c:v>
                </c:pt>
                <c:pt idx="141">
                  <c:v>4.9998700777760696E-2</c:v>
                </c:pt>
                <c:pt idx="142">
                  <c:v>4.9998808107503345E-2</c:v>
                </c:pt>
                <c:pt idx="143">
                  <c:v>4.9998742320760403E-2</c:v>
                </c:pt>
                <c:pt idx="144">
                  <c:v>4.9998667323584822E-2</c:v>
                </c:pt>
                <c:pt idx="145">
                  <c:v>4.9998761335521946E-2</c:v>
                </c:pt>
                <c:pt idx="146">
                  <c:v>4.999887384826085E-2</c:v>
                </c:pt>
                <c:pt idx="147">
                  <c:v>4.9998776453969551E-2</c:v>
                </c:pt>
                <c:pt idx="148">
                  <c:v>4.9998703254866328E-2</c:v>
                </c:pt>
                <c:pt idx="149">
                  <c:v>4.9998794493845811E-2</c:v>
                </c:pt>
                <c:pt idx="150">
                  <c:v>4.9998903792775051E-2</c:v>
                </c:pt>
                <c:pt idx="151">
                  <c:v>4.9998808782919513E-2</c:v>
                </c:pt>
                <c:pt idx="152">
                  <c:v>4.9998737299107532E-2</c:v>
                </c:pt>
                <c:pt idx="153">
                  <c:v>4.9998825922374035E-2</c:v>
                </c:pt>
                <c:pt idx="154">
                  <c:v>4.999893218528606E-2</c:v>
                </c:pt>
                <c:pt idx="155">
                  <c:v>4.9998839446985022E-2</c:v>
                </c:pt>
                <c:pt idx="156">
                  <c:v>4.9998769601236948E-2</c:v>
                </c:pt>
                <c:pt idx="157">
                  <c:v>4.9998855753103033E-2</c:v>
                </c:pt>
                <c:pt idx="158">
                  <c:v>4.9998959143390698E-2</c:v>
                </c:pt>
                <c:pt idx="159">
                  <c:v>4.9998918948007454E-2</c:v>
                </c:pt>
                <c:pt idx="160">
                  <c:v>4.9998775877730717E-2</c:v>
                </c:pt>
                <c:pt idx="161">
                  <c:v>4.9998870927527639E-2</c:v>
                </c:pt>
                <c:pt idx="162">
                  <c:v>4.9998955853628013E-2</c:v>
                </c:pt>
                <c:pt idx="163">
                  <c:v>4.999894540992833E-2</c:v>
                </c:pt>
                <c:pt idx="164">
                  <c:v>4.9998805664722257E-2</c:v>
                </c:pt>
                <c:pt idx="165">
                  <c:v>4.9998898223035049E-2</c:v>
                </c:pt>
                <c:pt idx="166">
                  <c:v>4.9998980942556726E-2</c:v>
                </c:pt>
                <c:pt idx="167">
                  <c:v>4.9998970606805138E-2</c:v>
                </c:pt>
                <c:pt idx="168">
                  <c:v>4.9998834036291795E-2</c:v>
                </c:pt>
                <c:pt idx="169">
                  <c:v>4.999892422935126E-2</c:v>
                </c:pt>
                <c:pt idx="170">
                  <c:v>4.9999004853491291E-2</c:v>
                </c:pt>
                <c:pt idx="171">
                  <c:v>4.9998994627204585E-2</c:v>
                </c:pt>
                <c:pt idx="172">
                  <c:v>4.9998861090986502E-2</c:v>
                </c:pt>
                <c:pt idx="173">
                  <c:v>4.99989490357029E-2</c:v>
                </c:pt>
                <c:pt idx="174">
                  <c:v>4.9999027667494422E-2</c:v>
                </c:pt>
                <c:pt idx="175">
                  <c:v>4.9999019024463687E-2</c:v>
                </c:pt>
                <c:pt idx="176">
                  <c:v>4.9998887442383788E-2</c:v>
                </c:pt>
                <c:pt idx="177">
                  <c:v>4.9998979002869648E-2</c:v>
                </c:pt>
                <c:pt idx="178">
                  <c:v>4.9999070182531247E-2</c:v>
                </c:pt>
                <c:pt idx="179">
                  <c:v>4.9999040891312241E-2</c:v>
                </c:pt>
                <c:pt idx="180">
                  <c:v>4.9998912109173288E-2</c:v>
                </c:pt>
                <c:pt idx="181">
                  <c:v>4.9999001504478668E-2</c:v>
                </c:pt>
                <c:pt idx="182">
                  <c:v>4.9999090561153814E-2</c:v>
                </c:pt>
                <c:pt idx="183">
                  <c:v>4.9999061804567591E-2</c:v>
                </c:pt>
                <c:pt idx="184">
                  <c:v>4.9998935705594771E-2</c:v>
                </c:pt>
                <c:pt idx="185">
                  <c:v>4.9999023035057322E-2</c:v>
                </c:pt>
                <c:pt idx="186">
                  <c:v>4.9999110065080954E-2</c:v>
                </c:pt>
                <c:pt idx="187">
                  <c:v>4.9999081824777525E-2</c:v>
                </c:pt>
                <c:pt idx="188">
                  <c:v>4.999895830015455E-2</c:v>
                </c:pt>
                <c:pt idx="189">
                  <c:v>4.9999043656228315E-2</c:v>
                </c:pt>
                <c:pt idx="190">
                  <c:v>4.9999128749539601E-2</c:v>
                </c:pt>
                <c:pt idx="191">
                  <c:v>4.9999188057227029E-2</c:v>
                </c:pt>
                <c:pt idx="192">
                  <c:v>4.9998939109350715E-2</c:v>
                </c:pt>
                <c:pt idx="193">
                  <c:v>4.9999064760936296E-2</c:v>
                </c:pt>
                <c:pt idx="194">
                  <c:v>4.9999155927003658E-2</c:v>
                </c:pt>
                <c:pt idx="195">
                  <c:v>4.9999204672101172E-2</c:v>
                </c:pt>
                <c:pt idx="196">
                  <c:v>4.9998960710982754E-2</c:v>
                </c:pt>
                <c:pt idx="197">
                  <c:v>4.9999083698815561E-2</c:v>
                </c:pt>
                <c:pt idx="198">
                  <c:v>4.9999172931623814E-2</c:v>
                </c:pt>
                <c:pt idx="199">
                  <c:v>4.9999220620293272E-2</c:v>
                </c:pt>
                <c:pt idx="200">
                  <c:v>4.9998981450642521E-2</c:v>
                </c:pt>
              </c:numCache>
            </c:numRef>
          </c:val>
          <c:smooth val="0"/>
        </c:ser>
        <c:ser>
          <c:idx val="2"/>
          <c:order val="2"/>
          <c:marker>
            <c:symbol val="none"/>
          </c:marker>
          <c:val>
            <c:numRef>
              <c:f>test!$K$2:$K$202</c:f>
              <c:numCache>
                <c:formatCode>0.0%</c:formatCode>
                <c:ptCount val="201"/>
                <c:pt idx="0">
                  <c:v>5.0000000001760858E-2</c:v>
                </c:pt>
                <c:pt idx="1">
                  <c:v>5.00000000017784E-2</c:v>
                </c:pt>
                <c:pt idx="2">
                  <c:v>5.0000000001069411E-2</c:v>
                </c:pt>
                <c:pt idx="3">
                  <c:v>5.0000000000006928E-2</c:v>
                </c:pt>
                <c:pt idx="4">
                  <c:v>5.0000000000004929E-2</c:v>
                </c:pt>
                <c:pt idx="5">
                  <c:v>5.0254136280145412E-2</c:v>
                </c:pt>
                <c:pt idx="6">
                  <c:v>5.0511831141904384E-2</c:v>
                </c:pt>
                <c:pt idx="7">
                  <c:v>5.0763186020012396E-2</c:v>
                </c:pt>
                <c:pt idx="8">
                  <c:v>5.1024439220511253E-2</c:v>
                </c:pt>
                <c:pt idx="9">
                  <c:v>5.0939603413445056E-2</c:v>
                </c:pt>
                <c:pt idx="10">
                  <c:v>5.0850538664917178E-2</c:v>
                </c:pt>
                <c:pt idx="11">
                  <c:v>5.0761521695923406E-2</c:v>
                </c:pt>
                <c:pt idx="12">
                  <c:v>5.0667193633473939E-2</c:v>
                </c:pt>
                <c:pt idx="13">
                  <c:v>5.0580619309585906E-2</c:v>
                </c:pt>
                <c:pt idx="14">
                  <c:v>5.0489197554027143E-2</c:v>
                </c:pt>
                <c:pt idx="15">
                  <c:v>5.0398717625653511E-2</c:v>
                </c:pt>
                <c:pt idx="16">
                  <c:v>5.0305611464779965E-2</c:v>
                </c:pt>
                <c:pt idx="17">
                  <c:v>5.0216993492907536E-2</c:v>
                </c:pt>
                <c:pt idx="18">
                  <c:v>5.0126506922753666E-2</c:v>
                </c:pt>
                <c:pt idx="19">
                  <c:v>5.0037346579034914E-2</c:v>
                </c:pt>
                <c:pt idx="20">
                  <c:v>4.9944073744514927E-2</c:v>
                </c:pt>
                <c:pt idx="21">
                  <c:v>4.9946591503837068E-2</c:v>
                </c:pt>
                <c:pt idx="22">
                  <c:v>4.9948991308309321E-2</c:v>
                </c:pt>
                <c:pt idx="23">
                  <c:v>4.9951087806899164E-2</c:v>
                </c:pt>
                <c:pt idx="24">
                  <c:v>4.9953363694017261E-2</c:v>
                </c:pt>
                <c:pt idx="25">
                  <c:v>4.9955101805286173E-2</c:v>
                </c:pt>
                <c:pt idx="26">
                  <c:v>4.9956860185955687E-2</c:v>
                </c:pt>
                <c:pt idx="27">
                  <c:v>4.9958451475074384E-2</c:v>
                </c:pt>
                <c:pt idx="28">
                  <c:v>4.996007769208366E-2</c:v>
                </c:pt>
                <c:pt idx="29">
                  <c:v>4.9961348781897508E-2</c:v>
                </c:pt>
                <c:pt idx="30">
                  <c:v>4.9962571990575189E-2</c:v>
                </c:pt>
                <c:pt idx="31">
                  <c:v>4.9963787486678291E-2</c:v>
                </c:pt>
                <c:pt idx="32">
                  <c:v>4.9965048340621543E-2</c:v>
                </c:pt>
                <c:pt idx="33">
                  <c:v>4.9966012500991086E-2</c:v>
                </c:pt>
                <c:pt idx="34">
                  <c:v>4.9966953686508386E-2</c:v>
                </c:pt>
                <c:pt idx="35">
                  <c:v>4.9967915681963904E-2</c:v>
                </c:pt>
                <c:pt idx="36">
                  <c:v>4.9968977216633403E-2</c:v>
                </c:pt>
                <c:pt idx="37">
                  <c:v>4.9969715779484059E-2</c:v>
                </c:pt>
                <c:pt idx="38">
                  <c:v>4.9970413734424124E-2</c:v>
                </c:pt>
                <c:pt idx="39">
                  <c:v>4.9971190279997968E-2</c:v>
                </c:pt>
                <c:pt idx="40">
                  <c:v>4.9972066030456341E-2</c:v>
                </c:pt>
                <c:pt idx="41">
                  <c:v>4.9972656032594598E-2</c:v>
                </c:pt>
                <c:pt idx="42">
                  <c:v>4.9973217790317603E-2</c:v>
                </c:pt>
                <c:pt idx="43">
                  <c:v>4.9973858285652373E-2</c:v>
                </c:pt>
                <c:pt idx="44">
                  <c:v>4.9974595439524983E-2</c:v>
                </c:pt>
                <c:pt idx="45">
                  <c:v>4.9975075802064728E-2</c:v>
                </c:pt>
                <c:pt idx="46">
                  <c:v>4.9975536261157805E-2</c:v>
                </c:pt>
                <c:pt idx="47">
                  <c:v>4.9976120929257073E-2</c:v>
                </c:pt>
                <c:pt idx="48">
                  <c:v>4.9976693468679834E-2</c:v>
                </c:pt>
                <c:pt idx="49">
                  <c:v>4.9977110731020513E-2</c:v>
                </c:pt>
                <c:pt idx="50">
                  <c:v>4.9977553320037726E-2</c:v>
                </c:pt>
                <c:pt idx="51">
                  <c:v>4.9977985877786013E-2</c:v>
                </c:pt>
                <c:pt idx="52">
                  <c:v>4.9978479524296571E-2</c:v>
                </c:pt>
                <c:pt idx="53">
                  <c:v>4.9978830909650496E-2</c:v>
                </c:pt>
                <c:pt idx="54">
                  <c:v>4.9979208897203087E-2</c:v>
                </c:pt>
                <c:pt idx="55">
                  <c:v>4.9979580589825989E-2</c:v>
                </c:pt>
                <c:pt idx="56">
                  <c:v>4.9980011313130124E-2</c:v>
                </c:pt>
                <c:pt idx="57">
                  <c:v>4.9980310568985109E-2</c:v>
                </c:pt>
                <c:pt idx="58">
                  <c:v>4.9980636984618299E-2</c:v>
                </c:pt>
                <c:pt idx="59">
                  <c:v>4.9980959835808525E-2</c:v>
                </c:pt>
                <c:pt idx="60">
                  <c:v>4.9981339524473922E-2</c:v>
                </c:pt>
                <c:pt idx="61">
                  <c:v>4.9981596859207889E-2</c:v>
                </c:pt>
                <c:pt idx="62">
                  <c:v>4.9981881458163624E-2</c:v>
                </c:pt>
                <c:pt idx="63">
                  <c:v>4.9982127615391558E-2</c:v>
                </c:pt>
                <c:pt idx="64">
                  <c:v>4.9982503410444634E-2</c:v>
                </c:pt>
                <c:pt idx="65">
                  <c:v>4.9982714252733373E-2</c:v>
                </c:pt>
                <c:pt idx="66">
                  <c:v>4.9982970550158434E-2</c:v>
                </c:pt>
                <c:pt idx="67">
                  <c:v>4.9983190763366769E-2</c:v>
                </c:pt>
                <c:pt idx="68">
                  <c:v>4.9983529283896377E-2</c:v>
                </c:pt>
                <c:pt idx="69">
                  <c:v>4.9983712639439792E-2</c:v>
                </c:pt>
                <c:pt idx="70">
                  <c:v>4.9983940024989959E-2</c:v>
                </c:pt>
                <c:pt idx="71">
                  <c:v>4.998413451086825E-2</c:v>
                </c:pt>
                <c:pt idx="72">
                  <c:v>4.9984441515512179E-2</c:v>
                </c:pt>
                <c:pt idx="73">
                  <c:v>4.9984601971851728E-2</c:v>
                </c:pt>
                <c:pt idx="74">
                  <c:v>4.9984805036856761E-2</c:v>
                </c:pt>
                <c:pt idx="75">
                  <c:v>4.9984977903666961E-2</c:v>
                </c:pt>
                <c:pt idx="76">
                  <c:v>4.9985257997350319E-2</c:v>
                </c:pt>
                <c:pt idx="77">
                  <c:v>4.9985399193450686E-2</c:v>
                </c:pt>
                <c:pt idx="78">
                  <c:v>4.9985581607335794E-2</c:v>
                </c:pt>
                <c:pt idx="79">
                  <c:v>4.9985666643117765E-2</c:v>
                </c:pt>
                <c:pt idx="80">
                  <c:v>4.9986020288748989E-2</c:v>
                </c:pt>
                <c:pt idx="81">
                  <c:v>4.9986118552038494E-2</c:v>
                </c:pt>
                <c:pt idx="82">
                  <c:v>4.9986273171914952E-2</c:v>
                </c:pt>
                <c:pt idx="83">
                  <c:v>4.9986355164603591E-2</c:v>
                </c:pt>
                <c:pt idx="84">
                  <c:v>4.9986684042717666E-2</c:v>
                </c:pt>
                <c:pt idx="85">
                  <c:v>4.9986769612525128E-2</c:v>
                </c:pt>
                <c:pt idx="86">
                  <c:v>4.9986909455573603E-2</c:v>
                </c:pt>
                <c:pt idx="87">
                  <c:v>4.9986980558983207E-2</c:v>
                </c:pt>
                <c:pt idx="88">
                  <c:v>4.9987287620524956E-2</c:v>
                </c:pt>
                <c:pt idx="89">
                  <c:v>4.9987362323294926E-2</c:v>
                </c:pt>
                <c:pt idx="90">
                  <c:v>4.9987489348847669E-2</c:v>
                </c:pt>
                <c:pt idx="91">
                  <c:v>4.998755112770481E-2</c:v>
                </c:pt>
                <c:pt idx="92">
                  <c:v>4.9987838850502619E-2</c:v>
                </c:pt>
                <c:pt idx="93">
                  <c:v>4.9987904192645427E-2</c:v>
                </c:pt>
                <c:pt idx="94">
                  <c:v>4.9988020030152791E-2</c:v>
                </c:pt>
                <c:pt idx="95">
                  <c:v>4.9988178796438243E-2</c:v>
                </c:pt>
                <c:pt idx="96">
                  <c:v>4.9988331755473903E-2</c:v>
                </c:pt>
                <c:pt idx="97">
                  <c:v>4.9988422011473688E-2</c:v>
                </c:pt>
                <c:pt idx="98">
                  <c:v>4.9988530524270658E-2</c:v>
                </c:pt>
                <c:pt idx="99">
                  <c:v>4.998865498608307E-2</c:v>
                </c:pt>
                <c:pt idx="100">
                  <c:v>4.9988797211553138E-2</c:v>
                </c:pt>
                <c:pt idx="101">
                  <c:v>4.9988879106624529E-2</c:v>
                </c:pt>
                <c:pt idx="102">
                  <c:v>4.9988978868155343E-2</c:v>
                </c:pt>
                <c:pt idx="103">
                  <c:v>4.9989094289820457E-2</c:v>
                </c:pt>
                <c:pt idx="104">
                  <c:v>4.9989226954527677E-2</c:v>
                </c:pt>
                <c:pt idx="105">
                  <c:v>4.9989301470691139E-2</c:v>
                </c:pt>
                <c:pt idx="106">
                  <c:v>4.9989393468007348E-2</c:v>
                </c:pt>
                <c:pt idx="107">
                  <c:v>4.9989500833659939E-2</c:v>
                </c:pt>
                <c:pt idx="108">
                  <c:v>4.9989624942839317E-2</c:v>
                </c:pt>
                <c:pt idx="109">
                  <c:v>4.9989692917278949E-2</c:v>
                </c:pt>
                <c:pt idx="110">
                  <c:v>4.9989777995250728E-2</c:v>
                </c:pt>
                <c:pt idx="111">
                  <c:v>4.9989870775920542E-2</c:v>
                </c:pt>
                <c:pt idx="112">
                  <c:v>4.9989991866423278E-2</c:v>
                </c:pt>
                <c:pt idx="113">
                  <c:v>4.9990056561974416E-2</c:v>
                </c:pt>
                <c:pt idx="114">
                  <c:v>4.9990150894844154E-2</c:v>
                </c:pt>
                <c:pt idx="115">
                  <c:v>4.9990222100740667E-2</c:v>
                </c:pt>
                <c:pt idx="116">
                  <c:v>4.9990336088301168E-2</c:v>
                </c:pt>
                <c:pt idx="117">
                  <c:v>4.999039549474471E-2</c:v>
                </c:pt>
                <c:pt idx="118">
                  <c:v>4.9990483748062475E-2</c:v>
                </c:pt>
                <c:pt idx="119">
                  <c:v>4.9990549866434808E-2</c:v>
                </c:pt>
                <c:pt idx="120">
                  <c:v>4.9990657416724593E-2</c:v>
                </c:pt>
                <c:pt idx="121">
                  <c:v>4.9990712076213084E-2</c:v>
                </c:pt>
                <c:pt idx="122">
                  <c:v>4.9990794831263008E-2</c:v>
                </c:pt>
                <c:pt idx="123">
                  <c:v>4.9990856366173064E-2</c:v>
                </c:pt>
                <c:pt idx="124">
                  <c:v>4.999095806243492E-2</c:v>
                </c:pt>
                <c:pt idx="125">
                  <c:v>4.9991008446892415E-2</c:v>
                </c:pt>
                <c:pt idx="126">
                  <c:v>4.9991086212351377E-2</c:v>
                </c:pt>
                <c:pt idx="127">
                  <c:v>4.9991120837928227E-2</c:v>
                </c:pt>
                <c:pt idx="128">
                  <c:v>4.9991225598916555E-2</c:v>
                </c:pt>
                <c:pt idx="129">
                  <c:v>4.9991266930139222E-2</c:v>
                </c:pt>
                <c:pt idx="130">
                  <c:v>4.999132975457643E-2</c:v>
                </c:pt>
                <c:pt idx="131">
                  <c:v>4.9991391225467696E-2</c:v>
                </c:pt>
                <c:pt idx="132">
                  <c:v>4.9991490834980779E-2</c:v>
                </c:pt>
                <c:pt idx="133">
                  <c:v>4.9991528822186382E-2</c:v>
                </c:pt>
                <c:pt idx="134">
                  <c:v>4.9991587807960869E-2</c:v>
                </c:pt>
                <c:pt idx="135">
                  <c:v>4.9991645628338244E-2</c:v>
                </c:pt>
                <c:pt idx="136">
                  <c:v>4.9991740504510274E-2</c:v>
                </c:pt>
                <c:pt idx="137">
                  <c:v>4.9991775458356313E-2</c:v>
                </c:pt>
                <c:pt idx="138">
                  <c:v>4.9991830938161064E-2</c:v>
                </c:pt>
                <c:pt idx="139">
                  <c:v>4.9991885423252391E-2</c:v>
                </c:pt>
                <c:pt idx="140">
                  <c:v>4.9991975938827649E-2</c:v>
                </c:pt>
                <c:pt idx="141">
                  <c:v>4.999200813436544E-2</c:v>
                </c:pt>
                <c:pt idx="142">
                  <c:v>4.9992060403630578E-2</c:v>
                </c:pt>
                <c:pt idx="143">
                  <c:v>4.99921357427211E-2</c:v>
                </c:pt>
                <c:pt idx="144">
                  <c:v>4.99922342000505E-2</c:v>
                </c:pt>
                <c:pt idx="145">
                  <c:v>4.999225974700483E-2</c:v>
                </c:pt>
                <c:pt idx="146">
                  <c:v>4.9992231336057014E-2</c:v>
                </c:pt>
                <c:pt idx="147">
                  <c:v>4.9992349178277218E-2</c:v>
                </c:pt>
                <c:pt idx="148">
                  <c:v>4.9992443579045753E-2</c:v>
                </c:pt>
                <c:pt idx="149">
                  <c:v>4.9992466950185666E-2</c:v>
                </c:pt>
                <c:pt idx="150">
                  <c:v>4.9992437907135256E-2</c:v>
                </c:pt>
                <c:pt idx="151">
                  <c:v>4.9992551331778712E-2</c:v>
                </c:pt>
                <c:pt idx="152">
                  <c:v>4.9992641962545381E-2</c:v>
                </c:pt>
                <c:pt idx="153">
                  <c:v>4.9992663344736066E-2</c:v>
                </c:pt>
                <c:pt idx="154">
                  <c:v>4.9992633772524497E-2</c:v>
                </c:pt>
                <c:pt idx="155">
                  <c:v>4.9992743074649848E-2</c:v>
                </c:pt>
                <c:pt idx="156">
                  <c:v>4.9992830194469651E-2</c:v>
                </c:pt>
                <c:pt idx="157">
                  <c:v>4.9992849754480151E-2</c:v>
                </c:pt>
                <c:pt idx="158">
                  <c:v>4.9992819743027495E-2</c:v>
                </c:pt>
                <c:pt idx="159">
                  <c:v>4.9992965667274403E-2</c:v>
                </c:pt>
                <c:pt idx="160">
                  <c:v>4.9992986163180486E-2</c:v>
                </c:pt>
                <c:pt idx="161">
                  <c:v>4.9993027263548706E-2</c:v>
                </c:pt>
                <c:pt idx="162">
                  <c:v>4.9993074791752301E-2</c:v>
                </c:pt>
                <c:pt idx="163">
                  <c:v>4.9993137852744507E-2</c:v>
                </c:pt>
                <c:pt idx="164">
                  <c:v>4.9993156833444186E-2</c:v>
                </c:pt>
                <c:pt idx="165">
                  <c:v>4.9993195831885773E-2</c:v>
                </c:pt>
                <c:pt idx="166">
                  <c:v>4.9993241193570404E-2</c:v>
                </c:pt>
                <c:pt idx="167">
                  <c:v>4.9993301807785606E-2</c:v>
                </c:pt>
                <c:pt idx="168">
                  <c:v>4.9993319393792923E-2</c:v>
                </c:pt>
                <c:pt idx="169">
                  <c:v>4.9993356438575498E-2</c:v>
                </c:pt>
                <c:pt idx="170">
                  <c:v>4.9993399782454651E-2</c:v>
                </c:pt>
                <c:pt idx="171">
                  <c:v>4.9993458108825495E-2</c:v>
                </c:pt>
                <c:pt idx="172">
                  <c:v>4.9993474408764449E-2</c:v>
                </c:pt>
                <c:pt idx="173">
                  <c:v>4.9993509634860267E-2</c:v>
                </c:pt>
                <c:pt idx="174">
                  <c:v>4.9993551095649291E-2</c:v>
                </c:pt>
                <c:pt idx="175">
                  <c:v>4.9993541836388378E-2</c:v>
                </c:pt>
                <c:pt idx="176">
                  <c:v>4.9993614159021371E-2</c:v>
                </c:pt>
                <c:pt idx="177">
                  <c:v>4.9993629205910439E-2</c:v>
                </c:pt>
                <c:pt idx="178">
                  <c:v>4.9993679102007027E-2</c:v>
                </c:pt>
                <c:pt idx="179">
                  <c:v>4.9993685796853482E-2</c:v>
                </c:pt>
                <c:pt idx="180">
                  <c:v>4.9993755741278179E-2</c:v>
                </c:pt>
                <c:pt idx="181">
                  <c:v>4.9993769611663685E-2</c:v>
                </c:pt>
                <c:pt idx="182">
                  <c:v>4.9993817636688753E-2</c:v>
                </c:pt>
                <c:pt idx="183">
                  <c:v>4.9993823477293198E-2</c:v>
                </c:pt>
                <c:pt idx="184">
                  <c:v>4.9993891180475369E-2</c:v>
                </c:pt>
                <c:pt idx="185">
                  <c:v>4.9993903958801766E-2</c:v>
                </c:pt>
                <c:pt idx="186">
                  <c:v>4.9993950225854178E-2</c:v>
                </c:pt>
                <c:pt idx="187">
                  <c:v>4.9993955279758584E-2</c:v>
                </c:pt>
                <c:pt idx="188">
                  <c:v>4.9994020867931921E-2</c:v>
                </c:pt>
                <c:pt idx="189">
                  <c:v>4.9994032631492713E-2</c:v>
                </c:pt>
                <c:pt idx="190">
                  <c:v>4.9994077244207125E-2</c:v>
                </c:pt>
                <c:pt idx="191">
                  <c:v>4.9993955312019667E-2</c:v>
                </c:pt>
                <c:pt idx="192">
                  <c:v>4.9994183661210778E-2</c:v>
                </c:pt>
                <c:pt idx="193">
                  <c:v>4.9994148817754658E-2</c:v>
                </c:pt>
                <c:pt idx="194">
                  <c:v>4.9994176534839951E-2</c:v>
                </c:pt>
                <c:pt idx="195">
                  <c:v>4.9994079005719172E-2</c:v>
                </c:pt>
                <c:pt idx="196">
                  <c:v>4.9994302093379073E-2</c:v>
                </c:pt>
                <c:pt idx="197">
                  <c:v>4.9994267300187634E-2</c:v>
                </c:pt>
                <c:pt idx="198">
                  <c:v>4.999429385633003E-2</c:v>
                </c:pt>
                <c:pt idx="199">
                  <c:v>4.9994197737263324E-2</c:v>
                </c:pt>
                <c:pt idx="200">
                  <c:v>4.9994415797435465E-2</c:v>
                </c:pt>
              </c:numCache>
            </c:numRef>
          </c:val>
          <c:smooth val="0"/>
        </c:ser>
        <c:ser>
          <c:idx val="3"/>
          <c:order val="3"/>
          <c:marker>
            <c:symbol val="none"/>
          </c:marker>
          <c:val>
            <c:numRef>
              <c:f>test!$L$2:$L$202</c:f>
              <c:numCache>
                <c:formatCode>0.0%</c:formatCode>
                <c:ptCount val="201"/>
                <c:pt idx="0">
                  <c:v>5.0000000001760858E-2</c:v>
                </c:pt>
                <c:pt idx="1">
                  <c:v>5.00000000017784E-2</c:v>
                </c:pt>
                <c:pt idx="2">
                  <c:v>5.0000000001069411E-2</c:v>
                </c:pt>
                <c:pt idx="3">
                  <c:v>5.0000000000006928E-2</c:v>
                </c:pt>
                <c:pt idx="4">
                  <c:v>5.0000000000004929E-2</c:v>
                </c:pt>
                <c:pt idx="5">
                  <c:v>4.9999999999556399E-2</c:v>
                </c:pt>
                <c:pt idx="6">
                  <c:v>4.9999999999620348E-2</c:v>
                </c:pt>
                <c:pt idx="7">
                  <c:v>5.0000000000002931E-2</c:v>
                </c:pt>
                <c:pt idx="8">
                  <c:v>4.9999999999714273E-2</c:v>
                </c:pt>
                <c:pt idx="9">
                  <c:v>5.008645485398211E-2</c:v>
                </c:pt>
                <c:pt idx="10">
                  <c:v>5.0174091637136042E-2</c:v>
                </c:pt>
                <c:pt idx="11">
                  <c:v>5.0259729645020013E-2</c:v>
                </c:pt>
                <c:pt idx="12">
                  <c:v>5.0348902397578055E-2</c:v>
                </c:pt>
                <c:pt idx="13">
                  <c:v>5.0437346546289064E-2</c:v>
                </c:pt>
                <c:pt idx="14">
                  <c:v>5.0528343083892091E-2</c:v>
                </c:pt>
                <c:pt idx="15">
                  <c:v>5.0616911923710761E-2</c:v>
                </c:pt>
                <c:pt idx="16">
                  <c:v>5.0706837637376934E-2</c:v>
                </c:pt>
                <c:pt idx="17">
                  <c:v>5.0797281812478001E-2</c:v>
                </c:pt>
                <c:pt idx="18">
                  <c:v>5.0887994157833294E-2</c:v>
                </c:pt>
                <c:pt idx="19">
                  <c:v>5.0975977379436044E-2</c:v>
                </c:pt>
                <c:pt idx="20">
                  <c:v>5.1067125831258275E-2</c:v>
                </c:pt>
                <c:pt idx="21">
                  <c:v>5.1010010755156987E-2</c:v>
                </c:pt>
                <c:pt idx="22">
                  <c:v>5.0950903997016406E-2</c:v>
                </c:pt>
                <c:pt idx="23">
                  <c:v>5.0892079796130751E-2</c:v>
                </c:pt>
                <c:pt idx="24">
                  <c:v>5.0829735698830314E-2</c:v>
                </c:pt>
                <c:pt idx="25">
                  <c:v>5.0772592707871267E-2</c:v>
                </c:pt>
                <c:pt idx="26">
                  <c:v>5.0712354639352863E-2</c:v>
                </c:pt>
                <c:pt idx="27">
                  <c:v>5.0652606061823313E-2</c:v>
                </c:pt>
                <c:pt idx="28">
                  <c:v>5.0591231443752438E-2</c:v>
                </c:pt>
                <c:pt idx="29">
                  <c:v>5.0533503822101089E-2</c:v>
                </c:pt>
                <c:pt idx="30">
                  <c:v>5.0474380596330803E-2</c:v>
                </c:pt>
                <c:pt idx="31">
                  <c:v>5.0415161623558857E-2</c:v>
                </c:pt>
                <c:pt idx="32">
                  <c:v>5.0353862235420044E-2</c:v>
                </c:pt>
                <c:pt idx="33">
                  <c:v>5.0295385793396763E-2</c:v>
                </c:pt>
                <c:pt idx="34">
                  <c:v>5.0234445323972254E-2</c:v>
                </c:pt>
                <c:pt idx="35">
                  <c:v>5.0173603140934775E-2</c:v>
                </c:pt>
                <c:pt idx="36">
                  <c:v>5.0112075674823897E-2</c:v>
                </c:pt>
                <c:pt idx="37">
                  <c:v>5.0053336951246807E-2</c:v>
                </c:pt>
                <c:pt idx="38">
                  <c:v>4.9994223852081854E-2</c:v>
                </c:pt>
                <c:pt idx="39">
                  <c:v>4.9932858643972011E-2</c:v>
                </c:pt>
                <c:pt idx="40">
                  <c:v>4.9870856957471954E-2</c:v>
                </c:pt>
                <c:pt idx="41">
                  <c:v>4.9873782555657442E-2</c:v>
                </c:pt>
                <c:pt idx="42">
                  <c:v>4.9876613102695311E-2</c:v>
                </c:pt>
                <c:pt idx="43">
                  <c:v>4.9879495250852557E-2</c:v>
                </c:pt>
                <c:pt idx="44">
                  <c:v>4.9882550293750771E-2</c:v>
                </c:pt>
                <c:pt idx="45">
                  <c:v>4.9884951531925514E-2</c:v>
                </c:pt>
                <c:pt idx="46">
                  <c:v>4.9887293962061152E-2</c:v>
                </c:pt>
                <c:pt idx="47">
                  <c:v>4.9889673895654463E-2</c:v>
                </c:pt>
                <c:pt idx="48">
                  <c:v>4.9892351918947808E-2</c:v>
                </c:pt>
                <c:pt idx="49">
                  <c:v>4.9894324985135796E-2</c:v>
                </c:pt>
                <c:pt idx="50">
                  <c:v>4.9896295538938817E-2</c:v>
                </c:pt>
                <c:pt idx="51">
                  <c:v>4.9898290007040158E-2</c:v>
                </c:pt>
                <c:pt idx="52">
                  <c:v>4.9900601037245806E-2</c:v>
                </c:pt>
                <c:pt idx="53">
                  <c:v>4.9902266406410378E-2</c:v>
                </c:pt>
                <c:pt idx="54">
                  <c:v>4.9903944092554386E-2</c:v>
                </c:pt>
                <c:pt idx="55">
                  <c:v>4.9905657663446013E-2</c:v>
                </c:pt>
                <c:pt idx="56">
                  <c:v>4.9907675833749332E-2</c:v>
                </c:pt>
                <c:pt idx="57">
                  <c:v>4.9909097477577324E-2</c:v>
                </c:pt>
                <c:pt idx="58">
                  <c:v>4.9910541708560574E-2</c:v>
                </c:pt>
                <c:pt idx="59">
                  <c:v>4.9912029886979958E-2</c:v>
                </c:pt>
                <c:pt idx="60">
                  <c:v>4.9913810406939429E-2</c:v>
                </c:pt>
                <c:pt idx="61">
                  <c:v>4.9915035858893786E-2</c:v>
                </c:pt>
                <c:pt idx="62">
                  <c:v>4.9916291073197838E-2</c:v>
                </c:pt>
                <c:pt idx="63">
                  <c:v>4.9917721073734267E-2</c:v>
                </c:pt>
                <c:pt idx="64">
                  <c:v>4.9919208746579402E-2</c:v>
                </c:pt>
                <c:pt idx="65">
                  <c:v>4.9920301982554038E-2</c:v>
                </c:pt>
                <c:pt idx="66">
                  <c:v>4.9921393973505479E-2</c:v>
                </c:pt>
                <c:pt idx="67">
                  <c:v>4.9922615337908871E-2</c:v>
                </c:pt>
                <c:pt idx="68">
                  <c:v>4.9923945627524224E-2</c:v>
                </c:pt>
                <c:pt idx="69">
                  <c:v>4.9924905037058709E-2</c:v>
                </c:pt>
                <c:pt idx="70">
                  <c:v>4.992586883826089E-2</c:v>
                </c:pt>
                <c:pt idx="71">
                  <c:v>4.9926959950313599E-2</c:v>
                </c:pt>
                <c:pt idx="72">
                  <c:v>4.9928157790709138E-2</c:v>
                </c:pt>
                <c:pt idx="73">
                  <c:v>4.9929005311015073E-2</c:v>
                </c:pt>
                <c:pt idx="74">
                  <c:v>4.9929861539564246E-2</c:v>
                </c:pt>
                <c:pt idx="75">
                  <c:v>4.9930842583499446E-2</c:v>
                </c:pt>
                <c:pt idx="76">
                  <c:v>4.9931927847636004E-2</c:v>
                </c:pt>
                <c:pt idx="77">
                  <c:v>4.993268091712677E-2</c:v>
                </c:pt>
                <c:pt idx="78">
                  <c:v>4.9933446025401729E-2</c:v>
                </c:pt>
                <c:pt idx="79">
                  <c:v>4.993435563762616E-2</c:v>
                </c:pt>
                <c:pt idx="80">
                  <c:v>4.9935337341604491E-2</c:v>
                </c:pt>
                <c:pt idx="81">
                  <c:v>4.9936010709303869E-2</c:v>
                </c:pt>
                <c:pt idx="82">
                  <c:v>4.9936691801675259E-2</c:v>
                </c:pt>
                <c:pt idx="83">
                  <c:v>4.9937508877549108E-2</c:v>
                </c:pt>
                <c:pt idx="84">
                  <c:v>4.9938407442319921E-2</c:v>
                </c:pt>
                <c:pt idx="85">
                  <c:v>4.9939011833870062E-2</c:v>
                </c:pt>
                <c:pt idx="86">
                  <c:v>4.9939626279684957E-2</c:v>
                </c:pt>
                <c:pt idx="87">
                  <c:v>4.9940373019172535E-2</c:v>
                </c:pt>
                <c:pt idx="88">
                  <c:v>4.9941199211953391E-2</c:v>
                </c:pt>
                <c:pt idx="89">
                  <c:v>4.994174399698359E-2</c:v>
                </c:pt>
                <c:pt idx="90">
                  <c:v>4.9942300696150799E-2</c:v>
                </c:pt>
                <c:pt idx="91">
                  <c:v>4.9942986078774565E-2</c:v>
                </c:pt>
                <c:pt idx="92">
                  <c:v>4.9943748858777504E-2</c:v>
                </c:pt>
                <c:pt idx="93">
                  <c:v>4.9944241805333522E-2</c:v>
                </c:pt>
                <c:pt idx="94">
                  <c:v>4.9944748156520724E-2</c:v>
                </c:pt>
                <c:pt idx="95">
                  <c:v>4.9945363548606903E-2</c:v>
                </c:pt>
                <c:pt idx="96">
                  <c:v>4.9946088024168445E-2</c:v>
                </c:pt>
                <c:pt idx="97">
                  <c:v>4.9946530547098966E-2</c:v>
                </c:pt>
                <c:pt idx="98">
                  <c:v>4.9947009930518371E-2</c:v>
                </c:pt>
                <c:pt idx="99">
                  <c:v>4.9947564408476364E-2</c:v>
                </c:pt>
                <c:pt idx="100">
                  <c:v>4.9948238577418591E-2</c:v>
                </c:pt>
                <c:pt idx="101">
                  <c:v>4.9948641463159582E-2</c:v>
                </c:pt>
                <c:pt idx="102">
                  <c:v>4.9949081283614971E-2</c:v>
                </c:pt>
                <c:pt idx="103">
                  <c:v>4.994959479135197E-2</c:v>
                </c:pt>
                <c:pt idx="104">
                  <c:v>4.9950224127476739E-2</c:v>
                </c:pt>
                <c:pt idx="105">
                  <c:v>4.99505919906853E-2</c:v>
                </c:pt>
                <c:pt idx="106">
                  <c:v>4.9950996741384701E-2</c:v>
                </c:pt>
                <c:pt idx="107">
                  <c:v>4.9951473766738141E-2</c:v>
                </c:pt>
                <c:pt idx="108">
                  <c:v>4.995206296263599E-2</c:v>
                </c:pt>
                <c:pt idx="109">
                  <c:v>4.9952399740255116E-2</c:v>
                </c:pt>
                <c:pt idx="110">
                  <c:v>4.9952773265730777E-2</c:v>
                </c:pt>
                <c:pt idx="111">
                  <c:v>4.9953246120024719E-2</c:v>
                </c:pt>
                <c:pt idx="112">
                  <c:v>4.9953786084756091E-2</c:v>
                </c:pt>
                <c:pt idx="113">
                  <c:v>4.9954096695780548E-2</c:v>
                </c:pt>
                <c:pt idx="114">
                  <c:v>4.9954383188397289E-2</c:v>
                </c:pt>
                <c:pt idx="115">
                  <c:v>4.9954867717334039E-2</c:v>
                </c:pt>
                <c:pt idx="116">
                  <c:v>4.9955375549057601E-2</c:v>
                </c:pt>
                <c:pt idx="117">
                  <c:v>4.9955661333816792E-2</c:v>
                </c:pt>
                <c:pt idx="118">
                  <c:v>4.9955924796239559E-2</c:v>
                </c:pt>
                <c:pt idx="119">
                  <c:v>4.9956380576001269E-2</c:v>
                </c:pt>
                <c:pt idx="120">
                  <c:v>4.9956859304083112E-2</c:v>
                </c:pt>
                <c:pt idx="121">
                  <c:v>4.9957122791676856E-2</c:v>
                </c:pt>
                <c:pt idx="122">
                  <c:v>4.9957365577325552E-2</c:v>
                </c:pt>
                <c:pt idx="123">
                  <c:v>4.9957795278853689E-2</c:v>
                </c:pt>
                <c:pt idx="124">
                  <c:v>4.9958247556191493E-2</c:v>
                </c:pt>
                <c:pt idx="125">
                  <c:v>4.9958490950088308E-2</c:v>
                </c:pt>
                <c:pt idx="126">
                  <c:v>4.9958715110050456E-2</c:v>
                </c:pt>
                <c:pt idx="127">
                  <c:v>4.9959116216644839E-2</c:v>
                </c:pt>
                <c:pt idx="128">
                  <c:v>4.9959567508934821E-2</c:v>
                </c:pt>
                <c:pt idx="129">
                  <c:v>4.9959789002501198E-2</c:v>
                </c:pt>
                <c:pt idx="130">
                  <c:v>4.9960060059213829E-2</c:v>
                </c:pt>
                <c:pt idx="131">
                  <c:v>4.9960361188512437E-2</c:v>
                </c:pt>
                <c:pt idx="132">
                  <c:v>4.9960789700501218E-2</c:v>
                </c:pt>
                <c:pt idx="133">
                  <c:v>4.9960994854141738E-2</c:v>
                </c:pt>
                <c:pt idx="134">
                  <c:v>4.9961248778698675E-2</c:v>
                </c:pt>
                <c:pt idx="135">
                  <c:v>4.9961532561292765E-2</c:v>
                </c:pt>
                <c:pt idx="136">
                  <c:v>4.9961940163441909E-2</c:v>
                </c:pt>
                <c:pt idx="137">
                  <c:v>4.9962130463653054E-2</c:v>
                </c:pt>
                <c:pt idx="138">
                  <c:v>4.9962368756270692E-2</c:v>
                </c:pt>
                <c:pt idx="139">
                  <c:v>4.9962636674278027E-2</c:v>
                </c:pt>
                <c:pt idx="140">
                  <c:v>4.996302503224137E-2</c:v>
                </c:pt>
                <c:pt idx="141">
                  <c:v>4.9963201794945178E-2</c:v>
                </c:pt>
                <c:pt idx="142">
                  <c:v>4.9963425787368454E-2</c:v>
                </c:pt>
                <c:pt idx="143">
                  <c:v>4.9963690681537498E-2</c:v>
                </c:pt>
                <c:pt idx="144">
                  <c:v>4.9964034666726498E-2</c:v>
                </c:pt>
                <c:pt idx="145">
                  <c:v>4.9964206327204774E-2</c:v>
                </c:pt>
                <c:pt idx="146">
                  <c:v>4.9964434920711343E-2</c:v>
                </c:pt>
                <c:pt idx="147">
                  <c:v>4.9964676101474259E-2</c:v>
                </c:pt>
                <c:pt idx="148">
                  <c:v>4.9965004340607466E-2</c:v>
                </c:pt>
                <c:pt idx="149">
                  <c:v>4.9965164495997527E-2</c:v>
                </c:pt>
                <c:pt idx="150">
                  <c:v>4.9965380595349274E-2</c:v>
                </c:pt>
                <c:pt idx="151">
                  <c:v>4.996560943344508E-2</c:v>
                </c:pt>
                <c:pt idx="152">
                  <c:v>4.9965923092299303E-2</c:v>
                </c:pt>
                <c:pt idx="153">
                  <c:v>4.9966072682379625E-2</c:v>
                </c:pt>
                <c:pt idx="154">
                  <c:v>4.9966277259469116E-2</c:v>
                </c:pt>
                <c:pt idx="155">
                  <c:v>4.9966494700990793E-2</c:v>
                </c:pt>
                <c:pt idx="156">
                  <c:v>4.9966794830102579E-2</c:v>
                </c:pt>
                <c:pt idx="157">
                  <c:v>4.996693469758462E-2</c:v>
                </c:pt>
                <c:pt idx="158">
                  <c:v>4.9967128626971169E-2</c:v>
                </c:pt>
                <c:pt idx="159">
                  <c:v>4.9967230218205927E-2</c:v>
                </c:pt>
                <c:pt idx="160">
                  <c:v>4.9967630510939776E-2</c:v>
                </c:pt>
                <c:pt idx="161">
                  <c:v>4.9967726386308087E-2</c:v>
                </c:pt>
                <c:pt idx="162">
                  <c:v>4.9967910024625306E-2</c:v>
                </c:pt>
                <c:pt idx="163">
                  <c:v>4.9968032343276958E-2</c:v>
                </c:pt>
                <c:pt idx="164">
                  <c:v>4.9968418160303285E-2</c:v>
                </c:pt>
                <c:pt idx="165">
                  <c:v>4.9968506603805363E-2</c:v>
                </c:pt>
                <c:pt idx="166">
                  <c:v>4.9968681087225297E-2</c:v>
                </c:pt>
                <c:pt idx="167">
                  <c:v>4.9968796127740189E-2</c:v>
                </c:pt>
                <c:pt idx="168">
                  <c:v>4.9969168382740348E-2</c:v>
                </c:pt>
                <c:pt idx="169">
                  <c:v>4.996924997121277E-2</c:v>
                </c:pt>
                <c:pt idx="170">
                  <c:v>4.9969415946774509E-2</c:v>
                </c:pt>
                <c:pt idx="171">
                  <c:v>4.9969524256372688E-2</c:v>
                </c:pt>
                <c:pt idx="172">
                  <c:v>4.9969883783715474E-2</c:v>
                </c:pt>
                <c:pt idx="173">
                  <c:v>4.996995903896595E-2</c:v>
                </c:pt>
                <c:pt idx="174">
                  <c:v>4.9970117094427335E-2</c:v>
                </c:pt>
                <c:pt idx="175">
                  <c:v>4.997036132271182E-2</c:v>
                </c:pt>
                <c:pt idx="176">
                  <c:v>4.9970579772648183E-2</c:v>
                </c:pt>
                <c:pt idx="177">
                  <c:v>4.9970690225420888E-2</c:v>
                </c:pt>
                <c:pt idx="178">
                  <c:v>4.9970824607619813E-2</c:v>
                </c:pt>
                <c:pt idx="179">
                  <c:v>4.9971021998433507E-2</c:v>
                </c:pt>
                <c:pt idx="180">
                  <c:v>4.9971232049777825E-2</c:v>
                </c:pt>
                <c:pt idx="181">
                  <c:v>4.9971336175561154E-2</c:v>
                </c:pt>
                <c:pt idx="182">
                  <c:v>4.9971464035992508E-2</c:v>
                </c:pt>
                <c:pt idx="183">
                  <c:v>4.9971653853837728E-2</c:v>
                </c:pt>
                <c:pt idx="184">
                  <c:v>4.9971856025795791E-2</c:v>
                </c:pt>
                <c:pt idx="185">
                  <c:v>4.9971954253616557E-2</c:v>
                </c:pt>
                <c:pt idx="186">
                  <c:v>4.9972076022402945E-2</c:v>
                </c:pt>
                <c:pt idx="187">
                  <c:v>4.9972258734193753E-2</c:v>
                </c:pt>
                <c:pt idx="188">
                  <c:v>4.9972453503602354E-2</c:v>
                </c:pt>
                <c:pt idx="189">
                  <c:v>4.9972546225779402E-2</c:v>
                </c:pt>
                <c:pt idx="190">
                  <c:v>4.9972662295884041E-2</c:v>
                </c:pt>
                <c:pt idx="191">
                  <c:v>4.9972844732640187E-2</c:v>
                </c:pt>
                <c:pt idx="192">
                  <c:v>4.9973027597466135E-2</c:v>
                </c:pt>
                <c:pt idx="193">
                  <c:v>4.9973116350106483E-2</c:v>
                </c:pt>
                <c:pt idx="194">
                  <c:v>4.997321339826355E-2</c:v>
                </c:pt>
                <c:pt idx="195">
                  <c:v>4.9973400411772229E-2</c:v>
                </c:pt>
                <c:pt idx="196">
                  <c:v>4.9973576802409436E-2</c:v>
                </c:pt>
                <c:pt idx="197">
                  <c:v>4.9973660720459057E-2</c:v>
                </c:pt>
                <c:pt idx="198">
                  <c:v>4.9973753043759617E-2</c:v>
                </c:pt>
                <c:pt idx="199">
                  <c:v>4.9973933797942793E-2</c:v>
                </c:pt>
                <c:pt idx="200">
                  <c:v>4.9974104083654325E-2</c:v>
                </c:pt>
              </c:numCache>
            </c:numRef>
          </c:val>
          <c:smooth val="0"/>
        </c:ser>
        <c:ser>
          <c:idx val="4"/>
          <c:order val="4"/>
          <c:marker>
            <c:symbol val="none"/>
          </c:marker>
          <c:val>
            <c:numRef>
              <c:f>test!$M$2:$M$202</c:f>
              <c:numCache>
                <c:formatCode>0.0%</c:formatCode>
                <c:ptCount val="201"/>
                <c:pt idx="0">
                  <c:v>5.0000000001760858E-2</c:v>
                </c:pt>
                <c:pt idx="1">
                  <c:v>5.00000000017784E-2</c:v>
                </c:pt>
                <c:pt idx="2">
                  <c:v>5.0000000001069411E-2</c:v>
                </c:pt>
                <c:pt idx="3">
                  <c:v>5.0000000000006928E-2</c:v>
                </c:pt>
                <c:pt idx="4">
                  <c:v>5.0000000000004929E-2</c:v>
                </c:pt>
                <c:pt idx="5">
                  <c:v>4.9999999999556399E-2</c:v>
                </c:pt>
                <c:pt idx="6">
                  <c:v>4.9999999999620348E-2</c:v>
                </c:pt>
                <c:pt idx="7">
                  <c:v>5.0000000000002931E-2</c:v>
                </c:pt>
                <c:pt idx="8">
                  <c:v>4.9999999999714273E-2</c:v>
                </c:pt>
                <c:pt idx="9">
                  <c:v>5.0000000000012035E-2</c:v>
                </c:pt>
                <c:pt idx="10">
                  <c:v>5.0000000000244293E-2</c:v>
                </c:pt>
                <c:pt idx="11">
                  <c:v>5.0000000000219647E-2</c:v>
                </c:pt>
                <c:pt idx="12">
                  <c:v>5.0000000000213429E-2</c:v>
                </c:pt>
                <c:pt idx="13">
                  <c:v>5.000000000000826E-2</c:v>
                </c:pt>
                <c:pt idx="14">
                  <c:v>5.0000000000174349E-2</c:v>
                </c:pt>
                <c:pt idx="15">
                  <c:v>4.9999999999993605E-2</c:v>
                </c:pt>
                <c:pt idx="16">
                  <c:v>5.0000000000001155E-2</c:v>
                </c:pt>
                <c:pt idx="17">
                  <c:v>5.0000000000157252E-2</c:v>
                </c:pt>
                <c:pt idx="18">
                  <c:v>5.0000000000135714E-2</c:v>
                </c:pt>
                <c:pt idx="19">
                  <c:v>5.0000000000133937E-2</c:v>
                </c:pt>
                <c:pt idx="20">
                  <c:v>5.0000000000134603E-2</c:v>
                </c:pt>
                <c:pt idx="21">
                  <c:v>5.0055821178073723E-2</c:v>
                </c:pt>
                <c:pt idx="22">
                  <c:v>5.0112402635480224E-2</c:v>
                </c:pt>
                <c:pt idx="23">
                  <c:v>5.0167791976332143E-2</c:v>
                </c:pt>
                <c:pt idx="24">
                  <c:v>5.0225632225762151E-2</c:v>
                </c:pt>
                <c:pt idx="25">
                  <c:v>5.0282258656644263E-2</c:v>
                </c:pt>
                <c:pt idx="26">
                  <c:v>5.034075078195821E-2</c:v>
                </c:pt>
                <c:pt idx="27">
                  <c:v>5.0397947180809588E-2</c:v>
                </c:pt>
                <c:pt idx="28">
                  <c:v>5.0456128058301131E-2</c:v>
                </c:pt>
                <c:pt idx="29">
                  <c:v>5.0513787919692188E-2</c:v>
                </c:pt>
                <c:pt idx="30">
                  <c:v>5.0571889493253863E-2</c:v>
                </c:pt>
                <c:pt idx="31">
                  <c:v>5.0629278469264571E-2</c:v>
                </c:pt>
                <c:pt idx="32">
                  <c:v>5.0688160963367368E-2</c:v>
                </c:pt>
                <c:pt idx="33">
                  <c:v>5.0746962077257818E-2</c:v>
                </c:pt>
                <c:pt idx="34">
                  <c:v>5.0807334302317209E-2</c:v>
                </c:pt>
                <c:pt idx="35">
                  <c:v>5.0866948475754459E-2</c:v>
                </c:pt>
                <c:pt idx="36">
                  <c:v>5.0926790771531616E-2</c:v>
                </c:pt>
                <c:pt idx="37">
                  <c:v>5.0986159425997712E-2</c:v>
                </c:pt>
                <c:pt idx="38">
                  <c:v>5.1045118575370863E-2</c:v>
                </c:pt>
                <c:pt idx="39">
                  <c:v>5.1105766149332155E-2</c:v>
                </c:pt>
                <c:pt idx="40">
                  <c:v>5.1166641738583207E-2</c:v>
                </c:pt>
                <c:pt idx="41">
                  <c:v>5.1132070904614135E-2</c:v>
                </c:pt>
                <c:pt idx="42">
                  <c:v>5.1096736163524836E-2</c:v>
                </c:pt>
                <c:pt idx="43">
                  <c:v>5.1059635617963783E-2</c:v>
                </c:pt>
                <c:pt idx="44">
                  <c:v>5.1021498342474825E-2</c:v>
                </c:pt>
                <c:pt idx="45">
                  <c:v>5.0987236927756641E-2</c:v>
                </c:pt>
                <c:pt idx="46">
                  <c:v>5.0951919996011563E-2</c:v>
                </c:pt>
                <c:pt idx="47">
                  <c:v>5.0914479975690874E-2</c:v>
                </c:pt>
                <c:pt idx="48">
                  <c:v>5.0876848309415079E-2</c:v>
                </c:pt>
                <c:pt idx="49">
                  <c:v>5.0842643497460704E-2</c:v>
                </c:pt>
                <c:pt idx="50">
                  <c:v>5.0807846350723329E-2</c:v>
                </c:pt>
                <c:pt idx="51">
                  <c:v>5.0771397133526852E-2</c:v>
                </c:pt>
                <c:pt idx="52">
                  <c:v>5.0734019605000569E-2</c:v>
                </c:pt>
                <c:pt idx="53">
                  <c:v>5.069969269573904E-2</c:v>
                </c:pt>
                <c:pt idx="54">
                  <c:v>5.0664839565920383E-2</c:v>
                </c:pt>
                <c:pt idx="55">
                  <c:v>5.0628420072650115E-2</c:v>
                </c:pt>
                <c:pt idx="56">
                  <c:v>5.0591113449766079E-2</c:v>
                </c:pt>
                <c:pt idx="57">
                  <c:v>5.0556529936089944E-2</c:v>
                </c:pt>
                <c:pt idx="58">
                  <c:v>5.05214843941173E-2</c:v>
                </c:pt>
                <c:pt idx="59">
                  <c:v>5.0484954073818811E-2</c:v>
                </c:pt>
                <c:pt idx="60">
                  <c:v>5.0447576866135213E-2</c:v>
                </c:pt>
                <c:pt idx="61">
                  <c:v>5.0412632947327563E-2</c:v>
                </c:pt>
                <c:pt idx="62">
                  <c:v>5.0376888883653548E-2</c:v>
                </c:pt>
                <c:pt idx="63">
                  <c:v>5.0339261029970439E-2</c:v>
                </c:pt>
                <c:pt idx="64">
                  <c:v>5.0301803199649608E-2</c:v>
                </c:pt>
                <c:pt idx="65">
                  <c:v>5.0266378432908931E-2</c:v>
                </c:pt>
                <c:pt idx="66">
                  <c:v>5.0230627704420661E-2</c:v>
                </c:pt>
                <c:pt idx="67">
                  <c:v>5.0193530079785997E-2</c:v>
                </c:pt>
                <c:pt idx="68">
                  <c:v>5.0155788543529756E-2</c:v>
                </c:pt>
                <c:pt idx="69">
                  <c:v>5.0119856156971343E-2</c:v>
                </c:pt>
                <c:pt idx="70">
                  <c:v>5.008365415874505E-2</c:v>
                </c:pt>
                <c:pt idx="71">
                  <c:v>5.0046174030432766E-2</c:v>
                </c:pt>
                <c:pt idx="72">
                  <c:v>5.0008074075564402E-2</c:v>
                </c:pt>
                <c:pt idx="73">
                  <c:v>4.9971577458721939E-2</c:v>
                </c:pt>
                <c:pt idx="74">
                  <c:v>4.9934865339134493E-2</c:v>
                </c:pt>
                <c:pt idx="75">
                  <c:v>4.9896940596561024E-2</c:v>
                </c:pt>
                <c:pt idx="76">
                  <c:v>4.9858419004270349E-2</c:v>
                </c:pt>
                <c:pt idx="77">
                  <c:v>4.9821309711486572E-2</c:v>
                </c:pt>
                <c:pt idx="78">
                  <c:v>4.97835942114353E-2</c:v>
                </c:pt>
                <c:pt idx="79">
                  <c:v>4.9744362282327037E-2</c:v>
                </c:pt>
                <c:pt idx="80">
                  <c:v>4.9705346838269771E-2</c:v>
                </c:pt>
                <c:pt idx="81">
                  <c:v>4.9708670533456623E-2</c:v>
                </c:pt>
                <c:pt idx="82">
                  <c:v>4.9712036728626785E-2</c:v>
                </c:pt>
                <c:pt idx="83">
                  <c:v>4.9715679394273238E-2</c:v>
                </c:pt>
                <c:pt idx="84">
                  <c:v>4.9719335140398391E-2</c:v>
                </c:pt>
                <c:pt idx="85">
                  <c:v>4.9722332615641074E-2</c:v>
                </c:pt>
                <c:pt idx="86">
                  <c:v>4.9725383134953338E-2</c:v>
                </c:pt>
                <c:pt idx="87">
                  <c:v>4.9728709296148699E-2</c:v>
                </c:pt>
                <c:pt idx="88">
                  <c:v>4.9732055407663234E-2</c:v>
                </c:pt>
                <c:pt idx="89">
                  <c:v>4.9734770418674357E-2</c:v>
                </c:pt>
                <c:pt idx="90">
                  <c:v>4.9737546860770809E-2</c:v>
                </c:pt>
                <c:pt idx="91">
                  <c:v>4.9740597054162894E-2</c:v>
                </c:pt>
                <c:pt idx="92">
                  <c:v>4.9743672585721432E-2</c:v>
                </c:pt>
                <c:pt idx="93">
                  <c:v>4.9746141453675063E-2</c:v>
                </c:pt>
                <c:pt idx="94">
                  <c:v>4.9748678443991778E-2</c:v>
                </c:pt>
                <c:pt idx="95">
                  <c:v>4.9751552842009827E-2</c:v>
                </c:pt>
                <c:pt idx="96">
                  <c:v>4.9754381689934402E-2</c:v>
                </c:pt>
                <c:pt idx="97">
                  <c:v>4.9756629117327922E-2</c:v>
                </c:pt>
                <c:pt idx="98">
                  <c:v>4.9758955163740737E-2</c:v>
                </c:pt>
                <c:pt idx="99">
                  <c:v>4.9761559887448792E-2</c:v>
                </c:pt>
                <c:pt idx="100">
                  <c:v>4.9764178570208761E-2</c:v>
                </c:pt>
                <c:pt idx="101">
                  <c:v>4.9766236314552348E-2</c:v>
                </c:pt>
                <c:pt idx="102">
                  <c:v>4.9768376679305559E-2</c:v>
                </c:pt>
                <c:pt idx="103">
                  <c:v>4.9770791860431762E-2</c:v>
                </c:pt>
                <c:pt idx="104">
                  <c:v>4.9773223838267988E-2</c:v>
                </c:pt>
                <c:pt idx="105">
                  <c:v>4.9775113611376209E-2</c:v>
                </c:pt>
                <c:pt idx="106">
                  <c:v>4.9777089166106903E-2</c:v>
                </c:pt>
                <c:pt idx="107">
                  <c:v>4.977933545230373E-2</c:v>
                </c:pt>
                <c:pt idx="108">
                  <c:v>4.9781600794447378E-2</c:v>
                </c:pt>
                <c:pt idx="109">
                  <c:v>4.9783341145919868E-2</c:v>
                </c:pt>
                <c:pt idx="110">
                  <c:v>4.9785169761765724E-2</c:v>
                </c:pt>
                <c:pt idx="111">
                  <c:v>4.978725282861185E-2</c:v>
                </c:pt>
                <c:pt idx="112">
                  <c:v>4.9789412408314915E-2</c:v>
                </c:pt>
                <c:pt idx="113">
                  <c:v>4.9791004204743583E-2</c:v>
                </c:pt>
                <c:pt idx="114">
                  <c:v>4.9792746348145123E-2</c:v>
                </c:pt>
                <c:pt idx="115">
                  <c:v>4.9794631129953526E-2</c:v>
                </c:pt>
                <c:pt idx="116">
                  <c:v>4.9796654734986401E-2</c:v>
                </c:pt>
                <c:pt idx="117">
                  <c:v>4.9798127410548787E-2</c:v>
                </c:pt>
                <c:pt idx="118">
                  <c:v>4.979974991904168E-2</c:v>
                </c:pt>
                <c:pt idx="119">
                  <c:v>4.9801514704756356E-2</c:v>
                </c:pt>
                <c:pt idx="120">
                  <c:v>4.9803415437535303E-2</c:v>
                </c:pt>
                <c:pt idx="121">
                  <c:v>4.9804780909643576E-2</c:v>
                </c:pt>
                <c:pt idx="122">
                  <c:v>4.9806295463239225E-2</c:v>
                </c:pt>
                <c:pt idx="123">
                  <c:v>4.9807951697885766E-2</c:v>
                </c:pt>
                <c:pt idx="124">
                  <c:v>4.980974101331137E-2</c:v>
                </c:pt>
                <c:pt idx="125">
                  <c:v>4.9811009679028739E-2</c:v>
                </c:pt>
                <c:pt idx="126">
                  <c:v>4.9812426490700723E-2</c:v>
                </c:pt>
                <c:pt idx="127">
                  <c:v>4.9814103079195649E-2</c:v>
                </c:pt>
                <c:pt idx="128">
                  <c:v>4.9815701921458677E-2</c:v>
                </c:pt>
                <c:pt idx="129">
                  <c:v>4.9816914512268662E-2</c:v>
                </c:pt>
                <c:pt idx="130">
                  <c:v>4.9818196926167735E-2</c:v>
                </c:pt>
                <c:pt idx="131">
                  <c:v>4.9819763542549467E-2</c:v>
                </c:pt>
                <c:pt idx="132">
                  <c:v>4.982127250780799E-2</c:v>
                </c:pt>
                <c:pt idx="133">
                  <c:v>4.9822404544699328E-2</c:v>
                </c:pt>
                <c:pt idx="134">
                  <c:v>4.982360752491366E-2</c:v>
                </c:pt>
                <c:pt idx="135">
                  <c:v>4.9825089397853795E-2</c:v>
                </c:pt>
                <c:pt idx="136">
                  <c:v>4.9826516185739855E-2</c:v>
                </c:pt>
                <c:pt idx="137">
                  <c:v>4.9827574797069341E-2</c:v>
                </c:pt>
                <c:pt idx="138">
                  <c:v>4.9828705257145112E-2</c:v>
                </c:pt>
                <c:pt idx="139">
                  <c:v>4.9830109462637884E-2</c:v>
                </c:pt>
                <c:pt idx="140">
                  <c:v>4.9831460911877068E-2</c:v>
                </c:pt>
                <c:pt idx="141">
                  <c:v>4.9832452418371975E-2</c:v>
                </c:pt>
                <c:pt idx="142">
                  <c:v>4.9833516497510555E-2</c:v>
                </c:pt>
                <c:pt idx="143">
                  <c:v>4.9834860973247297E-2</c:v>
                </c:pt>
                <c:pt idx="144">
                  <c:v>4.9836160100977356E-2</c:v>
                </c:pt>
                <c:pt idx="145">
                  <c:v>4.9837074990481511E-2</c:v>
                </c:pt>
                <c:pt idx="146">
                  <c:v>4.9838092930594158E-2</c:v>
                </c:pt>
                <c:pt idx="147">
                  <c:v>4.9839342515047402E-2</c:v>
                </c:pt>
                <c:pt idx="148">
                  <c:v>4.9840577186472501E-2</c:v>
                </c:pt>
                <c:pt idx="149">
                  <c:v>4.9841436115702464E-2</c:v>
                </c:pt>
                <c:pt idx="150">
                  <c:v>4.9842397790002213E-2</c:v>
                </c:pt>
                <c:pt idx="151">
                  <c:v>4.9843587182032634E-2</c:v>
                </c:pt>
                <c:pt idx="152">
                  <c:v>4.984476232243007E-2</c:v>
                </c:pt>
                <c:pt idx="153">
                  <c:v>4.9845569757465347E-2</c:v>
                </c:pt>
                <c:pt idx="154">
                  <c:v>4.9846479558999457E-2</c:v>
                </c:pt>
                <c:pt idx="155">
                  <c:v>4.9847613271514435E-2</c:v>
                </c:pt>
                <c:pt idx="156">
                  <c:v>4.984873331156825E-2</c:v>
                </c:pt>
                <c:pt idx="157">
                  <c:v>4.9849493262463129E-2</c:v>
                </c:pt>
                <c:pt idx="158">
                  <c:v>4.9850355141190628E-2</c:v>
                </c:pt>
                <c:pt idx="159">
                  <c:v>4.9851498192815757E-2</c:v>
                </c:pt>
                <c:pt idx="160">
                  <c:v>4.9852517987329481E-2</c:v>
                </c:pt>
                <c:pt idx="161">
                  <c:v>4.9853247809698242E-2</c:v>
                </c:pt>
                <c:pt idx="162">
                  <c:v>4.9854070820427365E-2</c:v>
                </c:pt>
                <c:pt idx="163">
                  <c:v>4.9855132965748172E-2</c:v>
                </c:pt>
                <c:pt idx="164">
                  <c:v>4.985610648915717E-2</c:v>
                </c:pt>
                <c:pt idx="165">
                  <c:v>4.9856795373064644E-2</c:v>
                </c:pt>
                <c:pt idx="166">
                  <c:v>4.9857577048673329E-2</c:v>
                </c:pt>
                <c:pt idx="167">
                  <c:v>4.9858594010419033E-2</c:v>
                </c:pt>
                <c:pt idx="168">
                  <c:v>4.9859524483375273E-2</c:v>
                </c:pt>
                <c:pt idx="169">
                  <c:v>4.986017539234866E-2</c:v>
                </c:pt>
                <c:pt idx="170">
                  <c:v>4.9860918659940801E-2</c:v>
                </c:pt>
                <c:pt idx="171">
                  <c:v>4.9861893491267795E-2</c:v>
                </c:pt>
                <c:pt idx="172">
                  <c:v>4.9862783840301628E-2</c:v>
                </c:pt>
                <c:pt idx="173">
                  <c:v>4.9863399462643621E-2</c:v>
                </c:pt>
                <c:pt idx="174">
                  <c:v>4.9864106981675427E-2</c:v>
                </c:pt>
                <c:pt idx="175">
                  <c:v>4.9865025612505054E-2</c:v>
                </c:pt>
                <c:pt idx="176">
                  <c:v>4.9865907793901876E-2</c:v>
                </c:pt>
                <c:pt idx="177">
                  <c:v>4.9866464597666305E-2</c:v>
                </c:pt>
                <c:pt idx="178">
                  <c:v>4.9867109430002943E-2</c:v>
                </c:pt>
                <c:pt idx="179">
                  <c:v>4.9868034182320775E-2</c:v>
                </c:pt>
                <c:pt idx="180">
                  <c:v>4.9868880614650557E-2</c:v>
                </c:pt>
                <c:pt idx="181">
                  <c:v>4.986940740990442E-2</c:v>
                </c:pt>
                <c:pt idx="182">
                  <c:v>4.987002181768907E-2</c:v>
                </c:pt>
                <c:pt idx="183">
                  <c:v>4.987091151584333E-2</c:v>
                </c:pt>
                <c:pt idx="184">
                  <c:v>4.9871724456485023E-2</c:v>
                </c:pt>
                <c:pt idx="185">
                  <c:v>4.9872223248966563E-2</c:v>
                </c:pt>
                <c:pt idx="186">
                  <c:v>4.9872809221172876E-2</c:v>
                </c:pt>
                <c:pt idx="187">
                  <c:v>4.9873666017008045E-2</c:v>
                </c:pt>
                <c:pt idx="188">
                  <c:v>4.9874447534707933E-2</c:v>
                </c:pt>
                <c:pt idx="189">
                  <c:v>4.9874920159763025E-2</c:v>
                </c:pt>
                <c:pt idx="190">
                  <c:v>4.9875479516588772E-2</c:v>
                </c:pt>
                <c:pt idx="191">
                  <c:v>4.9876323810579715E-2</c:v>
                </c:pt>
                <c:pt idx="192">
                  <c:v>4.9877070050094119E-2</c:v>
                </c:pt>
                <c:pt idx="193">
                  <c:v>4.9877543091356058E-2</c:v>
                </c:pt>
                <c:pt idx="194">
                  <c:v>4.98781434622102E-2</c:v>
                </c:pt>
                <c:pt idx="195">
                  <c:v>4.9878854488411895E-2</c:v>
                </c:pt>
                <c:pt idx="196">
                  <c:v>4.9879573007097333E-2</c:v>
                </c:pt>
                <c:pt idx="197">
                  <c:v>4.9880022630078624E-2</c:v>
                </c:pt>
                <c:pt idx="198">
                  <c:v>4.988059829240199E-2</c:v>
                </c:pt>
                <c:pt idx="199">
                  <c:v>4.988128364511879E-2</c:v>
                </c:pt>
                <c:pt idx="200">
                  <c:v>4.9881976052814858E-2</c:v>
                </c:pt>
              </c:numCache>
            </c:numRef>
          </c:val>
          <c:smooth val="0"/>
        </c:ser>
        <c:ser>
          <c:idx val="5"/>
          <c:order val="5"/>
          <c:marker>
            <c:symbol val="none"/>
          </c:marker>
          <c:val>
            <c:numRef>
              <c:f>test!$N$2:$N$202</c:f>
              <c:numCache>
                <c:formatCode>0.0%</c:formatCode>
                <c:ptCount val="201"/>
                <c:pt idx="0">
                  <c:v>5.0000000001760858E-2</c:v>
                </c:pt>
                <c:pt idx="1">
                  <c:v>5.00000000017784E-2</c:v>
                </c:pt>
                <c:pt idx="2">
                  <c:v>5.0000000001069411E-2</c:v>
                </c:pt>
                <c:pt idx="3">
                  <c:v>5.0000000000006928E-2</c:v>
                </c:pt>
                <c:pt idx="4">
                  <c:v>5.0000000000004929E-2</c:v>
                </c:pt>
                <c:pt idx="5">
                  <c:v>4.9999999999556399E-2</c:v>
                </c:pt>
                <c:pt idx="6">
                  <c:v>4.9999999999620348E-2</c:v>
                </c:pt>
                <c:pt idx="7">
                  <c:v>5.0000000000002931E-2</c:v>
                </c:pt>
                <c:pt idx="8">
                  <c:v>4.9999999999714273E-2</c:v>
                </c:pt>
                <c:pt idx="9">
                  <c:v>5.0000000000012035E-2</c:v>
                </c:pt>
                <c:pt idx="10">
                  <c:v>5.0000000000244293E-2</c:v>
                </c:pt>
                <c:pt idx="11">
                  <c:v>5.0000000000219647E-2</c:v>
                </c:pt>
                <c:pt idx="12">
                  <c:v>5.0000000000213429E-2</c:v>
                </c:pt>
                <c:pt idx="13">
                  <c:v>5.000000000000826E-2</c:v>
                </c:pt>
                <c:pt idx="14">
                  <c:v>5.0000000000174349E-2</c:v>
                </c:pt>
                <c:pt idx="15">
                  <c:v>4.9999999999993605E-2</c:v>
                </c:pt>
                <c:pt idx="16">
                  <c:v>5.0000000000001155E-2</c:v>
                </c:pt>
                <c:pt idx="17">
                  <c:v>5.0000000000157252E-2</c:v>
                </c:pt>
                <c:pt idx="18">
                  <c:v>5.0000000000135714E-2</c:v>
                </c:pt>
                <c:pt idx="19">
                  <c:v>5.0000000000133937E-2</c:v>
                </c:pt>
                <c:pt idx="20">
                  <c:v>5.0000000000134603E-2</c:v>
                </c:pt>
                <c:pt idx="21">
                  <c:v>4.999999999999849E-2</c:v>
                </c:pt>
                <c:pt idx="22">
                  <c:v>5.0000000000111289E-2</c:v>
                </c:pt>
                <c:pt idx="23">
                  <c:v>4.9999999999869482E-2</c:v>
                </c:pt>
                <c:pt idx="24">
                  <c:v>5.0000000000112177E-2</c:v>
                </c:pt>
                <c:pt idx="25">
                  <c:v>5.0000000000112621E-2</c:v>
                </c:pt>
                <c:pt idx="26">
                  <c:v>5.0000000000094635E-2</c:v>
                </c:pt>
                <c:pt idx="27">
                  <c:v>4.999999999999627E-2</c:v>
                </c:pt>
                <c:pt idx="28">
                  <c:v>5.0000000000096412E-2</c:v>
                </c:pt>
                <c:pt idx="29">
                  <c:v>5.0000000000096412E-2</c:v>
                </c:pt>
                <c:pt idx="30">
                  <c:v>5.0000000000082201E-2</c:v>
                </c:pt>
                <c:pt idx="31">
                  <c:v>4.9999999999996936E-2</c:v>
                </c:pt>
                <c:pt idx="32">
                  <c:v>5.0000000000084199E-2</c:v>
                </c:pt>
                <c:pt idx="33">
                  <c:v>5.0000000000084865E-2</c:v>
                </c:pt>
                <c:pt idx="34">
                  <c:v>5.0000000000073319E-2</c:v>
                </c:pt>
                <c:pt idx="35">
                  <c:v>5.0000000000088418E-2</c:v>
                </c:pt>
                <c:pt idx="36">
                  <c:v>4.9999999999894573E-2</c:v>
                </c:pt>
                <c:pt idx="37">
                  <c:v>5.0000000000075095E-2</c:v>
                </c:pt>
                <c:pt idx="38">
                  <c:v>5.0000000000065548E-2</c:v>
                </c:pt>
                <c:pt idx="39">
                  <c:v>4.9999999999992939E-2</c:v>
                </c:pt>
                <c:pt idx="40">
                  <c:v>4.9999999999990496E-2</c:v>
                </c:pt>
                <c:pt idx="41">
                  <c:v>5.0031538333131342E-2</c:v>
                </c:pt>
                <c:pt idx="42">
                  <c:v>5.0063162235648218E-2</c:v>
                </c:pt>
                <c:pt idx="43">
                  <c:v>5.0095891727159447E-2</c:v>
                </c:pt>
                <c:pt idx="44">
                  <c:v>5.0129037423598088E-2</c:v>
                </c:pt>
                <c:pt idx="45">
                  <c:v>5.0160951774770535E-2</c:v>
                </c:pt>
                <c:pt idx="46">
                  <c:v>5.0193264040681029E-2</c:v>
                </c:pt>
                <c:pt idx="47">
                  <c:v>5.022698905901013E-2</c:v>
                </c:pt>
                <c:pt idx="48">
                  <c:v>5.0260380296114571E-2</c:v>
                </c:pt>
                <c:pt idx="49">
                  <c:v>5.0292788296130375E-2</c:v>
                </c:pt>
                <c:pt idx="50">
                  <c:v>5.0325177839816382E-2</c:v>
                </c:pt>
                <c:pt idx="51">
                  <c:v>5.0358573299122078E-2</c:v>
                </c:pt>
                <c:pt idx="52">
                  <c:v>5.0392338567482486E-2</c:v>
                </c:pt>
                <c:pt idx="53">
                  <c:v>5.0425312911402287E-2</c:v>
                </c:pt>
                <c:pt idx="54">
                  <c:v>5.0458229951473532E-2</c:v>
                </c:pt>
                <c:pt idx="55">
                  <c:v>5.0492098978971445E-2</c:v>
                </c:pt>
                <c:pt idx="56">
                  <c:v>5.0526328976560952E-2</c:v>
                </c:pt>
                <c:pt idx="57">
                  <c:v>5.0559941837471811E-2</c:v>
                </c:pt>
                <c:pt idx="58">
                  <c:v>5.0593460443157046E-2</c:v>
                </c:pt>
                <c:pt idx="59">
                  <c:v>5.0627880889825949E-2</c:v>
                </c:pt>
                <c:pt idx="60">
                  <c:v>5.066265395297842E-2</c:v>
                </c:pt>
                <c:pt idx="61">
                  <c:v>5.0696969828251337E-2</c:v>
                </c:pt>
                <c:pt idx="62">
                  <c:v>5.0731559332832354E-2</c:v>
                </c:pt>
                <c:pt idx="63">
                  <c:v>5.0767373345821154E-2</c:v>
                </c:pt>
                <c:pt idx="64">
                  <c:v>5.0802755232993047E-2</c:v>
                </c:pt>
                <c:pt idx="65">
                  <c:v>5.0837846687777244E-2</c:v>
                </c:pt>
                <c:pt idx="66">
                  <c:v>5.0872753032612517E-2</c:v>
                </c:pt>
                <c:pt idx="67">
                  <c:v>5.0908489627161435E-2</c:v>
                </c:pt>
                <c:pt idx="68">
                  <c:v>5.0944554762292871E-2</c:v>
                </c:pt>
                <c:pt idx="69">
                  <c:v>5.098046593171901E-2</c:v>
                </c:pt>
                <c:pt idx="70">
                  <c:v>5.1016159995620036E-2</c:v>
                </c:pt>
                <c:pt idx="71">
                  <c:v>5.1052643913038098E-2</c:v>
                </c:pt>
                <c:pt idx="72">
                  <c:v>5.1089454799080558E-2</c:v>
                </c:pt>
                <c:pt idx="73">
                  <c:v>5.1126242841154301E-2</c:v>
                </c:pt>
                <c:pt idx="74">
                  <c:v>5.1162782869168089E-2</c:v>
                </c:pt>
                <c:pt idx="75">
                  <c:v>5.12000744941008E-2</c:v>
                </c:pt>
                <c:pt idx="76">
                  <c:v>5.123769245491272E-2</c:v>
                </c:pt>
                <c:pt idx="77">
                  <c:v>5.1275414970886501E-2</c:v>
                </c:pt>
                <c:pt idx="78">
                  <c:v>5.131331522858873E-2</c:v>
                </c:pt>
                <c:pt idx="79">
                  <c:v>5.1352285786178786E-2</c:v>
                </c:pt>
                <c:pt idx="80">
                  <c:v>5.1390809510270863E-2</c:v>
                </c:pt>
                <c:pt idx="81">
                  <c:v>5.1344589464629831E-2</c:v>
                </c:pt>
                <c:pt idx="82">
                  <c:v>5.1297727978988128E-2</c:v>
                </c:pt>
                <c:pt idx="83">
                  <c:v>5.1248561952857541E-2</c:v>
                </c:pt>
                <c:pt idx="84">
                  <c:v>5.1198508919313657E-2</c:v>
                </c:pt>
                <c:pt idx="85">
                  <c:v>5.1152355662361426E-2</c:v>
                </c:pt>
                <c:pt idx="86">
                  <c:v>5.1105601540076595E-2</c:v>
                </c:pt>
                <c:pt idx="87">
                  <c:v>5.1056629271559961E-2</c:v>
                </c:pt>
                <c:pt idx="88">
                  <c:v>5.1006783390343813E-2</c:v>
                </c:pt>
                <c:pt idx="89">
                  <c:v>5.0960553562221955E-2</c:v>
                </c:pt>
                <c:pt idx="90">
                  <c:v>5.0913766080056488E-2</c:v>
                </c:pt>
                <c:pt idx="91">
                  <c:v>5.0864845738721964E-2</c:v>
                </c:pt>
                <c:pt idx="92">
                  <c:v>5.0815066895293137E-2</c:v>
                </c:pt>
                <c:pt idx="93">
                  <c:v>5.0768638658941656E-2</c:v>
                </c:pt>
                <c:pt idx="94">
                  <c:v>5.0721191641187158E-2</c:v>
                </c:pt>
                <c:pt idx="95">
                  <c:v>5.0671122036165972E-2</c:v>
                </c:pt>
                <c:pt idx="96">
                  <c:v>5.0621359985756342E-2</c:v>
                </c:pt>
                <c:pt idx="97">
                  <c:v>5.0574611626018173E-2</c:v>
                </c:pt>
                <c:pt idx="98">
                  <c:v>5.0527427298133976E-2</c:v>
                </c:pt>
                <c:pt idx="99">
                  <c:v>5.0478205704654444E-2</c:v>
                </c:pt>
                <c:pt idx="100">
                  <c:v>5.042827897924762E-2</c:v>
                </c:pt>
                <c:pt idx="101">
                  <c:v>5.0381138417085358E-2</c:v>
                </c:pt>
                <c:pt idx="102">
                  <c:v>5.0333607470367303E-2</c:v>
                </c:pt>
                <c:pt idx="103">
                  <c:v>5.0284125083087883E-2</c:v>
                </c:pt>
                <c:pt idx="104">
                  <c:v>5.0233943407784754E-2</c:v>
                </c:pt>
                <c:pt idx="105">
                  <c:v>5.0186331482387603E-2</c:v>
                </c:pt>
                <c:pt idx="106">
                  <c:v>5.0138375671873847E-2</c:v>
                </c:pt>
                <c:pt idx="107">
                  <c:v>5.0088552740920944E-2</c:v>
                </c:pt>
                <c:pt idx="108">
                  <c:v>5.0038036885149406E-2</c:v>
                </c:pt>
                <c:pt idx="109">
                  <c:v>4.9989883946468083E-2</c:v>
                </c:pt>
                <c:pt idx="110">
                  <c:v>4.9940875220664482E-2</c:v>
                </c:pt>
                <c:pt idx="111">
                  <c:v>4.9889563037146978E-2</c:v>
                </c:pt>
                <c:pt idx="112">
                  <c:v>4.9838645658818459E-2</c:v>
                </c:pt>
                <c:pt idx="113">
                  <c:v>4.9789878921933539E-2</c:v>
                </c:pt>
                <c:pt idx="114">
                  <c:v>4.9740879346326095E-2</c:v>
                </c:pt>
                <c:pt idx="115">
                  <c:v>4.9690178357554515E-2</c:v>
                </c:pt>
                <c:pt idx="116">
                  <c:v>4.9638792646818475E-2</c:v>
                </c:pt>
                <c:pt idx="117">
                  <c:v>4.9589368941596268E-2</c:v>
                </c:pt>
                <c:pt idx="118">
                  <c:v>4.9539761131176085E-2</c:v>
                </c:pt>
                <c:pt idx="119">
                  <c:v>4.9488530777851203E-2</c:v>
                </c:pt>
                <c:pt idx="120">
                  <c:v>4.9436621575088546E-2</c:v>
                </c:pt>
                <c:pt idx="121">
                  <c:v>4.9440932244640967E-2</c:v>
                </c:pt>
                <c:pt idx="122">
                  <c:v>4.9445255772866181E-2</c:v>
                </c:pt>
                <c:pt idx="123">
                  <c:v>4.9449961771837359E-2</c:v>
                </c:pt>
                <c:pt idx="124">
                  <c:v>4.9454746566727881E-2</c:v>
                </c:pt>
                <c:pt idx="125">
                  <c:v>4.9458767237200663E-2</c:v>
                </c:pt>
                <c:pt idx="126">
                  <c:v>4.9462811365544868E-2</c:v>
                </c:pt>
                <c:pt idx="127">
                  <c:v>4.9467270062343083E-2</c:v>
                </c:pt>
                <c:pt idx="128">
                  <c:v>4.9471825614233245E-2</c:v>
                </c:pt>
                <c:pt idx="129">
                  <c:v>4.9475551633610282E-2</c:v>
                </c:pt>
                <c:pt idx="130">
                  <c:v>4.947934049342817E-2</c:v>
                </c:pt>
                <c:pt idx="131">
                  <c:v>4.948348884538345E-2</c:v>
                </c:pt>
                <c:pt idx="132">
                  <c:v>4.9487787672295225E-2</c:v>
                </c:pt>
                <c:pt idx="133">
                  <c:v>4.9491275402517632E-2</c:v>
                </c:pt>
                <c:pt idx="134">
                  <c:v>4.9494833349053469E-2</c:v>
                </c:pt>
                <c:pt idx="135">
                  <c:v>4.949874903178042E-2</c:v>
                </c:pt>
                <c:pt idx="136">
                  <c:v>4.9502813144954194E-2</c:v>
                </c:pt>
                <c:pt idx="137">
                  <c:v>4.9506083441425597E-2</c:v>
                </c:pt>
                <c:pt idx="138">
                  <c:v>4.9509430469031335E-2</c:v>
                </c:pt>
                <c:pt idx="139">
                  <c:v>4.9513133168219037E-2</c:v>
                </c:pt>
                <c:pt idx="140">
                  <c:v>4.9516982115246355E-2</c:v>
                </c:pt>
                <c:pt idx="141">
                  <c:v>4.9520053483959048E-2</c:v>
                </c:pt>
                <c:pt idx="142">
                  <c:v>4.9523207353685983E-2</c:v>
                </c:pt>
                <c:pt idx="143">
                  <c:v>4.952686117662175E-2</c:v>
                </c:pt>
                <c:pt idx="144">
                  <c:v>4.9530440467473236E-2</c:v>
                </c:pt>
                <c:pt idx="145">
                  <c:v>4.9533364763908017E-2</c:v>
                </c:pt>
                <c:pt idx="146">
                  <c:v>4.9536386819068579E-2</c:v>
                </c:pt>
                <c:pt idx="147">
                  <c:v>4.9539699409865356E-2</c:v>
                </c:pt>
                <c:pt idx="148">
                  <c:v>4.9543097905403011E-2</c:v>
                </c:pt>
                <c:pt idx="149">
                  <c:v>4.9545853794192407E-2</c:v>
                </c:pt>
                <c:pt idx="150">
                  <c:v>4.954871190102117E-2</c:v>
                </c:pt>
                <c:pt idx="151">
                  <c:v>4.9551859164576717E-2</c:v>
                </c:pt>
                <c:pt idx="152">
                  <c:v>4.9555090768683252E-2</c:v>
                </c:pt>
                <c:pt idx="153">
                  <c:v>4.9557691464645615E-2</c:v>
                </c:pt>
                <c:pt idx="154">
                  <c:v>4.9560398346929047E-2</c:v>
                </c:pt>
                <c:pt idx="155">
                  <c:v>4.9563392840734632E-2</c:v>
                </c:pt>
                <c:pt idx="156">
                  <c:v>4.9566470058000522E-2</c:v>
                </c:pt>
                <c:pt idx="157">
                  <c:v>4.9568927437616539E-2</c:v>
                </c:pt>
                <c:pt idx="158">
                  <c:v>4.9571494540827876E-2</c:v>
                </c:pt>
                <c:pt idx="159">
                  <c:v>4.9574385744403759E-2</c:v>
                </c:pt>
                <c:pt idx="160">
                  <c:v>4.9577329598861741E-2</c:v>
                </c:pt>
                <c:pt idx="161">
                  <c:v>4.9579648843312674E-2</c:v>
                </c:pt>
                <c:pt idx="162">
                  <c:v>4.9582070717262061E-2</c:v>
                </c:pt>
                <c:pt idx="163">
                  <c:v>4.9584801882384788E-2</c:v>
                </c:pt>
                <c:pt idx="164">
                  <c:v>4.9587612625116018E-2</c:v>
                </c:pt>
                <c:pt idx="165">
                  <c:v>4.9589809087406733E-2</c:v>
                </c:pt>
                <c:pt idx="166">
                  <c:v>4.9592111038900377E-2</c:v>
                </c:pt>
                <c:pt idx="167">
                  <c:v>4.9594720230782263E-2</c:v>
                </c:pt>
                <c:pt idx="168">
                  <c:v>4.9597407114269965E-2</c:v>
                </c:pt>
                <c:pt idx="169">
                  <c:v>4.9599489542669462E-2</c:v>
                </c:pt>
                <c:pt idx="170">
                  <c:v>4.9601680026310158E-2</c:v>
                </c:pt>
                <c:pt idx="171">
                  <c:v>4.9604175641269954E-2</c:v>
                </c:pt>
                <c:pt idx="172">
                  <c:v>4.96067470731969E-2</c:v>
                </c:pt>
                <c:pt idx="173">
                  <c:v>4.9608723410386801E-2</c:v>
                </c:pt>
                <c:pt idx="174">
                  <c:v>4.9610810107984404E-2</c:v>
                </c:pt>
                <c:pt idx="175">
                  <c:v>4.9613170448379318E-2</c:v>
                </c:pt>
                <c:pt idx="176">
                  <c:v>4.9615705913514718E-2</c:v>
                </c:pt>
                <c:pt idx="177">
                  <c:v>4.9617589653420113E-2</c:v>
                </c:pt>
                <c:pt idx="178">
                  <c:v>4.9619605051859361E-2</c:v>
                </c:pt>
                <c:pt idx="179">
                  <c:v>4.9621791859458142E-2</c:v>
                </c:pt>
                <c:pt idx="180">
                  <c:v>4.9624224722421451E-2</c:v>
                </c:pt>
                <c:pt idx="181">
                  <c:v>4.9626016149502572E-2</c:v>
                </c:pt>
                <c:pt idx="182">
                  <c:v>4.9627940739277232E-2</c:v>
                </c:pt>
                <c:pt idx="183">
                  <c:v>4.9630037241383151E-2</c:v>
                </c:pt>
                <c:pt idx="184">
                  <c:v>4.9632373975357247E-2</c:v>
                </c:pt>
                <c:pt idx="185">
                  <c:v>4.9634079110312479E-2</c:v>
                </c:pt>
                <c:pt idx="186">
                  <c:v>4.9635918743037077E-2</c:v>
                </c:pt>
                <c:pt idx="187">
                  <c:v>4.9637930670167973E-2</c:v>
                </c:pt>
                <c:pt idx="188">
                  <c:v>4.9640177209430814E-2</c:v>
                </c:pt>
                <c:pt idx="189">
                  <c:v>4.9641801564459076E-2</c:v>
                </c:pt>
                <c:pt idx="190">
                  <c:v>4.9643561601782737E-2</c:v>
                </c:pt>
                <c:pt idx="191">
                  <c:v>4.9645703583460987E-2</c:v>
                </c:pt>
                <c:pt idx="192">
                  <c:v>4.9647692022693812E-2</c:v>
                </c:pt>
                <c:pt idx="193">
                  <c:v>4.9649241333852512E-2</c:v>
                </c:pt>
                <c:pt idx="194">
                  <c:v>4.9650867221916251E-2</c:v>
                </c:pt>
                <c:pt idx="195">
                  <c:v>4.9652952477742263E-2</c:v>
                </c:pt>
                <c:pt idx="196">
                  <c:v>4.965486455246082E-2</c:v>
                </c:pt>
                <c:pt idx="197">
                  <c:v>4.9656342855745939E-2</c:v>
                </c:pt>
                <c:pt idx="198">
                  <c:v>4.9657899871646149E-2</c:v>
                </c:pt>
                <c:pt idx="199">
                  <c:v>4.9659910604244351E-2</c:v>
                </c:pt>
                <c:pt idx="200">
                  <c:v>4.9661750803132954E-2</c:v>
                </c:pt>
              </c:numCache>
            </c:numRef>
          </c:val>
          <c:smooth val="0"/>
        </c:ser>
        <c:ser>
          <c:idx val="6"/>
          <c:order val="6"/>
          <c:marker>
            <c:symbol val="none"/>
          </c:marker>
          <c:val>
            <c:numRef>
              <c:f>test!$O$2:$O$202</c:f>
              <c:numCache>
                <c:formatCode>0.0%</c:formatCode>
                <c:ptCount val="201"/>
                <c:pt idx="0">
                  <c:v>5.0000000001760858E-2</c:v>
                </c:pt>
                <c:pt idx="1">
                  <c:v>5.00000000017784E-2</c:v>
                </c:pt>
                <c:pt idx="2">
                  <c:v>5.0000000001069411E-2</c:v>
                </c:pt>
                <c:pt idx="3">
                  <c:v>5.0000000000006928E-2</c:v>
                </c:pt>
                <c:pt idx="4">
                  <c:v>5.0000000000004929E-2</c:v>
                </c:pt>
                <c:pt idx="5">
                  <c:v>4.9999999999556399E-2</c:v>
                </c:pt>
                <c:pt idx="6">
                  <c:v>4.9999999999620348E-2</c:v>
                </c:pt>
                <c:pt idx="7">
                  <c:v>5.0000000000002931E-2</c:v>
                </c:pt>
                <c:pt idx="8">
                  <c:v>4.9999999999714273E-2</c:v>
                </c:pt>
                <c:pt idx="9">
                  <c:v>5.0000000000012035E-2</c:v>
                </c:pt>
                <c:pt idx="10">
                  <c:v>5.0000000000244293E-2</c:v>
                </c:pt>
                <c:pt idx="11">
                  <c:v>5.0000000000219647E-2</c:v>
                </c:pt>
                <c:pt idx="12">
                  <c:v>5.0000000000213429E-2</c:v>
                </c:pt>
                <c:pt idx="13">
                  <c:v>5.000000000000826E-2</c:v>
                </c:pt>
                <c:pt idx="14">
                  <c:v>5.0000000000174349E-2</c:v>
                </c:pt>
                <c:pt idx="15">
                  <c:v>4.9999999999993605E-2</c:v>
                </c:pt>
                <c:pt idx="16">
                  <c:v>5.0000000000001155E-2</c:v>
                </c:pt>
                <c:pt idx="17">
                  <c:v>5.0000000000157252E-2</c:v>
                </c:pt>
                <c:pt idx="18">
                  <c:v>5.0000000000135714E-2</c:v>
                </c:pt>
                <c:pt idx="19">
                  <c:v>5.0000000000133937E-2</c:v>
                </c:pt>
                <c:pt idx="20">
                  <c:v>5.0000000000134603E-2</c:v>
                </c:pt>
                <c:pt idx="21">
                  <c:v>4.999999999999849E-2</c:v>
                </c:pt>
                <c:pt idx="22">
                  <c:v>5.0000000000111289E-2</c:v>
                </c:pt>
                <c:pt idx="23">
                  <c:v>4.9999999999869482E-2</c:v>
                </c:pt>
                <c:pt idx="24">
                  <c:v>5.0000000000112177E-2</c:v>
                </c:pt>
                <c:pt idx="25">
                  <c:v>5.0000000000112621E-2</c:v>
                </c:pt>
                <c:pt idx="26">
                  <c:v>5.0000000000094635E-2</c:v>
                </c:pt>
                <c:pt idx="27">
                  <c:v>4.999999999999627E-2</c:v>
                </c:pt>
                <c:pt idx="28">
                  <c:v>5.0000000000096412E-2</c:v>
                </c:pt>
                <c:pt idx="29">
                  <c:v>5.0000000000096412E-2</c:v>
                </c:pt>
                <c:pt idx="30">
                  <c:v>5.0000000000082201E-2</c:v>
                </c:pt>
                <c:pt idx="31">
                  <c:v>4.9999999999996936E-2</c:v>
                </c:pt>
                <c:pt idx="32">
                  <c:v>5.0000000000084199E-2</c:v>
                </c:pt>
                <c:pt idx="33">
                  <c:v>5.0000000000084865E-2</c:v>
                </c:pt>
                <c:pt idx="34">
                  <c:v>5.0000000000073319E-2</c:v>
                </c:pt>
                <c:pt idx="35">
                  <c:v>5.0000000000088418E-2</c:v>
                </c:pt>
                <c:pt idx="36">
                  <c:v>4.9999999999894573E-2</c:v>
                </c:pt>
                <c:pt idx="37">
                  <c:v>5.0000000000075095E-2</c:v>
                </c:pt>
                <c:pt idx="38">
                  <c:v>5.0000000000065548E-2</c:v>
                </c:pt>
                <c:pt idx="39">
                  <c:v>4.9999999999992939E-2</c:v>
                </c:pt>
                <c:pt idx="40">
                  <c:v>4.9999999999990496E-2</c:v>
                </c:pt>
                <c:pt idx="41">
                  <c:v>4.9999999999899236E-2</c:v>
                </c:pt>
                <c:pt idx="42">
                  <c:v>5.000000000005933E-2</c:v>
                </c:pt>
                <c:pt idx="43">
                  <c:v>5.0000000000075984E-2</c:v>
                </c:pt>
                <c:pt idx="44">
                  <c:v>4.9999999999909894E-2</c:v>
                </c:pt>
                <c:pt idx="45">
                  <c:v>4.999999999998872E-2</c:v>
                </c:pt>
                <c:pt idx="46">
                  <c:v>5.0000000000054223E-2</c:v>
                </c:pt>
                <c:pt idx="47">
                  <c:v>5.0000000000069766E-2</c:v>
                </c:pt>
                <c:pt idx="48">
                  <c:v>5.0000000000074207E-2</c:v>
                </c:pt>
                <c:pt idx="49">
                  <c:v>4.9999999999911227E-2</c:v>
                </c:pt>
                <c:pt idx="50">
                  <c:v>5.0000000000050449E-2</c:v>
                </c:pt>
                <c:pt idx="51">
                  <c:v>4.999999999998761E-2</c:v>
                </c:pt>
                <c:pt idx="52">
                  <c:v>5.0000000000068434E-2</c:v>
                </c:pt>
                <c:pt idx="53">
                  <c:v>5.00000000000691E-2</c:v>
                </c:pt>
                <c:pt idx="54">
                  <c:v>4.9999999999971623E-2</c:v>
                </c:pt>
                <c:pt idx="55">
                  <c:v>5.0000000000063105E-2</c:v>
                </c:pt>
                <c:pt idx="56">
                  <c:v>4.9999999999989386E-2</c:v>
                </c:pt>
                <c:pt idx="57">
                  <c:v>4.9999999999990274E-2</c:v>
                </c:pt>
                <c:pt idx="58">
                  <c:v>4.9999999999973621E-2</c:v>
                </c:pt>
                <c:pt idx="59">
                  <c:v>5.0000000000058886E-2</c:v>
                </c:pt>
                <c:pt idx="60">
                  <c:v>5.0000000000062883E-2</c:v>
                </c:pt>
                <c:pt idx="61">
                  <c:v>5.0000000000063327E-2</c:v>
                </c:pt>
                <c:pt idx="62">
                  <c:v>5.000000000004734E-2</c:v>
                </c:pt>
                <c:pt idx="63">
                  <c:v>4.9999999999911671E-2</c:v>
                </c:pt>
                <c:pt idx="64">
                  <c:v>5.0000000000058886E-2</c:v>
                </c:pt>
                <c:pt idx="65">
                  <c:v>4.9999999999916778E-2</c:v>
                </c:pt>
                <c:pt idx="66">
                  <c:v>5.0000000000044897E-2</c:v>
                </c:pt>
                <c:pt idx="67">
                  <c:v>4.9999999999987832E-2</c:v>
                </c:pt>
                <c:pt idx="68">
                  <c:v>5.0000000000055556E-2</c:v>
                </c:pt>
                <c:pt idx="69">
                  <c:v>5.0000000000062661E-2</c:v>
                </c:pt>
                <c:pt idx="70">
                  <c:v>5.0000000000042233E-2</c:v>
                </c:pt>
                <c:pt idx="71">
                  <c:v>5.0000000000058886E-2</c:v>
                </c:pt>
                <c:pt idx="72">
                  <c:v>5.0000000000052447E-2</c:v>
                </c:pt>
                <c:pt idx="73">
                  <c:v>4.9999999999989164E-2</c:v>
                </c:pt>
                <c:pt idx="74">
                  <c:v>4.9999999999900124E-2</c:v>
                </c:pt>
                <c:pt idx="75">
                  <c:v>5.0000000000055556E-2</c:v>
                </c:pt>
                <c:pt idx="76">
                  <c:v>4.9999999999979838E-2</c:v>
                </c:pt>
                <c:pt idx="77">
                  <c:v>4.999999999998983E-2</c:v>
                </c:pt>
                <c:pt idx="78">
                  <c:v>5.0000000000044675E-2</c:v>
                </c:pt>
                <c:pt idx="79">
                  <c:v>4.9999999999983169E-2</c:v>
                </c:pt>
                <c:pt idx="80">
                  <c:v>5.0000000000051115E-2</c:v>
                </c:pt>
                <c:pt idx="81">
                  <c:v>5.0041543152409496E-2</c:v>
                </c:pt>
                <c:pt idx="82">
                  <c:v>5.0083257596523101E-2</c:v>
                </c:pt>
                <c:pt idx="83">
                  <c:v>5.0126487501787498E-2</c:v>
                </c:pt>
                <c:pt idx="84">
                  <c:v>5.0170364670506729E-2</c:v>
                </c:pt>
                <c:pt idx="85">
                  <c:v>5.0212542316047548E-2</c:v>
                </c:pt>
                <c:pt idx="86">
                  <c:v>5.0254863954938056E-2</c:v>
                </c:pt>
                <c:pt idx="87">
                  <c:v>5.0298654122504782E-2</c:v>
                </c:pt>
                <c:pt idx="88">
                  <c:v>5.0343095623573753E-2</c:v>
                </c:pt>
                <c:pt idx="89">
                  <c:v>5.0386018804196464E-2</c:v>
                </c:pt>
                <c:pt idx="90">
                  <c:v>5.0429057934468835E-2</c:v>
                </c:pt>
                <c:pt idx="91">
                  <c:v>5.0473520043035291E-2</c:v>
                </c:pt>
                <c:pt idx="92">
                  <c:v>5.0518637866448168E-2</c:v>
                </c:pt>
                <c:pt idx="93">
                  <c:v>5.0562411961026621E-2</c:v>
                </c:pt>
                <c:pt idx="94">
                  <c:v>5.0606780959569386E-2</c:v>
                </c:pt>
                <c:pt idx="95">
                  <c:v>5.0653010995520331E-2</c:v>
                </c:pt>
                <c:pt idx="96">
                  <c:v>5.0698912174065303E-2</c:v>
                </c:pt>
                <c:pt idx="97">
                  <c:v>5.0743648668154284E-2</c:v>
                </c:pt>
                <c:pt idx="98">
                  <c:v>5.078841660494704E-2</c:v>
                </c:pt>
                <c:pt idx="99">
                  <c:v>5.0834559275331204E-2</c:v>
                </c:pt>
                <c:pt idx="100">
                  <c:v>5.0881353668928542E-2</c:v>
                </c:pt>
                <c:pt idx="101">
                  <c:v>5.092714258675568E-2</c:v>
                </c:pt>
                <c:pt idx="102">
                  <c:v>5.0972935707589206E-2</c:v>
                </c:pt>
                <c:pt idx="103">
                  <c:v>5.102005918218655E-2</c:v>
                </c:pt>
                <c:pt idx="104">
                  <c:v>5.1067849753820616E-2</c:v>
                </c:pt>
                <c:pt idx="105">
                  <c:v>5.1114791845241037E-2</c:v>
                </c:pt>
                <c:pt idx="106">
                  <c:v>5.116171074899567E-2</c:v>
                </c:pt>
                <c:pt idx="107">
                  <c:v>5.1209917007594807E-2</c:v>
                </c:pt>
                <c:pt idx="108">
                  <c:v>5.1258807154294761E-2</c:v>
                </c:pt>
                <c:pt idx="109">
                  <c:v>5.1307004743320617E-2</c:v>
                </c:pt>
                <c:pt idx="110">
                  <c:v>5.1355734151383947E-2</c:v>
                </c:pt>
                <c:pt idx="111">
                  <c:v>5.140619480165487E-2</c:v>
                </c:pt>
                <c:pt idx="112">
                  <c:v>5.1456292500991152E-2</c:v>
                </c:pt>
                <c:pt idx="113">
                  <c:v>5.1505872019784738E-2</c:v>
                </c:pt>
                <c:pt idx="114">
                  <c:v>5.1555323776303341E-2</c:v>
                </c:pt>
                <c:pt idx="115">
                  <c:v>5.1606034477881035E-2</c:v>
                </c:pt>
                <c:pt idx="116">
                  <c:v>5.1657448060126843E-2</c:v>
                </c:pt>
                <c:pt idx="117">
                  <c:v>5.1708497236130357E-2</c:v>
                </c:pt>
                <c:pt idx="118">
                  <c:v>5.1759391263203058E-2</c:v>
                </c:pt>
                <c:pt idx="119">
                  <c:v>5.1811505716143458E-2</c:v>
                </c:pt>
                <c:pt idx="120">
                  <c:v>5.1864347733348026E-2</c:v>
                </c:pt>
                <c:pt idx="121">
                  <c:v>5.1829182205753277E-2</c:v>
                </c:pt>
                <c:pt idx="122">
                  <c:v>5.1793376395520285E-2</c:v>
                </c:pt>
                <c:pt idx="123">
                  <c:v>5.1755414976930147E-2</c:v>
                </c:pt>
                <c:pt idx="124">
                  <c:v>5.1716752308378355E-2</c:v>
                </c:pt>
                <c:pt idx="125">
                  <c:v>5.1681704255388983E-2</c:v>
                </c:pt>
                <c:pt idx="126">
                  <c:v>5.1645698881095603E-2</c:v>
                </c:pt>
                <c:pt idx="127">
                  <c:v>5.1607103203513249E-2</c:v>
                </c:pt>
                <c:pt idx="128">
                  <c:v>5.1568686492937221E-2</c:v>
                </c:pt>
                <c:pt idx="129">
                  <c:v>5.1533660023955763E-2</c:v>
                </c:pt>
                <c:pt idx="130">
                  <c:v>5.1498032744744959E-2</c:v>
                </c:pt>
                <c:pt idx="131">
                  <c:v>5.1460330399857757E-2</c:v>
                </c:pt>
                <c:pt idx="132">
                  <c:v>5.1422019079713444E-2</c:v>
                </c:pt>
                <c:pt idx="133">
                  <c:v>5.138694273650346E-2</c:v>
                </c:pt>
                <c:pt idx="134">
                  <c:v>5.1351284657412011E-2</c:v>
                </c:pt>
                <c:pt idx="135">
                  <c:v>5.1313609494550327E-2</c:v>
                </c:pt>
                <c:pt idx="136">
                  <c:v>5.1275326245644237E-2</c:v>
                </c:pt>
                <c:pt idx="137">
                  <c:v>5.124012773214548E-2</c:v>
                </c:pt>
                <c:pt idx="138">
                  <c:v>5.1204368318228832E-2</c:v>
                </c:pt>
                <c:pt idx="139">
                  <c:v>5.1166649597391922E-2</c:v>
                </c:pt>
                <c:pt idx="140">
                  <c:v>5.1128323908834705E-2</c:v>
                </c:pt>
                <c:pt idx="141">
                  <c:v>5.1092937115729153E-2</c:v>
                </c:pt>
                <c:pt idx="142">
                  <c:v>5.1056641988078022E-2</c:v>
                </c:pt>
                <c:pt idx="143">
                  <c:v>5.1017914077538862E-2</c:v>
                </c:pt>
                <c:pt idx="144">
                  <c:v>5.0979641489427907E-2</c:v>
                </c:pt>
                <c:pt idx="145">
                  <c:v>5.0943944470708269E-2</c:v>
                </c:pt>
                <c:pt idx="146">
                  <c:v>5.0907700801428035E-2</c:v>
                </c:pt>
                <c:pt idx="147">
                  <c:v>5.0869706695284123E-2</c:v>
                </c:pt>
                <c:pt idx="148">
                  <c:v>5.0831259433810061E-2</c:v>
                </c:pt>
                <c:pt idx="149">
                  <c:v>5.0795259864652387E-2</c:v>
                </c:pt>
                <c:pt idx="150">
                  <c:v>5.0758740655281631E-2</c:v>
                </c:pt>
                <c:pt idx="151">
                  <c:v>5.0720523716100141E-2</c:v>
                </c:pt>
                <c:pt idx="152">
                  <c:v>5.0681847048331896E-2</c:v>
                </c:pt>
                <c:pt idx="153">
                  <c:v>5.0645493033196098E-2</c:v>
                </c:pt>
                <c:pt idx="154">
                  <c:v>5.0608647625123293E-2</c:v>
                </c:pt>
                <c:pt idx="155">
                  <c:v>5.0570157137874494E-2</c:v>
                </c:pt>
                <c:pt idx="156">
                  <c:v>5.0531200368495899E-2</c:v>
                </c:pt>
                <c:pt idx="157">
                  <c:v>5.0494443698406277E-2</c:v>
                </c:pt>
                <c:pt idx="158">
                  <c:v>5.0456813670567202E-2</c:v>
                </c:pt>
                <c:pt idx="159">
                  <c:v>5.0417178382817562E-2</c:v>
                </c:pt>
                <c:pt idx="160">
                  <c:v>5.0377868287326821E-2</c:v>
                </c:pt>
                <c:pt idx="161">
                  <c:v>5.0340669553105233E-2</c:v>
                </c:pt>
                <c:pt idx="162">
                  <c:v>5.0303112008103446E-2</c:v>
                </c:pt>
                <c:pt idx="163">
                  <c:v>5.026387958233336E-2</c:v>
                </c:pt>
                <c:pt idx="164">
                  <c:v>5.0224199057416152E-2</c:v>
                </c:pt>
                <c:pt idx="165">
                  <c:v>5.0186510360180847E-2</c:v>
                </c:pt>
                <c:pt idx="166">
                  <c:v>5.0148490734166939E-2</c:v>
                </c:pt>
                <c:pt idx="167">
                  <c:v>5.0108856132972335E-2</c:v>
                </c:pt>
                <c:pt idx="168">
                  <c:v>5.0068764317890313E-2</c:v>
                </c:pt>
                <c:pt idx="169">
                  <c:v>5.0030546500797524E-2</c:v>
                </c:pt>
                <c:pt idx="170">
                  <c:v>4.9992026720716343E-2</c:v>
                </c:pt>
                <c:pt idx="171">
                  <c:v>4.9951951914047221E-2</c:v>
                </c:pt>
                <c:pt idx="172">
                  <c:v>4.9911410677686341E-2</c:v>
                </c:pt>
                <c:pt idx="173">
                  <c:v>4.9872627099979416E-2</c:v>
                </c:pt>
                <c:pt idx="174">
                  <c:v>4.9833114985682991E-2</c:v>
                </c:pt>
                <c:pt idx="175">
                  <c:v>4.9791719059013584E-2</c:v>
                </c:pt>
                <c:pt idx="176">
                  <c:v>4.9750676923982162E-2</c:v>
                </c:pt>
                <c:pt idx="177">
                  <c:v>4.9711277025019207E-2</c:v>
                </c:pt>
                <c:pt idx="178">
                  <c:v>4.9671655451048569E-2</c:v>
                </c:pt>
                <c:pt idx="179">
                  <c:v>4.9630623126736939E-2</c:v>
                </c:pt>
                <c:pt idx="180">
                  <c:v>4.958906078407721E-2</c:v>
                </c:pt>
                <c:pt idx="181">
                  <c:v>4.9549029714167414E-2</c:v>
                </c:pt>
                <c:pt idx="182">
                  <c:v>4.9508809091342032E-2</c:v>
                </c:pt>
                <c:pt idx="183">
                  <c:v>4.9467236108525992E-2</c:v>
                </c:pt>
                <c:pt idx="184">
                  <c:v>4.942512252186182E-2</c:v>
                </c:pt>
                <c:pt idx="185">
                  <c:v>4.9384430314389993E-2</c:v>
                </c:pt>
                <c:pt idx="186">
                  <c:v>4.9343581709207607E-2</c:v>
                </c:pt>
                <c:pt idx="187">
                  <c:v>4.9301439376351563E-2</c:v>
                </c:pt>
                <c:pt idx="188">
                  <c:v>4.9258745649273905E-2</c:v>
                </c:pt>
                <c:pt idx="189">
                  <c:v>4.9217364356951565E-2</c:v>
                </c:pt>
                <c:pt idx="190">
                  <c:v>4.9175355656531083E-2</c:v>
                </c:pt>
                <c:pt idx="191">
                  <c:v>4.9131520538714168E-2</c:v>
                </c:pt>
                <c:pt idx="192">
                  <c:v>4.9088393299036026E-2</c:v>
                </c:pt>
                <c:pt idx="193">
                  <c:v>4.9046258164250567E-2</c:v>
                </c:pt>
                <c:pt idx="194">
                  <c:v>4.9004140215720415E-2</c:v>
                </c:pt>
                <c:pt idx="195">
                  <c:v>4.8960584238349147E-2</c:v>
                </c:pt>
                <c:pt idx="196">
                  <c:v>4.8916817018477499E-2</c:v>
                </c:pt>
                <c:pt idx="197">
                  <c:v>4.887394458134664E-2</c:v>
                </c:pt>
                <c:pt idx="198">
                  <c:v>4.8831122336212562E-2</c:v>
                </c:pt>
                <c:pt idx="199">
                  <c:v>4.8786929688622305E-2</c:v>
                </c:pt>
                <c:pt idx="200">
                  <c:v>4.8742499748229973E-2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4224640"/>
        <c:axId val="744226176"/>
      </c:lineChart>
      <c:catAx>
        <c:axId val="744224640"/>
        <c:scaling>
          <c:orientation val="minMax"/>
        </c:scaling>
        <c:delete val="0"/>
        <c:axPos val="b"/>
        <c:majorTickMark val="out"/>
        <c:minorTickMark val="none"/>
        <c:tickLblPos val="nextTo"/>
        <c:crossAx val="744226176"/>
        <c:crosses val="autoZero"/>
        <c:auto val="1"/>
        <c:lblAlgn val="ctr"/>
        <c:lblOffset val="100"/>
        <c:noMultiLvlLbl val="0"/>
      </c:catAx>
      <c:valAx>
        <c:axId val="744226176"/>
        <c:scaling>
          <c:orientation val="minMax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7442246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'Bumped Curve Snap'!$C$3</c:f>
              <c:strCache>
                <c:ptCount val="1"/>
                <c:pt idx="0">
                  <c:v>CNY_Treasury_Live_Curve_2012-7-5_Calibrated_Curve_1</c:v>
                </c:pt>
              </c:strCache>
            </c:strRef>
          </c:tx>
          <c:marker>
            <c:symbol val="none"/>
          </c:marker>
          <c:cat>
            <c:numRef>
              <c:f>'Bumped Curve Snap'!$A$4:$A$215</c:f>
              <c:numCache>
                <c:formatCode>yyyy-m-d</c:formatCode>
                <c:ptCount val="212"/>
                <c:pt idx="0">
                  <c:v>41095</c:v>
                </c:pt>
                <c:pt idx="1">
                  <c:v>41185</c:v>
                </c:pt>
                <c:pt idx="2">
                  <c:v>41275</c:v>
                </c:pt>
                <c:pt idx="3">
                  <c:v>41365</c:v>
                </c:pt>
                <c:pt idx="4">
                  <c:v>41455</c:v>
                </c:pt>
                <c:pt idx="5">
                  <c:v>41545</c:v>
                </c:pt>
                <c:pt idx="6">
                  <c:v>41635</c:v>
                </c:pt>
                <c:pt idx="7">
                  <c:v>41725</c:v>
                </c:pt>
                <c:pt idx="8">
                  <c:v>41815</c:v>
                </c:pt>
                <c:pt idx="9">
                  <c:v>41905</c:v>
                </c:pt>
                <c:pt idx="10">
                  <c:v>41995</c:v>
                </c:pt>
                <c:pt idx="11">
                  <c:v>42085</c:v>
                </c:pt>
                <c:pt idx="12">
                  <c:v>42175</c:v>
                </c:pt>
                <c:pt idx="13">
                  <c:v>42265</c:v>
                </c:pt>
                <c:pt idx="14">
                  <c:v>42355</c:v>
                </c:pt>
                <c:pt idx="15">
                  <c:v>42445</c:v>
                </c:pt>
                <c:pt idx="16">
                  <c:v>42535</c:v>
                </c:pt>
                <c:pt idx="17">
                  <c:v>42625</c:v>
                </c:pt>
                <c:pt idx="18">
                  <c:v>42715</c:v>
                </c:pt>
                <c:pt idx="19">
                  <c:v>42805</c:v>
                </c:pt>
                <c:pt idx="20">
                  <c:v>42895</c:v>
                </c:pt>
                <c:pt idx="21">
                  <c:v>42985</c:v>
                </c:pt>
                <c:pt idx="22">
                  <c:v>43075</c:v>
                </c:pt>
                <c:pt idx="23">
                  <c:v>43165</c:v>
                </c:pt>
                <c:pt idx="24">
                  <c:v>43255</c:v>
                </c:pt>
                <c:pt idx="25">
                  <c:v>43345</c:v>
                </c:pt>
                <c:pt idx="26">
                  <c:v>43435</c:v>
                </c:pt>
                <c:pt idx="27">
                  <c:v>43525</c:v>
                </c:pt>
                <c:pt idx="28">
                  <c:v>43615</c:v>
                </c:pt>
                <c:pt idx="29">
                  <c:v>43705</c:v>
                </c:pt>
                <c:pt idx="30">
                  <c:v>43795</c:v>
                </c:pt>
                <c:pt idx="31">
                  <c:v>43885</c:v>
                </c:pt>
                <c:pt idx="32">
                  <c:v>43975</c:v>
                </c:pt>
                <c:pt idx="33">
                  <c:v>44065</c:v>
                </c:pt>
                <c:pt idx="34">
                  <c:v>44155</c:v>
                </c:pt>
                <c:pt idx="35">
                  <c:v>44245</c:v>
                </c:pt>
                <c:pt idx="36">
                  <c:v>44335</c:v>
                </c:pt>
                <c:pt idx="37">
                  <c:v>44425</c:v>
                </c:pt>
                <c:pt idx="38">
                  <c:v>44515</c:v>
                </c:pt>
                <c:pt idx="39">
                  <c:v>44605</c:v>
                </c:pt>
                <c:pt idx="40">
                  <c:v>44695</c:v>
                </c:pt>
                <c:pt idx="41">
                  <c:v>44785</c:v>
                </c:pt>
                <c:pt idx="42">
                  <c:v>44875</c:v>
                </c:pt>
                <c:pt idx="43">
                  <c:v>44965</c:v>
                </c:pt>
                <c:pt idx="44">
                  <c:v>45055</c:v>
                </c:pt>
                <c:pt idx="45">
                  <c:v>45145</c:v>
                </c:pt>
                <c:pt idx="46">
                  <c:v>45235</c:v>
                </c:pt>
                <c:pt idx="47">
                  <c:v>45325</c:v>
                </c:pt>
                <c:pt idx="48">
                  <c:v>45415</c:v>
                </c:pt>
                <c:pt idx="49">
                  <c:v>45505</c:v>
                </c:pt>
                <c:pt idx="50">
                  <c:v>45595</c:v>
                </c:pt>
                <c:pt idx="51">
                  <c:v>45685</c:v>
                </c:pt>
                <c:pt idx="52">
                  <c:v>45775</c:v>
                </c:pt>
                <c:pt idx="53">
                  <c:v>45865</c:v>
                </c:pt>
                <c:pt idx="54">
                  <c:v>45955</c:v>
                </c:pt>
                <c:pt idx="55">
                  <c:v>46045</c:v>
                </c:pt>
                <c:pt idx="56">
                  <c:v>46135</c:v>
                </c:pt>
                <c:pt idx="57">
                  <c:v>46225</c:v>
                </c:pt>
                <c:pt idx="58">
                  <c:v>46315</c:v>
                </c:pt>
                <c:pt idx="59">
                  <c:v>46405</c:v>
                </c:pt>
                <c:pt idx="60">
                  <c:v>46495</c:v>
                </c:pt>
                <c:pt idx="61">
                  <c:v>46585</c:v>
                </c:pt>
                <c:pt idx="62">
                  <c:v>46675</c:v>
                </c:pt>
                <c:pt idx="63">
                  <c:v>46765</c:v>
                </c:pt>
                <c:pt idx="64">
                  <c:v>46855</c:v>
                </c:pt>
                <c:pt idx="65">
                  <c:v>46945</c:v>
                </c:pt>
                <c:pt idx="66">
                  <c:v>47035</c:v>
                </c:pt>
                <c:pt idx="67">
                  <c:v>47125</c:v>
                </c:pt>
                <c:pt idx="68">
                  <c:v>47215</c:v>
                </c:pt>
                <c:pt idx="69">
                  <c:v>47305</c:v>
                </c:pt>
                <c:pt idx="70">
                  <c:v>47395</c:v>
                </c:pt>
                <c:pt idx="71">
                  <c:v>47485</c:v>
                </c:pt>
                <c:pt idx="72">
                  <c:v>47575</c:v>
                </c:pt>
                <c:pt idx="73">
                  <c:v>47665</c:v>
                </c:pt>
                <c:pt idx="74">
                  <c:v>47755</c:v>
                </c:pt>
                <c:pt idx="75">
                  <c:v>47845</c:v>
                </c:pt>
                <c:pt idx="76">
                  <c:v>47935</c:v>
                </c:pt>
                <c:pt idx="77">
                  <c:v>48025</c:v>
                </c:pt>
                <c:pt idx="78">
                  <c:v>48115</c:v>
                </c:pt>
                <c:pt idx="79">
                  <c:v>48205</c:v>
                </c:pt>
                <c:pt idx="80">
                  <c:v>48295</c:v>
                </c:pt>
                <c:pt idx="81">
                  <c:v>48385</c:v>
                </c:pt>
                <c:pt idx="82">
                  <c:v>48475</c:v>
                </c:pt>
                <c:pt idx="83">
                  <c:v>48565</c:v>
                </c:pt>
                <c:pt idx="84">
                  <c:v>48655</c:v>
                </c:pt>
                <c:pt idx="85">
                  <c:v>48745</c:v>
                </c:pt>
                <c:pt idx="86">
                  <c:v>48835</c:v>
                </c:pt>
                <c:pt idx="87">
                  <c:v>48925</c:v>
                </c:pt>
                <c:pt idx="88">
                  <c:v>49015</c:v>
                </c:pt>
                <c:pt idx="89">
                  <c:v>49105</c:v>
                </c:pt>
                <c:pt idx="90">
                  <c:v>49195</c:v>
                </c:pt>
                <c:pt idx="91">
                  <c:v>49285</c:v>
                </c:pt>
                <c:pt idx="92">
                  <c:v>49375</c:v>
                </c:pt>
                <c:pt idx="93">
                  <c:v>49465</c:v>
                </c:pt>
                <c:pt idx="94">
                  <c:v>49555</c:v>
                </c:pt>
                <c:pt idx="95">
                  <c:v>49645</c:v>
                </c:pt>
                <c:pt idx="96">
                  <c:v>49735</c:v>
                </c:pt>
                <c:pt idx="97">
                  <c:v>49825</c:v>
                </c:pt>
                <c:pt idx="98">
                  <c:v>49915</c:v>
                </c:pt>
                <c:pt idx="99">
                  <c:v>50005</c:v>
                </c:pt>
                <c:pt idx="100">
                  <c:v>50095</c:v>
                </c:pt>
                <c:pt idx="101">
                  <c:v>50185</c:v>
                </c:pt>
                <c:pt idx="102">
                  <c:v>50275</c:v>
                </c:pt>
                <c:pt idx="103">
                  <c:v>50365</c:v>
                </c:pt>
                <c:pt idx="104">
                  <c:v>50455</c:v>
                </c:pt>
                <c:pt idx="105">
                  <c:v>50545</c:v>
                </c:pt>
                <c:pt idx="106">
                  <c:v>50635</c:v>
                </c:pt>
                <c:pt idx="107">
                  <c:v>50725</c:v>
                </c:pt>
                <c:pt idx="108">
                  <c:v>50815</c:v>
                </c:pt>
                <c:pt idx="109">
                  <c:v>50905</c:v>
                </c:pt>
                <c:pt idx="110">
                  <c:v>50995</c:v>
                </c:pt>
                <c:pt idx="111">
                  <c:v>51085</c:v>
                </c:pt>
                <c:pt idx="112">
                  <c:v>51175</c:v>
                </c:pt>
                <c:pt idx="113">
                  <c:v>51265</c:v>
                </c:pt>
                <c:pt idx="114">
                  <c:v>51355</c:v>
                </c:pt>
                <c:pt idx="115">
                  <c:v>51445</c:v>
                </c:pt>
                <c:pt idx="116">
                  <c:v>51535</c:v>
                </c:pt>
                <c:pt idx="117">
                  <c:v>51625</c:v>
                </c:pt>
                <c:pt idx="118">
                  <c:v>51715</c:v>
                </c:pt>
                <c:pt idx="119">
                  <c:v>51805</c:v>
                </c:pt>
                <c:pt idx="120">
                  <c:v>51895</c:v>
                </c:pt>
                <c:pt idx="121">
                  <c:v>51985</c:v>
                </c:pt>
                <c:pt idx="122">
                  <c:v>52075</c:v>
                </c:pt>
                <c:pt idx="123">
                  <c:v>52165</c:v>
                </c:pt>
                <c:pt idx="124">
                  <c:v>52255</c:v>
                </c:pt>
                <c:pt idx="125">
                  <c:v>52345</c:v>
                </c:pt>
                <c:pt idx="126">
                  <c:v>52435</c:v>
                </c:pt>
                <c:pt idx="127">
                  <c:v>52525</c:v>
                </c:pt>
                <c:pt idx="128">
                  <c:v>52615</c:v>
                </c:pt>
                <c:pt idx="129">
                  <c:v>52705</c:v>
                </c:pt>
                <c:pt idx="130">
                  <c:v>52795</c:v>
                </c:pt>
                <c:pt idx="131">
                  <c:v>52885</c:v>
                </c:pt>
                <c:pt idx="132">
                  <c:v>52975</c:v>
                </c:pt>
                <c:pt idx="133">
                  <c:v>53065</c:v>
                </c:pt>
                <c:pt idx="134">
                  <c:v>53155</c:v>
                </c:pt>
                <c:pt idx="135">
                  <c:v>53245</c:v>
                </c:pt>
                <c:pt idx="136">
                  <c:v>53335</c:v>
                </c:pt>
                <c:pt idx="137">
                  <c:v>53425</c:v>
                </c:pt>
                <c:pt idx="138">
                  <c:v>53515</c:v>
                </c:pt>
                <c:pt idx="139">
                  <c:v>53605</c:v>
                </c:pt>
                <c:pt idx="140">
                  <c:v>53695</c:v>
                </c:pt>
                <c:pt idx="141">
                  <c:v>53785</c:v>
                </c:pt>
                <c:pt idx="142">
                  <c:v>53875</c:v>
                </c:pt>
                <c:pt idx="143">
                  <c:v>53965</c:v>
                </c:pt>
                <c:pt idx="144">
                  <c:v>54055</c:v>
                </c:pt>
                <c:pt idx="145">
                  <c:v>54145</c:v>
                </c:pt>
                <c:pt idx="146">
                  <c:v>54235</c:v>
                </c:pt>
                <c:pt idx="147">
                  <c:v>54325</c:v>
                </c:pt>
                <c:pt idx="148">
                  <c:v>54415</c:v>
                </c:pt>
                <c:pt idx="149">
                  <c:v>54505</c:v>
                </c:pt>
                <c:pt idx="150">
                  <c:v>54595</c:v>
                </c:pt>
                <c:pt idx="151">
                  <c:v>54685</c:v>
                </c:pt>
                <c:pt idx="152">
                  <c:v>54775</c:v>
                </c:pt>
                <c:pt idx="153">
                  <c:v>54865</c:v>
                </c:pt>
                <c:pt idx="154">
                  <c:v>54955</c:v>
                </c:pt>
                <c:pt idx="155">
                  <c:v>55045</c:v>
                </c:pt>
                <c:pt idx="156">
                  <c:v>55135</c:v>
                </c:pt>
                <c:pt idx="157">
                  <c:v>55225</c:v>
                </c:pt>
                <c:pt idx="158">
                  <c:v>55315</c:v>
                </c:pt>
                <c:pt idx="159">
                  <c:v>55405</c:v>
                </c:pt>
                <c:pt idx="160">
                  <c:v>55495</c:v>
                </c:pt>
                <c:pt idx="161">
                  <c:v>55585</c:v>
                </c:pt>
                <c:pt idx="162">
                  <c:v>55675</c:v>
                </c:pt>
                <c:pt idx="163">
                  <c:v>55765</c:v>
                </c:pt>
                <c:pt idx="164">
                  <c:v>55855</c:v>
                </c:pt>
                <c:pt idx="165">
                  <c:v>55945</c:v>
                </c:pt>
                <c:pt idx="166">
                  <c:v>56035</c:v>
                </c:pt>
                <c:pt idx="167">
                  <c:v>56125</c:v>
                </c:pt>
                <c:pt idx="168">
                  <c:v>56215</c:v>
                </c:pt>
                <c:pt idx="169">
                  <c:v>56305</c:v>
                </c:pt>
                <c:pt idx="170">
                  <c:v>56395</c:v>
                </c:pt>
                <c:pt idx="171">
                  <c:v>56485</c:v>
                </c:pt>
                <c:pt idx="172">
                  <c:v>56575</c:v>
                </c:pt>
                <c:pt idx="173">
                  <c:v>56665</c:v>
                </c:pt>
                <c:pt idx="174">
                  <c:v>56755</c:v>
                </c:pt>
                <c:pt idx="175">
                  <c:v>56845</c:v>
                </c:pt>
                <c:pt idx="176">
                  <c:v>56935</c:v>
                </c:pt>
                <c:pt idx="177">
                  <c:v>57025</c:v>
                </c:pt>
                <c:pt idx="178">
                  <c:v>57115</c:v>
                </c:pt>
                <c:pt idx="179">
                  <c:v>57205</c:v>
                </c:pt>
                <c:pt idx="180">
                  <c:v>57295</c:v>
                </c:pt>
                <c:pt idx="181">
                  <c:v>57385</c:v>
                </c:pt>
                <c:pt idx="182">
                  <c:v>57475</c:v>
                </c:pt>
                <c:pt idx="183">
                  <c:v>57565</c:v>
                </c:pt>
                <c:pt idx="184">
                  <c:v>57655</c:v>
                </c:pt>
                <c:pt idx="185">
                  <c:v>57745</c:v>
                </c:pt>
                <c:pt idx="186">
                  <c:v>57835</c:v>
                </c:pt>
                <c:pt idx="187">
                  <c:v>57925</c:v>
                </c:pt>
                <c:pt idx="188">
                  <c:v>58015</c:v>
                </c:pt>
                <c:pt idx="189">
                  <c:v>58105</c:v>
                </c:pt>
                <c:pt idx="190">
                  <c:v>58195</c:v>
                </c:pt>
                <c:pt idx="191">
                  <c:v>58285</c:v>
                </c:pt>
                <c:pt idx="192">
                  <c:v>58375</c:v>
                </c:pt>
                <c:pt idx="193">
                  <c:v>58465</c:v>
                </c:pt>
                <c:pt idx="194">
                  <c:v>58555</c:v>
                </c:pt>
                <c:pt idx="195">
                  <c:v>58645</c:v>
                </c:pt>
                <c:pt idx="196">
                  <c:v>58735</c:v>
                </c:pt>
                <c:pt idx="197">
                  <c:v>58825</c:v>
                </c:pt>
                <c:pt idx="198">
                  <c:v>58915</c:v>
                </c:pt>
                <c:pt idx="199">
                  <c:v>59005</c:v>
                </c:pt>
                <c:pt idx="200">
                  <c:v>59095</c:v>
                </c:pt>
                <c:pt idx="201">
                  <c:v>59185</c:v>
                </c:pt>
                <c:pt idx="202">
                  <c:v>59275</c:v>
                </c:pt>
                <c:pt idx="203">
                  <c:v>59365</c:v>
                </c:pt>
                <c:pt idx="204">
                  <c:v>59455</c:v>
                </c:pt>
                <c:pt idx="205">
                  <c:v>59545</c:v>
                </c:pt>
                <c:pt idx="206">
                  <c:v>59635</c:v>
                </c:pt>
                <c:pt idx="207">
                  <c:v>59725</c:v>
                </c:pt>
                <c:pt idx="208">
                  <c:v>59815</c:v>
                </c:pt>
                <c:pt idx="209">
                  <c:v>59905</c:v>
                </c:pt>
                <c:pt idx="210">
                  <c:v>59995</c:v>
                </c:pt>
                <c:pt idx="211">
                  <c:v>60085</c:v>
                </c:pt>
              </c:numCache>
            </c:numRef>
          </c:cat>
          <c:val>
            <c:numRef>
              <c:f>'Bumped Curve Snap'!$C$4:$C$215</c:f>
              <c:numCache>
                <c:formatCode>G/通用格式</c:formatCode>
                <c:ptCount val="212"/>
                <c:pt idx="0">
                  <c:v>2.2901163845572833E-2</c:v>
                </c:pt>
                <c:pt idx="1">
                  <c:v>2.2901163846607418E-2</c:v>
                </c:pt>
                <c:pt idx="2">
                  <c:v>2.2590832086887679E-2</c:v>
                </c:pt>
                <c:pt idx="3">
                  <c:v>2.1863985768737236E-2</c:v>
                </c:pt>
                <c:pt idx="4">
                  <c:v>2.2486467623919235E-2</c:v>
                </c:pt>
                <c:pt idx="5">
                  <c:v>2.4725159248875118E-2</c:v>
                </c:pt>
                <c:pt idx="6">
                  <c:v>2.6387617726137985E-2</c:v>
                </c:pt>
                <c:pt idx="7">
                  <c:v>2.4911826344369194E-2</c:v>
                </c:pt>
                <c:pt idx="8">
                  <c:v>2.3533962685557255E-2</c:v>
                </c:pt>
                <c:pt idx="9">
                  <c:v>2.3831645848177416E-2</c:v>
                </c:pt>
                <c:pt idx="10">
                  <c:v>2.428851816940928E-2</c:v>
                </c:pt>
                <c:pt idx="11">
                  <c:v>2.4665878009040854E-2</c:v>
                </c:pt>
                <c:pt idx="12">
                  <c:v>2.5105922934160502E-2</c:v>
                </c:pt>
                <c:pt idx="13">
                  <c:v>2.5509218566942014E-2</c:v>
                </c:pt>
                <c:pt idx="14">
                  <c:v>2.5829696065762225E-2</c:v>
                </c:pt>
                <c:pt idx="15">
                  <c:v>2.6099189801443694E-2</c:v>
                </c:pt>
                <c:pt idx="16">
                  <c:v>2.6436816647185269E-2</c:v>
                </c:pt>
                <c:pt idx="17">
                  <c:v>2.696828878464606E-2</c:v>
                </c:pt>
                <c:pt idx="18">
                  <c:v>2.7517993687958757E-2</c:v>
                </c:pt>
                <c:pt idx="19">
                  <c:v>2.8072860955212348E-2</c:v>
                </c:pt>
                <c:pt idx="20">
                  <c:v>2.8622131107237603E-2</c:v>
                </c:pt>
                <c:pt idx="21">
                  <c:v>2.925487637454318E-2</c:v>
                </c:pt>
                <c:pt idx="22">
                  <c:v>2.9805965812805636E-2</c:v>
                </c:pt>
                <c:pt idx="23">
                  <c:v>3.0253566396922491E-2</c:v>
                </c:pt>
                <c:pt idx="24">
                  <c:v>3.0658597847024755E-2</c:v>
                </c:pt>
                <c:pt idx="25">
                  <c:v>3.1726590791767262E-2</c:v>
                </c:pt>
                <c:pt idx="26">
                  <c:v>3.1890604634348785E-2</c:v>
                </c:pt>
                <c:pt idx="27">
                  <c:v>3.1187317136641666E-2</c:v>
                </c:pt>
                <c:pt idx="28">
                  <c:v>3.1028164758171214E-2</c:v>
                </c:pt>
                <c:pt idx="29">
                  <c:v>3.1445328532074733E-2</c:v>
                </c:pt>
                <c:pt idx="30">
                  <c:v>3.2034185865036709E-2</c:v>
                </c:pt>
                <c:pt idx="31">
                  <c:v>3.2585342619390771E-2</c:v>
                </c:pt>
                <c:pt idx="32">
                  <c:v>3.3079368535182618E-2</c:v>
                </c:pt>
                <c:pt idx="33">
                  <c:v>3.3352077873019352E-2</c:v>
                </c:pt>
                <c:pt idx="34">
                  <c:v>3.3452631473739336E-2</c:v>
                </c:pt>
                <c:pt idx="35">
                  <c:v>3.3724267255193105E-2</c:v>
                </c:pt>
                <c:pt idx="36">
                  <c:v>3.409695789553735E-2</c:v>
                </c:pt>
                <c:pt idx="37">
                  <c:v>3.4020985445834089E-2</c:v>
                </c:pt>
                <c:pt idx="38">
                  <c:v>3.3744301862485081E-2</c:v>
                </c:pt>
                <c:pt idx="39">
                  <c:v>3.3653651542001776E-2</c:v>
                </c:pt>
                <c:pt idx="40">
                  <c:v>3.3640705464658992E-2</c:v>
                </c:pt>
                <c:pt idx="41">
                  <c:v>3.3844108181017858E-2</c:v>
                </c:pt>
                <c:pt idx="42">
                  <c:v>3.4172780792508579E-2</c:v>
                </c:pt>
                <c:pt idx="43">
                  <c:v>3.4486282572736157E-2</c:v>
                </c:pt>
                <c:pt idx="44">
                  <c:v>3.479560769947436E-2</c:v>
                </c:pt>
                <c:pt idx="45">
                  <c:v>3.5081322509111508E-2</c:v>
                </c:pt>
                <c:pt idx="46">
                  <c:v>3.5354712366231292E-2</c:v>
                </c:pt>
                <c:pt idx="47">
                  <c:v>3.5616557929888742E-2</c:v>
                </c:pt>
                <c:pt idx="48">
                  <c:v>3.587315965014682E-2</c:v>
                </c:pt>
                <c:pt idx="49">
                  <c:v>3.6113782970102988E-2</c:v>
                </c:pt>
                <c:pt idx="50">
                  <c:v>3.6347428287758915E-2</c:v>
                </c:pt>
                <c:pt idx="51">
                  <c:v>3.6569407794389407E-2</c:v>
                </c:pt>
                <c:pt idx="52">
                  <c:v>3.678767218572819E-2</c:v>
                </c:pt>
                <c:pt idx="53">
                  <c:v>3.6995294653495943E-2</c:v>
                </c:pt>
                <c:pt idx="54">
                  <c:v>3.7192998425600678E-2</c:v>
                </c:pt>
                <c:pt idx="55">
                  <c:v>3.7383568974151481E-2</c:v>
                </c:pt>
                <c:pt idx="56">
                  <c:v>3.7571487478799695E-2</c:v>
                </c:pt>
                <c:pt idx="57">
                  <c:v>3.7750740253631759E-2</c:v>
                </c:pt>
                <c:pt idx="58">
                  <c:v>3.7921881527815442E-2</c:v>
                </c:pt>
                <c:pt idx="59">
                  <c:v>3.808726685624049E-2</c:v>
                </c:pt>
                <c:pt idx="60">
                  <c:v>3.8250754799399961E-2</c:v>
                </c:pt>
                <c:pt idx="61">
                  <c:v>3.8406600559211891E-2</c:v>
                </c:pt>
                <c:pt idx="62">
                  <c:v>3.8542305825795251E-2</c:v>
                </c:pt>
                <c:pt idx="63">
                  <c:v>3.8666323199590895E-2</c:v>
                </c:pt>
                <c:pt idx="64">
                  <c:v>3.8787839254010782E-2</c:v>
                </c:pt>
                <c:pt idx="65">
                  <c:v>3.8905604032461794E-2</c:v>
                </c:pt>
                <c:pt idx="66">
                  <c:v>3.9018524914276015E-2</c:v>
                </c:pt>
                <c:pt idx="67">
                  <c:v>3.9128101118355546E-2</c:v>
                </c:pt>
                <c:pt idx="68">
                  <c:v>3.9236860686401254E-2</c:v>
                </c:pt>
                <c:pt idx="69">
                  <c:v>3.934126663402019E-2</c:v>
                </c:pt>
                <c:pt idx="70">
                  <c:v>3.9441556621610058E-2</c:v>
                </c:pt>
                <c:pt idx="71">
                  <c:v>3.9539043522459148E-2</c:v>
                </c:pt>
                <c:pt idx="72">
                  <c:v>3.9635967414402229E-2</c:v>
                </c:pt>
                <c:pt idx="73">
                  <c:v>3.9729165114556104E-2</c:v>
                </c:pt>
                <c:pt idx="74">
                  <c:v>3.981883078598232E-2</c:v>
                </c:pt>
                <c:pt idx="75">
                  <c:v>3.9907102763383863E-2</c:v>
                </c:pt>
                <c:pt idx="76">
                  <c:v>3.9993996959820317E-2</c:v>
                </c:pt>
                <c:pt idx="77">
                  <c:v>4.0076746230056845E-2</c:v>
                </c:pt>
                <c:pt idx="78">
                  <c:v>4.0157390590348514E-2</c:v>
                </c:pt>
                <c:pt idx="79">
                  <c:v>4.0236891395574466E-2</c:v>
                </c:pt>
                <c:pt idx="80">
                  <c:v>4.0314398239586338E-2</c:v>
                </c:pt>
                <c:pt idx="81">
                  <c:v>4.0409479634812152E-2</c:v>
                </c:pt>
                <c:pt idx="82">
                  <c:v>4.0511434049003023E-2</c:v>
                </c:pt>
                <c:pt idx="83">
                  <c:v>4.0612755592358787E-2</c:v>
                </c:pt>
                <c:pt idx="84">
                  <c:v>4.0712754450447031E-2</c:v>
                </c:pt>
                <c:pt idx="85">
                  <c:v>4.080822285625884E-2</c:v>
                </c:pt>
                <c:pt idx="86">
                  <c:v>4.0901488530099291E-2</c:v>
                </c:pt>
                <c:pt idx="87">
                  <c:v>4.0993650555951111E-2</c:v>
                </c:pt>
                <c:pt idx="88">
                  <c:v>4.1084711263506823E-2</c:v>
                </c:pt>
                <c:pt idx="89">
                  <c:v>4.1171740976055117E-2</c:v>
                </c:pt>
                <c:pt idx="90">
                  <c:v>4.125685195757002E-2</c:v>
                </c:pt>
                <c:pt idx="91">
                  <c:v>4.1341042617659821E-2</c:v>
                </c:pt>
                <c:pt idx="92">
                  <c:v>4.1424312117546137E-2</c:v>
                </c:pt>
                <c:pt idx="93">
                  <c:v>4.150397450605723E-2</c:v>
                </c:pt>
                <c:pt idx="94">
                  <c:v>4.1581955366581901E-2</c:v>
                </c:pt>
                <c:pt idx="95">
                  <c:v>4.1659165857299237E-2</c:v>
                </c:pt>
                <c:pt idx="96">
                  <c:v>4.1734762507293618E-2</c:v>
                </c:pt>
                <c:pt idx="97">
                  <c:v>4.1808795391595738E-2</c:v>
                </c:pt>
                <c:pt idx="98">
                  <c:v>4.1880505983727258E-2</c:v>
                </c:pt>
                <c:pt idx="99">
                  <c:v>4.1950779260693488E-2</c:v>
                </c:pt>
                <c:pt idx="100">
                  <c:v>4.201965800649194E-2</c:v>
                </c:pt>
                <c:pt idx="101">
                  <c:v>4.20894619435404E-2</c:v>
                </c:pt>
                <c:pt idx="102">
                  <c:v>4.215562922038342E-2</c:v>
                </c:pt>
                <c:pt idx="103">
                  <c:v>4.222052182110661E-2</c:v>
                </c:pt>
                <c:pt idx="104">
                  <c:v>4.2284176228238247E-2</c:v>
                </c:pt>
                <c:pt idx="105">
                  <c:v>4.2348735768518685E-2</c:v>
                </c:pt>
                <c:pt idx="106">
                  <c:v>4.2409978502089135E-2</c:v>
                </c:pt>
                <c:pt idx="107">
                  <c:v>4.247008555757556E-2</c:v>
                </c:pt>
                <c:pt idx="108">
                  <c:v>4.2529088234508142E-2</c:v>
                </c:pt>
                <c:pt idx="109">
                  <c:v>4.2588972942426681E-2</c:v>
                </c:pt>
                <c:pt idx="110">
                  <c:v>4.2645821123622085E-2</c:v>
                </c:pt>
                <c:pt idx="111">
                  <c:v>4.2701653127724351E-2</c:v>
                </c:pt>
                <c:pt idx="112">
                  <c:v>4.2756495960105244E-2</c:v>
                </c:pt>
                <c:pt idx="113">
                  <c:v>4.2811589222007791E-2</c:v>
                </c:pt>
                <c:pt idx="114">
                  <c:v>4.2864509941999952E-2</c:v>
                </c:pt>
                <c:pt idx="115">
                  <c:v>4.291651752009671E-2</c:v>
                </c:pt>
                <c:pt idx="116">
                  <c:v>4.2967635388426607E-2</c:v>
                </c:pt>
                <c:pt idx="117">
                  <c:v>4.3012405377553894E-2</c:v>
                </c:pt>
                <c:pt idx="118">
                  <c:v>4.2996504991150229E-2</c:v>
                </c:pt>
                <c:pt idx="119">
                  <c:v>4.2877946999235458E-2</c:v>
                </c:pt>
                <c:pt idx="120">
                  <c:v>4.2762670478935956E-2</c:v>
                </c:pt>
                <c:pt idx="121">
                  <c:v>4.2649926430134551E-2</c:v>
                </c:pt>
                <c:pt idx="122">
                  <c:v>4.2585861993900277E-2</c:v>
                </c:pt>
                <c:pt idx="123">
                  <c:v>4.2637529095228957E-2</c:v>
                </c:pt>
                <c:pt idx="124">
                  <c:v>4.2688369447735727E-2</c:v>
                </c:pt>
                <c:pt idx="125">
                  <c:v>4.273953062884147E-2</c:v>
                </c:pt>
                <c:pt idx="126">
                  <c:v>4.2789313180967702E-2</c:v>
                </c:pt>
                <c:pt idx="127">
                  <c:v>4.2837763033399576E-2</c:v>
                </c:pt>
                <c:pt idx="128">
                  <c:v>4.2885461857662635E-2</c:v>
                </c:pt>
                <c:pt idx="129">
                  <c:v>4.2932956525740827E-2</c:v>
                </c:pt>
                <c:pt idx="130">
                  <c:v>4.2979718098938441E-2</c:v>
                </c:pt>
                <c:pt idx="131">
                  <c:v>4.3025249975420218E-2</c:v>
                </c:pt>
                <c:pt idx="132">
                  <c:v>4.3070097396021301E-2</c:v>
                </c:pt>
                <c:pt idx="133">
                  <c:v>4.3115272071512299E-2</c:v>
                </c:pt>
                <c:pt idx="134">
                  <c:v>4.3159272103398004E-2</c:v>
                </c:pt>
                <c:pt idx="135">
                  <c:v>4.3202134704853581E-2</c:v>
                </c:pt>
                <c:pt idx="136">
                  <c:v>4.324437193800703E-2</c:v>
                </c:pt>
                <c:pt idx="137">
                  <c:v>4.328693641711203E-2</c:v>
                </c:pt>
                <c:pt idx="138">
                  <c:v>4.3328412503641389E-2</c:v>
                </c:pt>
                <c:pt idx="139">
                  <c:v>4.3368833857866197E-2</c:v>
                </c:pt>
                <c:pt idx="140">
                  <c:v>4.3408682321194741E-2</c:v>
                </c:pt>
                <c:pt idx="141">
                  <c:v>4.3448856464081802E-2</c:v>
                </c:pt>
                <c:pt idx="142">
                  <c:v>4.3488019706728546E-2</c:v>
                </c:pt>
                <c:pt idx="143">
                  <c:v>4.3526202589175438E-2</c:v>
                </c:pt>
                <c:pt idx="144">
                  <c:v>4.3564284283458765E-2</c:v>
                </c:pt>
                <c:pt idx="145">
                  <c:v>4.360183899784021E-2</c:v>
                </c:pt>
                <c:pt idx="146">
                  <c:v>4.3638464259629965E-2</c:v>
                </c:pt>
                <c:pt idx="147">
                  <c:v>4.3674595154833712E-2</c:v>
                </c:pt>
                <c:pt idx="148">
                  <c:v>4.3710643953182984E-2</c:v>
                </c:pt>
                <c:pt idx="149">
                  <c:v>4.3746604131192135E-2</c:v>
                </c:pt>
                <c:pt idx="150">
                  <c:v>4.3781294829671191E-2</c:v>
                </c:pt>
                <c:pt idx="151">
                  <c:v>4.3815529684970329E-2</c:v>
                </c:pt>
                <c:pt idx="152">
                  <c:v>4.3849699042722616E-2</c:v>
                </c:pt>
                <c:pt idx="153">
                  <c:v>4.3883796639018542E-2</c:v>
                </c:pt>
                <c:pt idx="154">
                  <c:v>4.391670209932607E-2</c:v>
                </c:pt>
                <c:pt idx="155">
                  <c:v>4.3949186339141716E-2</c:v>
                </c:pt>
                <c:pt idx="156">
                  <c:v>4.3981619494849147E-2</c:v>
                </c:pt>
                <c:pt idx="157">
                  <c:v>4.4013995559853157E-2</c:v>
                </c:pt>
                <c:pt idx="158">
                  <c:v>4.404525012525904E-2</c:v>
                </c:pt>
                <c:pt idx="159">
                  <c:v>4.4076114673361332E-2</c:v>
                </c:pt>
                <c:pt idx="160">
                  <c:v>4.410694067113842E-2</c:v>
                </c:pt>
                <c:pt idx="161">
                  <c:v>4.4137382477168495E-2</c:v>
                </c:pt>
                <c:pt idx="162">
                  <c:v>4.4167111491754285E-2</c:v>
                </c:pt>
                <c:pt idx="163">
                  <c:v>4.4196478609306748E-2</c:v>
                </c:pt>
                <c:pt idx="164">
                  <c:v>4.4225818060539872E-2</c:v>
                </c:pt>
                <c:pt idx="165">
                  <c:v>4.4255124336607519E-2</c:v>
                </c:pt>
                <c:pt idx="166">
                  <c:v>4.428375271677748E-2</c:v>
                </c:pt>
                <c:pt idx="167">
                  <c:v>4.4311721216831038E-2</c:v>
                </c:pt>
                <c:pt idx="168">
                  <c:v>4.433935939495403E-2</c:v>
                </c:pt>
                <c:pt idx="169">
                  <c:v>4.4366673068790857E-2</c:v>
                </c:pt>
                <c:pt idx="170">
                  <c:v>4.4394582646042041E-2</c:v>
                </c:pt>
                <c:pt idx="171">
                  <c:v>4.4421253641112927E-2</c:v>
                </c:pt>
                <c:pt idx="172">
                  <c:v>4.4447616967882173E-2</c:v>
                </c:pt>
                <c:pt idx="173">
                  <c:v>4.4473677919675193E-2</c:v>
                </c:pt>
                <c:pt idx="174">
                  <c:v>4.4500314800544699E-2</c:v>
                </c:pt>
                <c:pt idx="175">
                  <c:v>4.4525776530427191E-2</c:v>
                </c:pt>
                <c:pt idx="176">
                  <c:v>4.4550951220527622E-2</c:v>
                </c:pt>
                <c:pt idx="177">
                  <c:v>4.4575843697605019E-2</c:v>
                </c:pt>
                <c:pt idx="178">
                  <c:v>4.4601014923432568E-2</c:v>
                </c:pt>
                <c:pt idx="179">
                  <c:v>4.4625350877897617E-2</c:v>
                </c:pt>
                <c:pt idx="180">
                  <c:v>4.4649418566694639E-2</c:v>
                </c:pt>
                <c:pt idx="181">
                  <c:v>4.4673222401552373E-2</c:v>
                </c:pt>
                <c:pt idx="182">
                  <c:v>4.469756481995521E-2</c:v>
                </c:pt>
                <c:pt idx="183">
                  <c:v>4.4720845168137041E-2</c:v>
                </c:pt>
                <c:pt idx="184">
                  <c:v>4.4743874469211929E-2</c:v>
                </c:pt>
                <c:pt idx="185">
                  <c:v>4.4766656762185567E-2</c:v>
                </c:pt>
                <c:pt idx="186">
                  <c:v>4.4789960145041031E-2</c:v>
                </c:pt>
                <c:pt idx="187">
                  <c:v>4.4812252109395066E-2</c:v>
                </c:pt>
                <c:pt idx="188">
                  <c:v>4.4834308802444774E-2</c:v>
                </c:pt>
                <c:pt idx="189">
                  <c:v>4.4856380625170077E-2</c:v>
                </c:pt>
                <c:pt idx="190">
                  <c:v>4.4878463409636117E-2</c:v>
                </c:pt>
                <c:pt idx="191">
                  <c:v>4.4900070134694096E-2</c:v>
                </c:pt>
                <c:pt idx="192">
                  <c:v>4.4921212069117415E-2</c:v>
                </c:pt>
                <c:pt idx="193">
                  <c:v>4.4942136656468352E-2</c:v>
                </c:pt>
                <c:pt idx="194">
                  <c:v>4.4963081361515389E-2</c:v>
                </c:pt>
                <c:pt idx="195">
                  <c:v>4.4983810541280506E-2</c:v>
                </c:pt>
                <c:pt idx="196">
                  <c:v>4.5004098144513005E-2</c:v>
                </c:pt>
                <c:pt idx="197">
                  <c:v>4.5024181408913011E-2</c:v>
                </c:pt>
                <c:pt idx="198">
                  <c:v>4.5044512954227962E-2</c:v>
                </c:pt>
                <c:pt idx="199">
                  <c:v>4.506441472373901E-2</c:v>
                </c:pt>
                <c:pt idx="200">
                  <c:v>4.50838965512909E-2</c:v>
                </c:pt>
                <c:pt idx="201">
                  <c:v>4.510318606290261E-2</c:v>
                </c:pt>
                <c:pt idx="202">
                  <c:v>4.5122718003476468E-2</c:v>
                </c:pt>
                <c:pt idx="203">
                  <c:v>4.5141840931658225E-2</c:v>
                </c:pt>
                <c:pt idx="204">
                  <c:v>4.5160564052538467E-2</c:v>
                </c:pt>
                <c:pt idx="205">
                  <c:v>4.5179105955277875E-2</c:v>
                </c:pt>
                <c:pt idx="206">
                  <c:v>4.5197884550659165E-2</c:v>
                </c:pt>
                <c:pt idx="207">
                  <c:v>4.5216273477739967E-2</c:v>
                </c:pt>
                <c:pt idx="208">
                  <c:v>4.5234281365192086E-2</c:v>
                </c:pt>
                <c:pt idx="209">
                  <c:v>4.525211829475935E-2</c:v>
                </c:pt>
                <c:pt idx="210">
                  <c:v>4.5269986507383425E-2</c:v>
                </c:pt>
                <c:pt idx="211">
                  <c:v>4.5287684792100581E-2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'Bumped Curve Snap'!$D$3</c:f>
              <c:strCache>
                <c:ptCount val="1"/>
                <c:pt idx="0">
                  <c:v>CNY_Treasury_Live_Curve_2012-7-5_Calibrated_Curve_2</c:v>
                </c:pt>
              </c:strCache>
            </c:strRef>
          </c:tx>
          <c:marker>
            <c:symbol val="none"/>
          </c:marker>
          <c:cat>
            <c:numRef>
              <c:f>'Bumped Curve Snap'!$A$4:$A$215</c:f>
              <c:numCache>
                <c:formatCode>yyyy-m-d</c:formatCode>
                <c:ptCount val="212"/>
                <c:pt idx="0">
                  <c:v>41095</c:v>
                </c:pt>
                <c:pt idx="1">
                  <c:v>41185</c:v>
                </c:pt>
                <c:pt idx="2">
                  <c:v>41275</c:v>
                </c:pt>
                <c:pt idx="3">
                  <c:v>41365</c:v>
                </c:pt>
                <c:pt idx="4">
                  <c:v>41455</c:v>
                </c:pt>
                <c:pt idx="5">
                  <c:v>41545</c:v>
                </c:pt>
                <c:pt idx="6">
                  <c:v>41635</c:v>
                </c:pt>
                <c:pt idx="7">
                  <c:v>41725</c:v>
                </c:pt>
                <c:pt idx="8">
                  <c:v>41815</c:v>
                </c:pt>
                <c:pt idx="9">
                  <c:v>41905</c:v>
                </c:pt>
                <c:pt idx="10">
                  <c:v>41995</c:v>
                </c:pt>
                <c:pt idx="11">
                  <c:v>42085</c:v>
                </c:pt>
                <c:pt idx="12">
                  <c:v>42175</c:v>
                </c:pt>
                <c:pt idx="13">
                  <c:v>42265</c:v>
                </c:pt>
                <c:pt idx="14">
                  <c:v>42355</c:v>
                </c:pt>
                <c:pt idx="15">
                  <c:v>42445</c:v>
                </c:pt>
                <c:pt idx="16">
                  <c:v>42535</c:v>
                </c:pt>
                <c:pt idx="17">
                  <c:v>42625</c:v>
                </c:pt>
                <c:pt idx="18">
                  <c:v>42715</c:v>
                </c:pt>
                <c:pt idx="19">
                  <c:v>42805</c:v>
                </c:pt>
                <c:pt idx="20">
                  <c:v>42895</c:v>
                </c:pt>
                <c:pt idx="21">
                  <c:v>42985</c:v>
                </c:pt>
                <c:pt idx="22">
                  <c:v>43075</c:v>
                </c:pt>
                <c:pt idx="23">
                  <c:v>43165</c:v>
                </c:pt>
                <c:pt idx="24">
                  <c:v>43255</c:v>
                </c:pt>
                <c:pt idx="25">
                  <c:v>43345</c:v>
                </c:pt>
                <c:pt idx="26">
                  <c:v>43435</c:v>
                </c:pt>
                <c:pt idx="27">
                  <c:v>43525</c:v>
                </c:pt>
                <c:pt idx="28">
                  <c:v>43615</c:v>
                </c:pt>
                <c:pt idx="29">
                  <c:v>43705</c:v>
                </c:pt>
                <c:pt idx="30">
                  <c:v>43795</c:v>
                </c:pt>
                <c:pt idx="31">
                  <c:v>43885</c:v>
                </c:pt>
                <c:pt idx="32">
                  <c:v>43975</c:v>
                </c:pt>
                <c:pt idx="33">
                  <c:v>44065</c:v>
                </c:pt>
                <c:pt idx="34">
                  <c:v>44155</c:v>
                </c:pt>
                <c:pt idx="35">
                  <c:v>44245</c:v>
                </c:pt>
                <c:pt idx="36">
                  <c:v>44335</c:v>
                </c:pt>
                <c:pt idx="37">
                  <c:v>44425</c:v>
                </c:pt>
                <c:pt idx="38">
                  <c:v>44515</c:v>
                </c:pt>
                <c:pt idx="39">
                  <c:v>44605</c:v>
                </c:pt>
                <c:pt idx="40">
                  <c:v>44695</c:v>
                </c:pt>
                <c:pt idx="41">
                  <c:v>44785</c:v>
                </c:pt>
                <c:pt idx="42">
                  <c:v>44875</c:v>
                </c:pt>
                <c:pt idx="43">
                  <c:v>44965</c:v>
                </c:pt>
                <c:pt idx="44">
                  <c:v>45055</c:v>
                </c:pt>
                <c:pt idx="45">
                  <c:v>45145</c:v>
                </c:pt>
                <c:pt idx="46">
                  <c:v>45235</c:v>
                </c:pt>
                <c:pt idx="47">
                  <c:v>45325</c:v>
                </c:pt>
                <c:pt idx="48">
                  <c:v>45415</c:v>
                </c:pt>
                <c:pt idx="49">
                  <c:v>45505</c:v>
                </c:pt>
                <c:pt idx="50">
                  <c:v>45595</c:v>
                </c:pt>
                <c:pt idx="51">
                  <c:v>45685</c:v>
                </c:pt>
                <c:pt idx="52">
                  <c:v>45775</c:v>
                </c:pt>
                <c:pt idx="53">
                  <c:v>45865</c:v>
                </c:pt>
                <c:pt idx="54">
                  <c:v>45955</c:v>
                </c:pt>
                <c:pt idx="55">
                  <c:v>46045</c:v>
                </c:pt>
                <c:pt idx="56">
                  <c:v>46135</c:v>
                </c:pt>
                <c:pt idx="57">
                  <c:v>46225</c:v>
                </c:pt>
                <c:pt idx="58">
                  <c:v>46315</c:v>
                </c:pt>
                <c:pt idx="59">
                  <c:v>46405</c:v>
                </c:pt>
                <c:pt idx="60">
                  <c:v>46495</c:v>
                </c:pt>
                <c:pt idx="61">
                  <c:v>46585</c:v>
                </c:pt>
                <c:pt idx="62">
                  <c:v>46675</c:v>
                </c:pt>
                <c:pt idx="63">
                  <c:v>46765</c:v>
                </c:pt>
                <c:pt idx="64">
                  <c:v>46855</c:v>
                </c:pt>
                <c:pt idx="65">
                  <c:v>46945</c:v>
                </c:pt>
                <c:pt idx="66">
                  <c:v>47035</c:v>
                </c:pt>
                <c:pt idx="67">
                  <c:v>47125</c:v>
                </c:pt>
                <c:pt idx="68">
                  <c:v>47215</c:v>
                </c:pt>
                <c:pt idx="69">
                  <c:v>47305</c:v>
                </c:pt>
                <c:pt idx="70">
                  <c:v>47395</c:v>
                </c:pt>
                <c:pt idx="71">
                  <c:v>47485</c:v>
                </c:pt>
                <c:pt idx="72">
                  <c:v>47575</c:v>
                </c:pt>
                <c:pt idx="73">
                  <c:v>47665</c:v>
                </c:pt>
                <c:pt idx="74">
                  <c:v>47755</c:v>
                </c:pt>
                <c:pt idx="75">
                  <c:v>47845</c:v>
                </c:pt>
                <c:pt idx="76">
                  <c:v>47935</c:v>
                </c:pt>
                <c:pt idx="77">
                  <c:v>48025</c:v>
                </c:pt>
                <c:pt idx="78">
                  <c:v>48115</c:v>
                </c:pt>
                <c:pt idx="79">
                  <c:v>48205</c:v>
                </c:pt>
                <c:pt idx="80">
                  <c:v>48295</c:v>
                </c:pt>
                <c:pt idx="81">
                  <c:v>48385</c:v>
                </c:pt>
                <c:pt idx="82">
                  <c:v>48475</c:v>
                </c:pt>
                <c:pt idx="83">
                  <c:v>48565</c:v>
                </c:pt>
                <c:pt idx="84">
                  <c:v>48655</c:v>
                </c:pt>
                <c:pt idx="85">
                  <c:v>48745</c:v>
                </c:pt>
                <c:pt idx="86">
                  <c:v>48835</c:v>
                </c:pt>
                <c:pt idx="87">
                  <c:v>48925</c:v>
                </c:pt>
                <c:pt idx="88">
                  <c:v>49015</c:v>
                </c:pt>
                <c:pt idx="89">
                  <c:v>49105</c:v>
                </c:pt>
                <c:pt idx="90">
                  <c:v>49195</c:v>
                </c:pt>
                <c:pt idx="91">
                  <c:v>49285</c:v>
                </c:pt>
                <c:pt idx="92">
                  <c:v>49375</c:v>
                </c:pt>
                <c:pt idx="93">
                  <c:v>49465</c:v>
                </c:pt>
                <c:pt idx="94">
                  <c:v>49555</c:v>
                </c:pt>
                <c:pt idx="95">
                  <c:v>49645</c:v>
                </c:pt>
                <c:pt idx="96">
                  <c:v>49735</c:v>
                </c:pt>
                <c:pt idx="97">
                  <c:v>49825</c:v>
                </c:pt>
                <c:pt idx="98">
                  <c:v>49915</c:v>
                </c:pt>
                <c:pt idx="99">
                  <c:v>50005</c:v>
                </c:pt>
                <c:pt idx="100">
                  <c:v>50095</c:v>
                </c:pt>
                <c:pt idx="101">
                  <c:v>50185</c:v>
                </c:pt>
                <c:pt idx="102">
                  <c:v>50275</c:v>
                </c:pt>
                <c:pt idx="103">
                  <c:v>50365</c:v>
                </c:pt>
                <c:pt idx="104">
                  <c:v>50455</c:v>
                </c:pt>
                <c:pt idx="105">
                  <c:v>50545</c:v>
                </c:pt>
                <c:pt idx="106">
                  <c:v>50635</c:v>
                </c:pt>
                <c:pt idx="107">
                  <c:v>50725</c:v>
                </c:pt>
                <c:pt idx="108">
                  <c:v>50815</c:v>
                </c:pt>
                <c:pt idx="109">
                  <c:v>50905</c:v>
                </c:pt>
                <c:pt idx="110">
                  <c:v>50995</c:v>
                </c:pt>
                <c:pt idx="111">
                  <c:v>51085</c:v>
                </c:pt>
                <c:pt idx="112">
                  <c:v>51175</c:v>
                </c:pt>
                <c:pt idx="113">
                  <c:v>51265</c:v>
                </c:pt>
                <c:pt idx="114">
                  <c:v>51355</c:v>
                </c:pt>
                <c:pt idx="115">
                  <c:v>51445</c:v>
                </c:pt>
                <c:pt idx="116">
                  <c:v>51535</c:v>
                </c:pt>
                <c:pt idx="117">
                  <c:v>51625</c:v>
                </c:pt>
                <c:pt idx="118">
                  <c:v>51715</c:v>
                </c:pt>
                <c:pt idx="119">
                  <c:v>51805</c:v>
                </c:pt>
                <c:pt idx="120">
                  <c:v>51895</c:v>
                </c:pt>
                <c:pt idx="121">
                  <c:v>51985</c:v>
                </c:pt>
                <c:pt idx="122">
                  <c:v>52075</c:v>
                </c:pt>
                <c:pt idx="123">
                  <c:v>52165</c:v>
                </c:pt>
                <c:pt idx="124">
                  <c:v>52255</c:v>
                </c:pt>
                <c:pt idx="125">
                  <c:v>52345</c:v>
                </c:pt>
                <c:pt idx="126">
                  <c:v>52435</c:v>
                </c:pt>
                <c:pt idx="127">
                  <c:v>52525</c:v>
                </c:pt>
                <c:pt idx="128">
                  <c:v>52615</c:v>
                </c:pt>
                <c:pt idx="129">
                  <c:v>52705</c:v>
                </c:pt>
                <c:pt idx="130">
                  <c:v>52795</c:v>
                </c:pt>
                <c:pt idx="131">
                  <c:v>52885</c:v>
                </c:pt>
                <c:pt idx="132">
                  <c:v>52975</c:v>
                </c:pt>
                <c:pt idx="133">
                  <c:v>53065</c:v>
                </c:pt>
                <c:pt idx="134">
                  <c:v>53155</c:v>
                </c:pt>
                <c:pt idx="135">
                  <c:v>53245</c:v>
                </c:pt>
                <c:pt idx="136">
                  <c:v>53335</c:v>
                </c:pt>
                <c:pt idx="137">
                  <c:v>53425</c:v>
                </c:pt>
                <c:pt idx="138">
                  <c:v>53515</c:v>
                </c:pt>
                <c:pt idx="139">
                  <c:v>53605</c:v>
                </c:pt>
                <c:pt idx="140">
                  <c:v>53695</c:v>
                </c:pt>
                <c:pt idx="141">
                  <c:v>53785</c:v>
                </c:pt>
                <c:pt idx="142">
                  <c:v>53875</c:v>
                </c:pt>
                <c:pt idx="143">
                  <c:v>53965</c:v>
                </c:pt>
                <c:pt idx="144">
                  <c:v>54055</c:v>
                </c:pt>
                <c:pt idx="145">
                  <c:v>54145</c:v>
                </c:pt>
                <c:pt idx="146">
                  <c:v>54235</c:v>
                </c:pt>
                <c:pt idx="147">
                  <c:v>54325</c:v>
                </c:pt>
                <c:pt idx="148">
                  <c:v>54415</c:v>
                </c:pt>
                <c:pt idx="149">
                  <c:v>54505</c:v>
                </c:pt>
                <c:pt idx="150">
                  <c:v>54595</c:v>
                </c:pt>
                <c:pt idx="151">
                  <c:v>54685</c:v>
                </c:pt>
                <c:pt idx="152">
                  <c:v>54775</c:v>
                </c:pt>
                <c:pt idx="153">
                  <c:v>54865</c:v>
                </c:pt>
                <c:pt idx="154">
                  <c:v>54955</c:v>
                </c:pt>
                <c:pt idx="155">
                  <c:v>55045</c:v>
                </c:pt>
                <c:pt idx="156">
                  <c:v>55135</c:v>
                </c:pt>
                <c:pt idx="157">
                  <c:v>55225</c:v>
                </c:pt>
                <c:pt idx="158">
                  <c:v>55315</c:v>
                </c:pt>
                <c:pt idx="159">
                  <c:v>55405</c:v>
                </c:pt>
                <c:pt idx="160">
                  <c:v>55495</c:v>
                </c:pt>
                <c:pt idx="161">
                  <c:v>55585</c:v>
                </c:pt>
                <c:pt idx="162">
                  <c:v>55675</c:v>
                </c:pt>
                <c:pt idx="163">
                  <c:v>55765</c:v>
                </c:pt>
                <c:pt idx="164">
                  <c:v>55855</c:v>
                </c:pt>
                <c:pt idx="165">
                  <c:v>55945</c:v>
                </c:pt>
                <c:pt idx="166">
                  <c:v>56035</c:v>
                </c:pt>
                <c:pt idx="167">
                  <c:v>56125</c:v>
                </c:pt>
                <c:pt idx="168">
                  <c:v>56215</c:v>
                </c:pt>
                <c:pt idx="169">
                  <c:v>56305</c:v>
                </c:pt>
                <c:pt idx="170">
                  <c:v>56395</c:v>
                </c:pt>
                <c:pt idx="171">
                  <c:v>56485</c:v>
                </c:pt>
                <c:pt idx="172">
                  <c:v>56575</c:v>
                </c:pt>
                <c:pt idx="173">
                  <c:v>56665</c:v>
                </c:pt>
                <c:pt idx="174">
                  <c:v>56755</c:v>
                </c:pt>
                <c:pt idx="175">
                  <c:v>56845</c:v>
                </c:pt>
                <c:pt idx="176">
                  <c:v>56935</c:v>
                </c:pt>
                <c:pt idx="177">
                  <c:v>57025</c:v>
                </c:pt>
                <c:pt idx="178">
                  <c:v>57115</c:v>
                </c:pt>
                <c:pt idx="179">
                  <c:v>57205</c:v>
                </c:pt>
                <c:pt idx="180">
                  <c:v>57295</c:v>
                </c:pt>
                <c:pt idx="181">
                  <c:v>57385</c:v>
                </c:pt>
                <c:pt idx="182">
                  <c:v>57475</c:v>
                </c:pt>
                <c:pt idx="183">
                  <c:v>57565</c:v>
                </c:pt>
                <c:pt idx="184">
                  <c:v>57655</c:v>
                </c:pt>
                <c:pt idx="185">
                  <c:v>57745</c:v>
                </c:pt>
                <c:pt idx="186">
                  <c:v>57835</c:v>
                </c:pt>
                <c:pt idx="187">
                  <c:v>57925</c:v>
                </c:pt>
                <c:pt idx="188">
                  <c:v>58015</c:v>
                </c:pt>
                <c:pt idx="189">
                  <c:v>58105</c:v>
                </c:pt>
                <c:pt idx="190">
                  <c:v>58195</c:v>
                </c:pt>
                <c:pt idx="191">
                  <c:v>58285</c:v>
                </c:pt>
                <c:pt idx="192">
                  <c:v>58375</c:v>
                </c:pt>
                <c:pt idx="193">
                  <c:v>58465</c:v>
                </c:pt>
                <c:pt idx="194">
                  <c:v>58555</c:v>
                </c:pt>
                <c:pt idx="195">
                  <c:v>58645</c:v>
                </c:pt>
                <c:pt idx="196">
                  <c:v>58735</c:v>
                </c:pt>
                <c:pt idx="197">
                  <c:v>58825</c:v>
                </c:pt>
                <c:pt idx="198">
                  <c:v>58915</c:v>
                </c:pt>
                <c:pt idx="199">
                  <c:v>59005</c:v>
                </c:pt>
                <c:pt idx="200">
                  <c:v>59095</c:v>
                </c:pt>
                <c:pt idx="201">
                  <c:v>59185</c:v>
                </c:pt>
                <c:pt idx="202">
                  <c:v>59275</c:v>
                </c:pt>
                <c:pt idx="203">
                  <c:v>59365</c:v>
                </c:pt>
                <c:pt idx="204">
                  <c:v>59455</c:v>
                </c:pt>
                <c:pt idx="205">
                  <c:v>59545</c:v>
                </c:pt>
                <c:pt idx="206">
                  <c:v>59635</c:v>
                </c:pt>
                <c:pt idx="207">
                  <c:v>59725</c:v>
                </c:pt>
                <c:pt idx="208">
                  <c:v>59815</c:v>
                </c:pt>
                <c:pt idx="209">
                  <c:v>59905</c:v>
                </c:pt>
                <c:pt idx="210">
                  <c:v>59995</c:v>
                </c:pt>
                <c:pt idx="211">
                  <c:v>60085</c:v>
                </c:pt>
              </c:numCache>
            </c:numRef>
          </c:cat>
          <c:val>
            <c:numRef>
              <c:f>'Bumped Curve Snap'!$D$4:$D$215</c:f>
              <c:numCache>
                <c:formatCode>G/通用格式</c:formatCode>
                <c:ptCount val="212"/>
                <c:pt idx="0">
                  <c:v>2.2926627378461455E-2</c:v>
                </c:pt>
                <c:pt idx="1">
                  <c:v>2.2926627379522863E-2</c:v>
                </c:pt>
                <c:pt idx="2">
                  <c:v>2.2639795635110555E-2</c:v>
                </c:pt>
                <c:pt idx="3">
                  <c:v>2.1936505913666478E-2</c:v>
                </c:pt>
                <c:pt idx="4">
                  <c:v>2.2582433408021275E-2</c:v>
                </c:pt>
                <c:pt idx="5">
                  <c:v>2.4800577561989081E-2</c:v>
                </c:pt>
                <c:pt idx="6">
                  <c:v>2.6438679760846535E-2</c:v>
                </c:pt>
                <c:pt idx="7">
                  <c:v>2.4938447819299128E-2</c:v>
                </c:pt>
                <c:pt idx="8">
                  <c:v>2.3536079529455647E-2</c:v>
                </c:pt>
                <c:pt idx="9">
                  <c:v>2.3830651969724077E-2</c:v>
                </c:pt>
                <c:pt idx="10">
                  <c:v>2.4287676100127019E-2</c:v>
                </c:pt>
                <c:pt idx="11">
                  <c:v>2.4665117440019105E-2</c:v>
                </c:pt>
                <c:pt idx="12">
                  <c:v>2.5105124079128391E-2</c:v>
                </c:pt>
                <c:pt idx="13">
                  <c:v>2.5508476303545625E-2</c:v>
                </c:pt>
                <c:pt idx="14">
                  <c:v>2.5829050027281131E-2</c:v>
                </c:pt>
                <c:pt idx="15">
                  <c:v>2.609859578505196E-2</c:v>
                </c:pt>
                <c:pt idx="16">
                  <c:v>2.6436188054881033E-2</c:v>
                </c:pt>
                <c:pt idx="17">
                  <c:v>2.6967684081657742E-2</c:v>
                </c:pt>
                <c:pt idx="18">
                  <c:v>2.7517451862147629E-2</c:v>
                </c:pt>
                <c:pt idx="19">
                  <c:v>2.8072352555097737E-2</c:v>
                </c:pt>
                <c:pt idx="20">
                  <c:v>2.862158715032655E-2</c:v>
                </c:pt>
                <c:pt idx="21">
                  <c:v>2.925433845493625E-2</c:v>
                </c:pt>
                <c:pt idx="22">
                  <c:v>2.9805478598558616E-2</c:v>
                </c:pt>
                <c:pt idx="23">
                  <c:v>3.0253109217186418E-2</c:v>
                </c:pt>
                <c:pt idx="24">
                  <c:v>3.0658111629911767E-2</c:v>
                </c:pt>
                <c:pt idx="25">
                  <c:v>3.172609397369127E-2</c:v>
                </c:pt>
                <c:pt idx="26">
                  <c:v>3.1890156197882824E-2</c:v>
                </c:pt>
                <c:pt idx="27">
                  <c:v>3.1186913133985701E-2</c:v>
                </c:pt>
                <c:pt idx="28">
                  <c:v>3.1027744491997637E-2</c:v>
                </c:pt>
                <c:pt idx="29">
                  <c:v>3.1444902608844638E-2</c:v>
                </c:pt>
                <c:pt idx="30">
                  <c:v>3.2033793142562536E-2</c:v>
                </c:pt>
                <c:pt idx="31">
                  <c:v>3.258497162980608E-2</c:v>
                </c:pt>
                <c:pt idx="32">
                  <c:v>3.3078975429287241E-2</c:v>
                </c:pt>
                <c:pt idx="33">
                  <c:v>3.3351674883813583E-2</c:v>
                </c:pt>
                <c:pt idx="34">
                  <c:v>3.3452264116433296E-2</c:v>
                </c:pt>
                <c:pt idx="35">
                  <c:v>3.3723926273014369E-2</c:v>
                </c:pt>
                <c:pt idx="36">
                  <c:v>3.4096601453974786E-2</c:v>
                </c:pt>
                <c:pt idx="37">
                  <c:v>3.4020615542408594E-2</c:v>
                </c:pt>
                <c:pt idx="38">
                  <c:v>3.3743967473429913E-2</c:v>
                </c:pt>
                <c:pt idx="39">
                  <c:v>3.365334547116771E-2</c:v>
                </c:pt>
                <c:pt idx="40">
                  <c:v>3.3640391863946489E-2</c:v>
                </c:pt>
                <c:pt idx="41">
                  <c:v>3.3843774943969264E-2</c:v>
                </c:pt>
                <c:pt idx="42">
                  <c:v>3.4172471692819423E-2</c:v>
                </c:pt>
                <c:pt idx="43">
                  <c:v>3.4485995970836354E-2</c:v>
                </c:pt>
                <c:pt idx="44">
                  <c:v>3.4795312635883362E-2</c:v>
                </c:pt>
                <c:pt idx="45">
                  <c:v>3.5081003717894292E-2</c:v>
                </c:pt>
                <c:pt idx="46">
                  <c:v>3.5354416118334564E-2</c:v>
                </c:pt>
                <c:pt idx="47">
                  <c:v>3.5616284331024956E-2</c:v>
                </c:pt>
                <c:pt idx="48">
                  <c:v>3.5872881024382575E-2</c:v>
                </c:pt>
                <c:pt idx="49">
                  <c:v>3.6113477906695793E-2</c:v>
                </c:pt>
                <c:pt idx="50">
                  <c:v>3.6347145324477331E-2</c:v>
                </c:pt>
                <c:pt idx="51">
                  <c:v>3.6569145975244778E-2</c:v>
                </c:pt>
                <c:pt idx="52">
                  <c:v>3.6787405362813393E-2</c:v>
                </c:pt>
                <c:pt idx="53">
                  <c:v>3.6995003690884563E-2</c:v>
                </c:pt>
                <c:pt idx="54">
                  <c:v>3.7192726703737217E-2</c:v>
                </c:pt>
                <c:pt idx="55">
                  <c:v>3.7383318724389797E-2</c:v>
                </c:pt>
                <c:pt idx="56">
                  <c:v>3.7571234067639604E-2</c:v>
                </c:pt>
                <c:pt idx="57">
                  <c:v>3.7750460915086478E-2</c:v>
                </c:pt>
                <c:pt idx="58">
                  <c:v>3.7921620191447653E-2</c:v>
                </c:pt>
                <c:pt idx="59">
                  <c:v>3.8087027277201854E-2</c:v>
                </c:pt>
                <c:pt idx="60">
                  <c:v>3.8250513739532116E-2</c:v>
                </c:pt>
                <c:pt idx="61">
                  <c:v>3.840633193897789E-2</c:v>
                </c:pt>
                <c:pt idx="62">
                  <c:v>3.8542054189217703E-2</c:v>
                </c:pt>
                <c:pt idx="63">
                  <c:v>3.8666093489487838E-2</c:v>
                </c:pt>
                <c:pt idx="64">
                  <c:v>3.8787609702953023E-2</c:v>
                </c:pt>
                <c:pt idx="65">
                  <c:v>3.8905347262092334E-2</c:v>
                </c:pt>
                <c:pt idx="66">
                  <c:v>3.9018282671425063E-2</c:v>
                </c:pt>
                <c:pt idx="67">
                  <c:v>3.9127879836865373E-2</c:v>
                </c:pt>
                <c:pt idx="68">
                  <c:v>3.9236642435177112E-2</c:v>
                </c:pt>
                <c:pt idx="69">
                  <c:v>3.9341021845922662E-2</c:v>
                </c:pt>
                <c:pt idx="70">
                  <c:v>3.9441323209266646E-2</c:v>
                </c:pt>
                <c:pt idx="71">
                  <c:v>3.9538829991951026E-2</c:v>
                </c:pt>
                <c:pt idx="72">
                  <c:v>3.9635757791195159E-2</c:v>
                </c:pt>
                <c:pt idx="73">
                  <c:v>3.9728931543937848E-2</c:v>
                </c:pt>
                <c:pt idx="74">
                  <c:v>3.9818605575811218E-2</c:v>
                </c:pt>
                <c:pt idx="75">
                  <c:v>3.9906896572544794E-2</c:v>
                </c:pt>
                <c:pt idx="76">
                  <c:v>3.9993795281476327E-2</c:v>
                </c:pt>
                <c:pt idx="77">
                  <c:v>4.0076522992864093E-2</c:v>
                </c:pt>
                <c:pt idx="78">
                  <c:v>4.015717292885692E-2</c:v>
                </c:pt>
                <c:pt idx="79">
                  <c:v>4.0236691752428146E-2</c:v>
                </c:pt>
                <c:pt idx="80">
                  <c:v>4.0314203874770783E-2</c:v>
                </c:pt>
                <c:pt idx="81">
                  <c:v>4.0409266075878317E-2</c:v>
                </c:pt>
                <c:pt idx="82">
                  <c:v>4.0511223112598055E-2</c:v>
                </c:pt>
                <c:pt idx="83">
                  <c:v>4.0612562327983513E-2</c:v>
                </c:pt>
                <c:pt idx="84">
                  <c:v>4.0712566826111532E-2</c:v>
                </c:pt>
                <c:pt idx="85">
                  <c:v>4.0808018132752526E-2</c:v>
                </c:pt>
                <c:pt idx="86">
                  <c:v>4.0901283177032448E-2</c:v>
                </c:pt>
                <c:pt idx="87">
                  <c:v>4.0993462031836181E-2</c:v>
                </c:pt>
                <c:pt idx="88">
                  <c:v>4.1084529270789878E-2</c:v>
                </c:pt>
                <c:pt idx="89">
                  <c:v>4.1171543667243772E-2</c:v>
                </c:pt>
                <c:pt idx="90">
                  <c:v>4.1256651804463321E-2</c:v>
                </c:pt>
                <c:pt idx="91">
                  <c:v>4.1340858523029586E-2</c:v>
                </c:pt>
                <c:pt idx="92">
                  <c:v>4.1424135398715416E-2</c:v>
                </c:pt>
                <c:pt idx="93">
                  <c:v>4.1503784152192594E-2</c:v>
                </c:pt>
                <c:pt idx="94">
                  <c:v>4.1581760078716154E-2</c:v>
                </c:pt>
                <c:pt idx="95">
                  <c:v>4.1658985906806029E-2</c:v>
                </c:pt>
                <c:pt idx="96">
                  <c:v>4.1734590750868571E-2</c:v>
                </c:pt>
                <c:pt idx="97">
                  <c:v>4.1808611571908932E-2</c:v>
                </c:pt>
                <c:pt idx="98">
                  <c:v>4.188031598154425E-2</c:v>
                </c:pt>
                <c:pt idx="99">
                  <c:v>4.195060339342175E-2</c:v>
                </c:pt>
                <c:pt idx="100">
                  <c:v>4.2019489544220821E-2</c:v>
                </c:pt>
                <c:pt idx="101">
                  <c:v>4.2089282963998637E-2</c:v>
                </c:pt>
                <c:pt idx="102">
                  <c:v>4.215544230732677E-2</c:v>
                </c:pt>
                <c:pt idx="103">
                  <c:v>4.2220349749163499E-2</c:v>
                </c:pt>
                <c:pt idx="104">
                  <c:v>4.2284012232564172E-2</c:v>
                </c:pt>
                <c:pt idx="105">
                  <c:v>4.2348562579594427E-2</c:v>
                </c:pt>
                <c:pt idx="106">
                  <c:v>4.2409795438552049E-2</c:v>
                </c:pt>
                <c:pt idx="107">
                  <c:v>4.2469917051763277E-2</c:v>
                </c:pt>
                <c:pt idx="108">
                  <c:v>4.2528928446803817E-2</c:v>
                </c:pt>
                <c:pt idx="109">
                  <c:v>4.2588805219995536E-2</c:v>
                </c:pt>
                <c:pt idx="110">
                  <c:v>4.2645641679206439E-2</c:v>
                </c:pt>
                <c:pt idx="111">
                  <c:v>4.2701487977035123E-2</c:v>
                </c:pt>
                <c:pt idx="112">
                  <c:v>4.2756340142275605E-2</c:v>
                </c:pt>
                <c:pt idx="113">
                  <c:v>4.2811426904692133E-2</c:v>
                </c:pt>
                <c:pt idx="114">
                  <c:v>4.2864333563123302E-2</c:v>
                </c:pt>
                <c:pt idx="115">
                  <c:v>4.2916354728316772E-2</c:v>
                </c:pt>
                <c:pt idx="116">
                  <c:v>4.2967484628226492E-2</c:v>
                </c:pt>
                <c:pt idx="117">
                  <c:v>4.3012251187074517E-2</c:v>
                </c:pt>
                <c:pt idx="118">
                  <c:v>4.2996335117512705E-2</c:v>
                </c:pt>
                <c:pt idx="119">
                  <c:v>4.2877788848400281E-2</c:v>
                </c:pt>
                <c:pt idx="120">
                  <c:v>4.2762525601669592E-2</c:v>
                </c:pt>
                <c:pt idx="121">
                  <c:v>4.2649780220267788E-2</c:v>
                </c:pt>
                <c:pt idx="122">
                  <c:v>4.2585699599651007E-2</c:v>
                </c:pt>
                <c:pt idx="123">
                  <c:v>4.2637376480328094E-2</c:v>
                </c:pt>
                <c:pt idx="124">
                  <c:v>4.2688229352442195E-2</c:v>
                </c:pt>
                <c:pt idx="125">
                  <c:v>4.2739389212462252E-2</c:v>
                </c:pt>
                <c:pt idx="126">
                  <c:v>4.2789153613086439E-2</c:v>
                </c:pt>
                <c:pt idx="127">
                  <c:v>4.2837612876861463E-2</c:v>
                </c:pt>
                <c:pt idx="128">
                  <c:v>4.2885324214543004E-2</c:v>
                </c:pt>
                <c:pt idx="129">
                  <c:v>4.2932818419314692E-2</c:v>
                </c:pt>
                <c:pt idx="130">
                  <c:v>4.2979562640680931E-2</c:v>
                </c:pt>
                <c:pt idx="131">
                  <c:v>4.3025102587595093E-2</c:v>
                </c:pt>
                <c:pt idx="132">
                  <c:v>4.3069962016144228E-2</c:v>
                </c:pt>
                <c:pt idx="133">
                  <c:v>4.311513700643093E-2</c:v>
                </c:pt>
                <c:pt idx="134">
                  <c:v>4.3159120188956575E-2</c:v>
                </c:pt>
                <c:pt idx="135">
                  <c:v>4.3201989440844558E-2</c:v>
                </c:pt>
                <c:pt idx="136">
                  <c:v>4.3244238473762256E-2</c:v>
                </c:pt>
                <c:pt idx="137">
                  <c:v>4.3286803995201205E-2</c:v>
                </c:pt>
                <c:pt idx="138">
                  <c:v>4.3328264502269703E-2</c:v>
                </c:pt>
                <c:pt idx="139">
                  <c:v>4.336869072885971E-2</c:v>
                </c:pt>
                <c:pt idx="140">
                  <c:v>4.3408550672942019E-2</c:v>
                </c:pt>
                <c:pt idx="141">
                  <c:v>4.344872656017594E-2</c:v>
                </c:pt>
                <c:pt idx="142">
                  <c:v>4.3487875444198985E-2</c:v>
                </c:pt>
                <c:pt idx="143">
                  <c:v>4.352606148700796E-2</c:v>
                </c:pt>
                <c:pt idx="144">
                  <c:v>4.3564154488603388E-2</c:v>
                </c:pt>
                <c:pt idx="145">
                  <c:v>4.3601711494755835E-2</c:v>
                </c:pt>
                <c:pt idx="146">
                  <c:v>4.3638323775291386E-2</c:v>
                </c:pt>
                <c:pt idx="147">
                  <c:v>4.3674455928822249E-2</c:v>
                </c:pt>
                <c:pt idx="148">
                  <c:v>4.3710515800477689E-2</c:v>
                </c:pt>
                <c:pt idx="149">
                  <c:v>4.3746481920292346E-2</c:v>
                </c:pt>
                <c:pt idx="150">
                  <c:v>4.3781160027601046E-2</c:v>
                </c:pt>
                <c:pt idx="151">
                  <c:v>4.381539229145668E-2</c:v>
                </c:pt>
                <c:pt idx="152">
                  <c:v>4.3849572435274112E-2</c:v>
                </c:pt>
                <c:pt idx="153">
                  <c:v>4.388367634794739E-2</c:v>
                </c:pt>
                <c:pt idx="154">
                  <c:v>4.3916570766620359E-2</c:v>
                </c:pt>
                <c:pt idx="155">
                  <c:v>4.3949050683971445E-2</c:v>
                </c:pt>
                <c:pt idx="156">
                  <c:v>4.3981494356207379E-2</c:v>
                </c:pt>
                <c:pt idx="157">
                  <c:v>4.401387710163935E-2</c:v>
                </c:pt>
                <c:pt idx="158">
                  <c:v>4.4045122122780452E-2</c:v>
                </c:pt>
                <c:pt idx="159">
                  <c:v>4.4075980673062141E-2</c:v>
                </c:pt>
                <c:pt idx="160">
                  <c:v>4.4106816929547356E-2</c:v>
                </c:pt>
                <c:pt idx="161">
                  <c:v>4.4137265742827121E-2</c:v>
                </c:pt>
                <c:pt idx="162">
                  <c:v>4.4166986923783319E-2</c:v>
                </c:pt>
                <c:pt idx="163">
                  <c:v>4.4196346727625402E-2</c:v>
                </c:pt>
                <c:pt idx="164">
                  <c:v>4.422569677215802E-2</c:v>
                </c:pt>
                <c:pt idx="165">
                  <c:v>4.4255007102038127E-2</c:v>
                </c:pt>
                <c:pt idx="166">
                  <c:v>4.4283627742199405E-2</c:v>
                </c:pt>
                <c:pt idx="167">
                  <c:v>4.4311592122302922E-2</c:v>
                </c:pt>
                <c:pt idx="168">
                  <c:v>4.4339239402989269E-2</c:v>
                </c:pt>
                <c:pt idx="169">
                  <c:v>4.4366558037563932E-2</c:v>
                </c:pt>
                <c:pt idx="170">
                  <c:v>4.4394460173249321E-2</c:v>
                </c:pt>
                <c:pt idx="171">
                  <c:v>4.4421125972512999E-2</c:v>
                </c:pt>
                <c:pt idx="172">
                  <c:v>4.4447498211691958E-2</c:v>
                </c:pt>
                <c:pt idx="173">
                  <c:v>4.4473564883601657E-2</c:v>
                </c:pt>
                <c:pt idx="174">
                  <c:v>4.4500194734067904E-2</c:v>
                </c:pt>
                <c:pt idx="175">
                  <c:v>4.4525650222568373E-2</c:v>
                </c:pt>
                <c:pt idx="176">
                  <c:v>4.4550833642745424E-2</c:v>
                </c:pt>
                <c:pt idx="177">
                  <c:v>4.4575732579185755E-2</c:v>
                </c:pt>
                <c:pt idx="178">
                  <c:v>4.4600897295867928E-2</c:v>
                </c:pt>
                <c:pt idx="179">
                  <c:v>4.4625225726865621E-2</c:v>
                </c:pt>
                <c:pt idx="180">
                  <c:v>4.464930183013769E-2</c:v>
                </c:pt>
                <c:pt idx="181">
                  <c:v>4.467311446109247E-2</c:v>
                </c:pt>
                <c:pt idx="182">
                  <c:v>4.4697452561809299E-2</c:v>
                </c:pt>
                <c:pt idx="183">
                  <c:v>4.4720719541155397E-2</c:v>
                </c:pt>
                <c:pt idx="184">
                  <c:v>4.4743758753937629E-2</c:v>
                </c:pt>
                <c:pt idx="185">
                  <c:v>4.4766550435514661E-2</c:v>
                </c:pt>
                <c:pt idx="186">
                  <c:v>4.4789850279799197E-2</c:v>
                </c:pt>
                <c:pt idx="187">
                  <c:v>4.4812127601569697E-2</c:v>
                </c:pt>
                <c:pt idx="188">
                  <c:v>4.4834194061036718E-2</c:v>
                </c:pt>
                <c:pt idx="189">
                  <c:v>4.4856275820501064E-2</c:v>
                </c:pt>
                <c:pt idx="190">
                  <c:v>4.4878355855842947E-2</c:v>
                </c:pt>
                <c:pt idx="191">
                  <c:v>4.489994708829332E-2</c:v>
                </c:pt>
                <c:pt idx="192">
                  <c:v>4.4921098372884959E-2</c:v>
                </c:pt>
                <c:pt idx="193">
                  <c:v>4.494203264709045E-2</c:v>
                </c:pt>
                <c:pt idx="194">
                  <c:v>4.4962975358280199E-2</c:v>
                </c:pt>
                <c:pt idx="195">
                  <c:v>4.4983690079450925E-2</c:v>
                </c:pt>
                <c:pt idx="196">
                  <c:v>4.5003985217322101E-2</c:v>
                </c:pt>
                <c:pt idx="197">
                  <c:v>4.5024080185177347E-2</c:v>
                </c:pt>
                <c:pt idx="198">
                  <c:v>4.504440911638679E-2</c:v>
                </c:pt>
                <c:pt idx="199">
                  <c:v>4.5064296895417147E-2</c:v>
                </c:pt>
                <c:pt idx="200">
                  <c:v>4.5083784270763212E-2</c:v>
                </c:pt>
                <c:pt idx="201">
                  <c:v>4.5103083200669795E-2</c:v>
                </c:pt>
                <c:pt idx="202">
                  <c:v>4.5122615189653645E-2</c:v>
                </c:pt>
                <c:pt idx="203">
                  <c:v>4.5141725381236529E-2</c:v>
                </c:pt>
                <c:pt idx="204">
                  <c:v>4.516045258404585E-2</c:v>
                </c:pt>
                <c:pt idx="205">
                  <c:v>4.5179003787927295E-2</c:v>
                </c:pt>
                <c:pt idx="206">
                  <c:v>4.5197783076610452E-2</c:v>
                </c:pt>
                <c:pt idx="207">
                  <c:v>4.521616013343923E-2</c:v>
                </c:pt>
                <c:pt idx="208">
                  <c:v>4.523417067184958E-2</c:v>
                </c:pt>
                <c:pt idx="209">
                  <c:v>4.52520175763476E-2</c:v>
                </c:pt>
                <c:pt idx="210">
                  <c:v>4.526988450878637E-2</c:v>
                </c:pt>
                <c:pt idx="211">
                  <c:v>4.5287574379775417E-2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'Bumped Curve Snap'!$E$3</c:f>
              <c:strCache>
                <c:ptCount val="1"/>
                <c:pt idx="0">
                  <c:v>CNY_Treasury_Live_Curve_2012-7-5_Calibrated_Curve_3</c:v>
                </c:pt>
              </c:strCache>
            </c:strRef>
          </c:tx>
          <c:marker>
            <c:symbol val="none"/>
          </c:marker>
          <c:cat>
            <c:numRef>
              <c:f>'Bumped Curve Snap'!$A$4:$A$215</c:f>
              <c:numCache>
                <c:formatCode>yyyy-m-d</c:formatCode>
                <c:ptCount val="212"/>
                <c:pt idx="0">
                  <c:v>41095</c:v>
                </c:pt>
                <c:pt idx="1">
                  <c:v>41185</c:v>
                </c:pt>
                <c:pt idx="2">
                  <c:v>41275</c:v>
                </c:pt>
                <c:pt idx="3">
                  <c:v>41365</c:v>
                </c:pt>
                <c:pt idx="4">
                  <c:v>41455</c:v>
                </c:pt>
                <c:pt idx="5">
                  <c:v>41545</c:v>
                </c:pt>
                <c:pt idx="6">
                  <c:v>41635</c:v>
                </c:pt>
                <c:pt idx="7">
                  <c:v>41725</c:v>
                </c:pt>
                <c:pt idx="8">
                  <c:v>41815</c:v>
                </c:pt>
                <c:pt idx="9">
                  <c:v>41905</c:v>
                </c:pt>
                <c:pt idx="10">
                  <c:v>41995</c:v>
                </c:pt>
                <c:pt idx="11">
                  <c:v>42085</c:v>
                </c:pt>
                <c:pt idx="12">
                  <c:v>42175</c:v>
                </c:pt>
                <c:pt idx="13">
                  <c:v>42265</c:v>
                </c:pt>
                <c:pt idx="14">
                  <c:v>42355</c:v>
                </c:pt>
                <c:pt idx="15">
                  <c:v>42445</c:v>
                </c:pt>
                <c:pt idx="16">
                  <c:v>42535</c:v>
                </c:pt>
                <c:pt idx="17">
                  <c:v>42625</c:v>
                </c:pt>
                <c:pt idx="18">
                  <c:v>42715</c:v>
                </c:pt>
                <c:pt idx="19">
                  <c:v>42805</c:v>
                </c:pt>
                <c:pt idx="20">
                  <c:v>42895</c:v>
                </c:pt>
                <c:pt idx="21">
                  <c:v>42985</c:v>
                </c:pt>
                <c:pt idx="22">
                  <c:v>43075</c:v>
                </c:pt>
                <c:pt idx="23">
                  <c:v>43165</c:v>
                </c:pt>
                <c:pt idx="24">
                  <c:v>43255</c:v>
                </c:pt>
                <c:pt idx="25">
                  <c:v>43345</c:v>
                </c:pt>
                <c:pt idx="26">
                  <c:v>43435</c:v>
                </c:pt>
                <c:pt idx="27">
                  <c:v>43525</c:v>
                </c:pt>
                <c:pt idx="28">
                  <c:v>43615</c:v>
                </c:pt>
                <c:pt idx="29">
                  <c:v>43705</c:v>
                </c:pt>
                <c:pt idx="30">
                  <c:v>43795</c:v>
                </c:pt>
                <c:pt idx="31">
                  <c:v>43885</c:v>
                </c:pt>
                <c:pt idx="32">
                  <c:v>43975</c:v>
                </c:pt>
                <c:pt idx="33">
                  <c:v>44065</c:v>
                </c:pt>
                <c:pt idx="34">
                  <c:v>44155</c:v>
                </c:pt>
                <c:pt idx="35">
                  <c:v>44245</c:v>
                </c:pt>
                <c:pt idx="36">
                  <c:v>44335</c:v>
                </c:pt>
                <c:pt idx="37">
                  <c:v>44425</c:v>
                </c:pt>
                <c:pt idx="38">
                  <c:v>44515</c:v>
                </c:pt>
                <c:pt idx="39">
                  <c:v>44605</c:v>
                </c:pt>
                <c:pt idx="40">
                  <c:v>44695</c:v>
                </c:pt>
                <c:pt idx="41">
                  <c:v>44785</c:v>
                </c:pt>
                <c:pt idx="42">
                  <c:v>44875</c:v>
                </c:pt>
                <c:pt idx="43">
                  <c:v>44965</c:v>
                </c:pt>
                <c:pt idx="44">
                  <c:v>45055</c:v>
                </c:pt>
                <c:pt idx="45">
                  <c:v>45145</c:v>
                </c:pt>
                <c:pt idx="46">
                  <c:v>45235</c:v>
                </c:pt>
                <c:pt idx="47">
                  <c:v>45325</c:v>
                </c:pt>
                <c:pt idx="48">
                  <c:v>45415</c:v>
                </c:pt>
                <c:pt idx="49">
                  <c:v>45505</c:v>
                </c:pt>
                <c:pt idx="50">
                  <c:v>45595</c:v>
                </c:pt>
                <c:pt idx="51">
                  <c:v>45685</c:v>
                </c:pt>
                <c:pt idx="52">
                  <c:v>45775</c:v>
                </c:pt>
                <c:pt idx="53">
                  <c:v>45865</c:v>
                </c:pt>
                <c:pt idx="54">
                  <c:v>45955</c:v>
                </c:pt>
                <c:pt idx="55">
                  <c:v>46045</c:v>
                </c:pt>
                <c:pt idx="56">
                  <c:v>46135</c:v>
                </c:pt>
                <c:pt idx="57">
                  <c:v>46225</c:v>
                </c:pt>
                <c:pt idx="58">
                  <c:v>46315</c:v>
                </c:pt>
                <c:pt idx="59">
                  <c:v>46405</c:v>
                </c:pt>
                <c:pt idx="60">
                  <c:v>46495</c:v>
                </c:pt>
                <c:pt idx="61">
                  <c:v>46585</c:v>
                </c:pt>
                <c:pt idx="62">
                  <c:v>46675</c:v>
                </c:pt>
                <c:pt idx="63">
                  <c:v>46765</c:v>
                </c:pt>
                <c:pt idx="64">
                  <c:v>46855</c:v>
                </c:pt>
                <c:pt idx="65">
                  <c:v>46945</c:v>
                </c:pt>
                <c:pt idx="66">
                  <c:v>47035</c:v>
                </c:pt>
                <c:pt idx="67">
                  <c:v>47125</c:v>
                </c:pt>
                <c:pt idx="68">
                  <c:v>47215</c:v>
                </c:pt>
                <c:pt idx="69">
                  <c:v>47305</c:v>
                </c:pt>
                <c:pt idx="70">
                  <c:v>47395</c:v>
                </c:pt>
                <c:pt idx="71">
                  <c:v>47485</c:v>
                </c:pt>
                <c:pt idx="72">
                  <c:v>47575</c:v>
                </c:pt>
                <c:pt idx="73">
                  <c:v>47665</c:v>
                </c:pt>
                <c:pt idx="74">
                  <c:v>47755</c:v>
                </c:pt>
                <c:pt idx="75">
                  <c:v>47845</c:v>
                </c:pt>
                <c:pt idx="76">
                  <c:v>47935</c:v>
                </c:pt>
                <c:pt idx="77">
                  <c:v>48025</c:v>
                </c:pt>
                <c:pt idx="78">
                  <c:v>48115</c:v>
                </c:pt>
                <c:pt idx="79">
                  <c:v>48205</c:v>
                </c:pt>
                <c:pt idx="80">
                  <c:v>48295</c:v>
                </c:pt>
                <c:pt idx="81">
                  <c:v>48385</c:v>
                </c:pt>
                <c:pt idx="82">
                  <c:v>48475</c:v>
                </c:pt>
                <c:pt idx="83">
                  <c:v>48565</c:v>
                </c:pt>
                <c:pt idx="84">
                  <c:v>48655</c:v>
                </c:pt>
                <c:pt idx="85">
                  <c:v>48745</c:v>
                </c:pt>
                <c:pt idx="86">
                  <c:v>48835</c:v>
                </c:pt>
                <c:pt idx="87">
                  <c:v>48925</c:v>
                </c:pt>
                <c:pt idx="88">
                  <c:v>49015</c:v>
                </c:pt>
                <c:pt idx="89">
                  <c:v>49105</c:v>
                </c:pt>
                <c:pt idx="90">
                  <c:v>49195</c:v>
                </c:pt>
                <c:pt idx="91">
                  <c:v>49285</c:v>
                </c:pt>
                <c:pt idx="92">
                  <c:v>49375</c:v>
                </c:pt>
                <c:pt idx="93">
                  <c:v>49465</c:v>
                </c:pt>
                <c:pt idx="94">
                  <c:v>49555</c:v>
                </c:pt>
                <c:pt idx="95">
                  <c:v>49645</c:v>
                </c:pt>
                <c:pt idx="96">
                  <c:v>49735</c:v>
                </c:pt>
                <c:pt idx="97">
                  <c:v>49825</c:v>
                </c:pt>
                <c:pt idx="98">
                  <c:v>49915</c:v>
                </c:pt>
                <c:pt idx="99">
                  <c:v>50005</c:v>
                </c:pt>
                <c:pt idx="100">
                  <c:v>50095</c:v>
                </c:pt>
                <c:pt idx="101">
                  <c:v>50185</c:v>
                </c:pt>
                <c:pt idx="102">
                  <c:v>50275</c:v>
                </c:pt>
                <c:pt idx="103">
                  <c:v>50365</c:v>
                </c:pt>
                <c:pt idx="104">
                  <c:v>50455</c:v>
                </c:pt>
                <c:pt idx="105">
                  <c:v>50545</c:v>
                </c:pt>
                <c:pt idx="106">
                  <c:v>50635</c:v>
                </c:pt>
                <c:pt idx="107">
                  <c:v>50725</c:v>
                </c:pt>
                <c:pt idx="108">
                  <c:v>50815</c:v>
                </c:pt>
                <c:pt idx="109">
                  <c:v>50905</c:v>
                </c:pt>
                <c:pt idx="110">
                  <c:v>50995</c:v>
                </c:pt>
                <c:pt idx="111">
                  <c:v>51085</c:v>
                </c:pt>
                <c:pt idx="112">
                  <c:v>51175</c:v>
                </c:pt>
                <c:pt idx="113">
                  <c:v>51265</c:v>
                </c:pt>
                <c:pt idx="114">
                  <c:v>51355</c:v>
                </c:pt>
                <c:pt idx="115">
                  <c:v>51445</c:v>
                </c:pt>
                <c:pt idx="116">
                  <c:v>51535</c:v>
                </c:pt>
                <c:pt idx="117">
                  <c:v>51625</c:v>
                </c:pt>
                <c:pt idx="118">
                  <c:v>51715</c:v>
                </c:pt>
                <c:pt idx="119">
                  <c:v>51805</c:v>
                </c:pt>
                <c:pt idx="120">
                  <c:v>51895</c:v>
                </c:pt>
                <c:pt idx="121">
                  <c:v>51985</c:v>
                </c:pt>
                <c:pt idx="122">
                  <c:v>52075</c:v>
                </c:pt>
                <c:pt idx="123">
                  <c:v>52165</c:v>
                </c:pt>
                <c:pt idx="124">
                  <c:v>52255</c:v>
                </c:pt>
                <c:pt idx="125">
                  <c:v>52345</c:v>
                </c:pt>
                <c:pt idx="126">
                  <c:v>52435</c:v>
                </c:pt>
                <c:pt idx="127">
                  <c:v>52525</c:v>
                </c:pt>
                <c:pt idx="128">
                  <c:v>52615</c:v>
                </c:pt>
                <c:pt idx="129">
                  <c:v>52705</c:v>
                </c:pt>
                <c:pt idx="130">
                  <c:v>52795</c:v>
                </c:pt>
                <c:pt idx="131">
                  <c:v>52885</c:v>
                </c:pt>
                <c:pt idx="132">
                  <c:v>52975</c:v>
                </c:pt>
                <c:pt idx="133">
                  <c:v>53065</c:v>
                </c:pt>
                <c:pt idx="134">
                  <c:v>53155</c:v>
                </c:pt>
                <c:pt idx="135">
                  <c:v>53245</c:v>
                </c:pt>
                <c:pt idx="136">
                  <c:v>53335</c:v>
                </c:pt>
                <c:pt idx="137">
                  <c:v>53425</c:v>
                </c:pt>
                <c:pt idx="138">
                  <c:v>53515</c:v>
                </c:pt>
                <c:pt idx="139">
                  <c:v>53605</c:v>
                </c:pt>
                <c:pt idx="140">
                  <c:v>53695</c:v>
                </c:pt>
                <c:pt idx="141">
                  <c:v>53785</c:v>
                </c:pt>
                <c:pt idx="142">
                  <c:v>53875</c:v>
                </c:pt>
                <c:pt idx="143">
                  <c:v>53965</c:v>
                </c:pt>
                <c:pt idx="144">
                  <c:v>54055</c:v>
                </c:pt>
                <c:pt idx="145">
                  <c:v>54145</c:v>
                </c:pt>
                <c:pt idx="146">
                  <c:v>54235</c:v>
                </c:pt>
                <c:pt idx="147">
                  <c:v>54325</c:v>
                </c:pt>
                <c:pt idx="148">
                  <c:v>54415</c:v>
                </c:pt>
                <c:pt idx="149">
                  <c:v>54505</c:v>
                </c:pt>
                <c:pt idx="150">
                  <c:v>54595</c:v>
                </c:pt>
                <c:pt idx="151">
                  <c:v>54685</c:v>
                </c:pt>
                <c:pt idx="152">
                  <c:v>54775</c:v>
                </c:pt>
                <c:pt idx="153">
                  <c:v>54865</c:v>
                </c:pt>
                <c:pt idx="154">
                  <c:v>54955</c:v>
                </c:pt>
                <c:pt idx="155">
                  <c:v>55045</c:v>
                </c:pt>
                <c:pt idx="156">
                  <c:v>55135</c:v>
                </c:pt>
                <c:pt idx="157">
                  <c:v>55225</c:v>
                </c:pt>
                <c:pt idx="158">
                  <c:v>55315</c:v>
                </c:pt>
                <c:pt idx="159">
                  <c:v>55405</c:v>
                </c:pt>
                <c:pt idx="160">
                  <c:v>55495</c:v>
                </c:pt>
                <c:pt idx="161">
                  <c:v>55585</c:v>
                </c:pt>
                <c:pt idx="162">
                  <c:v>55675</c:v>
                </c:pt>
                <c:pt idx="163">
                  <c:v>55765</c:v>
                </c:pt>
                <c:pt idx="164">
                  <c:v>55855</c:v>
                </c:pt>
                <c:pt idx="165">
                  <c:v>55945</c:v>
                </c:pt>
                <c:pt idx="166">
                  <c:v>56035</c:v>
                </c:pt>
                <c:pt idx="167">
                  <c:v>56125</c:v>
                </c:pt>
                <c:pt idx="168">
                  <c:v>56215</c:v>
                </c:pt>
                <c:pt idx="169">
                  <c:v>56305</c:v>
                </c:pt>
                <c:pt idx="170">
                  <c:v>56395</c:v>
                </c:pt>
                <c:pt idx="171">
                  <c:v>56485</c:v>
                </c:pt>
                <c:pt idx="172">
                  <c:v>56575</c:v>
                </c:pt>
                <c:pt idx="173">
                  <c:v>56665</c:v>
                </c:pt>
                <c:pt idx="174">
                  <c:v>56755</c:v>
                </c:pt>
                <c:pt idx="175">
                  <c:v>56845</c:v>
                </c:pt>
                <c:pt idx="176">
                  <c:v>56935</c:v>
                </c:pt>
                <c:pt idx="177">
                  <c:v>57025</c:v>
                </c:pt>
                <c:pt idx="178">
                  <c:v>57115</c:v>
                </c:pt>
                <c:pt idx="179">
                  <c:v>57205</c:v>
                </c:pt>
                <c:pt idx="180">
                  <c:v>57295</c:v>
                </c:pt>
                <c:pt idx="181">
                  <c:v>57385</c:v>
                </c:pt>
                <c:pt idx="182">
                  <c:v>57475</c:v>
                </c:pt>
                <c:pt idx="183">
                  <c:v>57565</c:v>
                </c:pt>
                <c:pt idx="184">
                  <c:v>57655</c:v>
                </c:pt>
                <c:pt idx="185">
                  <c:v>57745</c:v>
                </c:pt>
                <c:pt idx="186">
                  <c:v>57835</c:v>
                </c:pt>
                <c:pt idx="187">
                  <c:v>57925</c:v>
                </c:pt>
                <c:pt idx="188">
                  <c:v>58015</c:v>
                </c:pt>
                <c:pt idx="189">
                  <c:v>58105</c:v>
                </c:pt>
                <c:pt idx="190">
                  <c:v>58195</c:v>
                </c:pt>
                <c:pt idx="191">
                  <c:v>58285</c:v>
                </c:pt>
                <c:pt idx="192">
                  <c:v>58375</c:v>
                </c:pt>
                <c:pt idx="193">
                  <c:v>58465</c:v>
                </c:pt>
                <c:pt idx="194">
                  <c:v>58555</c:v>
                </c:pt>
                <c:pt idx="195">
                  <c:v>58645</c:v>
                </c:pt>
                <c:pt idx="196">
                  <c:v>58735</c:v>
                </c:pt>
                <c:pt idx="197">
                  <c:v>58825</c:v>
                </c:pt>
                <c:pt idx="198">
                  <c:v>58915</c:v>
                </c:pt>
                <c:pt idx="199">
                  <c:v>59005</c:v>
                </c:pt>
                <c:pt idx="200">
                  <c:v>59095</c:v>
                </c:pt>
                <c:pt idx="201">
                  <c:v>59185</c:v>
                </c:pt>
                <c:pt idx="202">
                  <c:v>59275</c:v>
                </c:pt>
                <c:pt idx="203">
                  <c:v>59365</c:v>
                </c:pt>
                <c:pt idx="204">
                  <c:v>59455</c:v>
                </c:pt>
                <c:pt idx="205">
                  <c:v>59545</c:v>
                </c:pt>
                <c:pt idx="206">
                  <c:v>59635</c:v>
                </c:pt>
                <c:pt idx="207">
                  <c:v>59725</c:v>
                </c:pt>
                <c:pt idx="208">
                  <c:v>59815</c:v>
                </c:pt>
                <c:pt idx="209">
                  <c:v>59905</c:v>
                </c:pt>
                <c:pt idx="210">
                  <c:v>59995</c:v>
                </c:pt>
                <c:pt idx="211">
                  <c:v>60085</c:v>
                </c:pt>
              </c:numCache>
            </c:numRef>
          </c:cat>
          <c:val>
            <c:numRef>
              <c:f>'Bumped Curve Snap'!$E$4:$E$215</c:f>
              <c:numCache>
                <c:formatCode>G/通用格式</c:formatCode>
                <c:ptCount val="212"/>
                <c:pt idx="0">
                  <c:v>2.2901163845572833E-2</c:v>
                </c:pt>
                <c:pt idx="1">
                  <c:v>2.2901163846608317E-2</c:v>
                </c:pt>
                <c:pt idx="2">
                  <c:v>2.2590832085933141E-2</c:v>
                </c:pt>
                <c:pt idx="3">
                  <c:v>2.1863985768684605E-2</c:v>
                </c:pt>
                <c:pt idx="4">
                  <c:v>2.2486467624392298E-2</c:v>
                </c:pt>
                <c:pt idx="5">
                  <c:v>2.4747574021618007E-2</c:v>
                </c:pt>
                <c:pt idx="6">
                  <c:v>2.6434514071156111E-2</c:v>
                </c:pt>
                <c:pt idx="7">
                  <c:v>2.4983193732240797E-2</c:v>
                </c:pt>
                <c:pt idx="8">
                  <c:v>2.362953550685358E-2</c:v>
                </c:pt>
                <c:pt idx="9">
                  <c:v>2.3923325645437483E-2</c:v>
                </c:pt>
                <c:pt idx="10">
                  <c:v>2.4371839257408896E-2</c:v>
                </c:pt>
                <c:pt idx="11">
                  <c:v>2.47409227834288E-2</c:v>
                </c:pt>
                <c:pt idx="12">
                  <c:v>2.5172687592452041E-2</c:v>
                </c:pt>
                <c:pt idx="13">
                  <c:v>2.5567758108914516E-2</c:v>
                </c:pt>
                <c:pt idx="14">
                  <c:v>2.5879863241353704E-2</c:v>
                </c:pt>
                <c:pt idx="15">
                  <c:v>2.6141011259498585E-2</c:v>
                </c:pt>
                <c:pt idx="16">
                  <c:v>2.64702982848663E-2</c:v>
                </c:pt>
                <c:pt idx="17">
                  <c:v>2.6993445930198125E-2</c:v>
                </c:pt>
                <c:pt idx="18">
                  <c:v>2.7534698224416607E-2</c:v>
                </c:pt>
                <c:pt idx="19">
                  <c:v>2.8081052336300896E-2</c:v>
                </c:pt>
                <c:pt idx="20">
                  <c:v>2.8621884392632652E-2</c:v>
                </c:pt>
                <c:pt idx="21">
                  <c:v>2.9251778314705681E-2</c:v>
                </c:pt>
                <c:pt idx="22">
                  <c:v>2.9802948055813624E-2</c:v>
                </c:pt>
                <c:pt idx="23">
                  <c:v>3.025063095783043E-2</c:v>
                </c:pt>
                <c:pt idx="24">
                  <c:v>3.0655741544408078E-2</c:v>
                </c:pt>
                <c:pt idx="25">
                  <c:v>3.1723743185840293E-2</c:v>
                </c:pt>
                <c:pt idx="26">
                  <c:v>3.1887848603553655E-2</c:v>
                </c:pt>
                <c:pt idx="27">
                  <c:v>3.118472643665899E-2</c:v>
                </c:pt>
                <c:pt idx="28">
                  <c:v>3.1025680312934061E-2</c:v>
                </c:pt>
                <c:pt idx="29">
                  <c:v>3.1442893709535985E-2</c:v>
                </c:pt>
                <c:pt idx="30">
                  <c:v>3.2031781719228956E-2</c:v>
                </c:pt>
                <c:pt idx="31">
                  <c:v>3.2582967504644025E-2</c:v>
                </c:pt>
                <c:pt idx="32">
                  <c:v>3.3077026976257799E-2</c:v>
                </c:pt>
                <c:pt idx="33">
                  <c:v>3.3349785613747115E-2</c:v>
                </c:pt>
                <c:pt idx="34">
                  <c:v>3.3450398762366496E-2</c:v>
                </c:pt>
                <c:pt idx="35">
                  <c:v>3.3722073361791179E-2</c:v>
                </c:pt>
                <c:pt idx="36">
                  <c:v>3.4094794026685464E-2</c:v>
                </c:pt>
                <c:pt idx="37">
                  <c:v>3.4018888476816812E-2</c:v>
                </c:pt>
                <c:pt idx="38">
                  <c:v>3.3742279979787917E-2</c:v>
                </c:pt>
                <c:pt idx="39">
                  <c:v>3.3651684163743804E-2</c:v>
                </c:pt>
                <c:pt idx="40">
                  <c:v>3.3638784169310328E-2</c:v>
                </c:pt>
                <c:pt idx="41">
                  <c:v>3.3842223929361336E-2</c:v>
                </c:pt>
                <c:pt idx="42">
                  <c:v>3.4170920824332041E-2</c:v>
                </c:pt>
                <c:pt idx="43">
                  <c:v>3.4484443225320384E-2</c:v>
                </c:pt>
                <c:pt idx="44">
                  <c:v>3.4793785853414423E-2</c:v>
                </c:pt>
                <c:pt idx="45">
                  <c:v>3.5079527003633877E-2</c:v>
                </c:pt>
                <c:pt idx="46">
                  <c:v>3.5352939825397875E-2</c:v>
                </c:pt>
                <c:pt idx="47">
                  <c:v>3.5614805249843895E-2</c:v>
                </c:pt>
                <c:pt idx="48">
                  <c:v>3.5871421988405622E-2</c:v>
                </c:pt>
                <c:pt idx="49">
                  <c:v>3.6112070436321572E-2</c:v>
                </c:pt>
                <c:pt idx="50">
                  <c:v>3.6345738133369013E-2</c:v>
                </c:pt>
                <c:pt idx="51">
                  <c:v>3.6567737695171652E-2</c:v>
                </c:pt>
                <c:pt idx="52">
                  <c:v>3.6786018722127084E-2</c:v>
                </c:pt>
                <c:pt idx="53">
                  <c:v>3.6993660720724658E-2</c:v>
                </c:pt>
                <c:pt idx="54">
                  <c:v>3.7191383597323956E-2</c:v>
                </c:pt>
                <c:pt idx="55">
                  <c:v>3.738197287249341E-2</c:v>
                </c:pt>
                <c:pt idx="56">
                  <c:v>3.7569906328597212E-2</c:v>
                </c:pt>
                <c:pt idx="57">
                  <c:v>3.7749177124005738E-2</c:v>
                </c:pt>
                <c:pt idx="58">
                  <c:v>3.7920336059555852E-2</c:v>
                </c:pt>
                <c:pt idx="59">
                  <c:v>3.8085738863442936E-2</c:v>
                </c:pt>
                <c:pt idx="60">
                  <c:v>3.8249240184698108E-2</c:v>
                </c:pt>
                <c:pt idx="61">
                  <c:v>3.8405102576218555E-2</c:v>
                </c:pt>
                <c:pt idx="62">
                  <c:v>3.8540824882166654E-2</c:v>
                </c:pt>
                <c:pt idx="63">
                  <c:v>3.8664859581212054E-2</c:v>
                </c:pt>
                <c:pt idx="64">
                  <c:v>3.8786388539590773E-2</c:v>
                </c:pt>
                <c:pt idx="65">
                  <c:v>3.8904169511144823E-2</c:v>
                </c:pt>
                <c:pt idx="66">
                  <c:v>3.9017106318965739E-2</c:v>
                </c:pt>
                <c:pt idx="67">
                  <c:v>3.9126696556096428E-2</c:v>
                </c:pt>
                <c:pt idx="68">
                  <c:v>3.9235469337554389E-2</c:v>
                </c:pt>
                <c:pt idx="69">
                  <c:v>3.9339889499373851E-2</c:v>
                </c:pt>
                <c:pt idx="70">
                  <c:v>3.944019520191621E-2</c:v>
                </c:pt>
                <c:pt idx="71">
                  <c:v>3.9537695184137078E-2</c:v>
                </c:pt>
                <c:pt idx="72">
                  <c:v>3.9634631141988549E-2</c:v>
                </c:pt>
                <c:pt idx="73">
                  <c:v>3.9727841803510251E-2</c:v>
                </c:pt>
                <c:pt idx="74">
                  <c:v>3.9817521928922857E-2</c:v>
                </c:pt>
                <c:pt idx="75">
                  <c:v>3.9905806197623399E-2</c:v>
                </c:pt>
                <c:pt idx="76">
                  <c:v>3.9992711434549612E-2</c:v>
                </c:pt>
                <c:pt idx="77">
                  <c:v>4.0075472424576493E-2</c:v>
                </c:pt>
                <c:pt idx="78">
                  <c:v>4.0156130105199007E-2</c:v>
                </c:pt>
                <c:pt idx="79">
                  <c:v>4.0235642386356921E-2</c:v>
                </c:pt>
                <c:pt idx="80">
                  <c:v>4.0313159262508023E-2</c:v>
                </c:pt>
                <c:pt idx="81">
                  <c:v>4.0408250465265798E-2</c:v>
                </c:pt>
                <c:pt idx="82">
                  <c:v>4.0510215102447379E-2</c:v>
                </c:pt>
                <c:pt idx="83">
                  <c:v>4.061154518139027E-2</c:v>
                </c:pt>
                <c:pt idx="84">
                  <c:v>4.0711552275166006E-2</c:v>
                </c:pt>
                <c:pt idx="85">
                  <c:v>4.0807030356055075E-2</c:v>
                </c:pt>
                <c:pt idx="86">
                  <c:v>4.0900306102873027E-2</c:v>
                </c:pt>
                <c:pt idx="87">
                  <c:v>4.099247628059384E-2</c:v>
                </c:pt>
                <c:pt idx="88">
                  <c:v>4.1083544567055881E-2</c:v>
                </c:pt>
                <c:pt idx="89">
                  <c:v>4.1170583224399426E-2</c:v>
                </c:pt>
                <c:pt idx="90">
                  <c:v>4.125570371139136E-2</c:v>
                </c:pt>
                <c:pt idx="91">
                  <c:v>4.1339902138732988E-2</c:v>
                </c:pt>
                <c:pt idx="92">
                  <c:v>4.1423178616617692E-2</c:v>
                </c:pt>
                <c:pt idx="93">
                  <c:v>4.1502849274919672E-2</c:v>
                </c:pt>
                <c:pt idx="94">
                  <c:v>4.1580839118034757E-2</c:v>
                </c:pt>
                <c:pt idx="95">
                  <c:v>4.1658057034384501E-2</c:v>
                </c:pt>
                <c:pt idx="96">
                  <c:v>4.1733660035889374E-2</c:v>
                </c:pt>
                <c:pt idx="97">
                  <c:v>4.1807700641632119E-2</c:v>
                </c:pt>
                <c:pt idx="98">
                  <c:v>4.1879420452587759E-2</c:v>
                </c:pt>
                <c:pt idx="99">
                  <c:v>4.1949702587536691E-2</c:v>
                </c:pt>
                <c:pt idx="100">
                  <c:v>4.2018587389844084E-2</c:v>
                </c:pt>
                <c:pt idx="101">
                  <c:v>4.2088397329272657E-2</c:v>
                </c:pt>
                <c:pt idx="102">
                  <c:v>4.2154572922634942E-2</c:v>
                </c:pt>
                <c:pt idx="103">
                  <c:v>4.2219472877428353E-2</c:v>
                </c:pt>
                <c:pt idx="104">
                  <c:v>4.2283133118681017E-2</c:v>
                </c:pt>
                <c:pt idx="105">
                  <c:v>4.2347697982724246E-2</c:v>
                </c:pt>
                <c:pt idx="106">
                  <c:v>4.240894866419017E-2</c:v>
                </c:pt>
                <c:pt idx="107">
                  <c:v>4.2469062704289705E-2</c:v>
                </c:pt>
                <c:pt idx="108">
                  <c:v>4.2528071018052359E-2</c:v>
                </c:pt>
                <c:pt idx="109">
                  <c:v>4.2587960415557582E-2</c:v>
                </c:pt>
                <c:pt idx="110">
                  <c:v>4.2644816205000394E-2</c:v>
                </c:pt>
                <c:pt idx="111">
                  <c:v>4.2700654858486897E-2</c:v>
                </c:pt>
                <c:pt idx="112">
                  <c:v>4.2755503152791911E-2</c:v>
                </c:pt>
                <c:pt idx="113">
                  <c:v>4.281060042470021E-2</c:v>
                </c:pt>
                <c:pt idx="114">
                  <c:v>4.2863528428382813E-2</c:v>
                </c:pt>
                <c:pt idx="115">
                  <c:v>4.2915542259762123E-2</c:v>
                </c:pt>
                <c:pt idx="116">
                  <c:v>4.2966665770656311E-2</c:v>
                </c:pt>
                <c:pt idx="117">
                  <c:v>4.3011441073004454E-2</c:v>
                </c:pt>
                <c:pt idx="118">
                  <c:v>4.2995547426209445E-2</c:v>
                </c:pt>
                <c:pt idx="119">
                  <c:v>4.2877003048594771E-2</c:v>
                </c:pt>
                <c:pt idx="120">
                  <c:v>4.2761738142337934E-2</c:v>
                </c:pt>
                <c:pt idx="121">
                  <c:v>4.2649004965999021E-2</c:v>
                </c:pt>
                <c:pt idx="122">
                  <c:v>4.2584948559226135E-2</c:v>
                </c:pt>
                <c:pt idx="123">
                  <c:v>4.2636622154436782E-2</c:v>
                </c:pt>
                <c:pt idx="124">
                  <c:v>4.2687467318889429E-2</c:v>
                </c:pt>
                <c:pt idx="125">
                  <c:v>4.2738632754962848E-2</c:v>
                </c:pt>
                <c:pt idx="126">
                  <c:v>4.2788418463545218E-2</c:v>
                </c:pt>
                <c:pt idx="127">
                  <c:v>4.2836874622187091E-2</c:v>
                </c:pt>
                <c:pt idx="128">
                  <c:v>4.2884578039040118E-2</c:v>
                </c:pt>
                <c:pt idx="129">
                  <c:v>4.2932076719194731E-2</c:v>
                </c:pt>
                <c:pt idx="130">
                  <c:v>4.29788412585018E-2</c:v>
                </c:pt>
                <c:pt idx="131">
                  <c:v>4.3024377765110269E-2</c:v>
                </c:pt>
                <c:pt idx="132">
                  <c:v>4.3069228937819538E-2</c:v>
                </c:pt>
                <c:pt idx="133">
                  <c:v>4.3114406055452414E-2</c:v>
                </c:pt>
                <c:pt idx="134">
                  <c:v>4.3158411618225583E-2</c:v>
                </c:pt>
                <c:pt idx="135">
                  <c:v>4.3201279191745143E-2</c:v>
                </c:pt>
                <c:pt idx="136">
                  <c:v>4.3243520078255354E-2</c:v>
                </c:pt>
                <c:pt idx="137">
                  <c:v>4.3286086892608405E-2</c:v>
                </c:pt>
                <c:pt idx="138">
                  <c:v>4.3327568074367086E-2</c:v>
                </c:pt>
                <c:pt idx="139">
                  <c:v>4.3367994256772568E-2</c:v>
                </c:pt>
                <c:pt idx="140">
                  <c:v>4.3407846257444142E-2</c:v>
                </c:pt>
                <c:pt idx="141">
                  <c:v>4.344802263896988E-2</c:v>
                </c:pt>
                <c:pt idx="142">
                  <c:v>4.3487190561814895E-2</c:v>
                </c:pt>
                <c:pt idx="143">
                  <c:v>4.3525378138572476E-2</c:v>
                </c:pt>
                <c:pt idx="144">
                  <c:v>4.3563463301301772E-2</c:v>
                </c:pt>
                <c:pt idx="145">
                  <c:v>4.360102013235663E-2</c:v>
                </c:pt>
                <c:pt idx="146">
                  <c:v>4.3637649618857695E-2</c:v>
                </c:pt>
                <c:pt idx="147">
                  <c:v>4.3673785053034091E-2</c:v>
                </c:pt>
                <c:pt idx="148">
                  <c:v>4.3709838608077485E-2</c:v>
                </c:pt>
                <c:pt idx="149">
                  <c:v>4.3745796220449711E-2</c:v>
                </c:pt>
                <c:pt idx="150">
                  <c:v>4.3780490949258698E-2</c:v>
                </c:pt>
                <c:pt idx="151">
                  <c:v>4.3814732968004991E-2</c:v>
                </c:pt>
                <c:pt idx="152">
                  <c:v>4.3848907249829115E-2</c:v>
                </c:pt>
                <c:pt idx="153">
                  <c:v>4.3883002873153928E-2</c:v>
                </c:pt>
                <c:pt idx="154">
                  <c:v>4.3915911230346279E-2</c:v>
                </c:pt>
                <c:pt idx="155">
                  <c:v>4.3948402731912938E-2</c:v>
                </c:pt>
                <c:pt idx="156">
                  <c:v>4.3980840644984642E-2</c:v>
                </c:pt>
                <c:pt idx="157">
                  <c:v>4.4013215314011846E-2</c:v>
                </c:pt>
                <c:pt idx="158">
                  <c:v>4.4044471682908676E-2</c:v>
                </c:pt>
                <c:pt idx="159">
                  <c:v>4.4075343592202235E-2</c:v>
                </c:pt>
                <c:pt idx="160">
                  <c:v>4.4106174192787395E-2</c:v>
                </c:pt>
                <c:pt idx="161">
                  <c:v>4.4136615242051744E-2</c:v>
                </c:pt>
                <c:pt idx="162">
                  <c:v>4.416634481634249E-2</c:v>
                </c:pt>
                <c:pt idx="163">
                  <c:v>4.4195720053587045E-2</c:v>
                </c:pt>
                <c:pt idx="164">
                  <c:v>4.4225064778858375E-2</c:v>
                </c:pt>
                <c:pt idx="165">
                  <c:v>4.425437421155106E-2</c:v>
                </c:pt>
                <c:pt idx="166">
                  <c:v>4.4283004542907282E-2</c:v>
                </c:pt>
                <c:pt idx="167">
                  <c:v>4.4310975889475905E-2</c:v>
                </c:pt>
                <c:pt idx="168">
                  <c:v>4.4338617433616029E-2</c:v>
                </c:pt>
                <c:pt idx="169">
                  <c:v>4.4365934244064084E-2</c:v>
                </c:pt>
                <c:pt idx="170">
                  <c:v>4.4393845621473436E-2</c:v>
                </c:pt>
                <c:pt idx="171">
                  <c:v>4.4420519327701267E-2</c:v>
                </c:pt>
                <c:pt idx="172">
                  <c:v>4.4446885851732891E-2</c:v>
                </c:pt>
                <c:pt idx="173">
                  <c:v>4.4472949956625263E-2</c:v>
                </c:pt>
                <c:pt idx="174">
                  <c:v>4.4499588460889201E-2</c:v>
                </c:pt>
                <c:pt idx="175">
                  <c:v>4.4525052773060216E-2</c:v>
                </c:pt>
                <c:pt idx="176">
                  <c:v>4.455023050147279E-2</c:v>
                </c:pt>
                <c:pt idx="177">
                  <c:v>4.457512615111138E-2</c:v>
                </c:pt>
                <c:pt idx="178">
                  <c:v>4.4600298803255556E-2</c:v>
                </c:pt>
                <c:pt idx="179">
                  <c:v>4.4624637597684737E-2</c:v>
                </c:pt>
                <c:pt idx="180">
                  <c:v>4.464870956742395E-2</c:v>
                </c:pt>
                <c:pt idx="181">
                  <c:v>4.4672512859727412E-2</c:v>
                </c:pt>
                <c:pt idx="182">
                  <c:v>4.4696857265659751E-2</c:v>
                </c:pt>
                <c:pt idx="183">
                  <c:v>4.472014085653906E-2</c:v>
                </c:pt>
                <c:pt idx="184">
                  <c:v>4.4743175258739991E-2</c:v>
                </c:pt>
                <c:pt idx="185">
                  <c:v>4.4765956799132665E-2</c:v>
                </c:pt>
                <c:pt idx="186">
                  <c:v>4.4789262009617345E-2</c:v>
                </c:pt>
                <c:pt idx="187">
                  <c:v>4.4811556961831797E-2</c:v>
                </c:pt>
                <c:pt idx="188">
                  <c:v>4.4833618997662687E-2</c:v>
                </c:pt>
                <c:pt idx="189">
                  <c:v>4.485568988288887E-2</c:v>
                </c:pt>
                <c:pt idx="190">
                  <c:v>4.4877774324174488E-2</c:v>
                </c:pt>
                <c:pt idx="191">
                  <c:v>4.4899383879041375E-2</c:v>
                </c:pt>
                <c:pt idx="192">
                  <c:v>4.4920531082757675E-2</c:v>
                </c:pt>
                <c:pt idx="193">
                  <c:v>4.494145490262174E-2</c:v>
                </c:pt>
                <c:pt idx="194">
                  <c:v>4.4962401026091954E-2</c:v>
                </c:pt>
                <c:pt idx="195">
                  <c:v>4.4983132857373404E-2</c:v>
                </c:pt>
                <c:pt idx="196">
                  <c:v>4.5003420958060619E-2</c:v>
                </c:pt>
                <c:pt idx="197">
                  <c:v>4.5023502871820012E-2</c:v>
                </c:pt>
                <c:pt idx="198">
                  <c:v>4.5043837966334238E-2</c:v>
                </c:pt>
                <c:pt idx="199">
                  <c:v>4.5063742624414135E-2</c:v>
                </c:pt>
                <c:pt idx="200">
                  <c:v>4.5083227656084239E-2</c:v>
                </c:pt>
                <c:pt idx="201">
                  <c:v>4.5102521321993126E-2</c:v>
                </c:pt>
                <c:pt idx="202">
                  <c:v>4.5122052314485135E-2</c:v>
                </c:pt>
                <c:pt idx="203">
                  <c:v>4.5141176837923763E-2</c:v>
                </c:pt>
                <c:pt idx="204">
                  <c:v>4.5159903039976017E-2</c:v>
                </c:pt>
                <c:pt idx="205">
                  <c:v>4.5178448936098486E-2</c:v>
                </c:pt>
                <c:pt idx="206">
                  <c:v>4.5197226906452288E-2</c:v>
                </c:pt>
                <c:pt idx="207">
                  <c:v>4.521561709317911E-2</c:v>
                </c:pt>
                <c:pt idx="208">
                  <c:v>4.5233627943165738E-2</c:v>
                </c:pt>
                <c:pt idx="209">
                  <c:v>4.5251469912668561E-2</c:v>
                </c:pt>
                <c:pt idx="210">
                  <c:v>4.5269340189623516E-2</c:v>
                </c:pt>
                <c:pt idx="211">
                  <c:v>4.5287038817137609E-2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'Bumped Curve Snap'!$F$3</c:f>
              <c:strCache>
                <c:ptCount val="1"/>
                <c:pt idx="0">
                  <c:v>CNY_Treasury_Live_Curve_2012-7-5_Calibrated_Curve_4</c:v>
                </c:pt>
              </c:strCache>
            </c:strRef>
          </c:tx>
          <c:marker>
            <c:symbol val="none"/>
          </c:marker>
          <c:cat>
            <c:numRef>
              <c:f>'Bumped Curve Snap'!$A$4:$A$215</c:f>
              <c:numCache>
                <c:formatCode>yyyy-m-d</c:formatCode>
                <c:ptCount val="212"/>
                <c:pt idx="0">
                  <c:v>41095</c:v>
                </c:pt>
                <c:pt idx="1">
                  <c:v>41185</c:v>
                </c:pt>
                <c:pt idx="2">
                  <c:v>41275</c:v>
                </c:pt>
                <c:pt idx="3">
                  <c:v>41365</c:v>
                </c:pt>
                <c:pt idx="4">
                  <c:v>41455</c:v>
                </c:pt>
                <c:pt idx="5">
                  <c:v>41545</c:v>
                </c:pt>
                <c:pt idx="6">
                  <c:v>41635</c:v>
                </c:pt>
                <c:pt idx="7">
                  <c:v>41725</c:v>
                </c:pt>
                <c:pt idx="8">
                  <c:v>41815</c:v>
                </c:pt>
                <c:pt idx="9">
                  <c:v>41905</c:v>
                </c:pt>
                <c:pt idx="10">
                  <c:v>41995</c:v>
                </c:pt>
                <c:pt idx="11">
                  <c:v>42085</c:v>
                </c:pt>
                <c:pt idx="12">
                  <c:v>42175</c:v>
                </c:pt>
                <c:pt idx="13">
                  <c:v>42265</c:v>
                </c:pt>
                <c:pt idx="14">
                  <c:v>42355</c:v>
                </c:pt>
                <c:pt idx="15">
                  <c:v>42445</c:v>
                </c:pt>
                <c:pt idx="16">
                  <c:v>42535</c:v>
                </c:pt>
                <c:pt idx="17">
                  <c:v>42625</c:v>
                </c:pt>
                <c:pt idx="18">
                  <c:v>42715</c:v>
                </c:pt>
                <c:pt idx="19">
                  <c:v>42805</c:v>
                </c:pt>
                <c:pt idx="20">
                  <c:v>42895</c:v>
                </c:pt>
                <c:pt idx="21">
                  <c:v>42985</c:v>
                </c:pt>
                <c:pt idx="22">
                  <c:v>43075</c:v>
                </c:pt>
                <c:pt idx="23">
                  <c:v>43165</c:v>
                </c:pt>
                <c:pt idx="24">
                  <c:v>43255</c:v>
                </c:pt>
                <c:pt idx="25">
                  <c:v>43345</c:v>
                </c:pt>
                <c:pt idx="26">
                  <c:v>43435</c:v>
                </c:pt>
                <c:pt idx="27">
                  <c:v>43525</c:v>
                </c:pt>
                <c:pt idx="28">
                  <c:v>43615</c:v>
                </c:pt>
                <c:pt idx="29">
                  <c:v>43705</c:v>
                </c:pt>
                <c:pt idx="30">
                  <c:v>43795</c:v>
                </c:pt>
                <c:pt idx="31">
                  <c:v>43885</c:v>
                </c:pt>
                <c:pt idx="32">
                  <c:v>43975</c:v>
                </c:pt>
                <c:pt idx="33">
                  <c:v>44065</c:v>
                </c:pt>
                <c:pt idx="34">
                  <c:v>44155</c:v>
                </c:pt>
                <c:pt idx="35">
                  <c:v>44245</c:v>
                </c:pt>
                <c:pt idx="36">
                  <c:v>44335</c:v>
                </c:pt>
                <c:pt idx="37">
                  <c:v>44425</c:v>
                </c:pt>
                <c:pt idx="38">
                  <c:v>44515</c:v>
                </c:pt>
                <c:pt idx="39">
                  <c:v>44605</c:v>
                </c:pt>
                <c:pt idx="40">
                  <c:v>44695</c:v>
                </c:pt>
                <c:pt idx="41">
                  <c:v>44785</c:v>
                </c:pt>
                <c:pt idx="42">
                  <c:v>44875</c:v>
                </c:pt>
                <c:pt idx="43">
                  <c:v>44965</c:v>
                </c:pt>
                <c:pt idx="44">
                  <c:v>45055</c:v>
                </c:pt>
                <c:pt idx="45">
                  <c:v>45145</c:v>
                </c:pt>
                <c:pt idx="46">
                  <c:v>45235</c:v>
                </c:pt>
                <c:pt idx="47">
                  <c:v>45325</c:v>
                </c:pt>
                <c:pt idx="48">
                  <c:v>45415</c:v>
                </c:pt>
                <c:pt idx="49">
                  <c:v>45505</c:v>
                </c:pt>
                <c:pt idx="50">
                  <c:v>45595</c:v>
                </c:pt>
                <c:pt idx="51">
                  <c:v>45685</c:v>
                </c:pt>
                <c:pt idx="52">
                  <c:v>45775</c:v>
                </c:pt>
                <c:pt idx="53">
                  <c:v>45865</c:v>
                </c:pt>
                <c:pt idx="54">
                  <c:v>45955</c:v>
                </c:pt>
                <c:pt idx="55">
                  <c:v>46045</c:v>
                </c:pt>
                <c:pt idx="56">
                  <c:v>46135</c:v>
                </c:pt>
                <c:pt idx="57">
                  <c:v>46225</c:v>
                </c:pt>
                <c:pt idx="58">
                  <c:v>46315</c:v>
                </c:pt>
                <c:pt idx="59">
                  <c:v>46405</c:v>
                </c:pt>
                <c:pt idx="60">
                  <c:v>46495</c:v>
                </c:pt>
                <c:pt idx="61">
                  <c:v>46585</c:v>
                </c:pt>
                <c:pt idx="62">
                  <c:v>46675</c:v>
                </c:pt>
                <c:pt idx="63">
                  <c:v>46765</c:v>
                </c:pt>
                <c:pt idx="64">
                  <c:v>46855</c:v>
                </c:pt>
                <c:pt idx="65">
                  <c:v>46945</c:v>
                </c:pt>
                <c:pt idx="66">
                  <c:v>47035</c:v>
                </c:pt>
                <c:pt idx="67">
                  <c:v>47125</c:v>
                </c:pt>
                <c:pt idx="68">
                  <c:v>47215</c:v>
                </c:pt>
                <c:pt idx="69">
                  <c:v>47305</c:v>
                </c:pt>
                <c:pt idx="70">
                  <c:v>47395</c:v>
                </c:pt>
                <c:pt idx="71">
                  <c:v>47485</c:v>
                </c:pt>
                <c:pt idx="72">
                  <c:v>47575</c:v>
                </c:pt>
                <c:pt idx="73">
                  <c:v>47665</c:v>
                </c:pt>
                <c:pt idx="74">
                  <c:v>47755</c:v>
                </c:pt>
                <c:pt idx="75">
                  <c:v>47845</c:v>
                </c:pt>
                <c:pt idx="76">
                  <c:v>47935</c:v>
                </c:pt>
                <c:pt idx="77">
                  <c:v>48025</c:v>
                </c:pt>
                <c:pt idx="78">
                  <c:v>48115</c:v>
                </c:pt>
                <c:pt idx="79">
                  <c:v>48205</c:v>
                </c:pt>
                <c:pt idx="80">
                  <c:v>48295</c:v>
                </c:pt>
                <c:pt idx="81">
                  <c:v>48385</c:v>
                </c:pt>
                <c:pt idx="82">
                  <c:v>48475</c:v>
                </c:pt>
                <c:pt idx="83">
                  <c:v>48565</c:v>
                </c:pt>
                <c:pt idx="84">
                  <c:v>48655</c:v>
                </c:pt>
                <c:pt idx="85">
                  <c:v>48745</c:v>
                </c:pt>
                <c:pt idx="86">
                  <c:v>48835</c:v>
                </c:pt>
                <c:pt idx="87">
                  <c:v>48925</c:v>
                </c:pt>
                <c:pt idx="88">
                  <c:v>49015</c:v>
                </c:pt>
                <c:pt idx="89">
                  <c:v>49105</c:v>
                </c:pt>
                <c:pt idx="90">
                  <c:v>49195</c:v>
                </c:pt>
                <c:pt idx="91">
                  <c:v>49285</c:v>
                </c:pt>
                <c:pt idx="92">
                  <c:v>49375</c:v>
                </c:pt>
                <c:pt idx="93">
                  <c:v>49465</c:v>
                </c:pt>
                <c:pt idx="94">
                  <c:v>49555</c:v>
                </c:pt>
                <c:pt idx="95">
                  <c:v>49645</c:v>
                </c:pt>
                <c:pt idx="96">
                  <c:v>49735</c:v>
                </c:pt>
                <c:pt idx="97">
                  <c:v>49825</c:v>
                </c:pt>
                <c:pt idx="98">
                  <c:v>49915</c:v>
                </c:pt>
                <c:pt idx="99">
                  <c:v>50005</c:v>
                </c:pt>
                <c:pt idx="100">
                  <c:v>50095</c:v>
                </c:pt>
                <c:pt idx="101">
                  <c:v>50185</c:v>
                </c:pt>
                <c:pt idx="102">
                  <c:v>50275</c:v>
                </c:pt>
                <c:pt idx="103">
                  <c:v>50365</c:v>
                </c:pt>
                <c:pt idx="104">
                  <c:v>50455</c:v>
                </c:pt>
                <c:pt idx="105">
                  <c:v>50545</c:v>
                </c:pt>
                <c:pt idx="106">
                  <c:v>50635</c:v>
                </c:pt>
                <c:pt idx="107">
                  <c:v>50725</c:v>
                </c:pt>
                <c:pt idx="108">
                  <c:v>50815</c:v>
                </c:pt>
                <c:pt idx="109">
                  <c:v>50905</c:v>
                </c:pt>
                <c:pt idx="110">
                  <c:v>50995</c:v>
                </c:pt>
                <c:pt idx="111">
                  <c:v>51085</c:v>
                </c:pt>
                <c:pt idx="112">
                  <c:v>51175</c:v>
                </c:pt>
                <c:pt idx="113">
                  <c:v>51265</c:v>
                </c:pt>
                <c:pt idx="114">
                  <c:v>51355</c:v>
                </c:pt>
                <c:pt idx="115">
                  <c:v>51445</c:v>
                </c:pt>
                <c:pt idx="116">
                  <c:v>51535</c:v>
                </c:pt>
                <c:pt idx="117">
                  <c:v>51625</c:v>
                </c:pt>
                <c:pt idx="118">
                  <c:v>51715</c:v>
                </c:pt>
                <c:pt idx="119">
                  <c:v>51805</c:v>
                </c:pt>
                <c:pt idx="120">
                  <c:v>51895</c:v>
                </c:pt>
                <c:pt idx="121">
                  <c:v>51985</c:v>
                </c:pt>
                <c:pt idx="122">
                  <c:v>52075</c:v>
                </c:pt>
                <c:pt idx="123">
                  <c:v>52165</c:v>
                </c:pt>
                <c:pt idx="124">
                  <c:v>52255</c:v>
                </c:pt>
                <c:pt idx="125">
                  <c:v>52345</c:v>
                </c:pt>
                <c:pt idx="126">
                  <c:v>52435</c:v>
                </c:pt>
                <c:pt idx="127">
                  <c:v>52525</c:v>
                </c:pt>
                <c:pt idx="128">
                  <c:v>52615</c:v>
                </c:pt>
                <c:pt idx="129">
                  <c:v>52705</c:v>
                </c:pt>
                <c:pt idx="130">
                  <c:v>52795</c:v>
                </c:pt>
                <c:pt idx="131">
                  <c:v>52885</c:v>
                </c:pt>
                <c:pt idx="132">
                  <c:v>52975</c:v>
                </c:pt>
                <c:pt idx="133">
                  <c:v>53065</c:v>
                </c:pt>
                <c:pt idx="134">
                  <c:v>53155</c:v>
                </c:pt>
                <c:pt idx="135">
                  <c:v>53245</c:v>
                </c:pt>
                <c:pt idx="136">
                  <c:v>53335</c:v>
                </c:pt>
                <c:pt idx="137">
                  <c:v>53425</c:v>
                </c:pt>
                <c:pt idx="138">
                  <c:v>53515</c:v>
                </c:pt>
                <c:pt idx="139">
                  <c:v>53605</c:v>
                </c:pt>
                <c:pt idx="140">
                  <c:v>53695</c:v>
                </c:pt>
                <c:pt idx="141">
                  <c:v>53785</c:v>
                </c:pt>
                <c:pt idx="142">
                  <c:v>53875</c:v>
                </c:pt>
                <c:pt idx="143">
                  <c:v>53965</c:v>
                </c:pt>
                <c:pt idx="144">
                  <c:v>54055</c:v>
                </c:pt>
                <c:pt idx="145">
                  <c:v>54145</c:v>
                </c:pt>
                <c:pt idx="146">
                  <c:v>54235</c:v>
                </c:pt>
                <c:pt idx="147">
                  <c:v>54325</c:v>
                </c:pt>
                <c:pt idx="148">
                  <c:v>54415</c:v>
                </c:pt>
                <c:pt idx="149">
                  <c:v>54505</c:v>
                </c:pt>
                <c:pt idx="150">
                  <c:v>54595</c:v>
                </c:pt>
                <c:pt idx="151">
                  <c:v>54685</c:v>
                </c:pt>
                <c:pt idx="152">
                  <c:v>54775</c:v>
                </c:pt>
                <c:pt idx="153">
                  <c:v>54865</c:v>
                </c:pt>
                <c:pt idx="154">
                  <c:v>54955</c:v>
                </c:pt>
                <c:pt idx="155">
                  <c:v>55045</c:v>
                </c:pt>
                <c:pt idx="156">
                  <c:v>55135</c:v>
                </c:pt>
                <c:pt idx="157">
                  <c:v>55225</c:v>
                </c:pt>
                <c:pt idx="158">
                  <c:v>55315</c:v>
                </c:pt>
                <c:pt idx="159">
                  <c:v>55405</c:v>
                </c:pt>
                <c:pt idx="160">
                  <c:v>55495</c:v>
                </c:pt>
                <c:pt idx="161">
                  <c:v>55585</c:v>
                </c:pt>
                <c:pt idx="162">
                  <c:v>55675</c:v>
                </c:pt>
                <c:pt idx="163">
                  <c:v>55765</c:v>
                </c:pt>
                <c:pt idx="164">
                  <c:v>55855</c:v>
                </c:pt>
                <c:pt idx="165">
                  <c:v>55945</c:v>
                </c:pt>
                <c:pt idx="166">
                  <c:v>56035</c:v>
                </c:pt>
                <c:pt idx="167">
                  <c:v>56125</c:v>
                </c:pt>
                <c:pt idx="168">
                  <c:v>56215</c:v>
                </c:pt>
                <c:pt idx="169">
                  <c:v>56305</c:v>
                </c:pt>
                <c:pt idx="170">
                  <c:v>56395</c:v>
                </c:pt>
                <c:pt idx="171">
                  <c:v>56485</c:v>
                </c:pt>
                <c:pt idx="172">
                  <c:v>56575</c:v>
                </c:pt>
                <c:pt idx="173">
                  <c:v>56665</c:v>
                </c:pt>
                <c:pt idx="174">
                  <c:v>56755</c:v>
                </c:pt>
                <c:pt idx="175">
                  <c:v>56845</c:v>
                </c:pt>
                <c:pt idx="176">
                  <c:v>56935</c:v>
                </c:pt>
                <c:pt idx="177">
                  <c:v>57025</c:v>
                </c:pt>
                <c:pt idx="178">
                  <c:v>57115</c:v>
                </c:pt>
                <c:pt idx="179">
                  <c:v>57205</c:v>
                </c:pt>
                <c:pt idx="180">
                  <c:v>57295</c:v>
                </c:pt>
                <c:pt idx="181">
                  <c:v>57385</c:v>
                </c:pt>
                <c:pt idx="182">
                  <c:v>57475</c:v>
                </c:pt>
                <c:pt idx="183">
                  <c:v>57565</c:v>
                </c:pt>
                <c:pt idx="184">
                  <c:v>57655</c:v>
                </c:pt>
                <c:pt idx="185">
                  <c:v>57745</c:v>
                </c:pt>
                <c:pt idx="186">
                  <c:v>57835</c:v>
                </c:pt>
                <c:pt idx="187">
                  <c:v>57925</c:v>
                </c:pt>
                <c:pt idx="188">
                  <c:v>58015</c:v>
                </c:pt>
                <c:pt idx="189">
                  <c:v>58105</c:v>
                </c:pt>
                <c:pt idx="190">
                  <c:v>58195</c:v>
                </c:pt>
                <c:pt idx="191">
                  <c:v>58285</c:v>
                </c:pt>
                <c:pt idx="192">
                  <c:v>58375</c:v>
                </c:pt>
                <c:pt idx="193">
                  <c:v>58465</c:v>
                </c:pt>
                <c:pt idx="194">
                  <c:v>58555</c:v>
                </c:pt>
                <c:pt idx="195">
                  <c:v>58645</c:v>
                </c:pt>
                <c:pt idx="196">
                  <c:v>58735</c:v>
                </c:pt>
                <c:pt idx="197">
                  <c:v>58825</c:v>
                </c:pt>
                <c:pt idx="198">
                  <c:v>58915</c:v>
                </c:pt>
                <c:pt idx="199">
                  <c:v>59005</c:v>
                </c:pt>
                <c:pt idx="200">
                  <c:v>59095</c:v>
                </c:pt>
                <c:pt idx="201">
                  <c:v>59185</c:v>
                </c:pt>
                <c:pt idx="202">
                  <c:v>59275</c:v>
                </c:pt>
                <c:pt idx="203">
                  <c:v>59365</c:v>
                </c:pt>
                <c:pt idx="204">
                  <c:v>59455</c:v>
                </c:pt>
                <c:pt idx="205">
                  <c:v>59545</c:v>
                </c:pt>
                <c:pt idx="206">
                  <c:v>59635</c:v>
                </c:pt>
                <c:pt idx="207">
                  <c:v>59725</c:v>
                </c:pt>
                <c:pt idx="208">
                  <c:v>59815</c:v>
                </c:pt>
                <c:pt idx="209">
                  <c:v>59905</c:v>
                </c:pt>
                <c:pt idx="210">
                  <c:v>59995</c:v>
                </c:pt>
                <c:pt idx="211">
                  <c:v>60085</c:v>
                </c:pt>
              </c:numCache>
            </c:numRef>
          </c:cat>
          <c:val>
            <c:numRef>
              <c:f>'Bumped Curve Snap'!$F$4:$F$215</c:f>
              <c:numCache>
                <c:formatCode>G/通用格式</c:formatCode>
                <c:ptCount val="212"/>
                <c:pt idx="0">
                  <c:v>2.2901163845572833E-2</c:v>
                </c:pt>
                <c:pt idx="1">
                  <c:v>2.2901163846608317E-2</c:v>
                </c:pt>
                <c:pt idx="2">
                  <c:v>2.2590832085933141E-2</c:v>
                </c:pt>
                <c:pt idx="3">
                  <c:v>2.1863985768684605E-2</c:v>
                </c:pt>
                <c:pt idx="4">
                  <c:v>2.2486467624392298E-2</c:v>
                </c:pt>
                <c:pt idx="5">
                  <c:v>2.4725159248548505E-2</c:v>
                </c:pt>
                <c:pt idx="6">
                  <c:v>2.6387617726099405E-2</c:v>
                </c:pt>
                <c:pt idx="7">
                  <c:v>2.4911826344369812E-2</c:v>
                </c:pt>
                <c:pt idx="8">
                  <c:v>2.3533962685551989E-2</c:v>
                </c:pt>
                <c:pt idx="9">
                  <c:v>2.3838692004682503E-2</c:v>
                </c:pt>
                <c:pt idx="10">
                  <c:v>2.4303801480819957E-2</c:v>
                </c:pt>
                <c:pt idx="11">
                  <c:v>2.4689418082421991E-2</c:v>
                </c:pt>
                <c:pt idx="12">
                  <c:v>2.5137652525907484E-2</c:v>
                </c:pt>
                <c:pt idx="13">
                  <c:v>2.5549149209058007E-2</c:v>
                </c:pt>
                <c:pt idx="14">
                  <c:v>2.5877938651461853E-2</c:v>
                </c:pt>
                <c:pt idx="15">
                  <c:v>2.6155778548594209E-2</c:v>
                </c:pt>
                <c:pt idx="16">
                  <c:v>2.6501696903391575E-2</c:v>
                </c:pt>
                <c:pt idx="17">
                  <c:v>2.7041503563332542E-2</c:v>
                </c:pt>
                <c:pt idx="18">
                  <c:v>2.7599667867355945E-2</c:v>
                </c:pt>
                <c:pt idx="19">
                  <c:v>2.8163100787123741E-2</c:v>
                </c:pt>
                <c:pt idx="20">
                  <c:v>2.8720828921725828E-2</c:v>
                </c:pt>
                <c:pt idx="21">
                  <c:v>2.9353085675418517E-2</c:v>
                </c:pt>
                <c:pt idx="22">
                  <c:v>2.9898904217949634E-2</c:v>
                </c:pt>
                <c:pt idx="23">
                  <c:v>3.0341198601573086E-2</c:v>
                </c:pt>
                <c:pt idx="24">
                  <c:v>3.0740961845983489E-2</c:v>
                </c:pt>
                <c:pt idx="25">
                  <c:v>3.1803787074444818E-2</c:v>
                </c:pt>
                <c:pt idx="26">
                  <c:v>3.1962411154155906E-2</c:v>
                </c:pt>
                <c:pt idx="27">
                  <c:v>3.1253571278941614E-2</c:v>
                </c:pt>
                <c:pt idx="28">
                  <c:v>3.1088979209065275E-2</c:v>
                </c:pt>
                <c:pt idx="29">
                  <c:v>3.1500786274384573E-2</c:v>
                </c:pt>
                <c:pt idx="30">
                  <c:v>3.2084329821780944E-2</c:v>
                </c:pt>
                <c:pt idx="31">
                  <c:v>3.2630175440789243E-2</c:v>
                </c:pt>
                <c:pt idx="32">
                  <c:v>3.3118685791747454E-2</c:v>
                </c:pt>
                <c:pt idx="33">
                  <c:v>3.3385939253311361E-2</c:v>
                </c:pt>
                <c:pt idx="34">
                  <c:v>3.3481054050386545E-2</c:v>
                </c:pt>
                <c:pt idx="35">
                  <c:v>3.3747257213584431E-2</c:v>
                </c:pt>
                <c:pt idx="36">
                  <c:v>3.4114286115653737E-2</c:v>
                </c:pt>
                <c:pt idx="37">
                  <c:v>3.403282058057866E-2</c:v>
                </c:pt>
                <c:pt idx="38">
                  <c:v>3.3750705816959173E-2</c:v>
                </c:pt>
                <c:pt idx="39">
                  <c:v>3.3654607236677202E-2</c:v>
                </c:pt>
                <c:pt idx="40">
                  <c:v>3.3636006351844064E-2</c:v>
                </c:pt>
                <c:pt idx="41">
                  <c:v>3.3835801308292841E-2</c:v>
                </c:pt>
                <c:pt idx="42">
                  <c:v>3.4164575954901182E-2</c:v>
                </c:pt>
                <c:pt idx="43">
                  <c:v>3.4478171960797291E-2</c:v>
                </c:pt>
                <c:pt idx="44">
                  <c:v>3.478759295583863E-2</c:v>
                </c:pt>
                <c:pt idx="45">
                  <c:v>3.5073407021627839E-2</c:v>
                </c:pt>
                <c:pt idx="46">
                  <c:v>3.5346893793962476E-2</c:v>
                </c:pt>
                <c:pt idx="47">
                  <c:v>3.5608827521622727E-2</c:v>
                </c:pt>
                <c:pt idx="48">
                  <c:v>3.5865516751682924E-2</c:v>
                </c:pt>
                <c:pt idx="49">
                  <c:v>3.6106232406782346E-2</c:v>
                </c:pt>
                <c:pt idx="50">
                  <c:v>3.6339968616652542E-2</c:v>
                </c:pt>
                <c:pt idx="51">
                  <c:v>3.6562027978558335E-2</c:v>
                </c:pt>
                <c:pt idx="52">
                  <c:v>3.6780373376539437E-2</c:v>
                </c:pt>
                <c:pt idx="53">
                  <c:v>3.6988083496918067E-2</c:v>
                </c:pt>
                <c:pt idx="54">
                  <c:v>3.7185871883209792E-2</c:v>
                </c:pt>
                <c:pt idx="55">
                  <c:v>3.7376515677827293E-2</c:v>
                </c:pt>
                <c:pt idx="56">
                  <c:v>3.7564507813774815E-2</c:v>
                </c:pt>
                <c:pt idx="57">
                  <c:v>3.7743841474032945E-2</c:v>
                </c:pt>
                <c:pt idx="58">
                  <c:v>3.7915061723097089E-2</c:v>
                </c:pt>
                <c:pt idx="59">
                  <c:v>3.8080514098470276E-2</c:v>
                </c:pt>
                <c:pt idx="60">
                  <c:v>3.8244068778776896E-2</c:v>
                </c:pt>
                <c:pt idx="61">
                  <c:v>3.8399989200827121E-2</c:v>
                </c:pt>
                <c:pt idx="62">
                  <c:v>3.8535771364543094E-2</c:v>
                </c:pt>
                <c:pt idx="63">
                  <c:v>3.865985471743779E-2</c:v>
                </c:pt>
                <c:pt idx="64">
                  <c:v>3.8781435095227294E-2</c:v>
                </c:pt>
                <c:pt idx="65">
                  <c:v>3.8899272667700456E-2</c:v>
                </c:pt>
                <c:pt idx="66">
                  <c:v>3.9012266573631965E-2</c:v>
                </c:pt>
                <c:pt idx="67">
                  <c:v>3.9121906699189704E-2</c:v>
                </c:pt>
                <c:pt idx="68">
                  <c:v>3.923072351103405E-2</c:v>
                </c:pt>
                <c:pt idx="69">
                  <c:v>3.933519436947816E-2</c:v>
                </c:pt>
                <c:pt idx="70">
                  <c:v>3.9435551161640894E-2</c:v>
                </c:pt>
                <c:pt idx="71">
                  <c:v>3.9533096960917516E-2</c:v>
                </c:pt>
                <c:pt idx="72">
                  <c:v>3.9630073254878155E-2</c:v>
                </c:pt>
                <c:pt idx="73">
                  <c:v>3.9723330040107599E-2</c:v>
                </c:pt>
                <c:pt idx="74">
                  <c:v>3.9813057364100027E-2</c:v>
                </c:pt>
                <c:pt idx="75">
                  <c:v>3.9901384455934039E-2</c:v>
                </c:pt>
                <c:pt idx="76">
                  <c:v>3.9988326700125316E-2</c:v>
                </c:pt>
                <c:pt idx="77">
                  <c:v>4.0071129316236832E-2</c:v>
                </c:pt>
                <c:pt idx="78">
                  <c:v>4.0151830706880824E-2</c:v>
                </c:pt>
                <c:pt idx="79">
                  <c:v>4.0231382734094157E-2</c:v>
                </c:pt>
                <c:pt idx="80">
                  <c:v>4.0308933381231551E-2</c:v>
                </c:pt>
                <c:pt idx="81">
                  <c:v>4.0404059392508122E-2</c:v>
                </c:pt>
                <c:pt idx="82">
                  <c:v>4.0506061212524695E-2</c:v>
                </c:pt>
                <c:pt idx="83">
                  <c:v>4.0607424877276428E-2</c:v>
                </c:pt>
                <c:pt idx="84">
                  <c:v>4.0707458780517951E-2</c:v>
                </c:pt>
                <c:pt idx="85">
                  <c:v>4.0802966641152467E-2</c:v>
                </c:pt>
                <c:pt idx="86">
                  <c:v>4.0896276817332357E-2</c:v>
                </c:pt>
                <c:pt idx="87">
                  <c:v>4.0988478683806666E-2</c:v>
                </c:pt>
                <c:pt idx="88">
                  <c:v>4.1079572142772247E-2</c:v>
                </c:pt>
                <c:pt idx="89">
                  <c:v>4.1166638057228526E-2</c:v>
                </c:pt>
                <c:pt idx="90">
                  <c:v>4.1251790819676719E-2</c:v>
                </c:pt>
                <c:pt idx="91">
                  <c:v>4.1336019303315798E-2</c:v>
                </c:pt>
                <c:pt idx="92">
                  <c:v>4.1419319472480204E-2</c:v>
                </c:pt>
                <c:pt idx="93">
                  <c:v>4.1499015054962819E-2</c:v>
                </c:pt>
                <c:pt idx="94">
                  <c:v>4.1577035184160296E-2</c:v>
                </c:pt>
                <c:pt idx="95">
                  <c:v>4.1654281689893505E-2</c:v>
                </c:pt>
                <c:pt idx="96">
                  <c:v>4.172990683224008E-2</c:v>
                </c:pt>
                <c:pt idx="97">
                  <c:v>4.1803970412732323E-2</c:v>
                </c:pt>
                <c:pt idx="98">
                  <c:v>4.1875717479133975E-2</c:v>
                </c:pt>
                <c:pt idx="99">
                  <c:v>4.1946024054131219E-2</c:v>
                </c:pt>
                <c:pt idx="100">
                  <c:v>4.2014929811623983E-2</c:v>
                </c:pt>
                <c:pt idx="101">
                  <c:v>4.2084763369514812E-2</c:v>
                </c:pt>
                <c:pt idx="102">
                  <c:v>4.2150964859087071E-2</c:v>
                </c:pt>
                <c:pt idx="103">
                  <c:v>4.2215889347939975E-2</c:v>
                </c:pt>
                <c:pt idx="104">
                  <c:v>4.2279569068101909E-2</c:v>
                </c:pt>
                <c:pt idx="105">
                  <c:v>4.2344155879050986E-2</c:v>
                </c:pt>
                <c:pt idx="106">
                  <c:v>4.2405430894326038E-2</c:v>
                </c:pt>
                <c:pt idx="107">
                  <c:v>4.2465568565414197E-2</c:v>
                </c:pt>
                <c:pt idx="108">
                  <c:v>4.2524595002800106E-2</c:v>
                </c:pt>
                <c:pt idx="109">
                  <c:v>4.2584504796993661E-2</c:v>
                </c:pt>
                <c:pt idx="110">
                  <c:v>4.2641383470946051E-2</c:v>
                </c:pt>
                <c:pt idx="111">
                  <c:v>4.2697244951420292E-2</c:v>
                </c:pt>
                <c:pt idx="112">
                  <c:v>4.2752110123048248E-2</c:v>
                </c:pt>
                <c:pt idx="113">
                  <c:v>4.2807226111069081E-2</c:v>
                </c:pt>
                <c:pt idx="114">
                  <c:v>4.2860175357167948E-2</c:v>
                </c:pt>
                <c:pt idx="115">
                  <c:v>4.2912210767881959E-2</c:v>
                </c:pt>
                <c:pt idx="116">
                  <c:v>4.2963350952931176E-2</c:v>
                </c:pt>
                <c:pt idx="117">
                  <c:v>4.3008137669610418E-2</c:v>
                </c:pt>
                <c:pt idx="118">
                  <c:v>4.299228051341028E-2</c:v>
                </c:pt>
                <c:pt idx="119">
                  <c:v>4.2873778580028638E-2</c:v>
                </c:pt>
                <c:pt idx="120">
                  <c:v>4.2758551217974852E-2</c:v>
                </c:pt>
                <c:pt idx="121">
                  <c:v>4.2645847456313835E-2</c:v>
                </c:pt>
                <c:pt idx="122">
                  <c:v>4.2581832385903101E-2</c:v>
                </c:pt>
                <c:pt idx="123">
                  <c:v>4.263352418930863E-2</c:v>
                </c:pt>
                <c:pt idx="124">
                  <c:v>4.2684384175944924E-2</c:v>
                </c:pt>
                <c:pt idx="125">
                  <c:v>4.2735555248357489E-2</c:v>
                </c:pt>
                <c:pt idx="126">
                  <c:v>4.2785366374019126E-2</c:v>
                </c:pt>
                <c:pt idx="127">
                  <c:v>4.2833840062928071E-2</c:v>
                </c:pt>
                <c:pt idx="128">
                  <c:v>4.2881557731373289E-2</c:v>
                </c:pt>
                <c:pt idx="129">
                  <c:v>4.2929061222937243E-2</c:v>
                </c:pt>
                <c:pt idx="130">
                  <c:v>4.2975849386051493E-2</c:v>
                </c:pt>
                <c:pt idx="131">
                  <c:v>4.3021406587991216E-2</c:v>
                </c:pt>
                <c:pt idx="132">
                  <c:v>4.3066270436703975E-2</c:v>
                </c:pt>
                <c:pt idx="133">
                  <c:v>4.3111460354609846E-2</c:v>
                </c:pt>
                <c:pt idx="134">
                  <c:v>4.3155479237554813E-2</c:v>
                </c:pt>
                <c:pt idx="135">
                  <c:v>4.3198364939533239E-2</c:v>
                </c:pt>
                <c:pt idx="136">
                  <c:v>4.3240618157220904E-2</c:v>
                </c:pt>
                <c:pt idx="137">
                  <c:v>4.3283197007053416E-2</c:v>
                </c:pt>
                <c:pt idx="138">
                  <c:v>4.3324690795962864E-2</c:v>
                </c:pt>
                <c:pt idx="139">
                  <c:v>4.3365134072907686E-2</c:v>
                </c:pt>
                <c:pt idx="140">
                  <c:v>4.3404998181742323E-2</c:v>
                </c:pt>
                <c:pt idx="141">
                  <c:v>4.3445185884299665E-2</c:v>
                </c:pt>
                <c:pt idx="142">
                  <c:v>4.3484365742894666E-2</c:v>
                </c:pt>
                <c:pt idx="143">
                  <c:v>4.3522569434163126E-2</c:v>
                </c:pt>
                <c:pt idx="144">
                  <c:v>4.3560666629764259E-2</c:v>
                </c:pt>
                <c:pt idx="145">
                  <c:v>4.3598234001740767E-2</c:v>
                </c:pt>
                <c:pt idx="146">
                  <c:v>4.3634874661646381E-2</c:v>
                </c:pt>
                <c:pt idx="147">
                  <c:v>4.3671025016476968E-2</c:v>
                </c:pt>
                <c:pt idx="148">
                  <c:v>4.370708872090294E-2</c:v>
                </c:pt>
                <c:pt idx="149">
                  <c:v>4.3743061551299617E-2</c:v>
                </c:pt>
                <c:pt idx="150">
                  <c:v>4.3777767601065165E-2</c:v>
                </c:pt>
                <c:pt idx="151">
                  <c:v>4.3812020572379359E-2</c:v>
                </c:pt>
                <c:pt idx="152">
                  <c:v>4.3846204230846279E-2</c:v>
                </c:pt>
                <c:pt idx="153">
                  <c:v>4.3880313694932269E-2</c:v>
                </c:pt>
                <c:pt idx="154">
                  <c:v>4.3913233595768243E-2</c:v>
                </c:pt>
                <c:pt idx="155">
                  <c:v>4.3945735134080489E-2</c:v>
                </c:pt>
                <c:pt idx="156">
                  <c:v>4.3978182395036119E-2</c:v>
                </c:pt>
                <c:pt idx="157">
                  <c:v>4.4010569589270611E-2</c:v>
                </c:pt>
                <c:pt idx="158">
                  <c:v>4.4041837728269924E-2</c:v>
                </c:pt>
                <c:pt idx="159">
                  <c:v>4.4072718799692732E-2</c:v>
                </c:pt>
                <c:pt idx="160">
                  <c:v>4.4103558742174344E-2</c:v>
                </c:pt>
                <c:pt idx="161">
                  <c:v>4.4134010856095675E-2</c:v>
                </c:pt>
                <c:pt idx="162">
                  <c:v>4.4163752574481067E-2</c:v>
                </c:pt>
                <c:pt idx="163">
                  <c:v>4.4193134790655057E-2</c:v>
                </c:pt>
                <c:pt idx="164">
                  <c:v>4.422248618400549E-2</c:v>
                </c:pt>
                <c:pt idx="165">
                  <c:v>4.4251800821261615E-2</c:v>
                </c:pt>
                <c:pt idx="166">
                  <c:v>4.4280442855958509E-2</c:v>
                </c:pt>
                <c:pt idx="167">
                  <c:v>4.4308427557843165E-2</c:v>
                </c:pt>
                <c:pt idx="168">
                  <c:v>4.4336078270266636E-2</c:v>
                </c:pt>
                <c:pt idx="169">
                  <c:v>4.4363399201983511E-2</c:v>
                </c:pt>
                <c:pt idx="170">
                  <c:v>4.4391321870400735E-2</c:v>
                </c:pt>
                <c:pt idx="171">
                  <c:v>4.441800852103886E-2</c:v>
                </c:pt>
                <c:pt idx="172">
                  <c:v>4.4444384473057229E-2</c:v>
                </c:pt>
                <c:pt idx="173">
                  <c:v>4.4470451888203616E-2</c:v>
                </c:pt>
                <c:pt idx="174">
                  <c:v>4.4497101062098504E-2</c:v>
                </c:pt>
                <c:pt idx="175">
                  <c:v>4.4522577929299416E-2</c:v>
                </c:pt>
                <c:pt idx="176">
                  <c:v>4.45477653547421E-2</c:v>
                </c:pt>
                <c:pt idx="177">
                  <c:v>4.4572663536950656E-2</c:v>
                </c:pt>
                <c:pt idx="178">
                  <c:v>4.4597846122725077E-2</c:v>
                </c:pt>
                <c:pt idx="179">
                  <c:v>4.4622196988478538E-2</c:v>
                </c:pt>
                <c:pt idx="180">
                  <c:v>4.464628038934846E-2</c:v>
                </c:pt>
                <c:pt idx="181">
                  <c:v>4.4670096372282503E-2</c:v>
                </c:pt>
                <c:pt idx="182">
                  <c:v>4.4694441067809836E-2</c:v>
                </c:pt>
                <c:pt idx="183">
                  <c:v>4.4717730815910586E-2</c:v>
                </c:pt>
                <c:pt idx="184">
                  <c:v>4.4740778665724991E-2</c:v>
                </c:pt>
                <c:pt idx="185">
                  <c:v>4.4763573298294231E-2</c:v>
                </c:pt>
                <c:pt idx="186">
                  <c:v>4.4786878250595713E-2</c:v>
                </c:pt>
                <c:pt idx="187">
                  <c:v>4.4809178592160381E-2</c:v>
                </c:pt>
                <c:pt idx="188">
                  <c:v>4.48312537020727E-2</c:v>
                </c:pt>
                <c:pt idx="189">
                  <c:v>4.4853338068369816E-2</c:v>
                </c:pt>
                <c:pt idx="190">
                  <c:v>4.4875421737360012E-2</c:v>
                </c:pt>
                <c:pt idx="191">
                  <c:v>4.4897036172141198E-2</c:v>
                </c:pt>
                <c:pt idx="192">
                  <c:v>4.4918196024611612E-2</c:v>
                </c:pt>
                <c:pt idx="193">
                  <c:v>4.4939132773118479E-2</c:v>
                </c:pt>
                <c:pt idx="194">
                  <c:v>4.4960078734792568E-2</c:v>
                </c:pt>
                <c:pt idx="195">
                  <c:v>4.4980814793613169E-2</c:v>
                </c:pt>
                <c:pt idx="196">
                  <c:v>4.5001119529970393E-2</c:v>
                </c:pt>
                <c:pt idx="197">
                  <c:v>4.5021210539476823E-2</c:v>
                </c:pt>
                <c:pt idx="198">
                  <c:v>4.5041546021678633E-2</c:v>
                </c:pt>
                <c:pt idx="199">
                  <c:v>4.5061460785793768E-2</c:v>
                </c:pt>
                <c:pt idx="200">
                  <c:v>4.5080954568887395E-2</c:v>
                </c:pt>
                <c:pt idx="201">
                  <c:v>4.5100249570621621E-2</c:v>
                </c:pt>
                <c:pt idx="202">
                  <c:v>4.5119786665749194E-2</c:v>
                </c:pt>
                <c:pt idx="203">
                  <c:v>4.5138922017743804E-2</c:v>
                </c:pt>
                <c:pt idx="204">
                  <c:v>4.5157656915347906E-2</c:v>
                </c:pt>
                <c:pt idx="205">
                  <c:v>4.517620441508767E-2</c:v>
                </c:pt>
                <c:pt idx="206">
                  <c:v>4.519498779283794E-2</c:v>
                </c:pt>
                <c:pt idx="207">
                  <c:v>4.5213388286362566E-2</c:v>
                </c:pt>
                <c:pt idx="208">
                  <c:v>4.5231407782838656E-2</c:v>
                </c:pt>
                <c:pt idx="209">
                  <c:v>4.5249246152149113E-2</c:v>
                </c:pt>
                <c:pt idx="210">
                  <c:v>4.5267119946670098E-2</c:v>
                </c:pt>
                <c:pt idx="211">
                  <c:v>4.5284829979178147E-2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'Bumped Curve Snap'!$G$3</c:f>
              <c:strCache>
                <c:ptCount val="1"/>
                <c:pt idx="0">
                  <c:v>CNY_Treasury_Live_Curve_2012-7-5_Calibrated_Curve_5</c:v>
                </c:pt>
              </c:strCache>
            </c:strRef>
          </c:tx>
          <c:marker>
            <c:symbol val="none"/>
          </c:marker>
          <c:cat>
            <c:numRef>
              <c:f>'Bumped Curve Snap'!$A$4:$A$215</c:f>
              <c:numCache>
                <c:formatCode>yyyy-m-d</c:formatCode>
                <c:ptCount val="212"/>
                <c:pt idx="0">
                  <c:v>41095</c:v>
                </c:pt>
                <c:pt idx="1">
                  <c:v>41185</c:v>
                </c:pt>
                <c:pt idx="2">
                  <c:v>41275</c:v>
                </c:pt>
                <c:pt idx="3">
                  <c:v>41365</c:v>
                </c:pt>
                <c:pt idx="4">
                  <c:v>41455</c:v>
                </c:pt>
                <c:pt idx="5">
                  <c:v>41545</c:v>
                </c:pt>
                <c:pt idx="6">
                  <c:v>41635</c:v>
                </c:pt>
                <c:pt idx="7">
                  <c:v>41725</c:v>
                </c:pt>
                <c:pt idx="8">
                  <c:v>41815</c:v>
                </c:pt>
                <c:pt idx="9">
                  <c:v>41905</c:v>
                </c:pt>
                <c:pt idx="10">
                  <c:v>41995</c:v>
                </c:pt>
                <c:pt idx="11">
                  <c:v>42085</c:v>
                </c:pt>
                <c:pt idx="12">
                  <c:v>42175</c:v>
                </c:pt>
                <c:pt idx="13">
                  <c:v>42265</c:v>
                </c:pt>
                <c:pt idx="14">
                  <c:v>42355</c:v>
                </c:pt>
                <c:pt idx="15">
                  <c:v>42445</c:v>
                </c:pt>
                <c:pt idx="16">
                  <c:v>42535</c:v>
                </c:pt>
                <c:pt idx="17">
                  <c:v>42625</c:v>
                </c:pt>
                <c:pt idx="18">
                  <c:v>42715</c:v>
                </c:pt>
                <c:pt idx="19">
                  <c:v>42805</c:v>
                </c:pt>
                <c:pt idx="20">
                  <c:v>42895</c:v>
                </c:pt>
                <c:pt idx="21">
                  <c:v>42985</c:v>
                </c:pt>
                <c:pt idx="22">
                  <c:v>43075</c:v>
                </c:pt>
                <c:pt idx="23">
                  <c:v>43165</c:v>
                </c:pt>
                <c:pt idx="24">
                  <c:v>43255</c:v>
                </c:pt>
                <c:pt idx="25">
                  <c:v>43345</c:v>
                </c:pt>
                <c:pt idx="26">
                  <c:v>43435</c:v>
                </c:pt>
                <c:pt idx="27">
                  <c:v>43525</c:v>
                </c:pt>
                <c:pt idx="28">
                  <c:v>43615</c:v>
                </c:pt>
                <c:pt idx="29">
                  <c:v>43705</c:v>
                </c:pt>
                <c:pt idx="30">
                  <c:v>43795</c:v>
                </c:pt>
                <c:pt idx="31">
                  <c:v>43885</c:v>
                </c:pt>
                <c:pt idx="32">
                  <c:v>43975</c:v>
                </c:pt>
                <c:pt idx="33">
                  <c:v>44065</c:v>
                </c:pt>
                <c:pt idx="34">
                  <c:v>44155</c:v>
                </c:pt>
                <c:pt idx="35">
                  <c:v>44245</c:v>
                </c:pt>
                <c:pt idx="36">
                  <c:v>44335</c:v>
                </c:pt>
                <c:pt idx="37">
                  <c:v>44425</c:v>
                </c:pt>
                <c:pt idx="38">
                  <c:v>44515</c:v>
                </c:pt>
                <c:pt idx="39">
                  <c:v>44605</c:v>
                </c:pt>
                <c:pt idx="40">
                  <c:v>44695</c:v>
                </c:pt>
                <c:pt idx="41">
                  <c:v>44785</c:v>
                </c:pt>
                <c:pt idx="42">
                  <c:v>44875</c:v>
                </c:pt>
                <c:pt idx="43">
                  <c:v>44965</c:v>
                </c:pt>
                <c:pt idx="44">
                  <c:v>45055</c:v>
                </c:pt>
                <c:pt idx="45">
                  <c:v>45145</c:v>
                </c:pt>
                <c:pt idx="46">
                  <c:v>45235</c:v>
                </c:pt>
                <c:pt idx="47">
                  <c:v>45325</c:v>
                </c:pt>
                <c:pt idx="48">
                  <c:v>45415</c:v>
                </c:pt>
                <c:pt idx="49">
                  <c:v>45505</c:v>
                </c:pt>
                <c:pt idx="50">
                  <c:v>45595</c:v>
                </c:pt>
                <c:pt idx="51">
                  <c:v>45685</c:v>
                </c:pt>
                <c:pt idx="52">
                  <c:v>45775</c:v>
                </c:pt>
                <c:pt idx="53">
                  <c:v>45865</c:v>
                </c:pt>
                <c:pt idx="54">
                  <c:v>45955</c:v>
                </c:pt>
                <c:pt idx="55">
                  <c:v>46045</c:v>
                </c:pt>
                <c:pt idx="56">
                  <c:v>46135</c:v>
                </c:pt>
                <c:pt idx="57">
                  <c:v>46225</c:v>
                </c:pt>
                <c:pt idx="58">
                  <c:v>46315</c:v>
                </c:pt>
                <c:pt idx="59">
                  <c:v>46405</c:v>
                </c:pt>
                <c:pt idx="60">
                  <c:v>46495</c:v>
                </c:pt>
                <c:pt idx="61">
                  <c:v>46585</c:v>
                </c:pt>
                <c:pt idx="62">
                  <c:v>46675</c:v>
                </c:pt>
                <c:pt idx="63">
                  <c:v>46765</c:v>
                </c:pt>
                <c:pt idx="64">
                  <c:v>46855</c:v>
                </c:pt>
                <c:pt idx="65">
                  <c:v>46945</c:v>
                </c:pt>
                <c:pt idx="66">
                  <c:v>47035</c:v>
                </c:pt>
                <c:pt idx="67">
                  <c:v>47125</c:v>
                </c:pt>
                <c:pt idx="68">
                  <c:v>47215</c:v>
                </c:pt>
                <c:pt idx="69">
                  <c:v>47305</c:v>
                </c:pt>
                <c:pt idx="70">
                  <c:v>47395</c:v>
                </c:pt>
                <c:pt idx="71">
                  <c:v>47485</c:v>
                </c:pt>
                <c:pt idx="72">
                  <c:v>47575</c:v>
                </c:pt>
                <c:pt idx="73">
                  <c:v>47665</c:v>
                </c:pt>
                <c:pt idx="74">
                  <c:v>47755</c:v>
                </c:pt>
                <c:pt idx="75">
                  <c:v>47845</c:v>
                </c:pt>
                <c:pt idx="76">
                  <c:v>47935</c:v>
                </c:pt>
                <c:pt idx="77">
                  <c:v>48025</c:v>
                </c:pt>
                <c:pt idx="78">
                  <c:v>48115</c:v>
                </c:pt>
                <c:pt idx="79">
                  <c:v>48205</c:v>
                </c:pt>
                <c:pt idx="80">
                  <c:v>48295</c:v>
                </c:pt>
                <c:pt idx="81">
                  <c:v>48385</c:v>
                </c:pt>
                <c:pt idx="82">
                  <c:v>48475</c:v>
                </c:pt>
                <c:pt idx="83">
                  <c:v>48565</c:v>
                </c:pt>
                <c:pt idx="84">
                  <c:v>48655</c:v>
                </c:pt>
                <c:pt idx="85">
                  <c:v>48745</c:v>
                </c:pt>
                <c:pt idx="86">
                  <c:v>48835</c:v>
                </c:pt>
                <c:pt idx="87">
                  <c:v>48925</c:v>
                </c:pt>
                <c:pt idx="88">
                  <c:v>49015</c:v>
                </c:pt>
                <c:pt idx="89">
                  <c:v>49105</c:v>
                </c:pt>
                <c:pt idx="90">
                  <c:v>49195</c:v>
                </c:pt>
                <c:pt idx="91">
                  <c:v>49285</c:v>
                </c:pt>
                <c:pt idx="92">
                  <c:v>49375</c:v>
                </c:pt>
                <c:pt idx="93">
                  <c:v>49465</c:v>
                </c:pt>
                <c:pt idx="94">
                  <c:v>49555</c:v>
                </c:pt>
                <c:pt idx="95">
                  <c:v>49645</c:v>
                </c:pt>
                <c:pt idx="96">
                  <c:v>49735</c:v>
                </c:pt>
                <c:pt idx="97">
                  <c:v>49825</c:v>
                </c:pt>
                <c:pt idx="98">
                  <c:v>49915</c:v>
                </c:pt>
                <c:pt idx="99">
                  <c:v>50005</c:v>
                </c:pt>
                <c:pt idx="100">
                  <c:v>50095</c:v>
                </c:pt>
                <c:pt idx="101">
                  <c:v>50185</c:v>
                </c:pt>
                <c:pt idx="102">
                  <c:v>50275</c:v>
                </c:pt>
                <c:pt idx="103">
                  <c:v>50365</c:v>
                </c:pt>
                <c:pt idx="104">
                  <c:v>50455</c:v>
                </c:pt>
                <c:pt idx="105">
                  <c:v>50545</c:v>
                </c:pt>
                <c:pt idx="106">
                  <c:v>50635</c:v>
                </c:pt>
                <c:pt idx="107">
                  <c:v>50725</c:v>
                </c:pt>
                <c:pt idx="108">
                  <c:v>50815</c:v>
                </c:pt>
                <c:pt idx="109">
                  <c:v>50905</c:v>
                </c:pt>
                <c:pt idx="110">
                  <c:v>50995</c:v>
                </c:pt>
                <c:pt idx="111">
                  <c:v>51085</c:v>
                </c:pt>
                <c:pt idx="112">
                  <c:v>51175</c:v>
                </c:pt>
                <c:pt idx="113">
                  <c:v>51265</c:v>
                </c:pt>
                <c:pt idx="114">
                  <c:v>51355</c:v>
                </c:pt>
                <c:pt idx="115">
                  <c:v>51445</c:v>
                </c:pt>
                <c:pt idx="116">
                  <c:v>51535</c:v>
                </c:pt>
                <c:pt idx="117">
                  <c:v>51625</c:v>
                </c:pt>
                <c:pt idx="118">
                  <c:v>51715</c:v>
                </c:pt>
                <c:pt idx="119">
                  <c:v>51805</c:v>
                </c:pt>
                <c:pt idx="120">
                  <c:v>51895</c:v>
                </c:pt>
                <c:pt idx="121">
                  <c:v>51985</c:v>
                </c:pt>
                <c:pt idx="122">
                  <c:v>52075</c:v>
                </c:pt>
                <c:pt idx="123">
                  <c:v>52165</c:v>
                </c:pt>
                <c:pt idx="124">
                  <c:v>52255</c:v>
                </c:pt>
                <c:pt idx="125">
                  <c:v>52345</c:v>
                </c:pt>
                <c:pt idx="126">
                  <c:v>52435</c:v>
                </c:pt>
                <c:pt idx="127">
                  <c:v>52525</c:v>
                </c:pt>
                <c:pt idx="128">
                  <c:v>52615</c:v>
                </c:pt>
                <c:pt idx="129">
                  <c:v>52705</c:v>
                </c:pt>
                <c:pt idx="130">
                  <c:v>52795</c:v>
                </c:pt>
                <c:pt idx="131">
                  <c:v>52885</c:v>
                </c:pt>
                <c:pt idx="132">
                  <c:v>52975</c:v>
                </c:pt>
                <c:pt idx="133">
                  <c:v>53065</c:v>
                </c:pt>
                <c:pt idx="134">
                  <c:v>53155</c:v>
                </c:pt>
                <c:pt idx="135">
                  <c:v>53245</c:v>
                </c:pt>
                <c:pt idx="136">
                  <c:v>53335</c:v>
                </c:pt>
                <c:pt idx="137">
                  <c:v>53425</c:v>
                </c:pt>
                <c:pt idx="138">
                  <c:v>53515</c:v>
                </c:pt>
                <c:pt idx="139">
                  <c:v>53605</c:v>
                </c:pt>
                <c:pt idx="140">
                  <c:v>53695</c:v>
                </c:pt>
                <c:pt idx="141">
                  <c:v>53785</c:v>
                </c:pt>
                <c:pt idx="142">
                  <c:v>53875</c:v>
                </c:pt>
                <c:pt idx="143">
                  <c:v>53965</c:v>
                </c:pt>
                <c:pt idx="144">
                  <c:v>54055</c:v>
                </c:pt>
                <c:pt idx="145">
                  <c:v>54145</c:v>
                </c:pt>
                <c:pt idx="146">
                  <c:v>54235</c:v>
                </c:pt>
                <c:pt idx="147">
                  <c:v>54325</c:v>
                </c:pt>
                <c:pt idx="148">
                  <c:v>54415</c:v>
                </c:pt>
                <c:pt idx="149">
                  <c:v>54505</c:v>
                </c:pt>
                <c:pt idx="150">
                  <c:v>54595</c:v>
                </c:pt>
                <c:pt idx="151">
                  <c:v>54685</c:v>
                </c:pt>
                <c:pt idx="152">
                  <c:v>54775</c:v>
                </c:pt>
                <c:pt idx="153">
                  <c:v>54865</c:v>
                </c:pt>
                <c:pt idx="154">
                  <c:v>54955</c:v>
                </c:pt>
                <c:pt idx="155">
                  <c:v>55045</c:v>
                </c:pt>
                <c:pt idx="156">
                  <c:v>55135</c:v>
                </c:pt>
                <c:pt idx="157">
                  <c:v>55225</c:v>
                </c:pt>
                <c:pt idx="158">
                  <c:v>55315</c:v>
                </c:pt>
                <c:pt idx="159">
                  <c:v>55405</c:v>
                </c:pt>
                <c:pt idx="160">
                  <c:v>55495</c:v>
                </c:pt>
                <c:pt idx="161">
                  <c:v>55585</c:v>
                </c:pt>
                <c:pt idx="162">
                  <c:v>55675</c:v>
                </c:pt>
                <c:pt idx="163">
                  <c:v>55765</c:v>
                </c:pt>
                <c:pt idx="164">
                  <c:v>55855</c:v>
                </c:pt>
                <c:pt idx="165">
                  <c:v>55945</c:v>
                </c:pt>
                <c:pt idx="166">
                  <c:v>56035</c:v>
                </c:pt>
                <c:pt idx="167">
                  <c:v>56125</c:v>
                </c:pt>
                <c:pt idx="168">
                  <c:v>56215</c:v>
                </c:pt>
                <c:pt idx="169">
                  <c:v>56305</c:v>
                </c:pt>
                <c:pt idx="170">
                  <c:v>56395</c:v>
                </c:pt>
                <c:pt idx="171">
                  <c:v>56485</c:v>
                </c:pt>
                <c:pt idx="172">
                  <c:v>56575</c:v>
                </c:pt>
                <c:pt idx="173">
                  <c:v>56665</c:v>
                </c:pt>
                <c:pt idx="174">
                  <c:v>56755</c:v>
                </c:pt>
                <c:pt idx="175">
                  <c:v>56845</c:v>
                </c:pt>
                <c:pt idx="176">
                  <c:v>56935</c:v>
                </c:pt>
                <c:pt idx="177">
                  <c:v>57025</c:v>
                </c:pt>
                <c:pt idx="178">
                  <c:v>57115</c:v>
                </c:pt>
                <c:pt idx="179">
                  <c:v>57205</c:v>
                </c:pt>
                <c:pt idx="180">
                  <c:v>57295</c:v>
                </c:pt>
                <c:pt idx="181">
                  <c:v>57385</c:v>
                </c:pt>
                <c:pt idx="182">
                  <c:v>57475</c:v>
                </c:pt>
                <c:pt idx="183">
                  <c:v>57565</c:v>
                </c:pt>
                <c:pt idx="184">
                  <c:v>57655</c:v>
                </c:pt>
                <c:pt idx="185">
                  <c:v>57745</c:v>
                </c:pt>
                <c:pt idx="186">
                  <c:v>57835</c:v>
                </c:pt>
                <c:pt idx="187">
                  <c:v>57925</c:v>
                </c:pt>
                <c:pt idx="188">
                  <c:v>58015</c:v>
                </c:pt>
                <c:pt idx="189">
                  <c:v>58105</c:v>
                </c:pt>
                <c:pt idx="190">
                  <c:v>58195</c:v>
                </c:pt>
                <c:pt idx="191">
                  <c:v>58285</c:v>
                </c:pt>
                <c:pt idx="192">
                  <c:v>58375</c:v>
                </c:pt>
                <c:pt idx="193">
                  <c:v>58465</c:v>
                </c:pt>
                <c:pt idx="194">
                  <c:v>58555</c:v>
                </c:pt>
                <c:pt idx="195">
                  <c:v>58645</c:v>
                </c:pt>
                <c:pt idx="196">
                  <c:v>58735</c:v>
                </c:pt>
                <c:pt idx="197">
                  <c:v>58825</c:v>
                </c:pt>
                <c:pt idx="198">
                  <c:v>58915</c:v>
                </c:pt>
                <c:pt idx="199">
                  <c:v>59005</c:v>
                </c:pt>
                <c:pt idx="200">
                  <c:v>59095</c:v>
                </c:pt>
                <c:pt idx="201">
                  <c:v>59185</c:v>
                </c:pt>
                <c:pt idx="202">
                  <c:v>59275</c:v>
                </c:pt>
                <c:pt idx="203">
                  <c:v>59365</c:v>
                </c:pt>
                <c:pt idx="204">
                  <c:v>59455</c:v>
                </c:pt>
                <c:pt idx="205">
                  <c:v>59545</c:v>
                </c:pt>
                <c:pt idx="206">
                  <c:v>59635</c:v>
                </c:pt>
                <c:pt idx="207">
                  <c:v>59725</c:v>
                </c:pt>
                <c:pt idx="208">
                  <c:v>59815</c:v>
                </c:pt>
                <c:pt idx="209">
                  <c:v>59905</c:v>
                </c:pt>
                <c:pt idx="210">
                  <c:v>59995</c:v>
                </c:pt>
                <c:pt idx="211">
                  <c:v>60085</c:v>
                </c:pt>
              </c:numCache>
            </c:numRef>
          </c:cat>
          <c:val>
            <c:numRef>
              <c:f>'Bumped Curve Snap'!$G$4:$G$215</c:f>
              <c:numCache>
                <c:formatCode>G/通用格式</c:formatCode>
                <c:ptCount val="212"/>
                <c:pt idx="0">
                  <c:v>2.2901163845572833E-2</c:v>
                </c:pt>
                <c:pt idx="1">
                  <c:v>2.2901163846608317E-2</c:v>
                </c:pt>
                <c:pt idx="2">
                  <c:v>2.2590832085933141E-2</c:v>
                </c:pt>
                <c:pt idx="3">
                  <c:v>2.1863985768684605E-2</c:v>
                </c:pt>
                <c:pt idx="4">
                  <c:v>2.2486467624392298E-2</c:v>
                </c:pt>
                <c:pt idx="5">
                  <c:v>2.4725159248548505E-2</c:v>
                </c:pt>
                <c:pt idx="6">
                  <c:v>2.6387617726099405E-2</c:v>
                </c:pt>
                <c:pt idx="7">
                  <c:v>2.4911826344369812E-2</c:v>
                </c:pt>
                <c:pt idx="8">
                  <c:v>2.3533962685551989E-2</c:v>
                </c:pt>
                <c:pt idx="9">
                  <c:v>2.3831645847982728E-2</c:v>
                </c:pt>
                <c:pt idx="10">
                  <c:v>2.4288518169551715E-2</c:v>
                </c:pt>
                <c:pt idx="11">
                  <c:v>2.4665878009076127E-2</c:v>
                </c:pt>
                <c:pt idx="12">
                  <c:v>2.5105922934303009E-2</c:v>
                </c:pt>
                <c:pt idx="13">
                  <c:v>2.5509218566985202E-2</c:v>
                </c:pt>
                <c:pt idx="14">
                  <c:v>2.5829696065884152E-2</c:v>
                </c:pt>
                <c:pt idx="15">
                  <c:v>2.6099189801592242E-2</c:v>
                </c:pt>
                <c:pt idx="16">
                  <c:v>2.6436816647113903E-2</c:v>
                </c:pt>
                <c:pt idx="17">
                  <c:v>2.6968288784701543E-2</c:v>
                </c:pt>
                <c:pt idx="18">
                  <c:v>2.7517993688084795E-2</c:v>
                </c:pt>
                <c:pt idx="19">
                  <c:v>2.8072860955247598E-2</c:v>
                </c:pt>
                <c:pt idx="20">
                  <c:v>2.8622131107234553E-2</c:v>
                </c:pt>
                <c:pt idx="21">
                  <c:v>2.9258261457185474E-2</c:v>
                </c:pt>
                <c:pt idx="22">
                  <c:v>2.9814576192000185E-2</c:v>
                </c:pt>
                <c:pt idx="23">
                  <c:v>3.0267449270182042E-2</c:v>
                </c:pt>
                <c:pt idx="24">
                  <c:v>3.0677688001547552E-2</c:v>
                </c:pt>
                <c:pt idx="25">
                  <c:v>3.1750986167430488E-2</c:v>
                </c:pt>
                <c:pt idx="26">
                  <c:v>3.1920279712688106E-2</c:v>
                </c:pt>
                <c:pt idx="27">
                  <c:v>3.1222205928753952E-2</c:v>
                </c:pt>
                <c:pt idx="28">
                  <c:v>3.1068298397955618E-2</c:v>
                </c:pt>
                <c:pt idx="29">
                  <c:v>3.1490745443254101E-2</c:v>
                </c:pt>
                <c:pt idx="30">
                  <c:v>3.2084978073511017E-2</c:v>
                </c:pt>
                <c:pt idx="31">
                  <c:v>3.2641608909437847E-2</c:v>
                </c:pt>
                <c:pt idx="32">
                  <c:v>3.3141252539385879E-2</c:v>
                </c:pt>
                <c:pt idx="33">
                  <c:v>3.3419339818151227E-2</c:v>
                </c:pt>
                <c:pt idx="34">
                  <c:v>3.3525224628605681E-2</c:v>
                </c:pt>
                <c:pt idx="35">
                  <c:v>3.3802359368041185E-2</c:v>
                </c:pt>
                <c:pt idx="36">
                  <c:v>3.4180787067892252E-2</c:v>
                </c:pt>
                <c:pt idx="37">
                  <c:v>3.41101192161362E-2</c:v>
                </c:pt>
                <c:pt idx="38">
                  <c:v>3.3838622414592449E-2</c:v>
                </c:pt>
                <c:pt idx="39">
                  <c:v>3.3753338034496046E-2</c:v>
                </c:pt>
                <c:pt idx="40">
                  <c:v>3.3745959618106718E-2</c:v>
                </c:pt>
                <c:pt idx="41">
                  <c:v>3.3951949152805722E-2</c:v>
                </c:pt>
                <c:pt idx="42">
                  <c:v>3.4277721690225825E-2</c:v>
                </c:pt>
                <c:pt idx="43">
                  <c:v>3.4588379171565077E-2</c:v>
                </c:pt>
                <c:pt idx="44">
                  <c:v>3.4894718582256096E-2</c:v>
                </c:pt>
                <c:pt idx="45">
                  <c:v>3.5177433489109851E-2</c:v>
                </c:pt>
                <c:pt idx="46">
                  <c:v>3.5447848741882899E-2</c:v>
                </c:pt>
                <c:pt idx="47">
                  <c:v>3.5706758744214424E-2</c:v>
                </c:pt>
                <c:pt idx="48">
                  <c:v>3.5960314167363096E-2</c:v>
                </c:pt>
                <c:pt idx="49">
                  <c:v>3.6197871753890942E-2</c:v>
                </c:pt>
                <c:pt idx="50">
                  <c:v>3.642844334573779E-2</c:v>
                </c:pt>
                <c:pt idx="51">
                  <c:v>3.6647413044182911E-2</c:v>
                </c:pt>
                <c:pt idx="52">
                  <c:v>3.6862592678794909E-2</c:v>
                </c:pt>
                <c:pt idx="53">
                  <c:v>3.7067049117322372E-2</c:v>
                </c:pt>
                <c:pt idx="54">
                  <c:v>3.7261649349345345E-2</c:v>
                </c:pt>
                <c:pt idx="55">
                  <c:v>3.7449135087944785E-2</c:v>
                </c:pt>
                <c:pt idx="56">
                  <c:v>3.7633902363489E-2</c:v>
                </c:pt>
                <c:pt idx="57">
                  <c:v>3.7809923862836853E-2</c:v>
                </c:pt>
                <c:pt idx="58">
                  <c:v>3.7977899963545565E-2</c:v>
                </c:pt>
                <c:pt idx="59">
                  <c:v>3.8140126011905036E-2</c:v>
                </c:pt>
                <c:pt idx="60">
                  <c:v>3.8300395128104306E-2</c:v>
                </c:pt>
                <c:pt idx="61">
                  <c:v>3.84529429153911E-2</c:v>
                </c:pt>
                <c:pt idx="62">
                  <c:v>3.8585419086125873E-2</c:v>
                </c:pt>
                <c:pt idx="63">
                  <c:v>3.8706198594748498E-2</c:v>
                </c:pt>
                <c:pt idx="64">
                  <c:v>3.8824423807888898E-2</c:v>
                </c:pt>
                <c:pt idx="65">
                  <c:v>3.8938824349273517E-2</c:v>
                </c:pt>
                <c:pt idx="66">
                  <c:v>3.9048453945108377E-2</c:v>
                </c:pt>
                <c:pt idx="67">
                  <c:v>3.9154723298740209E-2</c:v>
                </c:pt>
                <c:pt idx="68">
                  <c:v>3.9260118552920782E-2</c:v>
                </c:pt>
                <c:pt idx="69">
                  <c:v>3.9361112839531677E-2</c:v>
                </c:pt>
                <c:pt idx="70">
                  <c:v>3.9458050104427857E-2</c:v>
                </c:pt>
                <c:pt idx="71">
                  <c:v>3.9552162362430254E-2</c:v>
                </c:pt>
                <c:pt idx="72">
                  <c:v>3.9645648044631721E-2</c:v>
                </c:pt>
                <c:pt idx="73">
                  <c:v>3.9735373855461963E-2</c:v>
                </c:pt>
                <c:pt idx="74">
                  <c:v>3.9821623443546582E-2</c:v>
                </c:pt>
                <c:pt idx="75">
                  <c:v>3.9906412870175059E-2</c:v>
                </c:pt>
                <c:pt idx="76">
                  <c:v>3.9989792354271324E-2</c:v>
                </c:pt>
                <c:pt idx="77">
                  <c:v>4.0069044167087113E-2</c:v>
                </c:pt>
                <c:pt idx="78">
                  <c:v>4.0146205584863336E-2</c:v>
                </c:pt>
                <c:pt idx="79">
                  <c:v>4.0222152262638332E-2</c:v>
                </c:pt>
                <c:pt idx="80">
                  <c:v>4.0296074158337511E-2</c:v>
                </c:pt>
                <c:pt idx="81">
                  <c:v>4.038756365533596E-2</c:v>
                </c:pt>
                <c:pt idx="82">
                  <c:v>4.0488590778755808E-2</c:v>
                </c:pt>
                <c:pt idx="83">
                  <c:v>4.0590087561444527E-2</c:v>
                </c:pt>
                <c:pt idx="84">
                  <c:v>4.0690254193227797E-2</c:v>
                </c:pt>
                <c:pt idx="85">
                  <c:v>4.0785893366891937E-2</c:v>
                </c:pt>
                <c:pt idx="86">
                  <c:v>4.08793315224441E-2</c:v>
                </c:pt>
                <c:pt idx="87">
                  <c:v>4.0971657747859228E-2</c:v>
                </c:pt>
                <c:pt idx="88">
                  <c:v>4.1062874836393835E-2</c:v>
                </c:pt>
                <c:pt idx="89">
                  <c:v>4.1150063263300708E-2</c:v>
                </c:pt>
                <c:pt idx="90">
                  <c:v>4.1235336345284632E-2</c:v>
                </c:pt>
                <c:pt idx="91">
                  <c:v>4.1319681306690483E-2</c:v>
                </c:pt>
                <c:pt idx="92">
                  <c:v>4.1403096791275754E-2</c:v>
                </c:pt>
                <c:pt idx="93">
                  <c:v>4.1482906782631383E-2</c:v>
                </c:pt>
                <c:pt idx="94">
                  <c:v>4.1561040182062241E-2</c:v>
                </c:pt>
                <c:pt idx="95">
                  <c:v>4.1638396034904039E-2</c:v>
                </c:pt>
                <c:pt idx="96">
                  <c:v>4.1714127697819896E-2</c:v>
                </c:pt>
                <c:pt idx="97">
                  <c:v>4.1788299413415796E-2</c:v>
                </c:pt>
                <c:pt idx="98">
                  <c:v>4.1860153468263821E-2</c:v>
                </c:pt>
                <c:pt idx="99">
                  <c:v>4.1930562422548272E-2</c:v>
                </c:pt>
                <c:pt idx="100">
                  <c:v>4.1999566106301532E-2</c:v>
                </c:pt>
                <c:pt idx="101">
                  <c:v>4.2069501883483733E-2</c:v>
                </c:pt>
                <c:pt idx="102">
                  <c:v>4.2135805249384366E-2</c:v>
                </c:pt>
                <c:pt idx="103">
                  <c:v>4.2200826377179944E-2</c:v>
                </c:pt>
                <c:pt idx="104">
                  <c:v>4.2264597979315977E-2</c:v>
                </c:pt>
                <c:pt idx="105">
                  <c:v>4.2329280255936415E-2</c:v>
                </c:pt>
                <c:pt idx="106">
                  <c:v>4.239065164405021E-2</c:v>
                </c:pt>
                <c:pt idx="107">
                  <c:v>4.2450880692873387E-2</c:v>
                </c:pt>
                <c:pt idx="108">
                  <c:v>4.2509993471080136E-2</c:v>
                </c:pt>
                <c:pt idx="109">
                  <c:v>4.2569992474037366E-2</c:v>
                </c:pt>
                <c:pt idx="110">
                  <c:v>4.2626962439433223E-2</c:v>
                </c:pt>
                <c:pt idx="111">
                  <c:v>4.2682910521971353E-2</c:v>
                </c:pt>
                <c:pt idx="112">
                  <c:v>4.2737856946497357E-2</c:v>
                </c:pt>
                <c:pt idx="113">
                  <c:v>4.2793055337241065E-2</c:v>
                </c:pt>
                <c:pt idx="114">
                  <c:v>4.2846091510538462E-2</c:v>
                </c:pt>
                <c:pt idx="115">
                  <c:v>4.2898209770978933E-2</c:v>
                </c:pt>
                <c:pt idx="116">
                  <c:v>4.294942305331078E-2</c:v>
                </c:pt>
                <c:pt idx="117">
                  <c:v>4.2994301373032867E-2</c:v>
                </c:pt>
                <c:pt idx="118">
                  <c:v>4.2978556861016835E-2</c:v>
                </c:pt>
                <c:pt idx="119">
                  <c:v>4.286022757208207E-2</c:v>
                </c:pt>
                <c:pt idx="120">
                  <c:v>4.2745158199782606E-2</c:v>
                </c:pt>
                <c:pt idx="121">
                  <c:v>4.2632624651031119E-2</c:v>
                </c:pt>
                <c:pt idx="122">
                  <c:v>4.2568742163018758E-2</c:v>
                </c:pt>
                <c:pt idx="123">
                  <c:v>4.2620505036909125E-2</c:v>
                </c:pt>
                <c:pt idx="124">
                  <c:v>4.2671424364434753E-2</c:v>
                </c:pt>
                <c:pt idx="125">
                  <c:v>4.2722669866181451E-2</c:v>
                </c:pt>
                <c:pt idx="126">
                  <c:v>4.277254569428246E-2</c:v>
                </c:pt>
                <c:pt idx="127">
                  <c:v>4.2821087659497215E-2</c:v>
                </c:pt>
                <c:pt idx="128">
                  <c:v>4.2868861059931186E-2</c:v>
                </c:pt>
                <c:pt idx="129">
                  <c:v>4.2916434157194601E-2</c:v>
                </c:pt>
                <c:pt idx="130">
                  <c:v>4.2963284071883927E-2</c:v>
                </c:pt>
                <c:pt idx="131">
                  <c:v>4.300890235209414E-2</c:v>
                </c:pt>
                <c:pt idx="132">
                  <c:v>4.3053827151464712E-2</c:v>
                </c:pt>
                <c:pt idx="133">
                  <c:v>4.3099071422671241E-2</c:v>
                </c:pt>
                <c:pt idx="134">
                  <c:v>4.31431554577777E-2</c:v>
                </c:pt>
                <c:pt idx="135">
                  <c:v>4.3186101061911432E-2</c:v>
                </c:pt>
                <c:pt idx="136">
                  <c:v>4.3228412249726803E-2</c:v>
                </c:pt>
                <c:pt idx="137">
                  <c:v>4.3271042908981518E-2</c:v>
                </c:pt>
                <c:pt idx="138">
                  <c:v>4.3312598043869915E-2</c:v>
                </c:pt>
                <c:pt idx="139">
                  <c:v>4.3353098902411097E-2</c:v>
                </c:pt>
                <c:pt idx="140">
                  <c:v>4.3393018170844566E-2</c:v>
                </c:pt>
                <c:pt idx="141">
                  <c:v>4.3433255326033302E-2</c:v>
                </c:pt>
                <c:pt idx="142">
                  <c:v>4.3472492930749958E-2</c:v>
                </c:pt>
                <c:pt idx="143">
                  <c:v>4.3510752033106309E-2</c:v>
                </c:pt>
                <c:pt idx="144">
                  <c:v>4.3548902389548769E-2</c:v>
                </c:pt>
                <c:pt idx="145">
                  <c:v>4.3586516437382331E-2</c:v>
                </c:pt>
                <c:pt idx="146">
                  <c:v>4.3623210777986719E-2</c:v>
                </c:pt>
                <c:pt idx="147">
                  <c:v>4.3659415692773221E-2</c:v>
                </c:pt>
                <c:pt idx="148">
                  <c:v>4.3695529150364953E-2</c:v>
                </c:pt>
                <c:pt idx="149">
                  <c:v>4.3731546663954769E-2</c:v>
                </c:pt>
                <c:pt idx="150">
                  <c:v>4.3766302902591959E-2</c:v>
                </c:pt>
                <c:pt idx="151">
                  <c:v>4.3800608864070591E-2</c:v>
                </c:pt>
                <c:pt idx="152">
                  <c:v>4.3834840584364099E-2</c:v>
                </c:pt>
                <c:pt idx="153">
                  <c:v>4.386899269536735E-2</c:v>
                </c:pt>
                <c:pt idx="154">
                  <c:v>4.3901959767944559E-2</c:v>
                </c:pt>
                <c:pt idx="155">
                  <c:v>4.39345123422656E-2</c:v>
                </c:pt>
                <c:pt idx="156">
                  <c:v>4.3967005883887716E-2</c:v>
                </c:pt>
                <c:pt idx="157">
                  <c:v>4.399943382249235E-2</c:v>
                </c:pt>
                <c:pt idx="158">
                  <c:v>4.4030746261029832E-2</c:v>
                </c:pt>
                <c:pt idx="159">
                  <c:v>4.4061676527331402E-2</c:v>
                </c:pt>
                <c:pt idx="160">
                  <c:v>4.4092561119601158E-2</c:v>
                </c:pt>
                <c:pt idx="161">
                  <c:v>4.4123051794624363E-2</c:v>
                </c:pt>
                <c:pt idx="162">
                  <c:v>4.4152834922023779E-2</c:v>
                </c:pt>
                <c:pt idx="163">
                  <c:v>4.4182265117115489E-2</c:v>
                </c:pt>
                <c:pt idx="164">
                  <c:v>4.4211662298713809E-2</c:v>
                </c:pt>
                <c:pt idx="165">
                  <c:v>4.4241016335444354E-2</c:v>
                </c:pt>
                <c:pt idx="166">
                  <c:v>4.4269695370989355E-2</c:v>
                </c:pt>
                <c:pt idx="167">
                  <c:v>4.4297724587710516E-2</c:v>
                </c:pt>
                <c:pt idx="168">
                  <c:v>4.4325417967399805E-2</c:v>
                </c:pt>
                <c:pt idx="169">
                  <c:v>4.4352776387383545E-2</c:v>
                </c:pt>
                <c:pt idx="170">
                  <c:v>4.4380734239427941E-2</c:v>
                </c:pt>
                <c:pt idx="171">
                  <c:v>4.4407463787883412E-2</c:v>
                </c:pt>
                <c:pt idx="172">
                  <c:v>4.4433880896141399E-2</c:v>
                </c:pt>
                <c:pt idx="173">
                  <c:v>4.4459984692380376E-2</c:v>
                </c:pt>
                <c:pt idx="174">
                  <c:v>4.4486666621005547E-2</c:v>
                </c:pt>
                <c:pt idx="175">
                  <c:v>4.4512184854458146E-2</c:v>
                </c:pt>
                <c:pt idx="176">
                  <c:v>4.4537412039369832E-2</c:v>
                </c:pt>
                <c:pt idx="177">
                  <c:v>4.4562345574158675E-2</c:v>
                </c:pt>
                <c:pt idx="178">
                  <c:v>4.4587558127576477E-2</c:v>
                </c:pt>
                <c:pt idx="179">
                  <c:v>4.4611947936715607E-2</c:v>
                </c:pt>
                <c:pt idx="180">
                  <c:v>4.463606263317401E-2</c:v>
                </c:pt>
                <c:pt idx="181">
                  <c:v>4.4659898788716491E-2</c:v>
                </c:pt>
                <c:pt idx="182">
                  <c:v>4.4684286044088528E-2</c:v>
                </c:pt>
                <c:pt idx="183">
                  <c:v>4.4707624050537534E-2</c:v>
                </c:pt>
                <c:pt idx="184">
                  <c:v>4.4730700346721344E-2</c:v>
                </c:pt>
                <c:pt idx="185">
                  <c:v>4.4753512602873913E-2</c:v>
                </c:pt>
                <c:pt idx="186">
                  <c:v>4.4776858046988617E-2</c:v>
                </c:pt>
                <c:pt idx="187">
                  <c:v>4.4799206186345641E-2</c:v>
                </c:pt>
                <c:pt idx="188">
                  <c:v>4.4821309341528677E-2</c:v>
                </c:pt>
                <c:pt idx="189">
                  <c:v>4.4843409295642317E-2</c:v>
                </c:pt>
                <c:pt idx="190">
                  <c:v>4.4865531069612982E-2</c:v>
                </c:pt>
                <c:pt idx="191">
                  <c:v>4.4887192955152234E-2</c:v>
                </c:pt>
                <c:pt idx="192">
                  <c:v>4.4908380167457324E-2</c:v>
                </c:pt>
                <c:pt idx="193">
                  <c:v>4.4929331626061435E-2</c:v>
                </c:pt>
                <c:pt idx="194">
                  <c:v>4.4950312750050493E-2</c:v>
                </c:pt>
                <c:pt idx="195">
                  <c:v>4.4971094097371489E-2</c:v>
                </c:pt>
                <c:pt idx="196">
                  <c:v>4.4991431841288849E-2</c:v>
                </c:pt>
                <c:pt idx="197">
                  <c:v>4.5011549658808589E-2</c:v>
                </c:pt>
                <c:pt idx="198">
                  <c:v>4.5031912722295661E-2</c:v>
                </c:pt>
                <c:pt idx="199">
                  <c:v>4.5051856637203069E-2</c:v>
                </c:pt>
                <c:pt idx="200">
                  <c:v>4.5071383838569637E-2</c:v>
                </c:pt>
                <c:pt idx="201">
                  <c:v>4.5090706847437871E-2</c:v>
                </c:pt>
                <c:pt idx="202">
                  <c:v>4.5110269691834681E-2</c:v>
                </c:pt>
                <c:pt idx="203">
                  <c:v>4.5129432765572422E-2</c:v>
                </c:pt>
                <c:pt idx="204">
                  <c:v>4.5148199741063343E-2</c:v>
                </c:pt>
                <c:pt idx="205">
                  <c:v>4.5166774565856924E-2</c:v>
                </c:pt>
                <c:pt idx="206">
                  <c:v>4.5185582676470853E-2</c:v>
                </c:pt>
                <c:pt idx="207">
                  <c:v>4.5204009675059047E-2</c:v>
                </c:pt>
                <c:pt idx="208">
                  <c:v>4.5222059961884997E-2</c:v>
                </c:pt>
                <c:pt idx="209">
                  <c:v>4.523993053385042E-2</c:v>
                </c:pt>
                <c:pt idx="210">
                  <c:v>4.525782467190495E-2</c:v>
                </c:pt>
                <c:pt idx="211">
                  <c:v>4.5275559166007062E-2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'Bumped Curve Snap'!$H$3</c:f>
              <c:strCache>
                <c:ptCount val="1"/>
                <c:pt idx="0">
                  <c:v>CNY_Treasury_Live_Curve_2012-7-5_Calibrated_Curve_6</c:v>
                </c:pt>
              </c:strCache>
            </c:strRef>
          </c:tx>
          <c:marker>
            <c:symbol val="none"/>
          </c:marker>
          <c:cat>
            <c:numRef>
              <c:f>'Bumped Curve Snap'!$A$4:$A$215</c:f>
              <c:numCache>
                <c:formatCode>yyyy-m-d</c:formatCode>
                <c:ptCount val="212"/>
                <c:pt idx="0">
                  <c:v>41095</c:v>
                </c:pt>
                <c:pt idx="1">
                  <c:v>41185</c:v>
                </c:pt>
                <c:pt idx="2">
                  <c:v>41275</c:v>
                </c:pt>
                <c:pt idx="3">
                  <c:v>41365</c:v>
                </c:pt>
                <c:pt idx="4">
                  <c:v>41455</c:v>
                </c:pt>
                <c:pt idx="5">
                  <c:v>41545</c:v>
                </c:pt>
                <c:pt idx="6">
                  <c:v>41635</c:v>
                </c:pt>
                <c:pt idx="7">
                  <c:v>41725</c:v>
                </c:pt>
                <c:pt idx="8">
                  <c:v>41815</c:v>
                </c:pt>
                <c:pt idx="9">
                  <c:v>41905</c:v>
                </c:pt>
                <c:pt idx="10">
                  <c:v>41995</c:v>
                </c:pt>
                <c:pt idx="11">
                  <c:v>42085</c:v>
                </c:pt>
                <c:pt idx="12">
                  <c:v>42175</c:v>
                </c:pt>
                <c:pt idx="13">
                  <c:v>42265</c:v>
                </c:pt>
                <c:pt idx="14">
                  <c:v>42355</c:v>
                </c:pt>
                <c:pt idx="15">
                  <c:v>42445</c:v>
                </c:pt>
                <c:pt idx="16">
                  <c:v>42535</c:v>
                </c:pt>
                <c:pt idx="17">
                  <c:v>42625</c:v>
                </c:pt>
                <c:pt idx="18">
                  <c:v>42715</c:v>
                </c:pt>
                <c:pt idx="19">
                  <c:v>42805</c:v>
                </c:pt>
                <c:pt idx="20">
                  <c:v>42895</c:v>
                </c:pt>
                <c:pt idx="21">
                  <c:v>42985</c:v>
                </c:pt>
                <c:pt idx="22">
                  <c:v>43075</c:v>
                </c:pt>
                <c:pt idx="23">
                  <c:v>43165</c:v>
                </c:pt>
                <c:pt idx="24">
                  <c:v>43255</c:v>
                </c:pt>
                <c:pt idx="25">
                  <c:v>43345</c:v>
                </c:pt>
                <c:pt idx="26">
                  <c:v>43435</c:v>
                </c:pt>
                <c:pt idx="27">
                  <c:v>43525</c:v>
                </c:pt>
                <c:pt idx="28">
                  <c:v>43615</c:v>
                </c:pt>
                <c:pt idx="29">
                  <c:v>43705</c:v>
                </c:pt>
                <c:pt idx="30">
                  <c:v>43795</c:v>
                </c:pt>
                <c:pt idx="31">
                  <c:v>43885</c:v>
                </c:pt>
                <c:pt idx="32">
                  <c:v>43975</c:v>
                </c:pt>
                <c:pt idx="33">
                  <c:v>44065</c:v>
                </c:pt>
                <c:pt idx="34">
                  <c:v>44155</c:v>
                </c:pt>
                <c:pt idx="35">
                  <c:v>44245</c:v>
                </c:pt>
                <c:pt idx="36">
                  <c:v>44335</c:v>
                </c:pt>
                <c:pt idx="37">
                  <c:v>44425</c:v>
                </c:pt>
                <c:pt idx="38">
                  <c:v>44515</c:v>
                </c:pt>
                <c:pt idx="39">
                  <c:v>44605</c:v>
                </c:pt>
                <c:pt idx="40">
                  <c:v>44695</c:v>
                </c:pt>
                <c:pt idx="41">
                  <c:v>44785</c:v>
                </c:pt>
                <c:pt idx="42">
                  <c:v>44875</c:v>
                </c:pt>
                <c:pt idx="43">
                  <c:v>44965</c:v>
                </c:pt>
                <c:pt idx="44">
                  <c:v>45055</c:v>
                </c:pt>
                <c:pt idx="45">
                  <c:v>45145</c:v>
                </c:pt>
                <c:pt idx="46">
                  <c:v>45235</c:v>
                </c:pt>
                <c:pt idx="47">
                  <c:v>45325</c:v>
                </c:pt>
                <c:pt idx="48">
                  <c:v>45415</c:v>
                </c:pt>
                <c:pt idx="49">
                  <c:v>45505</c:v>
                </c:pt>
                <c:pt idx="50">
                  <c:v>45595</c:v>
                </c:pt>
                <c:pt idx="51">
                  <c:v>45685</c:v>
                </c:pt>
                <c:pt idx="52">
                  <c:v>45775</c:v>
                </c:pt>
                <c:pt idx="53">
                  <c:v>45865</c:v>
                </c:pt>
                <c:pt idx="54">
                  <c:v>45955</c:v>
                </c:pt>
                <c:pt idx="55">
                  <c:v>46045</c:v>
                </c:pt>
                <c:pt idx="56">
                  <c:v>46135</c:v>
                </c:pt>
                <c:pt idx="57">
                  <c:v>46225</c:v>
                </c:pt>
                <c:pt idx="58">
                  <c:v>46315</c:v>
                </c:pt>
                <c:pt idx="59">
                  <c:v>46405</c:v>
                </c:pt>
                <c:pt idx="60">
                  <c:v>46495</c:v>
                </c:pt>
                <c:pt idx="61">
                  <c:v>46585</c:v>
                </c:pt>
                <c:pt idx="62">
                  <c:v>46675</c:v>
                </c:pt>
                <c:pt idx="63">
                  <c:v>46765</c:v>
                </c:pt>
                <c:pt idx="64">
                  <c:v>46855</c:v>
                </c:pt>
                <c:pt idx="65">
                  <c:v>46945</c:v>
                </c:pt>
                <c:pt idx="66">
                  <c:v>47035</c:v>
                </c:pt>
                <c:pt idx="67">
                  <c:v>47125</c:v>
                </c:pt>
                <c:pt idx="68">
                  <c:v>47215</c:v>
                </c:pt>
                <c:pt idx="69">
                  <c:v>47305</c:v>
                </c:pt>
                <c:pt idx="70">
                  <c:v>47395</c:v>
                </c:pt>
                <c:pt idx="71">
                  <c:v>47485</c:v>
                </c:pt>
                <c:pt idx="72">
                  <c:v>47575</c:v>
                </c:pt>
                <c:pt idx="73">
                  <c:v>47665</c:v>
                </c:pt>
                <c:pt idx="74">
                  <c:v>47755</c:v>
                </c:pt>
                <c:pt idx="75">
                  <c:v>47845</c:v>
                </c:pt>
                <c:pt idx="76">
                  <c:v>47935</c:v>
                </c:pt>
                <c:pt idx="77">
                  <c:v>48025</c:v>
                </c:pt>
                <c:pt idx="78">
                  <c:v>48115</c:v>
                </c:pt>
                <c:pt idx="79">
                  <c:v>48205</c:v>
                </c:pt>
                <c:pt idx="80">
                  <c:v>48295</c:v>
                </c:pt>
                <c:pt idx="81">
                  <c:v>48385</c:v>
                </c:pt>
                <c:pt idx="82">
                  <c:v>48475</c:v>
                </c:pt>
                <c:pt idx="83">
                  <c:v>48565</c:v>
                </c:pt>
                <c:pt idx="84">
                  <c:v>48655</c:v>
                </c:pt>
                <c:pt idx="85">
                  <c:v>48745</c:v>
                </c:pt>
                <c:pt idx="86">
                  <c:v>48835</c:v>
                </c:pt>
                <c:pt idx="87">
                  <c:v>48925</c:v>
                </c:pt>
                <c:pt idx="88">
                  <c:v>49015</c:v>
                </c:pt>
                <c:pt idx="89">
                  <c:v>49105</c:v>
                </c:pt>
                <c:pt idx="90">
                  <c:v>49195</c:v>
                </c:pt>
                <c:pt idx="91">
                  <c:v>49285</c:v>
                </c:pt>
                <c:pt idx="92">
                  <c:v>49375</c:v>
                </c:pt>
                <c:pt idx="93">
                  <c:v>49465</c:v>
                </c:pt>
                <c:pt idx="94">
                  <c:v>49555</c:v>
                </c:pt>
                <c:pt idx="95">
                  <c:v>49645</c:v>
                </c:pt>
                <c:pt idx="96">
                  <c:v>49735</c:v>
                </c:pt>
                <c:pt idx="97">
                  <c:v>49825</c:v>
                </c:pt>
                <c:pt idx="98">
                  <c:v>49915</c:v>
                </c:pt>
                <c:pt idx="99">
                  <c:v>50005</c:v>
                </c:pt>
                <c:pt idx="100">
                  <c:v>50095</c:v>
                </c:pt>
                <c:pt idx="101">
                  <c:v>50185</c:v>
                </c:pt>
                <c:pt idx="102">
                  <c:v>50275</c:v>
                </c:pt>
                <c:pt idx="103">
                  <c:v>50365</c:v>
                </c:pt>
                <c:pt idx="104">
                  <c:v>50455</c:v>
                </c:pt>
                <c:pt idx="105">
                  <c:v>50545</c:v>
                </c:pt>
                <c:pt idx="106">
                  <c:v>50635</c:v>
                </c:pt>
                <c:pt idx="107">
                  <c:v>50725</c:v>
                </c:pt>
                <c:pt idx="108">
                  <c:v>50815</c:v>
                </c:pt>
                <c:pt idx="109">
                  <c:v>50905</c:v>
                </c:pt>
                <c:pt idx="110">
                  <c:v>50995</c:v>
                </c:pt>
                <c:pt idx="111">
                  <c:v>51085</c:v>
                </c:pt>
                <c:pt idx="112">
                  <c:v>51175</c:v>
                </c:pt>
                <c:pt idx="113">
                  <c:v>51265</c:v>
                </c:pt>
                <c:pt idx="114">
                  <c:v>51355</c:v>
                </c:pt>
                <c:pt idx="115">
                  <c:v>51445</c:v>
                </c:pt>
                <c:pt idx="116">
                  <c:v>51535</c:v>
                </c:pt>
                <c:pt idx="117">
                  <c:v>51625</c:v>
                </c:pt>
                <c:pt idx="118">
                  <c:v>51715</c:v>
                </c:pt>
                <c:pt idx="119">
                  <c:v>51805</c:v>
                </c:pt>
                <c:pt idx="120">
                  <c:v>51895</c:v>
                </c:pt>
                <c:pt idx="121">
                  <c:v>51985</c:v>
                </c:pt>
                <c:pt idx="122">
                  <c:v>52075</c:v>
                </c:pt>
                <c:pt idx="123">
                  <c:v>52165</c:v>
                </c:pt>
                <c:pt idx="124">
                  <c:v>52255</c:v>
                </c:pt>
                <c:pt idx="125">
                  <c:v>52345</c:v>
                </c:pt>
                <c:pt idx="126">
                  <c:v>52435</c:v>
                </c:pt>
                <c:pt idx="127">
                  <c:v>52525</c:v>
                </c:pt>
                <c:pt idx="128">
                  <c:v>52615</c:v>
                </c:pt>
                <c:pt idx="129">
                  <c:v>52705</c:v>
                </c:pt>
                <c:pt idx="130">
                  <c:v>52795</c:v>
                </c:pt>
                <c:pt idx="131">
                  <c:v>52885</c:v>
                </c:pt>
                <c:pt idx="132">
                  <c:v>52975</c:v>
                </c:pt>
                <c:pt idx="133">
                  <c:v>53065</c:v>
                </c:pt>
                <c:pt idx="134">
                  <c:v>53155</c:v>
                </c:pt>
                <c:pt idx="135">
                  <c:v>53245</c:v>
                </c:pt>
                <c:pt idx="136">
                  <c:v>53335</c:v>
                </c:pt>
                <c:pt idx="137">
                  <c:v>53425</c:v>
                </c:pt>
                <c:pt idx="138">
                  <c:v>53515</c:v>
                </c:pt>
                <c:pt idx="139">
                  <c:v>53605</c:v>
                </c:pt>
                <c:pt idx="140">
                  <c:v>53695</c:v>
                </c:pt>
                <c:pt idx="141">
                  <c:v>53785</c:v>
                </c:pt>
                <c:pt idx="142">
                  <c:v>53875</c:v>
                </c:pt>
                <c:pt idx="143">
                  <c:v>53965</c:v>
                </c:pt>
                <c:pt idx="144">
                  <c:v>54055</c:v>
                </c:pt>
                <c:pt idx="145">
                  <c:v>54145</c:v>
                </c:pt>
                <c:pt idx="146">
                  <c:v>54235</c:v>
                </c:pt>
                <c:pt idx="147">
                  <c:v>54325</c:v>
                </c:pt>
                <c:pt idx="148">
                  <c:v>54415</c:v>
                </c:pt>
                <c:pt idx="149">
                  <c:v>54505</c:v>
                </c:pt>
                <c:pt idx="150">
                  <c:v>54595</c:v>
                </c:pt>
                <c:pt idx="151">
                  <c:v>54685</c:v>
                </c:pt>
                <c:pt idx="152">
                  <c:v>54775</c:v>
                </c:pt>
                <c:pt idx="153">
                  <c:v>54865</c:v>
                </c:pt>
                <c:pt idx="154">
                  <c:v>54955</c:v>
                </c:pt>
                <c:pt idx="155">
                  <c:v>55045</c:v>
                </c:pt>
                <c:pt idx="156">
                  <c:v>55135</c:v>
                </c:pt>
                <c:pt idx="157">
                  <c:v>55225</c:v>
                </c:pt>
                <c:pt idx="158">
                  <c:v>55315</c:v>
                </c:pt>
                <c:pt idx="159">
                  <c:v>55405</c:v>
                </c:pt>
                <c:pt idx="160">
                  <c:v>55495</c:v>
                </c:pt>
                <c:pt idx="161">
                  <c:v>55585</c:v>
                </c:pt>
                <c:pt idx="162">
                  <c:v>55675</c:v>
                </c:pt>
                <c:pt idx="163">
                  <c:v>55765</c:v>
                </c:pt>
                <c:pt idx="164">
                  <c:v>55855</c:v>
                </c:pt>
                <c:pt idx="165">
                  <c:v>55945</c:v>
                </c:pt>
                <c:pt idx="166">
                  <c:v>56035</c:v>
                </c:pt>
                <c:pt idx="167">
                  <c:v>56125</c:v>
                </c:pt>
                <c:pt idx="168">
                  <c:v>56215</c:v>
                </c:pt>
                <c:pt idx="169">
                  <c:v>56305</c:v>
                </c:pt>
                <c:pt idx="170">
                  <c:v>56395</c:v>
                </c:pt>
                <c:pt idx="171">
                  <c:v>56485</c:v>
                </c:pt>
                <c:pt idx="172">
                  <c:v>56575</c:v>
                </c:pt>
                <c:pt idx="173">
                  <c:v>56665</c:v>
                </c:pt>
                <c:pt idx="174">
                  <c:v>56755</c:v>
                </c:pt>
                <c:pt idx="175">
                  <c:v>56845</c:v>
                </c:pt>
                <c:pt idx="176">
                  <c:v>56935</c:v>
                </c:pt>
                <c:pt idx="177">
                  <c:v>57025</c:v>
                </c:pt>
                <c:pt idx="178">
                  <c:v>57115</c:v>
                </c:pt>
                <c:pt idx="179">
                  <c:v>57205</c:v>
                </c:pt>
                <c:pt idx="180">
                  <c:v>57295</c:v>
                </c:pt>
                <c:pt idx="181">
                  <c:v>57385</c:v>
                </c:pt>
                <c:pt idx="182">
                  <c:v>57475</c:v>
                </c:pt>
                <c:pt idx="183">
                  <c:v>57565</c:v>
                </c:pt>
                <c:pt idx="184">
                  <c:v>57655</c:v>
                </c:pt>
                <c:pt idx="185">
                  <c:v>57745</c:v>
                </c:pt>
                <c:pt idx="186">
                  <c:v>57835</c:v>
                </c:pt>
                <c:pt idx="187">
                  <c:v>57925</c:v>
                </c:pt>
                <c:pt idx="188">
                  <c:v>58015</c:v>
                </c:pt>
                <c:pt idx="189">
                  <c:v>58105</c:v>
                </c:pt>
                <c:pt idx="190">
                  <c:v>58195</c:v>
                </c:pt>
                <c:pt idx="191">
                  <c:v>58285</c:v>
                </c:pt>
                <c:pt idx="192">
                  <c:v>58375</c:v>
                </c:pt>
                <c:pt idx="193">
                  <c:v>58465</c:v>
                </c:pt>
                <c:pt idx="194">
                  <c:v>58555</c:v>
                </c:pt>
                <c:pt idx="195">
                  <c:v>58645</c:v>
                </c:pt>
                <c:pt idx="196">
                  <c:v>58735</c:v>
                </c:pt>
                <c:pt idx="197">
                  <c:v>58825</c:v>
                </c:pt>
                <c:pt idx="198">
                  <c:v>58915</c:v>
                </c:pt>
                <c:pt idx="199">
                  <c:v>59005</c:v>
                </c:pt>
                <c:pt idx="200">
                  <c:v>59095</c:v>
                </c:pt>
                <c:pt idx="201">
                  <c:v>59185</c:v>
                </c:pt>
                <c:pt idx="202">
                  <c:v>59275</c:v>
                </c:pt>
                <c:pt idx="203">
                  <c:v>59365</c:v>
                </c:pt>
                <c:pt idx="204">
                  <c:v>59455</c:v>
                </c:pt>
                <c:pt idx="205">
                  <c:v>59545</c:v>
                </c:pt>
                <c:pt idx="206">
                  <c:v>59635</c:v>
                </c:pt>
                <c:pt idx="207">
                  <c:v>59725</c:v>
                </c:pt>
                <c:pt idx="208">
                  <c:v>59815</c:v>
                </c:pt>
                <c:pt idx="209">
                  <c:v>59905</c:v>
                </c:pt>
                <c:pt idx="210">
                  <c:v>59995</c:v>
                </c:pt>
                <c:pt idx="211">
                  <c:v>60085</c:v>
                </c:pt>
              </c:numCache>
            </c:numRef>
          </c:cat>
          <c:val>
            <c:numRef>
              <c:f>'Bumped Curve Snap'!$H$4:$H$215</c:f>
              <c:numCache>
                <c:formatCode>G/通用格式</c:formatCode>
                <c:ptCount val="212"/>
                <c:pt idx="0">
                  <c:v>2.2901163845572833E-2</c:v>
                </c:pt>
                <c:pt idx="1">
                  <c:v>2.2901163846608317E-2</c:v>
                </c:pt>
                <c:pt idx="2">
                  <c:v>2.2590832085933141E-2</c:v>
                </c:pt>
                <c:pt idx="3">
                  <c:v>2.1863985768684605E-2</c:v>
                </c:pt>
                <c:pt idx="4">
                  <c:v>2.2486467624392298E-2</c:v>
                </c:pt>
                <c:pt idx="5">
                  <c:v>2.4725159248548505E-2</c:v>
                </c:pt>
                <c:pt idx="6">
                  <c:v>2.6387617726099405E-2</c:v>
                </c:pt>
                <c:pt idx="7">
                  <c:v>2.4911826344369812E-2</c:v>
                </c:pt>
                <c:pt idx="8">
                  <c:v>2.3533962685551989E-2</c:v>
                </c:pt>
                <c:pt idx="9">
                  <c:v>2.3831645847982728E-2</c:v>
                </c:pt>
                <c:pt idx="10">
                  <c:v>2.4288518169551715E-2</c:v>
                </c:pt>
                <c:pt idx="11">
                  <c:v>2.4665878009076127E-2</c:v>
                </c:pt>
                <c:pt idx="12">
                  <c:v>2.5105922934303009E-2</c:v>
                </c:pt>
                <c:pt idx="13">
                  <c:v>2.5509218566985202E-2</c:v>
                </c:pt>
                <c:pt idx="14">
                  <c:v>2.5829696065884152E-2</c:v>
                </c:pt>
                <c:pt idx="15">
                  <c:v>2.6099189801592242E-2</c:v>
                </c:pt>
                <c:pt idx="16">
                  <c:v>2.6436816647113903E-2</c:v>
                </c:pt>
                <c:pt idx="17">
                  <c:v>2.6968288784701543E-2</c:v>
                </c:pt>
                <c:pt idx="18">
                  <c:v>2.7517993688084795E-2</c:v>
                </c:pt>
                <c:pt idx="19">
                  <c:v>2.8072860955247598E-2</c:v>
                </c:pt>
                <c:pt idx="20">
                  <c:v>2.8622131107234553E-2</c:v>
                </c:pt>
                <c:pt idx="21">
                  <c:v>2.9254876374472254E-2</c:v>
                </c:pt>
                <c:pt idx="22">
                  <c:v>2.980596581276098E-2</c:v>
                </c:pt>
                <c:pt idx="23">
                  <c:v>3.0253566396917835E-2</c:v>
                </c:pt>
                <c:pt idx="24">
                  <c:v>3.0658597847022094E-2</c:v>
                </c:pt>
                <c:pt idx="25">
                  <c:v>3.1726590791769364E-2</c:v>
                </c:pt>
                <c:pt idx="26">
                  <c:v>3.1890604634347175E-2</c:v>
                </c:pt>
                <c:pt idx="27">
                  <c:v>3.1187317136584847E-2</c:v>
                </c:pt>
                <c:pt idx="28">
                  <c:v>3.1028164758179315E-2</c:v>
                </c:pt>
                <c:pt idx="29">
                  <c:v>3.1445328532116817E-2</c:v>
                </c:pt>
                <c:pt idx="30">
                  <c:v>3.2034185865079855E-2</c:v>
                </c:pt>
                <c:pt idx="31">
                  <c:v>3.2585342619389224E-2</c:v>
                </c:pt>
                <c:pt idx="32">
                  <c:v>3.3079368535179024E-2</c:v>
                </c:pt>
                <c:pt idx="33">
                  <c:v>3.3352077873062269E-2</c:v>
                </c:pt>
                <c:pt idx="34">
                  <c:v>3.3452631473771734E-2</c:v>
                </c:pt>
                <c:pt idx="35">
                  <c:v>3.3724267255235772E-2</c:v>
                </c:pt>
                <c:pt idx="36">
                  <c:v>3.4096957895504543E-2</c:v>
                </c:pt>
                <c:pt idx="37">
                  <c:v>3.4020985445785919E-2</c:v>
                </c:pt>
                <c:pt idx="38">
                  <c:v>3.3744301862510755E-2</c:v>
                </c:pt>
                <c:pt idx="39">
                  <c:v>3.3653651542043465E-2</c:v>
                </c:pt>
                <c:pt idx="40">
                  <c:v>3.3640705464633824E-2</c:v>
                </c:pt>
                <c:pt idx="41">
                  <c:v>3.384509354896631E-2</c:v>
                </c:pt>
                <c:pt idx="42">
                  <c:v>3.4176622824731273E-2</c:v>
                </c:pt>
                <c:pt idx="43">
                  <c:v>3.4493005189916347E-2</c:v>
                </c:pt>
                <c:pt idx="44">
                  <c:v>3.4805318109858312E-2</c:v>
                </c:pt>
                <c:pt idx="45">
                  <c:v>3.5093960235158039E-2</c:v>
                </c:pt>
                <c:pt idx="46">
                  <c:v>3.5370270660542644E-2</c:v>
                </c:pt>
                <c:pt idx="47">
                  <c:v>3.5635081148200437E-2</c:v>
                </c:pt>
                <c:pt idx="48">
                  <c:v>3.5894733056012304E-2</c:v>
                </c:pt>
                <c:pt idx="49">
                  <c:v>3.6138352154643533E-2</c:v>
                </c:pt>
                <c:pt idx="50">
                  <c:v>3.637501089177065E-2</c:v>
                </c:pt>
                <c:pt idx="51">
                  <c:v>3.6600023031432935E-2</c:v>
                </c:pt>
                <c:pt idx="52">
                  <c:v>3.6821381684447554E-2</c:v>
                </c:pt>
                <c:pt idx="53">
                  <c:v>3.703210231339682E-2</c:v>
                </c:pt>
                <c:pt idx="54">
                  <c:v>3.7232848782088185E-2</c:v>
                </c:pt>
                <c:pt idx="55">
                  <c:v>3.7426526622485891E-2</c:v>
                </c:pt>
                <c:pt idx="56">
                  <c:v>3.7617611624370002E-2</c:v>
                </c:pt>
                <c:pt idx="57">
                  <c:v>3.780003263752784E-2</c:v>
                </c:pt>
                <c:pt idx="58">
                  <c:v>3.7974277081125662E-2</c:v>
                </c:pt>
                <c:pt idx="59">
                  <c:v>3.8142845296799732E-2</c:v>
                </c:pt>
                <c:pt idx="60">
                  <c:v>3.8309573988127565E-2</c:v>
                </c:pt>
                <c:pt idx="61">
                  <c:v>3.8468659790268658E-2</c:v>
                </c:pt>
                <c:pt idx="62">
                  <c:v>3.8607518166527237E-2</c:v>
                </c:pt>
                <c:pt idx="63">
                  <c:v>3.8734777944482511E-2</c:v>
                </c:pt>
                <c:pt idx="64">
                  <c:v>3.8859591373316696E-2</c:v>
                </c:pt>
                <c:pt idx="65">
                  <c:v>3.8980649382898212E-2</c:v>
                </c:pt>
                <c:pt idx="66">
                  <c:v>3.9096783575134852E-2</c:v>
                </c:pt>
                <c:pt idx="67">
                  <c:v>3.9209669095237314E-2</c:v>
                </c:pt>
                <c:pt idx="68">
                  <c:v>3.9321803617464068E-2</c:v>
                </c:pt>
                <c:pt idx="69">
                  <c:v>3.9429566059682987E-2</c:v>
                </c:pt>
                <c:pt idx="70">
                  <c:v>3.9533138738003668E-2</c:v>
                </c:pt>
                <c:pt idx="71">
                  <c:v>3.9634003084775188E-2</c:v>
                </c:pt>
                <c:pt idx="72">
                  <c:v>3.9734380955677669E-2</c:v>
                </c:pt>
                <c:pt idx="73">
                  <c:v>3.9831006612445014E-2</c:v>
                </c:pt>
                <c:pt idx="74">
                  <c:v>3.9924026023320423E-2</c:v>
                </c:pt>
                <c:pt idx="75">
                  <c:v>4.0015784141161317E-2</c:v>
                </c:pt>
                <c:pt idx="76">
                  <c:v>4.010621395276915E-2</c:v>
                </c:pt>
                <c:pt idx="77">
                  <c:v>4.0192427302973781E-2</c:v>
                </c:pt>
                <c:pt idx="78">
                  <c:v>4.0276499736151251E-2</c:v>
                </c:pt>
                <c:pt idx="79">
                  <c:v>4.0359559073156345E-2</c:v>
                </c:pt>
                <c:pt idx="80">
                  <c:v>4.0440676700665736E-2</c:v>
                </c:pt>
                <c:pt idx="81">
                  <c:v>4.0539353621557001E-2</c:v>
                </c:pt>
                <c:pt idx="82">
                  <c:v>4.0639558983976212E-2</c:v>
                </c:pt>
                <c:pt idx="83">
                  <c:v>4.073689444213463E-2</c:v>
                </c:pt>
                <c:pt idx="84">
                  <c:v>4.0832892940853828E-2</c:v>
                </c:pt>
                <c:pt idx="85">
                  <c:v>4.0924348861583325E-2</c:v>
                </c:pt>
                <c:pt idx="86">
                  <c:v>4.101357101010205E-2</c:v>
                </c:pt>
                <c:pt idx="87">
                  <c:v>4.1101674814022951E-2</c:v>
                </c:pt>
                <c:pt idx="88">
                  <c:v>4.1188657967871044E-2</c:v>
                </c:pt>
                <c:pt idx="89">
                  <c:v>4.1271614974802438E-2</c:v>
                </c:pt>
                <c:pt idx="90">
                  <c:v>4.1352613618919079E-2</c:v>
                </c:pt>
                <c:pt idx="91">
                  <c:v>4.1432671395195325E-2</c:v>
                </c:pt>
                <c:pt idx="92">
                  <c:v>4.1511781152501231E-2</c:v>
                </c:pt>
                <c:pt idx="93">
                  <c:v>4.1587304588190863E-2</c:v>
                </c:pt>
                <c:pt idx="94">
                  <c:v>4.166109901708321E-2</c:v>
                </c:pt>
                <c:pt idx="95">
                  <c:v>4.1734098193194478E-2</c:v>
                </c:pt>
                <c:pt idx="96">
                  <c:v>4.1805472618139571E-2</c:v>
                </c:pt>
                <c:pt idx="97">
                  <c:v>4.1875222922554398E-2</c:v>
                </c:pt>
                <c:pt idx="98">
                  <c:v>4.1942669138710559E-2</c:v>
                </c:pt>
                <c:pt idx="99">
                  <c:v>4.2008700038144151E-2</c:v>
                </c:pt>
                <c:pt idx="100">
                  <c:v>4.2073333847283088E-2</c:v>
                </c:pt>
                <c:pt idx="101">
                  <c:v>4.2138706088700337E-2</c:v>
                </c:pt>
                <c:pt idx="102">
                  <c:v>4.2200520623068831E-2</c:v>
                </c:pt>
                <c:pt idx="103">
                  <c:v>4.226108467605829E-2</c:v>
                </c:pt>
                <c:pt idx="104">
                  <c:v>4.2320398702242149E-2</c:v>
                </c:pt>
                <c:pt idx="105">
                  <c:v>4.2380438820431104E-2</c:v>
                </c:pt>
                <c:pt idx="106">
                  <c:v>4.2437238178940469E-2</c:v>
                </c:pt>
                <c:pt idx="107">
                  <c:v>4.2492928065797041E-2</c:v>
                </c:pt>
                <c:pt idx="108">
                  <c:v>4.2547489785809592E-2</c:v>
                </c:pt>
                <c:pt idx="109">
                  <c:v>4.2602760948229852E-2</c:v>
                </c:pt>
                <c:pt idx="110">
                  <c:v>4.2655069673187336E-2</c:v>
                </c:pt>
                <c:pt idx="111">
                  <c:v>4.2706392021703322E-2</c:v>
                </c:pt>
                <c:pt idx="112">
                  <c:v>4.2756677026876889E-2</c:v>
                </c:pt>
                <c:pt idx="113">
                  <c:v>4.2807068114711376E-2</c:v>
                </c:pt>
                <c:pt idx="114">
                  <c:v>4.2855346790132795E-2</c:v>
                </c:pt>
                <c:pt idx="115">
                  <c:v>4.2902752067648584E-2</c:v>
                </c:pt>
                <c:pt idx="116">
                  <c:v>4.29492107412918E-2</c:v>
                </c:pt>
                <c:pt idx="117">
                  <c:v>4.2989172506807768E-2</c:v>
                </c:pt>
                <c:pt idx="118">
                  <c:v>4.2968616338980102E-2</c:v>
                </c:pt>
                <c:pt idx="119">
                  <c:v>4.2845560806167179E-2</c:v>
                </c:pt>
                <c:pt idx="120">
                  <c:v>4.2725809272102365E-2</c:v>
                </c:pt>
                <c:pt idx="121">
                  <c:v>4.2608530812607591E-2</c:v>
                </c:pt>
                <c:pt idx="122">
                  <c:v>4.2540184612661854E-2</c:v>
                </c:pt>
                <c:pt idx="123">
                  <c:v>4.2592092373337581E-2</c:v>
                </c:pt>
                <c:pt idx="124">
                  <c:v>4.2643162769029783E-2</c:v>
                </c:pt>
                <c:pt idx="125">
                  <c:v>4.2694544825280678E-2</c:v>
                </c:pt>
                <c:pt idx="126">
                  <c:v>4.2744577040373787E-2</c:v>
                </c:pt>
                <c:pt idx="127">
                  <c:v>4.2793256456332827E-2</c:v>
                </c:pt>
                <c:pt idx="128">
                  <c:v>4.2841173327974609E-2</c:v>
                </c:pt>
                <c:pt idx="129">
                  <c:v>4.2888873961471924E-2</c:v>
                </c:pt>
                <c:pt idx="130">
                  <c:v>4.2935871980928901E-2</c:v>
                </c:pt>
                <c:pt idx="131">
                  <c:v>4.2981623602772162E-2</c:v>
                </c:pt>
                <c:pt idx="132">
                  <c:v>4.3026673357276668E-2</c:v>
                </c:pt>
                <c:pt idx="133">
                  <c:v>4.3072046057782046E-2</c:v>
                </c:pt>
                <c:pt idx="134">
                  <c:v>4.3116273393670697E-2</c:v>
                </c:pt>
                <c:pt idx="135">
                  <c:v>4.3159347216270079E-2</c:v>
                </c:pt>
                <c:pt idx="136">
                  <c:v>4.320177713923997E-2</c:v>
                </c:pt>
                <c:pt idx="137">
                  <c:v>4.324452932180272E-2</c:v>
                </c:pt>
                <c:pt idx="138">
                  <c:v>4.3286220127524679E-2</c:v>
                </c:pt>
                <c:pt idx="139">
                  <c:v>4.3326844320125422E-2</c:v>
                </c:pt>
                <c:pt idx="140">
                  <c:v>4.3366876662022956E-2</c:v>
                </c:pt>
                <c:pt idx="141">
                  <c:v>4.3407228894056953E-2</c:v>
                </c:pt>
                <c:pt idx="142">
                  <c:v>4.3446594965489409E-2</c:v>
                </c:pt>
                <c:pt idx="143">
                  <c:v>4.3484972838251819E-2</c:v>
                </c:pt>
                <c:pt idx="144">
                  <c:v>4.3523232264538698E-2</c:v>
                </c:pt>
                <c:pt idx="145">
                  <c:v>4.3560954169419262E-2</c:v>
                </c:pt>
                <c:pt idx="146">
                  <c:v>4.3597768739338939E-2</c:v>
                </c:pt>
                <c:pt idx="147">
                  <c:v>4.3634087015342278E-2</c:v>
                </c:pt>
                <c:pt idx="148">
                  <c:v>4.3670310586970122E-2</c:v>
                </c:pt>
                <c:pt idx="149">
                  <c:v>4.3706436431523984E-2</c:v>
                </c:pt>
                <c:pt idx="150">
                  <c:v>4.3741300263335739E-2</c:v>
                </c:pt>
                <c:pt idx="151">
                  <c:v>4.3775712302960013E-2</c:v>
                </c:pt>
                <c:pt idx="152">
                  <c:v>4.381004922778424E-2</c:v>
                </c:pt>
                <c:pt idx="153">
                  <c:v>4.3844304719795613E-2</c:v>
                </c:pt>
                <c:pt idx="154">
                  <c:v>4.3877374136846059E-2</c:v>
                </c:pt>
                <c:pt idx="155">
                  <c:v>4.39100285857301E-2</c:v>
                </c:pt>
                <c:pt idx="156">
                  <c:v>4.3942622565724447E-2</c:v>
                </c:pt>
                <c:pt idx="157">
                  <c:v>4.3975149245589297E-2</c:v>
                </c:pt>
                <c:pt idx="158">
                  <c:v>4.4006559052388552E-2</c:v>
                </c:pt>
                <c:pt idx="159">
                  <c:v>4.4037587233133828E-2</c:v>
                </c:pt>
                <c:pt idx="160">
                  <c:v>4.4068567853530423E-2</c:v>
                </c:pt>
                <c:pt idx="161">
                  <c:v>4.4099151897895067E-2</c:v>
                </c:pt>
                <c:pt idx="162">
                  <c:v>4.4129027589615087E-2</c:v>
                </c:pt>
                <c:pt idx="163">
                  <c:v>4.4158552156286689E-2</c:v>
                </c:pt>
                <c:pt idx="164">
                  <c:v>4.418804016274689E-2</c:v>
                </c:pt>
                <c:pt idx="165">
                  <c:v>4.4217481895502363E-2</c:v>
                </c:pt>
                <c:pt idx="166">
                  <c:v>4.4246250584470459E-2</c:v>
                </c:pt>
                <c:pt idx="167">
                  <c:v>4.4274373557836824E-2</c:v>
                </c:pt>
                <c:pt idx="168">
                  <c:v>4.4302153340438043E-2</c:v>
                </c:pt>
                <c:pt idx="169">
                  <c:v>4.4329593731053482E-2</c:v>
                </c:pt>
                <c:pt idx="170">
                  <c:v>4.4357638386269251E-2</c:v>
                </c:pt>
                <c:pt idx="171">
                  <c:v>4.4384458519244462E-2</c:v>
                </c:pt>
                <c:pt idx="172">
                  <c:v>4.4410958798264469E-2</c:v>
                </c:pt>
                <c:pt idx="173">
                  <c:v>4.4437140968937812E-2</c:v>
                </c:pt>
                <c:pt idx="174">
                  <c:v>4.4463905156578568E-2</c:v>
                </c:pt>
                <c:pt idx="175">
                  <c:v>4.4489510978052753E-2</c:v>
                </c:pt>
                <c:pt idx="176">
                  <c:v>4.4514818347752706E-2</c:v>
                </c:pt>
                <c:pt idx="177">
                  <c:v>4.4539826865949921E-2</c:v>
                </c:pt>
                <c:pt idx="178">
                  <c:v>4.4565116348596237E-2</c:v>
                </c:pt>
                <c:pt idx="179">
                  <c:v>4.4589591121538569E-2</c:v>
                </c:pt>
                <c:pt idx="180">
                  <c:v>4.4613786378881991E-2</c:v>
                </c:pt>
                <c:pt idx="181">
                  <c:v>4.4637709923374631E-2</c:v>
                </c:pt>
                <c:pt idx="182">
                  <c:v>4.4662160575507134E-2</c:v>
                </c:pt>
                <c:pt idx="183">
                  <c:v>4.4685574936257751E-2</c:v>
                </c:pt>
                <c:pt idx="184">
                  <c:v>4.4708725316998967E-2</c:v>
                </c:pt>
                <c:pt idx="185">
                  <c:v>4.4731623286485798E-2</c:v>
                </c:pt>
                <c:pt idx="186">
                  <c:v>4.4755028291013035E-2</c:v>
                </c:pt>
                <c:pt idx="187">
                  <c:v>4.4777449809567244E-2</c:v>
                </c:pt>
                <c:pt idx="188">
                  <c:v>4.4799623664070108E-2</c:v>
                </c:pt>
                <c:pt idx="189">
                  <c:v>4.482180837129543E-2</c:v>
                </c:pt>
                <c:pt idx="190">
                  <c:v>4.4843985460834054E-2</c:v>
                </c:pt>
                <c:pt idx="191">
                  <c:v>4.4865718609495141E-2</c:v>
                </c:pt>
                <c:pt idx="192">
                  <c:v>4.4886973977953395E-2</c:v>
                </c:pt>
                <c:pt idx="193">
                  <c:v>4.4908005686632176E-2</c:v>
                </c:pt>
                <c:pt idx="194">
                  <c:v>4.492904068995681E-2</c:v>
                </c:pt>
                <c:pt idx="195">
                  <c:v>4.4949889312217099E-2</c:v>
                </c:pt>
                <c:pt idx="196">
                  <c:v>4.4970288497947326E-2</c:v>
                </c:pt>
                <c:pt idx="197">
                  <c:v>4.4990469024649898E-2</c:v>
                </c:pt>
                <c:pt idx="198">
                  <c:v>4.5010886792637615E-2</c:v>
                </c:pt>
                <c:pt idx="199">
                  <c:v>4.5030907283074982E-2</c:v>
                </c:pt>
                <c:pt idx="200">
                  <c:v>4.5050502136790224E-2</c:v>
                </c:pt>
                <c:pt idx="201">
                  <c:v>4.5069885023208051E-2</c:v>
                </c:pt>
                <c:pt idx="202">
                  <c:v>4.5089498231305064E-2</c:v>
                </c:pt>
                <c:pt idx="203">
                  <c:v>4.5108733249051874E-2</c:v>
                </c:pt>
                <c:pt idx="204">
                  <c:v>4.5127566443311985E-2</c:v>
                </c:pt>
                <c:pt idx="205">
                  <c:v>4.5146199119820103E-2</c:v>
                </c:pt>
                <c:pt idx="206">
                  <c:v>4.5165055882206852E-2</c:v>
                </c:pt>
                <c:pt idx="207">
                  <c:v>4.5183550731520535E-2</c:v>
                </c:pt>
                <c:pt idx="208">
                  <c:v>4.5201665883614212E-2</c:v>
                </c:pt>
                <c:pt idx="209">
                  <c:v>4.5219589630923415E-2</c:v>
                </c:pt>
                <c:pt idx="210">
                  <c:v>4.5237537059712923E-2</c:v>
                </c:pt>
                <c:pt idx="211">
                  <c:v>4.525533365323689E-2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'Bumped Curve Snap'!$I$3</c:f>
              <c:strCache>
                <c:ptCount val="1"/>
                <c:pt idx="0">
                  <c:v>CNY_Treasury_Live_Curve_2012-7-5_Calibrated_Curve_7</c:v>
                </c:pt>
              </c:strCache>
            </c:strRef>
          </c:tx>
          <c:marker>
            <c:symbol val="none"/>
          </c:marker>
          <c:cat>
            <c:numRef>
              <c:f>'Bumped Curve Snap'!$A$4:$A$215</c:f>
              <c:numCache>
                <c:formatCode>yyyy-m-d</c:formatCode>
                <c:ptCount val="212"/>
                <c:pt idx="0">
                  <c:v>41095</c:v>
                </c:pt>
                <c:pt idx="1">
                  <c:v>41185</c:v>
                </c:pt>
                <c:pt idx="2">
                  <c:v>41275</c:v>
                </c:pt>
                <c:pt idx="3">
                  <c:v>41365</c:v>
                </c:pt>
                <c:pt idx="4">
                  <c:v>41455</c:v>
                </c:pt>
                <c:pt idx="5">
                  <c:v>41545</c:v>
                </c:pt>
                <c:pt idx="6">
                  <c:v>41635</c:v>
                </c:pt>
                <c:pt idx="7">
                  <c:v>41725</c:v>
                </c:pt>
                <c:pt idx="8">
                  <c:v>41815</c:v>
                </c:pt>
                <c:pt idx="9">
                  <c:v>41905</c:v>
                </c:pt>
                <c:pt idx="10">
                  <c:v>41995</c:v>
                </c:pt>
                <c:pt idx="11">
                  <c:v>42085</c:v>
                </c:pt>
                <c:pt idx="12">
                  <c:v>42175</c:v>
                </c:pt>
                <c:pt idx="13">
                  <c:v>42265</c:v>
                </c:pt>
                <c:pt idx="14">
                  <c:v>42355</c:v>
                </c:pt>
                <c:pt idx="15">
                  <c:v>42445</c:v>
                </c:pt>
                <c:pt idx="16">
                  <c:v>42535</c:v>
                </c:pt>
                <c:pt idx="17">
                  <c:v>42625</c:v>
                </c:pt>
                <c:pt idx="18">
                  <c:v>42715</c:v>
                </c:pt>
                <c:pt idx="19">
                  <c:v>42805</c:v>
                </c:pt>
                <c:pt idx="20">
                  <c:v>42895</c:v>
                </c:pt>
                <c:pt idx="21">
                  <c:v>42985</c:v>
                </c:pt>
                <c:pt idx="22">
                  <c:v>43075</c:v>
                </c:pt>
                <c:pt idx="23">
                  <c:v>43165</c:v>
                </c:pt>
                <c:pt idx="24">
                  <c:v>43255</c:v>
                </c:pt>
                <c:pt idx="25">
                  <c:v>43345</c:v>
                </c:pt>
                <c:pt idx="26">
                  <c:v>43435</c:v>
                </c:pt>
                <c:pt idx="27">
                  <c:v>43525</c:v>
                </c:pt>
                <c:pt idx="28">
                  <c:v>43615</c:v>
                </c:pt>
                <c:pt idx="29">
                  <c:v>43705</c:v>
                </c:pt>
                <c:pt idx="30">
                  <c:v>43795</c:v>
                </c:pt>
                <c:pt idx="31">
                  <c:v>43885</c:v>
                </c:pt>
                <c:pt idx="32">
                  <c:v>43975</c:v>
                </c:pt>
                <c:pt idx="33">
                  <c:v>44065</c:v>
                </c:pt>
                <c:pt idx="34">
                  <c:v>44155</c:v>
                </c:pt>
                <c:pt idx="35">
                  <c:v>44245</c:v>
                </c:pt>
                <c:pt idx="36">
                  <c:v>44335</c:v>
                </c:pt>
                <c:pt idx="37">
                  <c:v>44425</c:v>
                </c:pt>
                <c:pt idx="38">
                  <c:v>44515</c:v>
                </c:pt>
                <c:pt idx="39">
                  <c:v>44605</c:v>
                </c:pt>
                <c:pt idx="40">
                  <c:v>44695</c:v>
                </c:pt>
                <c:pt idx="41">
                  <c:v>44785</c:v>
                </c:pt>
                <c:pt idx="42">
                  <c:v>44875</c:v>
                </c:pt>
                <c:pt idx="43">
                  <c:v>44965</c:v>
                </c:pt>
                <c:pt idx="44">
                  <c:v>45055</c:v>
                </c:pt>
                <c:pt idx="45">
                  <c:v>45145</c:v>
                </c:pt>
                <c:pt idx="46">
                  <c:v>45235</c:v>
                </c:pt>
                <c:pt idx="47">
                  <c:v>45325</c:v>
                </c:pt>
                <c:pt idx="48">
                  <c:v>45415</c:v>
                </c:pt>
                <c:pt idx="49">
                  <c:v>45505</c:v>
                </c:pt>
                <c:pt idx="50">
                  <c:v>45595</c:v>
                </c:pt>
                <c:pt idx="51">
                  <c:v>45685</c:v>
                </c:pt>
                <c:pt idx="52">
                  <c:v>45775</c:v>
                </c:pt>
                <c:pt idx="53">
                  <c:v>45865</c:v>
                </c:pt>
                <c:pt idx="54">
                  <c:v>45955</c:v>
                </c:pt>
                <c:pt idx="55">
                  <c:v>46045</c:v>
                </c:pt>
                <c:pt idx="56">
                  <c:v>46135</c:v>
                </c:pt>
                <c:pt idx="57">
                  <c:v>46225</c:v>
                </c:pt>
                <c:pt idx="58">
                  <c:v>46315</c:v>
                </c:pt>
                <c:pt idx="59">
                  <c:v>46405</c:v>
                </c:pt>
                <c:pt idx="60">
                  <c:v>46495</c:v>
                </c:pt>
                <c:pt idx="61">
                  <c:v>46585</c:v>
                </c:pt>
                <c:pt idx="62">
                  <c:v>46675</c:v>
                </c:pt>
                <c:pt idx="63">
                  <c:v>46765</c:v>
                </c:pt>
                <c:pt idx="64">
                  <c:v>46855</c:v>
                </c:pt>
                <c:pt idx="65">
                  <c:v>46945</c:v>
                </c:pt>
                <c:pt idx="66">
                  <c:v>47035</c:v>
                </c:pt>
                <c:pt idx="67">
                  <c:v>47125</c:v>
                </c:pt>
                <c:pt idx="68">
                  <c:v>47215</c:v>
                </c:pt>
                <c:pt idx="69">
                  <c:v>47305</c:v>
                </c:pt>
                <c:pt idx="70">
                  <c:v>47395</c:v>
                </c:pt>
                <c:pt idx="71">
                  <c:v>47485</c:v>
                </c:pt>
                <c:pt idx="72">
                  <c:v>47575</c:v>
                </c:pt>
                <c:pt idx="73">
                  <c:v>47665</c:v>
                </c:pt>
                <c:pt idx="74">
                  <c:v>47755</c:v>
                </c:pt>
                <c:pt idx="75">
                  <c:v>47845</c:v>
                </c:pt>
                <c:pt idx="76">
                  <c:v>47935</c:v>
                </c:pt>
                <c:pt idx="77">
                  <c:v>48025</c:v>
                </c:pt>
                <c:pt idx="78">
                  <c:v>48115</c:v>
                </c:pt>
                <c:pt idx="79">
                  <c:v>48205</c:v>
                </c:pt>
                <c:pt idx="80">
                  <c:v>48295</c:v>
                </c:pt>
                <c:pt idx="81">
                  <c:v>48385</c:v>
                </c:pt>
                <c:pt idx="82">
                  <c:v>48475</c:v>
                </c:pt>
                <c:pt idx="83">
                  <c:v>48565</c:v>
                </c:pt>
                <c:pt idx="84">
                  <c:v>48655</c:v>
                </c:pt>
                <c:pt idx="85">
                  <c:v>48745</c:v>
                </c:pt>
                <c:pt idx="86">
                  <c:v>48835</c:v>
                </c:pt>
                <c:pt idx="87">
                  <c:v>48925</c:v>
                </c:pt>
                <c:pt idx="88">
                  <c:v>49015</c:v>
                </c:pt>
                <c:pt idx="89">
                  <c:v>49105</c:v>
                </c:pt>
                <c:pt idx="90">
                  <c:v>49195</c:v>
                </c:pt>
                <c:pt idx="91">
                  <c:v>49285</c:v>
                </c:pt>
                <c:pt idx="92">
                  <c:v>49375</c:v>
                </c:pt>
                <c:pt idx="93">
                  <c:v>49465</c:v>
                </c:pt>
                <c:pt idx="94">
                  <c:v>49555</c:v>
                </c:pt>
                <c:pt idx="95">
                  <c:v>49645</c:v>
                </c:pt>
                <c:pt idx="96">
                  <c:v>49735</c:v>
                </c:pt>
                <c:pt idx="97">
                  <c:v>49825</c:v>
                </c:pt>
                <c:pt idx="98">
                  <c:v>49915</c:v>
                </c:pt>
                <c:pt idx="99">
                  <c:v>50005</c:v>
                </c:pt>
                <c:pt idx="100">
                  <c:v>50095</c:v>
                </c:pt>
                <c:pt idx="101">
                  <c:v>50185</c:v>
                </c:pt>
                <c:pt idx="102">
                  <c:v>50275</c:v>
                </c:pt>
                <c:pt idx="103">
                  <c:v>50365</c:v>
                </c:pt>
                <c:pt idx="104">
                  <c:v>50455</c:v>
                </c:pt>
                <c:pt idx="105">
                  <c:v>50545</c:v>
                </c:pt>
                <c:pt idx="106">
                  <c:v>50635</c:v>
                </c:pt>
                <c:pt idx="107">
                  <c:v>50725</c:v>
                </c:pt>
                <c:pt idx="108">
                  <c:v>50815</c:v>
                </c:pt>
                <c:pt idx="109">
                  <c:v>50905</c:v>
                </c:pt>
                <c:pt idx="110">
                  <c:v>50995</c:v>
                </c:pt>
                <c:pt idx="111">
                  <c:v>51085</c:v>
                </c:pt>
                <c:pt idx="112">
                  <c:v>51175</c:v>
                </c:pt>
                <c:pt idx="113">
                  <c:v>51265</c:v>
                </c:pt>
                <c:pt idx="114">
                  <c:v>51355</c:v>
                </c:pt>
                <c:pt idx="115">
                  <c:v>51445</c:v>
                </c:pt>
                <c:pt idx="116">
                  <c:v>51535</c:v>
                </c:pt>
                <c:pt idx="117">
                  <c:v>51625</c:v>
                </c:pt>
                <c:pt idx="118">
                  <c:v>51715</c:v>
                </c:pt>
                <c:pt idx="119">
                  <c:v>51805</c:v>
                </c:pt>
                <c:pt idx="120">
                  <c:v>51895</c:v>
                </c:pt>
                <c:pt idx="121">
                  <c:v>51985</c:v>
                </c:pt>
                <c:pt idx="122">
                  <c:v>52075</c:v>
                </c:pt>
                <c:pt idx="123">
                  <c:v>52165</c:v>
                </c:pt>
                <c:pt idx="124">
                  <c:v>52255</c:v>
                </c:pt>
                <c:pt idx="125">
                  <c:v>52345</c:v>
                </c:pt>
                <c:pt idx="126">
                  <c:v>52435</c:v>
                </c:pt>
                <c:pt idx="127">
                  <c:v>52525</c:v>
                </c:pt>
                <c:pt idx="128">
                  <c:v>52615</c:v>
                </c:pt>
                <c:pt idx="129">
                  <c:v>52705</c:v>
                </c:pt>
                <c:pt idx="130">
                  <c:v>52795</c:v>
                </c:pt>
                <c:pt idx="131">
                  <c:v>52885</c:v>
                </c:pt>
                <c:pt idx="132">
                  <c:v>52975</c:v>
                </c:pt>
                <c:pt idx="133">
                  <c:v>53065</c:v>
                </c:pt>
                <c:pt idx="134">
                  <c:v>53155</c:v>
                </c:pt>
                <c:pt idx="135">
                  <c:v>53245</c:v>
                </c:pt>
                <c:pt idx="136">
                  <c:v>53335</c:v>
                </c:pt>
                <c:pt idx="137">
                  <c:v>53425</c:v>
                </c:pt>
                <c:pt idx="138">
                  <c:v>53515</c:v>
                </c:pt>
                <c:pt idx="139">
                  <c:v>53605</c:v>
                </c:pt>
                <c:pt idx="140">
                  <c:v>53695</c:v>
                </c:pt>
                <c:pt idx="141">
                  <c:v>53785</c:v>
                </c:pt>
                <c:pt idx="142">
                  <c:v>53875</c:v>
                </c:pt>
                <c:pt idx="143">
                  <c:v>53965</c:v>
                </c:pt>
                <c:pt idx="144">
                  <c:v>54055</c:v>
                </c:pt>
                <c:pt idx="145">
                  <c:v>54145</c:v>
                </c:pt>
                <c:pt idx="146">
                  <c:v>54235</c:v>
                </c:pt>
                <c:pt idx="147">
                  <c:v>54325</c:v>
                </c:pt>
                <c:pt idx="148">
                  <c:v>54415</c:v>
                </c:pt>
                <c:pt idx="149">
                  <c:v>54505</c:v>
                </c:pt>
                <c:pt idx="150">
                  <c:v>54595</c:v>
                </c:pt>
                <c:pt idx="151">
                  <c:v>54685</c:v>
                </c:pt>
                <c:pt idx="152">
                  <c:v>54775</c:v>
                </c:pt>
                <c:pt idx="153">
                  <c:v>54865</c:v>
                </c:pt>
                <c:pt idx="154">
                  <c:v>54955</c:v>
                </c:pt>
                <c:pt idx="155">
                  <c:v>55045</c:v>
                </c:pt>
                <c:pt idx="156">
                  <c:v>55135</c:v>
                </c:pt>
                <c:pt idx="157">
                  <c:v>55225</c:v>
                </c:pt>
                <c:pt idx="158">
                  <c:v>55315</c:v>
                </c:pt>
                <c:pt idx="159">
                  <c:v>55405</c:v>
                </c:pt>
                <c:pt idx="160">
                  <c:v>55495</c:v>
                </c:pt>
                <c:pt idx="161">
                  <c:v>55585</c:v>
                </c:pt>
                <c:pt idx="162">
                  <c:v>55675</c:v>
                </c:pt>
                <c:pt idx="163">
                  <c:v>55765</c:v>
                </c:pt>
                <c:pt idx="164">
                  <c:v>55855</c:v>
                </c:pt>
                <c:pt idx="165">
                  <c:v>55945</c:v>
                </c:pt>
                <c:pt idx="166">
                  <c:v>56035</c:v>
                </c:pt>
                <c:pt idx="167">
                  <c:v>56125</c:v>
                </c:pt>
                <c:pt idx="168">
                  <c:v>56215</c:v>
                </c:pt>
                <c:pt idx="169">
                  <c:v>56305</c:v>
                </c:pt>
                <c:pt idx="170">
                  <c:v>56395</c:v>
                </c:pt>
                <c:pt idx="171">
                  <c:v>56485</c:v>
                </c:pt>
                <c:pt idx="172">
                  <c:v>56575</c:v>
                </c:pt>
                <c:pt idx="173">
                  <c:v>56665</c:v>
                </c:pt>
                <c:pt idx="174">
                  <c:v>56755</c:v>
                </c:pt>
                <c:pt idx="175">
                  <c:v>56845</c:v>
                </c:pt>
                <c:pt idx="176">
                  <c:v>56935</c:v>
                </c:pt>
                <c:pt idx="177">
                  <c:v>57025</c:v>
                </c:pt>
                <c:pt idx="178">
                  <c:v>57115</c:v>
                </c:pt>
                <c:pt idx="179">
                  <c:v>57205</c:v>
                </c:pt>
                <c:pt idx="180">
                  <c:v>57295</c:v>
                </c:pt>
                <c:pt idx="181">
                  <c:v>57385</c:v>
                </c:pt>
                <c:pt idx="182">
                  <c:v>57475</c:v>
                </c:pt>
                <c:pt idx="183">
                  <c:v>57565</c:v>
                </c:pt>
                <c:pt idx="184">
                  <c:v>57655</c:v>
                </c:pt>
                <c:pt idx="185">
                  <c:v>57745</c:v>
                </c:pt>
                <c:pt idx="186">
                  <c:v>57835</c:v>
                </c:pt>
                <c:pt idx="187">
                  <c:v>57925</c:v>
                </c:pt>
                <c:pt idx="188">
                  <c:v>58015</c:v>
                </c:pt>
                <c:pt idx="189">
                  <c:v>58105</c:v>
                </c:pt>
                <c:pt idx="190">
                  <c:v>58195</c:v>
                </c:pt>
                <c:pt idx="191">
                  <c:v>58285</c:v>
                </c:pt>
                <c:pt idx="192">
                  <c:v>58375</c:v>
                </c:pt>
                <c:pt idx="193">
                  <c:v>58465</c:v>
                </c:pt>
                <c:pt idx="194">
                  <c:v>58555</c:v>
                </c:pt>
                <c:pt idx="195">
                  <c:v>58645</c:v>
                </c:pt>
                <c:pt idx="196">
                  <c:v>58735</c:v>
                </c:pt>
                <c:pt idx="197">
                  <c:v>58825</c:v>
                </c:pt>
                <c:pt idx="198">
                  <c:v>58915</c:v>
                </c:pt>
                <c:pt idx="199">
                  <c:v>59005</c:v>
                </c:pt>
                <c:pt idx="200">
                  <c:v>59095</c:v>
                </c:pt>
                <c:pt idx="201">
                  <c:v>59185</c:v>
                </c:pt>
                <c:pt idx="202">
                  <c:v>59275</c:v>
                </c:pt>
                <c:pt idx="203">
                  <c:v>59365</c:v>
                </c:pt>
                <c:pt idx="204">
                  <c:v>59455</c:v>
                </c:pt>
                <c:pt idx="205">
                  <c:v>59545</c:v>
                </c:pt>
                <c:pt idx="206">
                  <c:v>59635</c:v>
                </c:pt>
                <c:pt idx="207">
                  <c:v>59725</c:v>
                </c:pt>
                <c:pt idx="208">
                  <c:v>59815</c:v>
                </c:pt>
                <c:pt idx="209">
                  <c:v>59905</c:v>
                </c:pt>
                <c:pt idx="210">
                  <c:v>59995</c:v>
                </c:pt>
                <c:pt idx="211">
                  <c:v>60085</c:v>
                </c:pt>
              </c:numCache>
            </c:numRef>
          </c:cat>
          <c:val>
            <c:numRef>
              <c:f>'Bumped Curve Snap'!$I$4:$I$215</c:f>
              <c:numCache>
                <c:formatCode>G/通用格式</c:formatCode>
                <c:ptCount val="212"/>
                <c:pt idx="0">
                  <c:v>2.2901163845572833E-2</c:v>
                </c:pt>
                <c:pt idx="1">
                  <c:v>2.2901163846608317E-2</c:v>
                </c:pt>
                <c:pt idx="2">
                  <c:v>2.2590832085933141E-2</c:v>
                </c:pt>
                <c:pt idx="3">
                  <c:v>2.1863985768684605E-2</c:v>
                </c:pt>
                <c:pt idx="4">
                  <c:v>2.2486467624392298E-2</c:v>
                </c:pt>
                <c:pt idx="5">
                  <c:v>2.4725159248548505E-2</c:v>
                </c:pt>
                <c:pt idx="6">
                  <c:v>2.6387617726099405E-2</c:v>
                </c:pt>
                <c:pt idx="7">
                  <c:v>2.4911826344369812E-2</c:v>
                </c:pt>
                <c:pt idx="8">
                  <c:v>2.3533962685551989E-2</c:v>
                </c:pt>
                <c:pt idx="9">
                  <c:v>2.3831645847982728E-2</c:v>
                </c:pt>
                <c:pt idx="10">
                  <c:v>2.4288518169551715E-2</c:v>
                </c:pt>
                <c:pt idx="11">
                  <c:v>2.4665878009076127E-2</c:v>
                </c:pt>
                <c:pt idx="12">
                  <c:v>2.5105922934303009E-2</c:v>
                </c:pt>
                <c:pt idx="13">
                  <c:v>2.5509218566985202E-2</c:v>
                </c:pt>
                <c:pt idx="14">
                  <c:v>2.5829696065884152E-2</c:v>
                </c:pt>
                <c:pt idx="15">
                  <c:v>2.6099189801592242E-2</c:v>
                </c:pt>
                <c:pt idx="16">
                  <c:v>2.6436816647113903E-2</c:v>
                </c:pt>
                <c:pt idx="17">
                  <c:v>2.6968288784701543E-2</c:v>
                </c:pt>
                <c:pt idx="18">
                  <c:v>2.7517993688084795E-2</c:v>
                </c:pt>
                <c:pt idx="19">
                  <c:v>2.8072860955247598E-2</c:v>
                </c:pt>
                <c:pt idx="20">
                  <c:v>2.8622131107234553E-2</c:v>
                </c:pt>
                <c:pt idx="21">
                  <c:v>2.9254876374472254E-2</c:v>
                </c:pt>
                <c:pt idx="22">
                  <c:v>2.980596581276098E-2</c:v>
                </c:pt>
                <c:pt idx="23">
                  <c:v>3.0253566396917835E-2</c:v>
                </c:pt>
                <c:pt idx="24">
                  <c:v>3.0658597847022094E-2</c:v>
                </c:pt>
                <c:pt idx="25">
                  <c:v>3.1726590791769364E-2</c:v>
                </c:pt>
                <c:pt idx="26">
                  <c:v>3.1890604634347175E-2</c:v>
                </c:pt>
                <c:pt idx="27">
                  <c:v>3.1187317136584847E-2</c:v>
                </c:pt>
                <c:pt idx="28">
                  <c:v>3.1028164758179315E-2</c:v>
                </c:pt>
                <c:pt idx="29">
                  <c:v>3.1445328532116817E-2</c:v>
                </c:pt>
                <c:pt idx="30">
                  <c:v>3.2034185865079855E-2</c:v>
                </c:pt>
                <c:pt idx="31">
                  <c:v>3.2585342619389224E-2</c:v>
                </c:pt>
                <c:pt idx="32">
                  <c:v>3.3079368535179024E-2</c:v>
                </c:pt>
                <c:pt idx="33">
                  <c:v>3.3352077873062269E-2</c:v>
                </c:pt>
                <c:pt idx="34">
                  <c:v>3.3452631473771734E-2</c:v>
                </c:pt>
                <c:pt idx="35">
                  <c:v>3.3724267255235772E-2</c:v>
                </c:pt>
                <c:pt idx="36">
                  <c:v>3.4096957895504543E-2</c:v>
                </c:pt>
                <c:pt idx="37">
                  <c:v>3.4020985445785919E-2</c:v>
                </c:pt>
                <c:pt idx="38">
                  <c:v>3.3744301862510755E-2</c:v>
                </c:pt>
                <c:pt idx="39">
                  <c:v>3.3653651542043465E-2</c:v>
                </c:pt>
                <c:pt idx="40">
                  <c:v>3.3640705464633824E-2</c:v>
                </c:pt>
                <c:pt idx="41">
                  <c:v>3.3844108180970375E-2</c:v>
                </c:pt>
                <c:pt idx="42">
                  <c:v>3.4172780792485632E-2</c:v>
                </c:pt>
                <c:pt idx="43">
                  <c:v>3.4486282572641143E-2</c:v>
                </c:pt>
                <c:pt idx="44">
                  <c:v>3.479560769938167E-2</c:v>
                </c:pt>
                <c:pt idx="45">
                  <c:v>3.5081322509111591E-2</c:v>
                </c:pt>
                <c:pt idx="46">
                  <c:v>3.5354712366248355E-2</c:v>
                </c:pt>
                <c:pt idx="47">
                  <c:v>3.5616557929933845E-2</c:v>
                </c:pt>
                <c:pt idx="48">
                  <c:v>3.5873159650151532E-2</c:v>
                </c:pt>
                <c:pt idx="49">
                  <c:v>3.6113782970116144E-2</c:v>
                </c:pt>
                <c:pt idx="50">
                  <c:v>3.6347428287822788E-2</c:v>
                </c:pt>
                <c:pt idx="51">
                  <c:v>3.6569407794425357E-2</c:v>
                </c:pt>
                <c:pt idx="52">
                  <c:v>3.6787672185680347E-2</c:v>
                </c:pt>
                <c:pt idx="53">
                  <c:v>3.699529465349518E-2</c:v>
                </c:pt>
                <c:pt idx="54">
                  <c:v>3.7192998425614791E-2</c:v>
                </c:pt>
                <c:pt idx="55">
                  <c:v>3.7383568974252129E-2</c:v>
                </c:pt>
                <c:pt idx="56">
                  <c:v>3.7571487478812823E-2</c:v>
                </c:pt>
                <c:pt idx="57">
                  <c:v>3.7750740253691552E-2</c:v>
                </c:pt>
                <c:pt idx="58">
                  <c:v>3.7921881527866817E-2</c:v>
                </c:pt>
                <c:pt idx="59">
                  <c:v>3.8087266856166424E-2</c:v>
                </c:pt>
                <c:pt idx="60">
                  <c:v>3.8250754799352832E-2</c:v>
                </c:pt>
                <c:pt idx="61">
                  <c:v>3.8406600559266153E-2</c:v>
                </c:pt>
                <c:pt idx="62">
                  <c:v>3.8542305825793204E-2</c:v>
                </c:pt>
                <c:pt idx="63">
                  <c:v>3.8666323199578558E-2</c:v>
                </c:pt>
                <c:pt idx="64">
                  <c:v>3.8787839254076799E-2</c:v>
                </c:pt>
                <c:pt idx="65">
                  <c:v>3.8905604032459198E-2</c:v>
                </c:pt>
                <c:pt idx="66">
                  <c:v>3.9018524914327397E-2</c:v>
                </c:pt>
                <c:pt idx="67">
                  <c:v>3.9128101118350626E-2</c:v>
                </c:pt>
                <c:pt idx="68">
                  <c:v>3.9236860686406194E-2</c:v>
                </c:pt>
                <c:pt idx="69">
                  <c:v>3.9341266634016554E-2</c:v>
                </c:pt>
                <c:pt idx="70">
                  <c:v>3.9441556621605964E-2</c:v>
                </c:pt>
                <c:pt idx="71">
                  <c:v>3.9539043522352532E-2</c:v>
                </c:pt>
                <c:pt idx="72">
                  <c:v>3.9635967414436597E-2</c:v>
                </c:pt>
                <c:pt idx="73">
                  <c:v>3.9729165114562572E-2</c:v>
                </c:pt>
                <c:pt idx="74">
                  <c:v>3.9818830785932235E-2</c:v>
                </c:pt>
                <c:pt idx="75">
                  <c:v>3.9907102763457464E-2</c:v>
                </c:pt>
                <c:pt idx="76">
                  <c:v>3.9993996959844652E-2</c:v>
                </c:pt>
                <c:pt idx="77">
                  <c:v>4.0076746230010195E-2</c:v>
                </c:pt>
                <c:pt idx="78">
                  <c:v>4.0157390590289929E-2</c:v>
                </c:pt>
                <c:pt idx="79">
                  <c:v>4.0236891395593936E-2</c:v>
                </c:pt>
                <c:pt idx="80">
                  <c:v>4.0314398239642599E-2</c:v>
                </c:pt>
                <c:pt idx="81">
                  <c:v>4.0409479634827696E-2</c:v>
                </c:pt>
                <c:pt idx="82">
                  <c:v>4.0514088373240678E-2</c:v>
                </c:pt>
                <c:pt idx="83">
                  <c:v>4.0619244369183197E-2</c:v>
                </c:pt>
                <c:pt idx="84">
                  <c:v>4.0723125754780244E-2</c:v>
                </c:pt>
                <c:pt idx="85">
                  <c:v>4.0822440948790804E-2</c:v>
                </c:pt>
                <c:pt idx="86">
                  <c:v>4.0919554757429207E-2</c:v>
                </c:pt>
                <c:pt idx="87">
                  <c:v>4.1015632793652654E-2</c:v>
                </c:pt>
                <c:pt idx="88">
                  <c:v>4.1110667307369113E-2</c:v>
                </c:pt>
                <c:pt idx="89">
                  <c:v>4.1201623492026142E-2</c:v>
                </c:pt>
                <c:pt idx="90">
                  <c:v>4.1290666326992215E-2</c:v>
                </c:pt>
                <c:pt idx="91">
                  <c:v>4.1378856530100844E-2</c:v>
                </c:pt>
                <c:pt idx="92">
                  <c:v>4.1466195568145792E-2</c:v>
                </c:pt>
                <c:pt idx="93">
                  <c:v>4.1549869408761111E-2</c:v>
                </c:pt>
                <c:pt idx="94">
                  <c:v>4.1631870661392061E-2</c:v>
                </c:pt>
                <c:pt idx="95">
                  <c:v>4.1713167551209684E-2</c:v>
                </c:pt>
                <c:pt idx="96">
                  <c:v>4.179291015277007E-2</c:v>
                </c:pt>
                <c:pt idx="97">
                  <c:v>4.1871115428458089E-2</c:v>
                </c:pt>
                <c:pt idx="98">
                  <c:v>4.194694028956069E-2</c:v>
                </c:pt>
                <c:pt idx="99">
                  <c:v>4.2021340079974212E-2</c:v>
                </c:pt>
                <c:pt idx="100">
                  <c:v>4.209440032715249E-2</c:v>
                </c:pt>
                <c:pt idx="101">
                  <c:v>4.2168541646924927E-2</c:v>
                </c:pt>
                <c:pt idx="102">
                  <c:v>4.2238922639652059E-2</c:v>
                </c:pt>
                <c:pt idx="103">
                  <c:v>4.2308037214833082E-2</c:v>
                </c:pt>
                <c:pt idx="104">
                  <c:v>4.2375980817019931E-2</c:v>
                </c:pt>
                <c:pt idx="105">
                  <c:v>4.2444983488232856E-2</c:v>
                </c:pt>
                <c:pt idx="106">
                  <c:v>4.2510543638180409E-2</c:v>
                </c:pt>
                <c:pt idx="107">
                  <c:v>4.2574969142387141E-2</c:v>
                </c:pt>
                <c:pt idx="108">
                  <c:v>4.263837373785398E-2</c:v>
                </c:pt>
                <c:pt idx="109">
                  <c:v>4.2702813495994578E-2</c:v>
                </c:pt>
                <c:pt idx="110">
                  <c:v>4.2764088230110672E-2</c:v>
                </c:pt>
                <c:pt idx="111">
                  <c:v>4.2824338967834968E-2</c:v>
                </c:pt>
                <c:pt idx="112">
                  <c:v>4.2883712795074941E-2</c:v>
                </c:pt>
                <c:pt idx="113">
                  <c:v>4.2943468755961681E-2</c:v>
                </c:pt>
                <c:pt idx="114">
                  <c:v>4.3000931678241067E-2</c:v>
                </c:pt>
                <c:pt idx="115">
                  <c:v>4.3057455689571353E-2</c:v>
                </c:pt>
                <c:pt idx="116">
                  <c:v>4.3113219816606638E-2</c:v>
                </c:pt>
                <c:pt idx="117">
                  <c:v>4.3162755289971259E-2</c:v>
                </c:pt>
                <c:pt idx="118">
                  <c:v>4.3151251158652093E-2</c:v>
                </c:pt>
                <c:pt idx="119">
                  <c:v>4.3036662366956892E-2</c:v>
                </c:pt>
                <c:pt idx="120">
                  <c:v>4.2925417870233462E-2</c:v>
                </c:pt>
                <c:pt idx="121">
                  <c:v>4.2816761106439102E-2</c:v>
                </c:pt>
                <c:pt idx="122">
                  <c:v>4.2756485664056251E-2</c:v>
                </c:pt>
                <c:pt idx="123">
                  <c:v>4.2806164253043365E-2</c:v>
                </c:pt>
                <c:pt idx="124">
                  <c:v>4.285507940687059E-2</c:v>
                </c:pt>
                <c:pt idx="125">
                  <c:v>4.2904290961655843E-2</c:v>
                </c:pt>
                <c:pt idx="126">
                  <c:v>4.2952002109240744E-2</c:v>
                </c:pt>
                <c:pt idx="127">
                  <c:v>4.2998440923433495E-2</c:v>
                </c:pt>
                <c:pt idx="128">
                  <c:v>4.304419019425245E-2</c:v>
                </c:pt>
                <c:pt idx="129">
                  <c:v>4.3089716969326855E-2</c:v>
                </c:pt>
                <c:pt idx="130">
                  <c:v>4.313439051766102E-2</c:v>
                </c:pt>
                <c:pt idx="131">
                  <c:v>4.3177887925142627E-2</c:v>
                </c:pt>
                <c:pt idx="132">
                  <c:v>4.3220755691618325E-2</c:v>
                </c:pt>
                <c:pt idx="133">
                  <c:v>4.3263930077125437E-2</c:v>
                </c:pt>
                <c:pt idx="134">
                  <c:v>4.3305827996557751E-2</c:v>
                </c:pt>
                <c:pt idx="135">
                  <c:v>4.3346626441604634E-2</c:v>
                </c:pt>
                <c:pt idx="136">
                  <c:v>4.338685179307445E-2</c:v>
                </c:pt>
                <c:pt idx="137">
                  <c:v>4.3427384050952728E-2</c:v>
                </c:pt>
                <c:pt idx="138">
                  <c:v>4.3466737576543589E-2</c:v>
                </c:pt>
                <c:pt idx="139">
                  <c:v>4.3505064100958071E-2</c:v>
                </c:pt>
                <c:pt idx="140">
                  <c:v>4.3542865765985636E-2</c:v>
                </c:pt>
                <c:pt idx="141">
                  <c:v>4.3580972484429652E-2</c:v>
                </c:pt>
                <c:pt idx="142">
                  <c:v>4.3617989113780203E-2</c:v>
                </c:pt>
                <c:pt idx="143">
                  <c:v>4.3654043453078925E-2</c:v>
                </c:pt>
                <c:pt idx="144">
                  <c:v>4.3690017146250495E-2</c:v>
                </c:pt>
                <c:pt idx="145">
                  <c:v>4.372547378033409E-2</c:v>
                </c:pt>
                <c:pt idx="146">
                  <c:v>4.3759943161936071E-2</c:v>
                </c:pt>
                <c:pt idx="147">
                  <c:v>4.3793907466641621E-2</c:v>
                </c:pt>
                <c:pt idx="148">
                  <c:v>4.38278064298908E-2</c:v>
                </c:pt>
                <c:pt idx="149">
                  <c:v>4.3861614218795968E-2</c:v>
                </c:pt>
                <c:pt idx="150">
                  <c:v>4.38941291742194E-2</c:v>
                </c:pt>
                <c:pt idx="151">
                  <c:v>4.3926159806418369E-2</c:v>
                </c:pt>
                <c:pt idx="152">
                  <c:v>4.3958135294746785E-2</c:v>
                </c:pt>
                <c:pt idx="153">
                  <c:v>4.399003617156521E-2</c:v>
                </c:pt>
                <c:pt idx="154">
                  <c:v>4.402073075616366E-2</c:v>
                </c:pt>
                <c:pt idx="155">
                  <c:v>4.405096830497298E-2</c:v>
                </c:pt>
                <c:pt idx="156">
                  <c:v>4.4081161020568679E-2</c:v>
                </c:pt>
                <c:pt idx="157">
                  <c:v>4.4111292762988301E-2</c:v>
                </c:pt>
                <c:pt idx="158">
                  <c:v>4.4140297800897621E-2</c:v>
                </c:pt>
                <c:pt idx="159">
                  <c:v>4.4168870082915597E-2</c:v>
                </c:pt>
                <c:pt idx="160">
                  <c:v>4.4197406360124709E-2</c:v>
                </c:pt>
                <c:pt idx="161">
                  <c:v>4.4225567009518664E-2</c:v>
                </c:pt>
                <c:pt idx="162">
                  <c:v>4.4252991904180902E-2</c:v>
                </c:pt>
                <c:pt idx="163">
                  <c:v>4.4280019800132041E-2</c:v>
                </c:pt>
                <c:pt idx="164">
                  <c:v>4.4307018061211838E-2</c:v>
                </c:pt>
                <c:pt idx="165">
                  <c:v>4.43339731158017E-2</c:v>
                </c:pt>
                <c:pt idx="166">
                  <c:v>4.4360240872126123E-2</c:v>
                </c:pt>
                <c:pt idx="167">
                  <c:v>4.4385813888168049E-2</c:v>
                </c:pt>
                <c:pt idx="168">
                  <c:v>4.4411084335761401E-2</c:v>
                </c:pt>
                <c:pt idx="169">
                  <c:v>4.4436042208946244E-2</c:v>
                </c:pt>
                <c:pt idx="170">
                  <c:v>4.4461488186175992E-2</c:v>
                </c:pt>
                <c:pt idx="171">
                  <c:v>4.4485707826627717E-2</c:v>
                </c:pt>
                <c:pt idx="172">
                  <c:v>4.4509647322928184E-2</c:v>
                </c:pt>
                <c:pt idx="173">
                  <c:v>4.4533292473190454E-2</c:v>
                </c:pt>
                <c:pt idx="174">
                  <c:v>4.4557411066252064E-2</c:v>
                </c:pt>
                <c:pt idx="175">
                  <c:v>4.4580362309926506E-2</c:v>
                </c:pt>
                <c:pt idx="176">
                  <c:v>4.4603054339501076E-2</c:v>
                </c:pt>
                <c:pt idx="177">
                  <c:v>4.4625462270860096E-2</c:v>
                </c:pt>
                <c:pt idx="178">
                  <c:v>4.4648062935745567E-2</c:v>
                </c:pt>
                <c:pt idx="179">
                  <c:v>4.4669828913196215E-2</c:v>
                </c:pt>
                <c:pt idx="180">
                  <c:v>4.4691372648889185E-2</c:v>
                </c:pt>
                <c:pt idx="181">
                  <c:v>4.4712637015624376E-2</c:v>
                </c:pt>
                <c:pt idx="182">
                  <c:v>4.4734319699243082E-2</c:v>
                </c:pt>
                <c:pt idx="183">
                  <c:v>4.475500287521688E-2</c:v>
                </c:pt>
                <c:pt idx="184">
                  <c:v>4.4775393746587608E-2</c:v>
                </c:pt>
                <c:pt idx="185">
                  <c:v>4.4795568279262003E-2</c:v>
                </c:pt>
                <c:pt idx="186">
                  <c:v>4.4816143209894868E-2</c:v>
                </c:pt>
                <c:pt idx="187">
                  <c:v>4.4835769618251003E-2</c:v>
                </c:pt>
                <c:pt idx="188">
                  <c:v>4.4855119869367556E-2</c:v>
                </c:pt>
                <c:pt idx="189">
                  <c:v>4.4874480685050684E-2</c:v>
                </c:pt>
                <c:pt idx="190">
                  <c:v>4.4893793982061087E-2</c:v>
                </c:pt>
                <c:pt idx="191">
                  <c:v>4.49126299372615E-2</c:v>
                </c:pt>
                <c:pt idx="192">
                  <c:v>4.4930995454627989E-2</c:v>
                </c:pt>
                <c:pt idx="193">
                  <c:v>4.4949160611966556E-2</c:v>
                </c:pt>
                <c:pt idx="194">
                  <c:v>4.4967261940816683E-2</c:v>
                </c:pt>
                <c:pt idx="195">
                  <c:v>4.4985140591252283E-2</c:v>
                </c:pt>
                <c:pt idx="196">
                  <c:v>4.500254005413501E-2</c:v>
                </c:pt>
                <c:pt idx="197">
                  <c:v>4.5019763575723702E-2</c:v>
                </c:pt>
                <c:pt idx="198">
                  <c:v>4.5037223147633788E-2</c:v>
                </c:pt>
                <c:pt idx="199">
                  <c:v>4.5054141534209668E-2</c:v>
                </c:pt>
                <c:pt idx="200">
                  <c:v>4.5070710889158407E-2</c:v>
                </c:pt>
                <c:pt idx="201">
                  <c:v>4.5087073249063116E-2</c:v>
                </c:pt>
                <c:pt idx="202">
                  <c:v>4.5103640824569372E-2</c:v>
                </c:pt>
                <c:pt idx="203">
                  <c:v>4.5119705981289684E-2</c:v>
                </c:pt>
                <c:pt idx="204">
                  <c:v>4.5135430351208795E-2</c:v>
                </c:pt>
                <c:pt idx="205">
                  <c:v>4.5150959403276472E-2</c:v>
                </c:pt>
                <c:pt idx="206">
                  <c:v>4.5166679268124135E-2</c:v>
                </c:pt>
                <c:pt idx="207">
                  <c:v>4.5181931999754552E-2</c:v>
                </c:pt>
                <c:pt idx="208">
                  <c:v>4.5196850982574317E-2</c:v>
                </c:pt>
                <c:pt idx="209">
                  <c:v>4.521158662794008E-2</c:v>
                </c:pt>
                <c:pt idx="210">
                  <c:v>4.5226305375131219E-2</c:v>
                </c:pt>
                <c:pt idx="211">
                  <c:v>4.5240778856816877E-2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'Bumped Curve Snap'!$J$3</c:f>
              <c:strCache>
                <c:ptCount val="1"/>
                <c:pt idx="0">
                  <c:v>CNY_Treasury_Live_Curve_2012-7-5_Calibrated_Curve_8</c:v>
                </c:pt>
              </c:strCache>
            </c:strRef>
          </c:tx>
          <c:marker>
            <c:symbol val="none"/>
          </c:marker>
          <c:val>
            <c:numRef>
              <c:f>'Bumped Curve Snap'!$J$4:$J$215</c:f>
              <c:numCache>
                <c:formatCode>G/通用格式</c:formatCode>
                <c:ptCount val="212"/>
                <c:pt idx="0">
                  <c:v>2.3000579039966905E-2</c:v>
                </c:pt>
                <c:pt idx="1">
                  <c:v>2.3000579041018852E-2</c:v>
                </c:pt>
                <c:pt idx="2">
                  <c:v>2.2689720376255693E-2</c:v>
                </c:pt>
                <c:pt idx="3">
                  <c:v>2.1962377675839913E-2</c:v>
                </c:pt>
                <c:pt idx="4">
                  <c:v>2.258430263572498E-2</c:v>
                </c:pt>
                <c:pt idx="5">
                  <c:v>2.4823069665546538E-2</c:v>
                </c:pt>
                <c:pt idx="6">
                  <c:v>2.6485503614300979E-2</c:v>
                </c:pt>
                <c:pt idx="7">
                  <c:v>2.500973040765838E-2</c:v>
                </c:pt>
                <c:pt idx="8">
                  <c:v>2.3631726186478026E-2</c:v>
                </c:pt>
                <c:pt idx="9">
                  <c:v>2.3929422250504203E-2</c:v>
                </c:pt>
                <c:pt idx="10">
                  <c:v>2.4386249184978337E-2</c:v>
                </c:pt>
                <c:pt idx="11">
                  <c:v>2.4763648735438317E-2</c:v>
                </c:pt>
                <c:pt idx="12">
                  <c:v>2.5203660821233122E-2</c:v>
                </c:pt>
                <c:pt idx="13">
                  <c:v>2.5606976811423238E-2</c:v>
                </c:pt>
                <c:pt idx="14">
                  <c:v>2.5927434494443676E-2</c:v>
                </c:pt>
                <c:pt idx="15">
                  <c:v>2.6196959946740869E-2</c:v>
                </c:pt>
                <c:pt idx="16">
                  <c:v>2.6534571584961805E-2</c:v>
                </c:pt>
                <c:pt idx="17">
                  <c:v>2.7066075752438901E-2</c:v>
                </c:pt>
                <c:pt idx="18">
                  <c:v>2.7615804933750349E-2</c:v>
                </c:pt>
                <c:pt idx="19">
                  <c:v>2.8170735874895353E-2</c:v>
                </c:pt>
                <c:pt idx="20">
                  <c:v>2.8720039448622579E-2</c:v>
                </c:pt>
                <c:pt idx="21">
                  <c:v>2.9352843529152167E-2</c:v>
                </c:pt>
                <c:pt idx="22">
                  <c:v>2.9903981945359811E-2</c:v>
                </c:pt>
                <c:pt idx="23">
                  <c:v>3.0351642846561295E-2</c:v>
                </c:pt>
                <c:pt idx="24">
                  <c:v>3.0756707008185516E-2</c:v>
                </c:pt>
                <c:pt idx="25">
                  <c:v>3.1824848524725786E-2</c:v>
                </c:pt>
                <c:pt idx="26">
                  <c:v>3.1988859819172169E-2</c:v>
                </c:pt>
                <c:pt idx="27">
                  <c:v>3.1285425988151212E-2</c:v>
                </c:pt>
                <c:pt idx="28">
                  <c:v>3.1126203328643822E-2</c:v>
                </c:pt>
                <c:pt idx="29">
                  <c:v>3.1543352386947408E-2</c:v>
                </c:pt>
                <c:pt idx="30">
                  <c:v>3.213230586981982E-2</c:v>
                </c:pt>
                <c:pt idx="31">
                  <c:v>3.2683656035828332E-2</c:v>
                </c:pt>
                <c:pt idx="32">
                  <c:v>3.3177820980571593E-2</c:v>
                </c:pt>
                <c:pt idx="33">
                  <c:v>3.3450509836506638E-2</c:v>
                </c:pt>
                <c:pt idx="34">
                  <c:v>3.3551023637268924E-2</c:v>
                </c:pt>
                <c:pt idx="35">
                  <c:v>3.3822768985645027E-2</c:v>
                </c:pt>
                <c:pt idx="36">
                  <c:v>3.4195566932177388E-2</c:v>
                </c:pt>
                <c:pt idx="37">
                  <c:v>3.4119480001109315E-2</c:v>
                </c:pt>
                <c:pt idx="38">
                  <c:v>3.3842636439165533E-2</c:v>
                </c:pt>
                <c:pt idx="39">
                  <c:v>3.3751963938754584E-2</c:v>
                </c:pt>
                <c:pt idx="40">
                  <c:v>3.3738980225944723E-2</c:v>
                </c:pt>
                <c:pt idx="41">
                  <c:v>3.3942387068822751E-2</c:v>
                </c:pt>
                <c:pt idx="42">
                  <c:v>3.4271149041536879E-2</c:v>
                </c:pt>
                <c:pt idx="43">
                  <c:v>3.4584808107320203E-2</c:v>
                </c:pt>
                <c:pt idx="44">
                  <c:v>3.4894254615658121E-2</c:v>
                </c:pt>
                <c:pt idx="45">
                  <c:v>3.518002803918667E-2</c:v>
                </c:pt>
                <c:pt idx="46">
                  <c:v>3.5453489343454672E-2</c:v>
                </c:pt>
                <c:pt idx="47">
                  <c:v>3.5715477554551893E-2</c:v>
                </c:pt>
                <c:pt idx="48">
                  <c:v>3.5972190610346629E-2</c:v>
                </c:pt>
                <c:pt idx="49">
                  <c:v>3.6212866312204717E-2</c:v>
                </c:pt>
                <c:pt idx="50">
                  <c:v>3.6446570191480877E-2</c:v>
                </c:pt>
                <c:pt idx="51">
                  <c:v>3.6668675420825581E-2</c:v>
                </c:pt>
                <c:pt idx="52">
                  <c:v>3.688704786500531E-2</c:v>
                </c:pt>
                <c:pt idx="53">
                  <c:v>3.7094718073282199E-2</c:v>
                </c:pt>
                <c:pt idx="54">
                  <c:v>3.7292467645940061E-2</c:v>
                </c:pt>
                <c:pt idx="55">
                  <c:v>3.7483154809438299E-2</c:v>
                </c:pt>
                <c:pt idx="56">
                  <c:v>3.7671176471931793E-2</c:v>
                </c:pt>
                <c:pt idx="57">
                  <c:v>3.7850472459159699E-2</c:v>
                </c:pt>
                <c:pt idx="58">
                  <c:v>3.8021650166678383E-2</c:v>
                </c:pt>
                <c:pt idx="59">
                  <c:v>3.8187144820167419E-2</c:v>
                </c:pt>
                <c:pt idx="60">
                  <c:v>3.8350732425497684E-2</c:v>
                </c:pt>
                <c:pt idx="61">
                  <c:v>3.8506617671880836E-2</c:v>
                </c:pt>
                <c:pt idx="62">
                  <c:v>3.8642341574962741E-2</c:v>
                </c:pt>
                <c:pt idx="63">
                  <c:v>3.8766447020176169E-2</c:v>
                </c:pt>
                <c:pt idx="64">
                  <c:v>3.8888043032071135E-2</c:v>
                </c:pt>
                <c:pt idx="65">
                  <c:v>3.9005830383034117E-2</c:v>
                </c:pt>
                <c:pt idx="66">
                  <c:v>3.9118761820304167E-2</c:v>
                </c:pt>
                <c:pt idx="67">
                  <c:v>3.9228417462876169E-2</c:v>
                </c:pt>
                <c:pt idx="68">
                  <c:v>3.9337254402663994E-2</c:v>
                </c:pt>
                <c:pt idx="69">
                  <c:v>3.9441684209380067E-2</c:v>
                </c:pt>
                <c:pt idx="70">
                  <c:v>3.9541985453068265E-2</c:v>
                </c:pt>
                <c:pt idx="71">
                  <c:v>3.9639544558061013E-2</c:v>
                </c:pt>
                <c:pt idx="72">
                  <c:v>3.9736543381679007E-2</c:v>
                </c:pt>
                <c:pt idx="73">
                  <c:v>3.9829766929224145E-2</c:v>
                </c:pt>
                <c:pt idx="74">
                  <c:v>3.9919443361034437E-2</c:v>
                </c:pt>
                <c:pt idx="75">
                  <c:v>4.0007781841059617E-2</c:v>
                </c:pt>
                <c:pt idx="76">
                  <c:v>4.0094748878086478E-2</c:v>
                </c:pt>
                <c:pt idx="77">
                  <c:v>4.0177525296883426E-2</c:v>
                </c:pt>
                <c:pt idx="78">
                  <c:v>4.0258180134120421E-2</c:v>
                </c:pt>
                <c:pt idx="79">
                  <c:v>4.0337741435933036E-2</c:v>
                </c:pt>
                <c:pt idx="80">
                  <c:v>4.0415318748336489E-2</c:v>
                </c:pt>
                <c:pt idx="81">
                  <c:v>4.0510450760865735E-2</c:v>
                </c:pt>
                <c:pt idx="82">
                  <c:v>4.0612446862125791E-2</c:v>
                </c:pt>
                <c:pt idx="83">
                  <c:v>4.0713853698501001E-2</c:v>
                </c:pt>
                <c:pt idx="84">
                  <c:v>4.0813953315579937E-2</c:v>
                </c:pt>
                <c:pt idx="85">
                  <c:v>4.0909484880516371E-2</c:v>
                </c:pt>
                <c:pt idx="86">
                  <c:v>4.1002791506558139E-2</c:v>
                </c:pt>
                <c:pt idx="87">
                  <c:v>4.1095031908129014E-2</c:v>
                </c:pt>
                <c:pt idx="88">
                  <c:v>4.1186190910020175E-2</c:v>
                </c:pt>
                <c:pt idx="89">
                  <c:v>4.1273284316926666E-2</c:v>
                </c:pt>
                <c:pt idx="90">
                  <c:v>4.1358434936504283E-2</c:v>
                </c:pt>
                <c:pt idx="91">
                  <c:v>4.1442697818662735E-2</c:v>
                </c:pt>
                <c:pt idx="92">
                  <c:v>4.1526063576445761E-2</c:v>
                </c:pt>
                <c:pt idx="93">
                  <c:v>4.1605790456615714E-2</c:v>
                </c:pt>
                <c:pt idx="94">
                  <c:v>4.168380995252105E-2</c:v>
                </c:pt>
                <c:pt idx="95">
                  <c:v>4.1761086977968473E-2</c:v>
                </c:pt>
                <c:pt idx="96">
                  <c:v>4.1836777216636187E-2</c:v>
                </c:pt>
                <c:pt idx="97">
                  <c:v>4.1910876600959539E-2</c:v>
                </c:pt>
                <c:pt idx="98">
                  <c:v>4.1982627366796518E-2</c:v>
                </c:pt>
                <c:pt idx="99">
                  <c:v>4.2052961506504331E-2</c:v>
                </c:pt>
                <c:pt idx="100">
                  <c:v>4.2121930602384193E-2</c:v>
                </c:pt>
                <c:pt idx="101">
                  <c:v>4.2191803216330113E-2</c:v>
                </c:pt>
                <c:pt idx="102">
                  <c:v>4.225800774752797E-2</c:v>
                </c:pt>
                <c:pt idx="103">
                  <c:v>4.2322957697109385E-2</c:v>
                </c:pt>
                <c:pt idx="104">
                  <c:v>4.2386701292770092E-2</c:v>
                </c:pt>
                <c:pt idx="105">
                  <c:v>4.2451331089926415E-2</c:v>
                </c:pt>
                <c:pt idx="106">
                  <c:v>4.2512610171249611E-2</c:v>
                </c:pt>
                <c:pt idx="107">
                  <c:v>4.2572770303786193E-2</c:v>
                </c:pt>
                <c:pt idx="108">
                  <c:v>4.2631861225138269E-2</c:v>
                </c:pt>
                <c:pt idx="109">
                  <c:v>4.2691817908837554E-2</c:v>
                </c:pt>
                <c:pt idx="110">
                  <c:v>4.2748701733160581E-2</c:v>
                </c:pt>
                <c:pt idx="111">
                  <c:v>4.2804582750333345E-2</c:v>
                </c:pt>
                <c:pt idx="112">
                  <c:v>4.2859513069794054E-2</c:v>
                </c:pt>
                <c:pt idx="113">
                  <c:v>4.2914679749124454E-2</c:v>
                </c:pt>
                <c:pt idx="114">
                  <c:v>4.2967635138466465E-2</c:v>
                </c:pt>
                <c:pt idx="115">
                  <c:v>4.301968444882856E-2</c:v>
                </c:pt>
                <c:pt idx="116">
                  <c:v>4.3070891310037836E-2</c:v>
                </c:pt>
                <c:pt idx="117">
                  <c:v>4.3115724896061226E-2</c:v>
                </c:pt>
                <c:pt idx="118">
                  <c:v>4.3099750790955661E-2</c:v>
                </c:pt>
                <c:pt idx="119">
                  <c:v>4.2980940922266168E-2</c:v>
                </c:pt>
                <c:pt idx="120">
                  <c:v>4.2865466526224104E-2</c:v>
                </c:pt>
                <c:pt idx="121">
                  <c:v>4.2752511707224834E-2</c:v>
                </c:pt>
                <c:pt idx="122">
                  <c:v>4.2688286432055189E-2</c:v>
                </c:pt>
                <c:pt idx="123">
                  <c:v>4.2740000041835466E-2</c:v>
                </c:pt>
                <c:pt idx="124">
                  <c:v>4.2790941583493648E-2</c:v>
                </c:pt>
                <c:pt idx="125">
                  <c:v>4.2842194370693629E-2</c:v>
                </c:pt>
                <c:pt idx="126">
                  <c:v>4.2892029843830171E-2</c:v>
                </c:pt>
                <c:pt idx="127">
                  <c:v>4.2940522468853069E-2</c:v>
                </c:pt>
                <c:pt idx="128">
                  <c:v>4.2988320851601779E-2</c:v>
                </c:pt>
                <c:pt idx="129">
                  <c:v>4.3035906359978053E-2</c:v>
                </c:pt>
                <c:pt idx="130">
                  <c:v>4.3082721936353117E-2</c:v>
                </c:pt>
                <c:pt idx="131">
                  <c:v>4.3128297460698073E-2</c:v>
                </c:pt>
                <c:pt idx="132">
                  <c:v>4.317323740432575E-2</c:v>
                </c:pt>
                <c:pt idx="133">
                  <c:v>4.3218503932079627E-2</c:v>
                </c:pt>
                <c:pt idx="134">
                  <c:v>4.3262559952760044E-2</c:v>
                </c:pt>
                <c:pt idx="135">
                  <c:v>4.3305465995511959E-2</c:v>
                </c:pt>
                <c:pt idx="136">
                  <c:v>4.3347791745409633E-2</c:v>
                </c:pt>
                <c:pt idx="137">
                  <c:v>4.3390447890227703E-2</c:v>
                </c:pt>
                <c:pt idx="138">
                  <c:v>4.3431981578277913E-2</c:v>
                </c:pt>
                <c:pt idx="139">
                  <c:v>4.3472446121143156E-2</c:v>
                </c:pt>
                <c:pt idx="140">
                  <c:v>4.3512379226804808E-2</c:v>
                </c:pt>
                <c:pt idx="141">
                  <c:v>4.3552644960070247E-2</c:v>
                </c:pt>
                <c:pt idx="142">
                  <c:v>4.3591867506430307E-2</c:v>
                </c:pt>
                <c:pt idx="143">
                  <c:v>4.3630093446190683E-2</c:v>
                </c:pt>
                <c:pt idx="144">
                  <c:v>4.366825710728392E-2</c:v>
                </c:pt>
                <c:pt idx="145">
                  <c:v>4.3705902350222703E-2</c:v>
                </c:pt>
                <c:pt idx="146">
                  <c:v>4.3742588141023366E-2</c:v>
                </c:pt>
                <c:pt idx="147">
                  <c:v>4.3778761769461001E-2</c:v>
                </c:pt>
                <c:pt idx="148">
                  <c:v>4.3814891582938172E-2</c:v>
                </c:pt>
                <c:pt idx="149">
                  <c:v>4.3850943284807993E-2</c:v>
                </c:pt>
                <c:pt idx="150">
                  <c:v>4.3885693616574531E-2</c:v>
                </c:pt>
                <c:pt idx="151">
                  <c:v>4.391997098719079E-2</c:v>
                </c:pt>
                <c:pt idx="152">
                  <c:v>4.3954217649524584E-2</c:v>
                </c:pt>
                <c:pt idx="153">
                  <c:v>4.3988407649426367E-2</c:v>
                </c:pt>
                <c:pt idx="154">
                  <c:v>4.4021374605394618E-2</c:v>
                </c:pt>
                <c:pt idx="155">
                  <c:v>4.405390138976132E-2</c:v>
                </c:pt>
                <c:pt idx="156">
                  <c:v>4.4086407879346722E-2</c:v>
                </c:pt>
                <c:pt idx="157">
                  <c:v>4.4118877283883064E-2</c:v>
                </c:pt>
                <c:pt idx="158">
                  <c:v>4.4150195280904102E-2</c:v>
                </c:pt>
                <c:pt idx="159">
                  <c:v>4.418110249456924E-2</c:v>
                </c:pt>
                <c:pt idx="160">
                  <c:v>4.4211997917304048E-2</c:v>
                </c:pt>
                <c:pt idx="161">
                  <c:v>4.4242533120461114E-2</c:v>
                </c:pt>
                <c:pt idx="162">
                  <c:v>4.4272327978931249E-2</c:v>
                </c:pt>
                <c:pt idx="163">
                  <c:v>4.4301740768825391E-2</c:v>
                </c:pt>
                <c:pt idx="164">
                  <c:v>4.4331143557998637E-2</c:v>
                </c:pt>
                <c:pt idx="165">
                  <c:v>4.4360540480061439E-2</c:v>
                </c:pt>
                <c:pt idx="166">
                  <c:v>4.4389240841235092E-2</c:v>
                </c:pt>
                <c:pt idx="167">
                  <c:v>4.4417255608942691E-2</c:v>
                </c:pt>
                <c:pt idx="168">
                  <c:v>4.444495324655668E-2</c:v>
                </c:pt>
                <c:pt idx="169">
                  <c:v>4.4472355958978499E-2</c:v>
                </c:pt>
                <c:pt idx="170">
                  <c:v>4.4500341670169641E-2</c:v>
                </c:pt>
                <c:pt idx="171">
                  <c:v>4.4527059033730929E-2</c:v>
                </c:pt>
                <c:pt idx="172">
                  <c:v>4.4553478945299187E-2</c:v>
                </c:pt>
                <c:pt idx="173">
                  <c:v>4.4579629319635258E-2</c:v>
                </c:pt>
                <c:pt idx="174">
                  <c:v>4.4606344617179106E-2</c:v>
                </c:pt>
                <c:pt idx="175">
                  <c:v>4.4631852889215277E-2</c:v>
                </c:pt>
                <c:pt idx="176">
                  <c:v>4.4657081288659209E-2</c:v>
                </c:pt>
                <c:pt idx="177">
                  <c:v>4.4682063619978542E-2</c:v>
                </c:pt>
                <c:pt idx="178">
                  <c:v>4.4707315070720413E-2</c:v>
                </c:pt>
                <c:pt idx="179">
                  <c:v>4.4731705459092587E-2</c:v>
                </c:pt>
                <c:pt idx="180">
                  <c:v>4.4755863338191877E-2</c:v>
                </c:pt>
                <c:pt idx="181">
                  <c:v>4.4779767231643591E-2</c:v>
                </c:pt>
                <c:pt idx="182">
                  <c:v>4.4804147568568597E-2</c:v>
                </c:pt>
                <c:pt idx="183">
                  <c:v>4.4827554404188938E-2</c:v>
                </c:pt>
                <c:pt idx="184">
                  <c:v>4.4850586634784619E-2</c:v>
                </c:pt>
                <c:pt idx="185">
                  <c:v>4.4873473960815327E-2</c:v>
                </c:pt>
                <c:pt idx="186">
                  <c:v>4.4896809143516042E-2</c:v>
                </c:pt>
                <c:pt idx="187">
                  <c:v>4.4919235501718481E-2</c:v>
                </c:pt>
                <c:pt idx="188">
                  <c:v>4.4941288847757506E-2</c:v>
                </c:pt>
                <c:pt idx="189">
                  <c:v>4.4963470973780735E-2</c:v>
                </c:pt>
                <c:pt idx="190">
                  <c:v>4.4985579267279474E-2</c:v>
                </c:pt>
                <c:pt idx="191">
                  <c:v>4.5007326628522068E-2</c:v>
                </c:pt>
                <c:pt idx="192">
                  <c:v>4.5028465758740144E-2</c:v>
                </c:pt>
                <c:pt idx="193">
                  <c:v>4.5049495787762364E-2</c:v>
                </c:pt>
                <c:pt idx="194">
                  <c:v>4.5070471014324723E-2</c:v>
                </c:pt>
                <c:pt idx="195">
                  <c:v>4.5091332907379079E-2</c:v>
                </c:pt>
                <c:pt idx="196">
                  <c:v>4.5111577990775233E-2</c:v>
                </c:pt>
                <c:pt idx="197">
                  <c:v>4.5131738700243958E-2</c:v>
                </c:pt>
                <c:pt idx="198">
                  <c:v>4.515216553641873E-2</c:v>
                </c:pt>
                <c:pt idx="199">
                  <c:v>4.5172107848181757E-2</c:v>
                </c:pt>
                <c:pt idx="200">
                  <c:v>4.5191635823639366E-2</c:v>
                </c:pt>
                <c:pt idx="201">
                  <c:v>4.5211020083323589E-2</c:v>
                </c:pt>
                <c:pt idx="202">
                  <c:v>4.5230644020173627E-2</c:v>
                </c:pt>
                <c:pt idx="203">
                  <c:v>4.5249809954251013E-2</c:v>
                </c:pt>
                <c:pt idx="204">
                  <c:v>4.5268578170883575E-2</c:v>
                </c:pt>
                <c:pt idx="205">
                  <c:v>4.5287211870298202E-2</c:v>
                </c:pt>
                <c:pt idx="206">
                  <c:v>4.530608395287071E-2</c:v>
                </c:pt>
                <c:pt idx="207">
                  <c:v>4.5324519415313042E-2</c:v>
                </c:pt>
                <c:pt idx="208">
                  <c:v>4.534257142490021E-2</c:v>
                </c:pt>
                <c:pt idx="209">
                  <c:v>4.5360492136632798E-2</c:v>
                </c:pt>
                <c:pt idx="210">
                  <c:v>4.5378457179179189E-2</c:v>
                </c:pt>
                <c:pt idx="211">
                  <c:v>4.5396209385708514E-2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1552384"/>
        <c:axId val="751553920"/>
      </c:lineChart>
      <c:dateAx>
        <c:axId val="751552384"/>
        <c:scaling>
          <c:orientation val="minMax"/>
        </c:scaling>
        <c:delete val="0"/>
        <c:axPos val="b"/>
        <c:numFmt formatCode="yyyy-m-d" sourceLinked="1"/>
        <c:majorTickMark val="out"/>
        <c:minorTickMark val="none"/>
        <c:tickLblPos val="nextTo"/>
        <c:crossAx val="751553920"/>
        <c:crosses val="autoZero"/>
        <c:auto val="1"/>
        <c:lblOffset val="100"/>
        <c:baseTimeUnit val="months"/>
      </c:dateAx>
      <c:valAx>
        <c:axId val="751553920"/>
        <c:scaling>
          <c:orientation val="minMax"/>
        </c:scaling>
        <c:delete val="0"/>
        <c:axPos val="l"/>
        <c:majorGridlines/>
        <c:numFmt formatCode="G/通用格式" sourceLinked="1"/>
        <c:majorTickMark val="out"/>
        <c:minorTickMark val="none"/>
        <c:tickLblPos val="nextTo"/>
        <c:crossAx val="75155238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 altLang="en-US"/>
              <a:t>CTD vs. TF1209 </a:t>
            </a:r>
            <a:r>
              <a:rPr lang="zh-CN" altLang="en-US"/>
              <a:t>价格序列回归分析</a:t>
            </a:r>
            <a:endParaRPr lang="en-US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CTD vs. TF1209</c:v>
          </c:tx>
          <c:spPr>
            <a:ln w="28575">
              <a:noFill/>
            </a:ln>
          </c:spPr>
          <c:trendline>
            <c:name>回归线</c:name>
            <c:trendlineType val="linear"/>
            <c:intercept val="0"/>
            <c:dispRSqr val="1"/>
            <c:dispEq val="1"/>
            <c:trendlineLbl>
              <c:layout>
                <c:manualLayout>
                  <c:x val="-1.5901110329502057E-2"/>
                  <c:y val="0.13773087017968907"/>
                </c:manualLayout>
              </c:layout>
              <c:numFmt formatCode="G/通用格式" sourceLinked="0"/>
              <c:spPr>
                <a:noFill/>
              </c:spPr>
              <c:txPr>
                <a:bodyPr/>
                <a:lstStyle/>
                <a:p>
                  <a:pPr>
                    <a:defRPr sz="1200" b="1">
                      <a:solidFill>
                        <a:srgbClr val="FF0000"/>
                      </a:solidFill>
                      <a:latin typeface="Times New Roman" pitchFamily="18" charset="0"/>
                      <a:cs typeface="Times New Roman" pitchFamily="18" charset="0"/>
                    </a:defRPr>
                  </a:pPr>
                  <a:endParaRPr lang="zh-CN"/>
                </a:p>
              </c:txPr>
            </c:trendlineLbl>
          </c:trendline>
          <c:xVal>
            <c:numRef>
              <c:f>'portfolio Analysis'!$H$1212:$H$1265</c:f>
              <c:numCache>
                <c:formatCode>0.0</c:formatCode>
                <c:ptCount val="54"/>
                <c:pt idx="0">
                  <c:v>98.94</c:v>
                </c:pt>
                <c:pt idx="1">
                  <c:v>98.96</c:v>
                </c:pt>
                <c:pt idx="2">
                  <c:v>98.89</c:v>
                </c:pt>
                <c:pt idx="3">
                  <c:v>98.89</c:v>
                </c:pt>
                <c:pt idx="4">
                  <c:v>98.84</c:v>
                </c:pt>
                <c:pt idx="5">
                  <c:v>99.1</c:v>
                </c:pt>
                <c:pt idx="6">
                  <c:v>98.95</c:v>
                </c:pt>
                <c:pt idx="7">
                  <c:v>98.95</c:v>
                </c:pt>
                <c:pt idx="8">
                  <c:v>98.88</c:v>
                </c:pt>
                <c:pt idx="9">
                  <c:v>98.87</c:v>
                </c:pt>
                <c:pt idx="10">
                  <c:v>98.87</c:v>
                </c:pt>
                <c:pt idx="11">
                  <c:v>98.864000000000004</c:v>
                </c:pt>
                <c:pt idx="12">
                  <c:v>98.85</c:v>
                </c:pt>
                <c:pt idx="13">
                  <c:v>98.78</c:v>
                </c:pt>
                <c:pt idx="14">
                  <c:v>98.92</c:v>
                </c:pt>
                <c:pt idx="15">
                  <c:v>98.926000000000002</c:v>
                </c:pt>
                <c:pt idx="16">
                  <c:v>98.97</c:v>
                </c:pt>
                <c:pt idx="17">
                  <c:v>99.013999999999996</c:v>
                </c:pt>
                <c:pt idx="18">
                  <c:v>99.07</c:v>
                </c:pt>
                <c:pt idx="19">
                  <c:v>99.164000000000001</c:v>
                </c:pt>
                <c:pt idx="20">
                  <c:v>99.19</c:v>
                </c:pt>
                <c:pt idx="21">
                  <c:v>99.298000000000002</c:v>
                </c:pt>
                <c:pt idx="22">
                  <c:v>99.457999999999998</c:v>
                </c:pt>
                <c:pt idx="23">
                  <c:v>99.658000000000001</c:v>
                </c:pt>
                <c:pt idx="24">
                  <c:v>99.658000000000001</c:v>
                </c:pt>
                <c:pt idx="25">
                  <c:v>99.61</c:v>
                </c:pt>
                <c:pt idx="26">
                  <c:v>99.7</c:v>
                </c:pt>
                <c:pt idx="27">
                  <c:v>99.85</c:v>
                </c:pt>
                <c:pt idx="28">
                  <c:v>99.97</c:v>
                </c:pt>
                <c:pt idx="29">
                  <c:v>99.89</c:v>
                </c:pt>
                <c:pt idx="30">
                  <c:v>99.835999999999999</c:v>
                </c:pt>
                <c:pt idx="31">
                  <c:v>99.798000000000002</c:v>
                </c:pt>
                <c:pt idx="32">
                  <c:v>99.77</c:v>
                </c:pt>
                <c:pt idx="33">
                  <c:v>99.757999999999996</c:v>
                </c:pt>
                <c:pt idx="34">
                  <c:v>99.738</c:v>
                </c:pt>
                <c:pt idx="35">
                  <c:v>99.768000000000001</c:v>
                </c:pt>
                <c:pt idx="36">
                  <c:v>99.84</c:v>
                </c:pt>
                <c:pt idx="37">
                  <c:v>99.83</c:v>
                </c:pt>
                <c:pt idx="38">
                  <c:v>99.82</c:v>
                </c:pt>
                <c:pt idx="39">
                  <c:v>99.835999999999999</c:v>
                </c:pt>
                <c:pt idx="40">
                  <c:v>99.88</c:v>
                </c:pt>
                <c:pt idx="41">
                  <c:v>99.83</c:v>
                </c:pt>
                <c:pt idx="42">
                  <c:v>99.74</c:v>
                </c:pt>
                <c:pt idx="43">
                  <c:v>99.688000000000002</c:v>
                </c:pt>
                <c:pt idx="44">
                  <c:v>99.73</c:v>
                </c:pt>
                <c:pt idx="45">
                  <c:v>99.697999999999993</c:v>
                </c:pt>
                <c:pt idx="46">
                  <c:v>99.658000000000001</c:v>
                </c:pt>
                <c:pt idx="47">
                  <c:v>99.382000000000005</c:v>
                </c:pt>
                <c:pt idx="48">
                  <c:v>99.4</c:v>
                </c:pt>
                <c:pt idx="49">
                  <c:v>99.29</c:v>
                </c:pt>
                <c:pt idx="50">
                  <c:v>99.236000000000004</c:v>
                </c:pt>
                <c:pt idx="51">
                  <c:v>99.18</c:v>
                </c:pt>
                <c:pt idx="52">
                  <c:v>99.126000000000005</c:v>
                </c:pt>
                <c:pt idx="53">
                  <c:v>99.05</c:v>
                </c:pt>
              </c:numCache>
            </c:numRef>
          </c:xVal>
          <c:yVal>
            <c:numRef>
              <c:f>'portfolio Analysis'!$F$1212:$F$1265</c:f>
              <c:numCache>
                <c:formatCode>0.0</c:formatCode>
                <c:ptCount val="54"/>
                <c:pt idx="0">
                  <c:v>103.0013</c:v>
                </c:pt>
                <c:pt idx="1">
                  <c:v>102.97320000000001</c:v>
                </c:pt>
                <c:pt idx="2">
                  <c:v>101.4791</c:v>
                </c:pt>
                <c:pt idx="3">
                  <c:v>102.79559999999999</c:v>
                </c:pt>
                <c:pt idx="4">
                  <c:v>102.82340000000001</c:v>
                </c:pt>
                <c:pt idx="5">
                  <c:v>103.1091</c:v>
                </c:pt>
                <c:pt idx="6">
                  <c:v>102.8192</c:v>
                </c:pt>
                <c:pt idx="7">
                  <c:v>102.8181</c:v>
                </c:pt>
                <c:pt idx="8">
                  <c:v>102.70189999999999</c:v>
                </c:pt>
                <c:pt idx="9">
                  <c:v>101.482</c:v>
                </c:pt>
                <c:pt idx="10">
                  <c:v>101.4795</c:v>
                </c:pt>
                <c:pt idx="11">
                  <c:v>101.4806</c:v>
                </c:pt>
                <c:pt idx="12">
                  <c:v>102.5812</c:v>
                </c:pt>
                <c:pt idx="13">
                  <c:v>101.4854</c:v>
                </c:pt>
                <c:pt idx="14">
                  <c:v>102.6909</c:v>
                </c:pt>
                <c:pt idx="15">
                  <c:v>102.74720000000001</c:v>
                </c:pt>
                <c:pt idx="16">
                  <c:v>102.8321</c:v>
                </c:pt>
                <c:pt idx="17">
                  <c:v>103.03189999999999</c:v>
                </c:pt>
                <c:pt idx="18">
                  <c:v>102.2234</c:v>
                </c:pt>
                <c:pt idx="19">
                  <c:v>103.0273</c:v>
                </c:pt>
                <c:pt idx="20">
                  <c:v>102.2475</c:v>
                </c:pt>
                <c:pt idx="21">
                  <c:v>103.1397</c:v>
                </c:pt>
                <c:pt idx="22">
                  <c:v>102.25369999999999</c:v>
                </c:pt>
                <c:pt idx="23">
                  <c:v>102.2551</c:v>
                </c:pt>
                <c:pt idx="24">
                  <c:v>103.36320000000001</c:v>
                </c:pt>
                <c:pt idx="25">
                  <c:v>103.5919</c:v>
                </c:pt>
                <c:pt idx="26">
                  <c:v>103.6193</c:v>
                </c:pt>
                <c:pt idx="27">
                  <c:v>103.7619</c:v>
                </c:pt>
                <c:pt idx="28">
                  <c:v>102.2542</c:v>
                </c:pt>
                <c:pt idx="29">
                  <c:v>103.6412</c:v>
                </c:pt>
                <c:pt idx="30">
                  <c:v>102.2518</c:v>
                </c:pt>
                <c:pt idx="31">
                  <c:v>103.46639999999999</c:v>
                </c:pt>
                <c:pt idx="32">
                  <c:v>102.2534</c:v>
                </c:pt>
                <c:pt idx="33">
                  <c:v>102.25579999999999</c:v>
                </c:pt>
                <c:pt idx="34">
                  <c:v>103.60290000000001</c:v>
                </c:pt>
                <c:pt idx="35">
                  <c:v>102.2689</c:v>
                </c:pt>
                <c:pt idx="36">
                  <c:v>102.2713</c:v>
                </c:pt>
                <c:pt idx="37">
                  <c:v>102.27290000000001</c:v>
                </c:pt>
                <c:pt idx="38">
                  <c:v>102.2745</c:v>
                </c:pt>
                <c:pt idx="39">
                  <c:v>102.2726</c:v>
                </c:pt>
                <c:pt idx="40">
                  <c:v>103.5064</c:v>
                </c:pt>
                <c:pt idx="41">
                  <c:v>103.30589999999999</c:v>
                </c:pt>
                <c:pt idx="42">
                  <c:v>102.2826</c:v>
                </c:pt>
                <c:pt idx="43">
                  <c:v>103.27500000000001</c:v>
                </c:pt>
                <c:pt idx="44">
                  <c:v>103.30419999999999</c:v>
                </c:pt>
                <c:pt idx="45">
                  <c:v>103.267</c:v>
                </c:pt>
                <c:pt idx="46">
                  <c:v>103.12730000000001</c:v>
                </c:pt>
                <c:pt idx="47">
                  <c:v>102.658</c:v>
                </c:pt>
                <c:pt idx="48">
                  <c:v>102.81699999999999</c:v>
                </c:pt>
                <c:pt idx="49">
                  <c:v>103.0932</c:v>
                </c:pt>
                <c:pt idx="50">
                  <c:v>102.28570000000001</c:v>
                </c:pt>
                <c:pt idx="51">
                  <c:v>102.75320000000001</c:v>
                </c:pt>
                <c:pt idx="52">
                  <c:v>102.48699999999999</c:v>
                </c:pt>
                <c:pt idx="53">
                  <c:v>102.583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5641088"/>
        <c:axId val="765666048"/>
      </c:scatterChart>
      <c:valAx>
        <c:axId val="7656410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CN"/>
                  <a:t>TF1209</a:t>
                </a:r>
                <a:r>
                  <a:rPr lang="zh-CN" altLang="en-US" baseline="0"/>
                  <a:t>价格</a:t>
                </a:r>
                <a:endParaRPr lang="zh-CN" altLang="en-US"/>
              </a:p>
            </c:rich>
          </c:tx>
          <c:layout/>
          <c:overlay val="0"/>
        </c:title>
        <c:numFmt formatCode="0.0" sourceLinked="1"/>
        <c:majorTickMark val="none"/>
        <c:minorTickMark val="none"/>
        <c:tickLblPos val="nextTo"/>
        <c:crossAx val="765666048"/>
        <c:crosses val="autoZero"/>
        <c:crossBetween val="midCat"/>
      </c:valAx>
      <c:valAx>
        <c:axId val="765666048"/>
        <c:scaling>
          <c:orientation val="minMax"/>
        </c:scaling>
        <c:delete val="0"/>
        <c:axPos val="l"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en-US" altLang="zh-CN"/>
                  <a:t>CTD</a:t>
                </a:r>
                <a:r>
                  <a:rPr lang="zh-CN" altLang="en-US"/>
                  <a:t>价格</a:t>
                </a:r>
              </a:p>
            </c:rich>
          </c:tx>
          <c:layout/>
          <c:overlay val="0"/>
        </c:title>
        <c:numFmt formatCode="0.0" sourceLinked="1"/>
        <c:majorTickMark val="none"/>
        <c:minorTickMark val="none"/>
        <c:tickLblPos val="nextTo"/>
        <c:crossAx val="765641088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38864124096160735"/>
          <c:y val="0.72799252977993134"/>
          <c:w val="0.21851300589005082"/>
          <c:h val="4.8512175414692882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1104900</xdr:colOff>
      <xdr:row>3</xdr:row>
      <xdr:rowOff>90486</xdr:rowOff>
    </xdr:from>
    <xdr:to>
      <xdr:col>14</xdr:col>
      <xdr:colOff>295275</xdr:colOff>
      <xdr:row>33</xdr:row>
      <xdr:rowOff>114299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914399</xdr:colOff>
      <xdr:row>19</xdr:row>
      <xdr:rowOff>71437</xdr:rowOff>
    </xdr:from>
    <xdr:to>
      <xdr:col>8</xdr:col>
      <xdr:colOff>857250</xdr:colOff>
      <xdr:row>45</xdr:row>
      <xdr:rowOff>19050</xdr:rowOff>
    </xdr:to>
    <xdr:grpSp>
      <xdr:nvGrpSpPr>
        <xdr:cNvPr id="13" name="组合 12"/>
        <xdr:cNvGrpSpPr/>
      </xdr:nvGrpSpPr>
      <xdr:grpSpPr>
        <a:xfrm>
          <a:off x="4648199" y="3690937"/>
          <a:ext cx="8562976" cy="4900613"/>
          <a:chOff x="5311357" y="1116030"/>
          <a:chExt cx="8067675" cy="4948238"/>
        </a:xfrm>
      </xdr:grpSpPr>
      <xdr:graphicFrame macro="">
        <xdr:nvGraphicFramePr>
          <xdr:cNvPr id="2" name="图表 1"/>
          <xdr:cNvGraphicFramePr/>
        </xdr:nvGraphicFramePr>
        <xdr:xfrm>
          <a:off x="5311357" y="1116030"/>
          <a:ext cx="8067675" cy="494823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cxnSp macro="">
        <xdr:nvCxnSpPr>
          <xdr:cNvPr id="9" name="直接箭头连接符 8"/>
          <xdr:cNvCxnSpPr/>
        </xdr:nvCxnSpPr>
        <xdr:spPr>
          <a:xfrm flipV="1">
            <a:off x="7524750" y="4257675"/>
            <a:ext cx="0" cy="1095375"/>
          </a:xfrm>
          <a:prstGeom prst="straightConnector1">
            <a:avLst/>
          </a:prstGeom>
          <a:ln>
            <a:tailEnd type="arrow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10" name="TextBox 9"/>
          <xdr:cNvSpPr txBox="1"/>
        </xdr:nvSpPr>
        <xdr:spPr>
          <a:xfrm>
            <a:off x="7572375" y="5381626"/>
            <a:ext cx="1333500" cy="3619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1100"/>
              <a:t>平行移动</a:t>
            </a:r>
            <a:r>
              <a:rPr lang="en-US" altLang="zh-CN" sz="1100"/>
              <a:t>50</a:t>
            </a:r>
            <a:r>
              <a:rPr lang="zh-CN" altLang="en-US" sz="1100"/>
              <a:t>个基点</a:t>
            </a:r>
          </a:p>
        </xdr:txBody>
      </xdr:sp>
    </xdr:grpSp>
    <xdr:clientData/>
  </xdr:twoCellAnchor>
  <xdr:twoCellAnchor>
    <xdr:from>
      <xdr:col>2</xdr:col>
      <xdr:colOff>885824</xdr:colOff>
      <xdr:row>34</xdr:row>
      <xdr:rowOff>42862</xdr:rowOff>
    </xdr:from>
    <xdr:to>
      <xdr:col>7</xdr:col>
      <xdr:colOff>838200</xdr:colOff>
      <xdr:row>58</xdr:row>
      <xdr:rowOff>19050</xdr:rowOff>
    </xdr:to>
    <xdr:graphicFrame macro="">
      <xdr:nvGraphicFramePr>
        <xdr:cNvPr id="14" name="图表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0.09843</cdr:x>
      <cdr:y>0.53171</cdr:y>
    </cdr:from>
    <cdr:to>
      <cdr:x>0.17487</cdr:x>
      <cdr:y>0.81268</cdr:y>
    </cdr:to>
    <cdr:sp macro="" textlink="">
      <cdr:nvSpPr>
        <cdr:cNvPr id="2" name="椭圆 1"/>
        <cdr:cNvSpPr/>
      </cdr:nvSpPr>
      <cdr:spPr>
        <a:xfrm xmlns:a="http://schemas.openxmlformats.org/drawingml/2006/main">
          <a:off x="895349" y="2595563"/>
          <a:ext cx="695326" cy="1371600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>
          <a:solidFill>
            <a:schemeClr val="bg2">
              <a:lumMod val="50000"/>
            </a:schemeClr>
          </a:solidFill>
          <a:prstDash val="dash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0.08482</cdr:x>
      <cdr:y>0.18244</cdr:y>
    </cdr:from>
    <cdr:to>
      <cdr:x>0.31728</cdr:x>
      <cdr:y>0.31317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771525" y="890588"/>
          <a:ext cx="2114550" cy="638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zh-CN" altLang="en-US" sz="1400" b="1">
              <a:solidFill>
                <a:schemeClr val="tx1"/>
              </a:solidFill>
            </a:rPr>
            <a:t>收益率曲线跳跃部分</a:t>
          </a:r>
        </a:p>
      </cdr:txBody>
    </cdr:sp>
  </cdr:relSizeAnchor>
  <cdr:relSizeAnchor xmlns:cdr="http://schemas.openxmlformats.org/drawingml/2006/chartDrawing">
    <cdr:from>
      <cdr:x>0.15183</cdr:x>
      <cdr:y>0.27805</cdr:y>
    </cdr:from>
    <cdr:to>
      <cdr:x>0.16838</cdr:x>
      <cdr:y>0.50829</cdr:y>
    </cdr:to>
    <cdr:sp macro="" textlink="">
      <cdr:nvSpPr>
        <cdr:cNvPr id="5" name="下箭头 4"/>
        <cdr:cNvSpPr/>
      </cdr:nvSpPr>
      <cdr:spPr>
        <a:xfrm xmlns:a="http://schemas.openxmlformats.org/drawingml/2006/main">
          <a:off x="1381126" y="1357313"/>
          <a:ext cx="150494" cy="1123950"/>
        </a:xfrm>
        <a:prstGeom xmlns:a="http://schemas.openxmlformats.org/drawingml/2006/main" prst="downArrow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19049</xdr:colOff>
      <xdr:row>5</xdr:row>
      <xdr:rowOff>38099</xdr:rowOff>
    </xdr:from>
    <xdr:to>
      <xdr:col>11</xdr:col>
      <xdr:colOff>85724</xdr:colOff>
      <xdr:row>38</xdr:row>
      <xdr:rowOff>47624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1266824</xdr:colOff>
      <xdr:row>73</xdr:row>
      <xdr:rowOff>23811</xdr:rowOff>
    </xdr:from>
    <xdr:to>
      <xdr:col>7</xdr:col>
      <xdr:colOff>47624</xdr:colOff>
      <xdr:row>101</xdr:row>
      <xdr:rowOff>123824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628650</xdr:colOff>
      <xdr:row>5</xdr:row>
      <xdr:rowOff>42862</xdr:rowOff>
    </xdr:from>
    <xdr:to>
      <xdr:col>7</xdr:col>
      <xdr:colOff>200025</xdr:colOff>
      <xdr:row>21</xdr:row>
      <xdr:rowOff>42862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609600</xdr:colOff>
      <xdr:row>6</xdr:row>
      <xdr:rowOff>9524</xdr:rowOff>
    </xdr:from>
    <xdr:to>
      <xdr:col>10</xdr:col>
      <xdr:colOff>1457325</xdr:colOff>
      <xdr:row>21</xdr:row>
      <xdr:rowOff>171449</xdr:rowOff>
    </xdr:to>
    <xdr:graphicFrame macro="">
      <xdr:nvGraphicFramePr>
        <xdr:cNvPr id="7" name="图表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14</xdr:row>
      <xdr:rowOff>33336</xdr:rowOff>
    </xdr:from>
    <xdr:to>
      <xdr:col>3</xdr:col>
      <xdr:colOff>1952625</xdr:colOff>
      <xdr:row>37</xdr:row>
      <xdr:rowOff>95249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47625</xdr:colOff>
      <xdr:row>28</xdr:row>
      <xdr:rowOff>123825</xdr:rowOff>
    </xdr:from>
    <xdr:to>
      <xdr:col>16</xdr:col>
      <xdr:colOff>533400</xdr:colOff>
      <xdr:row>30</xdr:row>
      <xdr:rowOff>66675</xdr:rowOff>
    </xdr:to>
    <xdr:sp macro="" textlink="">
      <xdr:nvSpPr>
        <xdr:cNvPr id="2" name="椭圆 1"/>
        <xdr:cNvSpPr/>
      </xdr:nvSpPr>
      <xdr:spPr>
        <a:xfrm>
          <a:off x="15230475" y="5457825"/>
          <a:ext cx="485775" cy="323850"/>
        </a:xfrm>
        <a:prstGeom prst="ellipse">
          <a:avLst/>
        </a:prstGeom>
        <a:noFill/>
        <a:ln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14</xdr:col>
      <xdr:colOff>476250</xdr:colOff>
      <xdr:row>23</xdr:row>
      <xdr:rowOff>28575</xdr:rowOff>
    </xdr:from>
    <xdr:to>
      <xdr:col>16</xdr:col>
      <xdr:colOff>47625</xdr:colOff>
      <xdr:row>30</xdr:row>
      <xdr:rowOff>123825</xdr:rowOff>
    </xdr:to>
    <xdr:sp macro="" textlink="">
      <xdr:nvSpPr>
        <xdr:cNvPr id="3" name="椭圆 2"/>
        <xdr:cNvSpPr/>
      </xdr:nvSpPr>
      <xdr:spPr>
        <a:xfrm>
          <a:off x="14573250" y="4410075"/>
          <a:ext cx="657225" cy="1428750"/>
        </a:xfrm>
        <a:prstGeom prst="ellipse">
          <a:avLst/>
        </a:prstGeom>
        <a:noFill/>
        <a:ln>
          <a:solidFill>
            <a:schemeClr val="bg2">
              <a:lumMod val="50000"/>
            </a:schemeClr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16</xdr:col>
      <xdr:colOff>47625</xdr:colOff>
      <xdr:row>28</xdr:row>
      <xdr:rowOff>123825</xdr:rowOff>
    </xdr:from>
    <xdr:to>
      <xdr:col>16</xdr:col>
      <xdr:colOff>533400</xdr:colOff>
      <xdr:row>30</xdr:row>
      <xdr:rowOff>66675</xdr:rowOff>
    </xdr:to>
    <xdr:sp macro="" textlink="">
      <xdr:nvSpPr>
        <xdr:cNvPr id="4" name="椭圆 3"/>
        <xdr:cNvSpPr/>
      </xdr:nvSpPr>
      <xdr:spPr>
        <a:xfrm>
          <a:off x="15230475" y="5457825"/>
          <a:ext cx="485775" cy="323850"/>
        </a:xfrm>
        <a:prstGeom prst="ellipse">
          <a:avLst/>
        </a:prstGeom>
        <a:noFill/>
        <a:ln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14</xdr:col>
      <xdr:colOff>476250</xdr:colOff>
      <xdr:row>23</xdr:row>
      <xdr:rowOff>28575</xdr:rowOff>
    </xdr:from>
    <xdr:to>
      <xdr:col>16</xdr:col>
      <xdr:colOff>47625</xdr:colOff>
      <xdr:row>30</xdr:row>
      <xdr:rowOff>123825</xdr:rowOff>
    </xdr:to>
    <xdr:sp macro="" textlink="">
      <xdr:nvSpPr>
        <xdr:cNvPr id="5" name="椭圆 4"/>
        <xdr:cNvSpPr/>
      </xdr:nvSpPr>
      <xdr:spPr>
        <a:xfrm>
          <a:off x="14573250" y="4410075"/>
          <a:ext cx="657225" cy="1428750"/>
        </a:xfrm>
        <a:prstGeom prst="ellipse">
          <a:avLst/>
        </a:prstGeom>
        <a:noFill/>
        <a:ln>
          <a:solidFill>
            <a:schemeClr val="bg2">
              <a:lumMod val="50000"/>
            </a:schemeClr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18</xdr:col>
      <xdr:colOff>19050</xdr:colOff>
      <xdr:row>56</xdr:row>
      <xdr:rowOff>142875</xdr:rowOff>
    </xdr:from>
    <xdr:to>
      <xdr:col>18</xdr:col>
      <xdr:colOff>495300</xdr:colOff>
      <xdr:row>58</xdr:row>
      <xdr:rowOff>85725</xdr:rowOff>
    </xdr:to>
    <xdr:sp macro="" textlink="">
      <xdr:nvSpPr>
        <xdr:cNvPr id="6" name="椭圆 5"/>
        <xdr:cNvSpPr/>
      </xdr:nvSpPr>
      <xdr:spPr>
        <a:xfrm>
          <a:off x="18326100" y="10829925"/>
          <a:ext cx="476250" cy="333375"/>
        </a:xfrm>
        <a:prstGeom prst="ellipse">
          <a:avLst/>
        </a:prstGeom>
        <a:noFill/>
        <a:ln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18</xdr:col>
      <xdr:colOff>19050</xdr:colOff>
      <xdr:row>66</xdr:row>
      <xdr:rowOff>123825</xdr:rowOff>
    </xdr:from>
    <xdr:to>
      <xdr:col>18</xdr:col>
      <xdr:colOff>495300</xdr:colOff>
      <xdr:row>68</xdr:row>
      <xdr:rowOff>66675</xdr:rowOff>
    </xdr:to>
    <xdr:sp macro="" textlink="">
      <xdr:nvSpPr>
        <xdr:cNvPr id="7" name="椭圆 6"/>
        <xdr:cNvSpPr/>
      </xdr:nvSpPr>
      <xdr:spPr>
        <a:xfrm>
          <a:off x="21574125" y="10810875"/>
          <a:ext cx="476250" cy="333375"/>
        </a:xfrm>
        <a:prstGeom prst="ellipse">
          <a:avLst/>
        </a:prstGeom>
        <a:noFill/>
        <a:ln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15</xdr:col>
      <xdr:colOff>647700</xdr:colOff>
      <xdr:row>63</xdr:row>
      <xdr:rowOff>57150</xdr:rowOff>
    </xdr:from>
    <xdr:to>
      <xdr:col>16</xdr:col>
      <xdr:colOff>361950</xdr:colOff>
      <xdr:row>65</xdr:row>
      <xdr:rowOff>28575</xdr:rowOff>
    </xdr:to>
    <xdr:sp macro="" textlink="">
      <xdr:nvSpPr>
        <xdr:cNvPr id="8" name="TextBox 7"/>
        <xdr:cNvSpPr txBox="1"/>
      </xdr:nvSpPr>
      <xdr:spPr>
        <a:xfrm>
          <a:off x="18468975" y="12087225"/>
          <a:ext cx="1162050" cy="3524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 b="1">
              <a:solidFill>
                <a:srgbClr val="FF0000"/>
              </a:solidFill>
            </a:rPr>
            <a:t>总风险变小了！</a:t>
          </a:r>
        </a:p>
      </xdr:txBody>
    </xdr:sp>
    <xdr:clientData/>
  </xdr:twoCellAnchor>
  <xdr:twoCellAnchor>
    <xdr:from>
      <xdr:col>16</xdr:col>
      <xdr:colOff>361950</xdr:colOff>
      <xdr:row>64</xdr:row>
      <xdr:rowOff>42863</xdr:rowOff>
    </xdr:from>
    <xdr:to>
      <xdr:col>17</xdr:col>
      <xdr:colOff>638175</xdr:colOff>
      <xdr:row>66</xdr:row>
      <xdr:rowOff>123825</xdr:rowOff>
    </xdr:to>
    <xdr:cxnSp macro="">
      <xdr:nvCxnSpPr>
        <xdr:cNvPr id="12" name="直接箭头连接符 11"/>
        <xdr:cNvCxnSpPr>
          <a:stCxn id="8" idx="3"/>
        </xdr:cNvCxnSpPr>
      </xdr:nvCxnSpPr>
      <xdr:spPr>
        <a:xfrm>
          <a:off x="19631025" y="12263438"/>
          <a:ext cx="962025" cy="461962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9525</xdr:colOff>
      <xdr:row>78</xdr:row>
      <xdr:rowOff>133350</xdr:rowOff>
    </xdr:from>
    <xdr:to>
      <xdr:col>18</xdr:col>
      <xdr:colOff>485775</xdr:colOff>
      <xdr:row>80</xdr:row>
      <xdr:rowOff>76200</xdr:rowOff>
    </xdr:to>
    <xdr:sp macro="" textlink="">
      <xdr:nvSpPr>
        <xdr:cNvPr id="23" name="椭圆 22"/>
        <xdr:cNvSpPr/>
      </xdr:nvSpPr>
      <xdr:spPr>
        <a:xfrm>
          <a:off x="20259675" y="12353925"/>
          <a:ext cx="476250" cy="323850"/>
        </a:xfrm>
        <a:prstGeom prst="ellipse">
          <a:avLst/>
        </a:prstGeom>
        <a:noFill/>
        <a:ln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18</xdr:col>
      <xdr:colOff>0</xdr:colOff>
      <xdr:row>88</xdr:row>
      <xdr:rowOff>133350</xdr:rowOff>
    </xdr:from>
    <xdr:to>
      <xdr:col>18</xdr:col>
      <xdr:colOff>476250</xdr:colOff>
      <xdr:row>90</xdr:row>
      <xdr:rowOff>76200</xdr:rowOff>
    </xdr:to>
    <xdr:sp macro="" textlink="">
      <xdr:nvSpPr>
        <xdr:cNvPr id="24" name="椭圆 23"/>
        <xdr:cNvSpPr/>
      </xdr:nvSpPr>
      <xdr:spPr>
        <a:xfrm>
          <a:off x="23498175" y="12353925"/>
          <a:ext cx="476250" cy="323850"/>
        </a:xfrm>
        <a:prstGeom prst="ellipse">
          <a:avLst/>
        </a:prstGeom>
        <a:noFill/>
        <a:ln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16</xdr:col>
      <xdr:colOff>361950</xdr:colOff>
      <xdr:row>58</xdr:row>
      <xdr:rowOff>28575</xdr:rowOff>
    </xdr:from>
    <xdr:to>
      <xdr:col>17</xdr:col>
      <xdr:colOff>657225</xdr:colOff>
      <xdr:row>63</xdr:row>
      <xdr:rowOff>104775</xdr:rowOff>
    </xdr:to>
    <xdr:cxnSp macro="">
      <xdr:nvCxnSpPr>
        <xdr:cNvPr id="27" name="直接箭头连接符 26"/>
        <xdr:cNvCxnSpPr/>
      </xdr:nvCxnSpPr>
      <xdr:spPr>
        <a:xfrm flipV="1">
          <a:off x="19631025" y="11096625"/>
          <a:ext cx="981075" cy="1038225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457199</xdr:colOff>
      <xdr:row>81</xdr:row>
      <xdr:rowOff>104775</xdr:rowOff>
    </xdr:from>
    <xdr:to>
      <xdr:col>16</xdr:col>
      <xdr:colOff>485774</xdr:colOff>
      <xdr:row>83</xdr:row>
      <xdr:rowOff>0</xdr:rowOff>
    </xdr:to>
    <xdr:sp macro="" textlink="">
      <xdr:nvSpPr>
        <xdr:cNvPr id="29" name="TextBox 28"/>
        <xdr:cNvSpPr txBox="1"/>
      </xdr:nvSpPr>
      <xdr:spPr>
        <a:xfrm>
          <a:off x="18278474" y="15573375"/>
          <a:ext cx="1476375" cy="2762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CN" sz="1100" b="1">
              <a:solidFill>
                <a:srgbClr val="FF0000"/>
              </a:solidFill>
            </a:rPr>
            <a:t>2</a:t>
          </a:r>
          <a:r>
            <a:rPr lang="zh-CN" altLang="en-US" sz="1100" b="1">
              <a:solidFill>
                <a:srgbClr val="FF0000"/>
              </a:solidFill>
            </a:rPr>
            <a:t>年期风险变增大了！</a:t>
          </a:r>
        </a:p>
      </xdr:txBody>
    </xdr:sp>
    <xdr:clientData/>
  </xdr:twoCellAnchor>
  <xdr:twoCellAnchor>
    <xdr:from>
      <xdr:col>16</xdr:col>
      <xdr:colOff>409575</xdr:colOff>
      <xdr:row>79</xdr:row>
      <xdr:rowOff>133350</xdr:rowOff>
    </xdr:from>
    <xdr:to>
      <xdr:col>17</xdr:col>
      <xdr:colOff>561975</xdr:colOff>
      <xdr:row>81</xdr:row>
      <xdr:rowOff>95250</xdr:rowOff>
    </xdr:to>
    <xdr:cxnSp macro="">
      <xdr:nvCxnSpPr>
        <xdr:cNvPr id="31" name="直接箭头连接符 30"/>
        <xdr:cNvCxnSpPr/>
      </xdr:nvCxnSpPr>
      <xdr:spPr>
        <a:xfrm flipV="1">
          <a:off x="19678650" y="15220950"/>
          <a:ext cx="838200" cy="342900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390525</xdr:colOff>
      <xdr:row>83</xdr:row>
      <xdr:rowOff>76200</xdr:rowOff>
    </xdr:from>
    <xdr:to>
      <xdr:col>17</xdr:col>
      <xdr:colOff>609600</xdr:colOff>
      <xdr:row>88</xdr:row>
      <xdr:rowOff>142875</xdr:rowOff>
    </xdr:to>
    <xdr:cxnSp macro="">
      <xdr:nvCxnSpPr>
        <xdr:cNvPr id="33" name="直接箭头连接符 32"/>
        <xdr:cNvCxnSpPr/>
      </xdr:nvCxnSpPr>
      <xdr:spPr>
        <a:xfrm>
          <a:off x="19659600" y="15925800"/>
          <a:ext cx="904875" cy="1028700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142874</xdr:colOff>
      <xdr:row>1211</xdr:row>
      <xdr:rowOff>133350</xdr:rowOff>
    </xdr:from>
    <xdr:to>
      <xdr:col>10</xdr:col>
      <xdr:colOff>180975</xdr:colOff>
      <xdr:row>1235</xdr:row>
      <xdr:rowOff>171450</xdr:rowOff>
    </xdr:to>
    <xdr:graphicFrame macro="">
      <xdr:nvGraphicFramePr>
        <xdr:cNvPr id="19" name="图表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74"/>
  <sheetViews>
    <sheetView topLeftCell="A25" workbookViewId="0">
      <selection activeCell="K54" sqref="K54"/>
    </sheetView>
  </sheetViews>
  <sheetFormatPr defaultRowHeight="15"/>
  <cols>
    <col min="1" max="2" width="10.5" style="3" bestFit="1" customWidth="1"/>
    <col min="3" max="3" width="28" style="3" bestFit="1" customWidth="1"/>
    <col min="4" max="5" width="37.125" style="3" bestFit="1" customWidth="1"/>
    <col min="6" max="6" width="17.25" style="3" bestFit="1" customWidth="1"/>
    <col min="7" max="7" width="9" style="3"/>
    <col min="8" max="8" width="12.625" style="3" bestFit="1" customWidth="1"/>
    <col min="9" max="9" width="13.625" style="3" bestFit="1" customWidth="1"/>
    <col min="10" max="16384" width="9" style="3"/>
  </cols>
  <sheetData>
    <row r="1" spans="1:6">
      <c r="A1" s="3" t="s">
        <v>32</v>
      </c>
      <c r="C1" s="3" t="s">
        <v>33</v>
      </c>
      <c r="D1" s="3" t="s">
        <v>34</v>
      </c>
      <c r="E1" s="3" t="s">
        <v>35</v>
      </c>
    </row>
    <row r="2" spans="1:6">
      <c r="A2" s="4">
        <v>41142</v>
      </c>
      <c r="C2" s="3" t="s">
        <v>1888</v>
      </c>
      <c r="D2" s="3" t="str">
        <f ca="1">"CNY_Treasury_Live_Curve_"&amp;YEAR(A2)&amp;"-"&amp;MONTH(A2)&amp;"-"&amp;DAY(A2)</f>
        <v>CNY_Treasury_Live_Curve_2012-8-21</v>
      </c>
      <c r="E2" s="3" t="str">
        <f ca="1">deserializeObject(C2,D2&amp;".xml",TRUE)</f>
        <v>CNY_Treasury_Live_Curve_2012-8-21</v>
      </c>
    </row>
    <row r="4" spans="1:6">
      <c r="A4" s="3" t="b">
        <f ca="1">_xll.qlSettingsSetEvaluationDate(A2)</f>
        <v>1</v>
      </c>
      <c r="C4" s="3" t="e">
        <f ca="1">MATCH(A2,'中债收益率曲线（银行间）'!$A$2:$A$400,0)</f>
        <v>#N/A</v>
      </c>
    </row>
    <row r="9" spans="1:6">
      <c r="A9" s="21"/>
      <c r="B9" s="22" t="s">
        <v>36</v>
      </c>
      <c r="C9" s="23" t="s">
        <v>39</v>
      </c>
      <c r="D9" s="23" t="s">
        <v>37</v>
      </c>
      <c r="E9" s="23" t="s">
        <v>40</v>
      </c>
      <c r="F9" s="24" t="s">
        <v>38</v>
      </c>
    </row>
    <row r="10" spans="1:6">
      <c r="A10" s="11">
        <v>0</v>
      </c>
      <c r="B10" s="5">
        <f ca="1">A2</f>
        <v>41142</v>
      </c>
      <c r="C10" s="15">
        <f t="array" aca="1" ref="C10:C40" ca="1">_xll.qlYieldTSZeroRate($E$2,B10:B40,"Bond Basis","Compounded",,TRUE)</f>
        <v>2.1579628358372904E-2</v>
      </c>
      <c r="D10" s="16" t="e">
        <f ca="1">OFFSET('中债收益率曲线（银行间）'!$A$1,'中大 &amp; 中债'!$C$4,'中大 &amp; 中债'!A10+1)</f>
        <v>#N/A</v>
      </c>
      <c r="E10" s="17">
        <f t="array" aca="1" ref="E10:E40" ca="1">_xll.qlYieldTSDiscount($E$2,B10:B40,TRUE)</f>
        <v>1</v>
      </c>
      <c r="F10" s="18" t="e">
        <f ca="1">(1+D10)^-A10</f>
        <v>#N/A</v>
      </c>
    </row>
    <row r="11" spans="1:6">
      <c r="A11" s="11">
        <v>1</v>
      </c>
      <c r="B11" s="5">
        <f ca="1">_xll.qlCalendarAdvance("Null",B10,"1Y","UnAdjusted")</f>
        <v>41507</v>
      </c>
      <c r="C11" s="19">
        <f ca="1"/>
        <v>2.7794408870290388E-2</v>
      </c>
      <c r="D11" s="6" t="e">
        <f ca="1">OFFSET('中债收益率曲线（银行间）'!$A$1,'中大 &amp; 中债'!$C$4,'中大 &amp; 中债'!A11+1)</f>
        <v>#N/A</v>
      </c>
      <c r="E11" s="7">
        <f ca="1"/>
        <v>0.97295722896484627</v>
      </c>
      <c r="F11" s="12" t="e">
        <f t="shared" ref="F11:F40" ca="1" si="0">(1+D11)^-A11</f>
        <v>#N/A</v>
      </c>
    </row>
    <row r="12" spans="1:6">
      <c r="A12" s="11">
        <v>2</v>
      </c>
      <c r="B12" s="5">
        <f ca="1">_xll.qlCalendarAdvance("Null",B11,"1Y","UnAdjusted")</f>
        <v>41872</v>
      </c>
      <c r="C12" s="19">
        <f ca="1"/>
        <v>2.5364543065168554E-2</v>
      </c>
      <c r="D12" s="6" t="e">
        <f ca="1">OFFSET('中债收益率曲线（银行间）'!$A$1,'中大 &amp; 中债'!$C$4,'中大 &amp; 中债'!A12+1)</f>
        <v>#N/A</v>
      </c>
      <c r="E12" s="7">
        <f ca="1"/>
        <v>0.95113772825022336</v>
      </c>
      <c r="F12" s="12" t="e">
        <f t="shared" ca="1" si="0"/>
        <v>#N/A</v>
      </c>
    </row>
    <row r="13" spans="1:6">
      <c r="A13" s="11">
        <v>3</v>
      </c>
      <c r="B13" s="5">
        <f ca="1">_xll.qlCalendarAdvance("Null",B12,"1Y","UnAdjusted")</f>
        <v>42237</v>
      </c>
      <c r="C13" s="19">
        <f ca="1"/>
        <v>2.867616990129962E-2</v>
      </c>
      <c r="D13" s="6" t="e">
        <f ca="1">OFFSET('中债收益率曲线（银行间）'!$A$1,'中大 &amp; 中债'!$C$4,'中大 &amp; 中债'!A13+1)</f>
        <v>#N/A</v>
      </c>
      <c r="E13" s="7">
        <f ca="1"/>
        <v>0.91867936697633101</v>
      </c>
      <c r="F13" s="12" t="e">
        <f t="shared" ca="1" si="0"/>
        <v>#N/A</v>
      </c>
    </row>
    <row r="14" spans="1:6">
      <c r="A14" s="11">
        <v>4</v>
      </c>
      <c r="B14" s="5">
        <f ca="1">_xll.qlCalendarAdvance("Null",B13,"1Y","UnAdjusted")</f>
        <v>42603</v>
      </c>
      <c r="C14" s="19">
        <f ca="1"/>
        <v>2.939491514501813E-2</v>
      </c>
      <c r="D14" s="6" t="e">
        <f ca="1">OFFSET('中债收益率曲线（银行间）'!$A$1,'中大 &amp; 中债'!$C$4,'中大 &amp; 中债'!A14+1)</f>
        <v>#N/A</v>
      </c>
      <c r="E14" s="7">
        <f ca="1"/>
        <v>0.89057792382852941</v>
      </c>
      <c r="F14" s="12" t="e">
        <f t="shared" ca="1" si="0"/>
        <v>#N/A</v>
      </c>
    </row>
    <row r="15" spans="1:6">
      <c r="A15" s="11">
        <v>5</v>
      </c>
      <c r="B15" s="5">
        <f ca="1">_xll.qlCalendarAdvance("Null",B14,"1Y","UnAdjusted")</f>
        <v>42968</v>
      </c>
      <c r="C15" s="19">
        <f ca="1"/>
        <v>3.115629102516082E-2</v>
      </c>
      <c r="D15" s="6" t="e">
        <f ca="1">OFFSET('中债收益率曲线（银行间）'!$A$1,'中大 &amp; 中债'!$C$4,'中大 &amp; 中债'!A15+1)</f>
        <v>#N/A</v>
      </c>
      <c r="E15" s="7">
        <f ca="1"/>
        <v>0.857783170776378</v>
      </c>
      <c r="F15" s="12" t="e">
        <f t="shared" ca="1" si="0"/>
        <v>#N/A</v>
      </c>
    </row>
    <row r="16" spans="1:6">
      <c r="A16" s="11">
        <v>6</v>
      </c>
      <c r="B16" s="5">
        <f ca="1">_xll.qlCalendarAdvance("Null",B15,"1Y","UnAdjusted")</f>
        <v>43333</v>
      </c>
      <c r="C16" s="19">
        <f ca="1"/>
        <v>3.215110332836546E-2</v>
      </c>
      <c r="D16" s="6" t="e">
        <f ca="1">OFFSET('中债收益率曲线（银行间）'!$A$1,'中大 &amp; 中债'!$C$4,'中大 &amp; 中债'!A16+1)</f>
        <v>#N/A</v>
      </c>
      <c r="E16" s="7">
        <f ca="1"/>
        <v>0.82706627693671575</v>
      </c>
      <c r="F16" s="12" t="e">
        <f t="shared" ca="1" si="0"/>
        <v>#N/A</v>
      </c>
    </row>
    <row r="17" spans="1:6">
      <c r="A17" s="11">
        <v>7</v>
      </c>
      <c r="B17" s="5">
        <f ca="1">_xll.qlCalendarAdvance("Null",B16,"1Y","UnAdjusted")</f>
        <v>43698</v>
      </c>
      <c r="C17" s="19">
        <f ca="1"/>
        <v>3.2227182957786482E-2</v>
      </c>
      <c r="D17" s="6" t="e">
        <f ca="1">OFFSET('中债收益率曲线（银行间）'!$A$1,'中大 &amp; 中债'!$C$4,'中大 &amp; 中债'!A17+1)</f>
        <v>#N/A</v>
      </c>
      <c r="E17" s="7">
        <f ca="1"/>
        <v>0.8008901603235824</v>
      </c>
      <c r="F17" s="12" t="e">
        <f t="shared" ca="1" si="0"/>
        <v>#N/A</v>
      </c>
    </row>
    <row r="18" spans="1:6">
      <c r="A18" s="11">
        <v>8</v>
      </c>
      <c r="B18" s="5">
        <f ca="1">_xll.qlCalendarAdvance("Null",B17,"1Y","UnAdjusted")</f>
        <v>44064</v>
      </c>
      <c r="C18" s="19">
        <f ca="1"/>
        <v>3.3849482356430149E-2</v>
      </c>
      <c r="D18" s="6" t="e">
        <f ca="1">OFFSET('中债收益率曲线（银行间）'!$A$1,'中大 &amp; 中债'!$C$4,'中大 &amp; 中债'!A18+1)</f>
        <v>#N/A</v>
      </c>
      <c r="E18" s="7">
        <f ca="1"/>
        <v>0.76619882722437394</v>
      </c>
      <c r="F18" s="12" t="e">
        <f t="shared" ca="1" si="0"/>
        <v>#N/A</v>
      </c>
    </row>
    <row r="19" spans="1:6">
      <c r="A19" s="11">
        <v>9</v>
      </c>
      <c r="B19" s="5">
        <f ca="1">_xll.qlCalendarAdvance("Null",B18,"1Y","UnAdjusted")</f>
        <v>44429</v>
      </c>
      <c r="C19" s="19">
        <f ca="1"/>
        <v>3.4087989452341816E-2</v>
      </c>
      <c r="D19" s="6" t="e">
        <f ca="1">OFFSET('中债收益率曲线（银行间）'!$A$1,'中大 &amp; 中债'!$C$4,'中大 &amp; 中债'!A19+1)</f>
        <v>#N/A</v>
      </c>
      <c r="E19" s="7">
        <f ca="1"/>
        <v>0.73957556523108248</v>
      </c>
      <c r="F19" s="12" t="e">
        <f t="shared" ca="1" si="0"/>
        <v>#N/A</v>
      </c>
    </row>
    <row r="20" spans="1:6">
      <c r="A20" s="11">
        <v>10</v>
      </c>
      <c r="B20" s="5">
        <f ca="1">_xll.qlCalendarAdvance("Null",B19,"1Y","UnAdjusted")</f>
        <v>44794</v>
      </c>
      <c r="C20" s="19">
        <f ca="1"/>
        <v>3.442762494909779E-2</v>
      </c>
      <c r="D20" s="6" t="e">
        <f ca="1">OFFSET('中债收益率曲线（银行间）'!$A$1,'中大 &amp; 中债'!$C$4,'中大 &amp; 中债'!A20+1)</f>
        <v>#N/A</v>
      </c>
      <c r="E20" s="7">
        <f ca="1"/>
        <v>0.71285122300464709</v>
      </c>
      <c r="F20" s="12" t="e">
        <f t="shared" ca="1" si="0"/>
        <v>#N/A</v>
      </c>
    </row>
    <row r="21" spans="1:6">
      <c r="A21" s="11">
        <v>11</v>
      </c>
      <c r="B21" s="5">
        <f ca="1">_xll.qlCalendarAdvance("Null",B20,"1Y","UnAdjusted")</f>
        <v>45159</v>
      </c>
      <c r="C21" s="19">
        <f ca="1"/>
        <v>3.5550796744383772E-2</v>
      </c>
      <c r="D21" s="6" t="e">
        <f ca="1">OFFSET('中债收益率曲线（银行间）'!$A$1,'中大 &amp; 中债'!$C$4,'中大 &amp; 中债'!A21+1)</f>
        <v>#N/A</v>
      </c>
      <c r="E21" s="7">
        <f ca="1"/>
        <v>0.68094889802827885</v>
      </c>
      <c r="F21" s="12" t="e">
        <f t="shared" ca="1" si="0"/>
        <v>#N/A</v>
      </c>
    </row>
    <row r="22" spans="1:6">
      <c r="A22" s="11">
        <v>12</v>
      </c>
      <c r="B22" s="5">
        <f ca="1">_xll.qlCalendarAdvance("Null",B21,"1Y","UnAdjusted")</f>
        <v>45525</v>
      </c>
      <c r="C22" s="19">
        <f ca="1"/>
        <v>3.6487704769222695E-2</v>
      </c>
      <c r="D22" s="6" t="e">
        <f ca="1">OFFSET('中债收益率曲线（银行间）'!$A$1,'中大 &amp; 中债'!$C$4,'中大 &amp; 中债'!A22+1)</f>
        <v>#N/A</v>
      </c>
      <c r="E22" s="7">
        <f ca="1"/>
        <v>0.65047430201702061</v>
      </c>
      <c r="F22" s="12" t="e">
        <f t="shared" ca="1" si="0"/>
        <v>#N/A</v>
      </c>
    </row>
    <row r="23" spans="1:6">
      <c r="A23" s="11">
        <v>13</v>
      </c>
      <c r="B23" s="5">
        <f ca="1">_xll.qlCalendarAdvance("Null",B22,"1Y","UnAdjusted")</f>
        <v>45890</v>
      </c>
      <c r="C23" s="19">
        <f ca="1"/>
        <v>3.7281135146106203E-2</v>
      </c>
      <c r="D23" s="6" t="e">
        <f ca="1">OFFSET('中债收益率曲线（银行间）'!$A$1,'中大 &amp; 中债'!$C$4,'中大 &amp; 中债'!A23+1)</f>
        <v>#N/A</v>
      </c>
      <c r="E23" s="7">
        <f ca="1"/>
        <v>0.62136353962784252</v>
      </c>
      <c r="F23" s="12" t="e">
        <f t="shared" ca="1" si="0"/>
        <v>#N/A</v>
      </c>
    </row>
    <row r="24" spans="1:6">
      <c r="A24" s="11">
        <v>14</v>
      </c>
      <c r="B24" s="5">
        <f ca="1">_xll.qlCalendarAdvance("Null",B23,"1Y","UnAdjusted")</f>
        <v>46255</v>
      </c>
      <c r="C24" s="19">
        <f ca="1"/>
        <v>3.7961701725786279E-2</v>
      </c>
      <c r="D24" s="6" t="e">
        <f ca="1">OFFSET('中债收益率曲线（银行间）'!$A$1,'中大 &amp; 中债'!$C$4,'中大 &amp; 中债'!A24+1)</f>
        <v>#N/A</v>
      </c>
      <c r="E24" s="7">
        <f ca="1"/>
        <v>0.59355557503444423</v>
      </c>
      <c r="F24" s="12" t="e">
        <f t="shared" ca="1" si="0"/>
        <v>#N/A</v>
      </c>
    </row>
    <row r="25" spans="1:6">
      <c r="A25" s="11">
        <v>15</v>
      </c>
      <c r="B25" s="5">
        <f ca="1">_xll.qlCalendarAdvance("Null",B24,"1Y","UnAdjusted")</f>
        <v>46620</v>
      </c>
      <c r="C25" s="19">
        <f ca="1"/>
        <v>3.8548885681991774E-2</v>
      </c>
      <c r="D25" s="6" t="e">
        <f ca="1">OFFSET('中债收益率曲线（银行间）'!$A$1,'中大 &amp; 中债'!$C$4,'中大 &amp; 中债'!A25+1)</f>
        <v>#N/A</v>
      </c>
      <c r="E25" s="7">
        <f ca="1"/>
        <v>0.5670166850692212</v>
      </c>
      <c r="F25" s="12" t="e">
        <f t="shared" ca="1" si="0"/>
        <v>#N/A</v>
      </c>
    </row>
    <row r="26" spans="1:6">
      <c r="A26" s="11">
        <v>16</v>
      </c>
      <c r="B26" s="5">
        <f ca="1">_xll.qlCalendarAdvance("Null",B25,"1Y","UnAdjusted")</f>
        <v>46986</v>
      </c>
      <c r="C26" s="19">
        <f ca="1"/>
        <v>3.8863071373213209E-2</v>
      </c>
      <c r="D26" s="6" t="e">
        <f ca="1">OFFSET('中债收益率曲线（银行间）'!$A$1,'中大 &amp; 中债'!$C$4,'中大 &amp; 中债'!A26+1)</f>
        <v>#N/A</v>
      </c>
      <c r="E26" s="7">
        <f ca="1"/>
        <v>0.5433342247885804</v>
      </c>
      <c r="F26" s="12" t="e">
        <f t="shared" ca="1" si="0"/>
        <v>#N/A</v>
      </c>
    </row>
    <row r="27" spans="1:6">
      <c r="A27" s="11">
        <v>17</v>
      </c>
      <c r="B27" s="5">
        <f ca="1">_xll.qlCalendarAdvance("Null",B26,"1Y","UnAdjusted")</f>
        <v>47351</v>
      </c>
      <c r="C27" s="19">
        <f ca="1"/>
        <v>3.9140372974119986E-2</v>
      </c>
      <c r="D27" s="6" t="e">
        <f ca="1">OFFSET('中债收益率曲线（银行间）'!$A$1,'中大 &amp; 中债'!$C$4,'中大 &amp; 中债'!A27+1)</f>
        <v>#N/A</v>
      </c>
      <c r="E27" s="7">
        <f ca="1"/>
        <v>0.5206409045803797</v>
      </c>
      <c r="F27" s="12" t="e">
        <f t="shared" ca="1" si="0"/>
        <v>#N/A</v>
      </c>
    </row>
    <row r="28" spans="1:6">
      <c r="A28" s="11">
        <v>18</v>
      </c>
      <c r="B28" s="5">
        <f ca="1">_xll.qlCalendarAdvance("Null",B27,"1Y","UnAdjusted")</f>
        <v>47716</v>
      </c>
      <c r="C28" s="19">
        <f ca="1"/>
        <v>4.111696564929912E-2</v>
      </c>
      <c r="D28" s="6" t="e">
        <f ca="1">OFFSET('中债收益率曲线（银行间）'!$A$1,'中大 &amp; 中债'!$C$4,'中大 &amp; 中债'!A28+1)</f>
        <v>#N/A</v>
      </c>
      <c r="E28" s="7">
        <f ca="1"/>
        <v>0.48418192704193808</v>
      </c>
      <c r="F28" s="12" t="e">
        <f t="shared" ca="1" si="0"/>
        <v>#N/A</v>
      </c>
    </row>
    <row r="29" spans="1:6">
      <c r="A29" s="11">
        <v>19</v>
      </c>
      <c r="B29" s="5">
        <f ca="1">_xll.qlCalendarAdvance("Null",B28,"1Y","UnAdjusted")</f>
        <v>48081</v>
      </c>
      <c r="C29" s="19">
        <f ca="1"/>
        <v>4.0960594742162293E-2</v>
      </c>
      <c r="D29" s="6" t="e">
        <f ca="1">OFFSET('中债收益率曲线（银行间）'!$A$1,'中大 &amp; 中债'!$C$4,'中大 &amp; 中债'!A29+1)</f>
        <v>#N/A</v>
      </c>
      <c r="E29" s="7">
        <f ca="1"/>
        <v>0.46638921076926693</v>
      </c>
      <c r="F29" s="12" t="e">
        <f t="shared" ca="1" si="0"/>
        <v>#N/A</v>
      </c>
    </row>
    <row r="30" spans="1:6">
      <c r="A30" s="11">
        <v>20</v>
      </c>
      <c r="B30" s="5">
        <f ca="1">_xll.qlCalendarAdvance("Null",B29,"1Y","UnAdjusted")</f>
        <v>48447</v>
      </c>
      <c r="C30" s="19">
        <f ca="1"/>
        <v>4.0819881006523451E-2</v>
      </c>
      <c r="D30" s="6" t="e">
        <f ca="1">OFFSET('中债收益率曲线（银行间）'!$A$1,'中大 &amp; 中债'!$C$4,'中大 &amp; 中债'!A30+1)</f>
        <v>#N/A</v>
      </c>
      <c r="E30" s="7">
        <f ca="1"/>
        <v>0.44925034119073814</v>
      </c>
      <c r="F30" s="12" t="e">
        <f t="shared" ca="1" si="0"/>
        <v>#N/A</v>
      </c>
    </row>
    <row r="31" spans="1:6">
      <c r="A31" s="11">
        <v>21</v>
      </c>
      <c r="B31" s="5">
        <f ca="1">_xll.qlCalendarAdvance("Null",B30,"1Y","UnAdjusted")</f>
        <v>48812</v>
      </c>
      <c r="C31" s="19">
        <f ca="1"/>
        <v>4.0692584969290513E-2</v>
      </c>
      <c r="D31" s="6" t="e">
        <f ca="1">OFFSET('中债收益率曲线（银行间）'!$A$1,'中大 &amp; 中债'!$C$4,'中大 &amp; 中债'!A31+1)</f>
        <v>#N/A</v>
      </c>
      <c r="E31" s="7">
        <f ca="1"/>
        <v>0.43274129074963175</v>
      </c>
      <c r="F31" s="12" t="e">
        <f t="shared" ca="1" si="0"/>
        <v>#N/A</v>
      </c>
    </row>
    <row r="32" spans="1:6">
      <c r="A32" s="11">
        <v>22</v>
      </c>
      <c r="B32" s="5">
        <f ca="1">_xll.qlCalendarAdvance("Null",B31,"1Y","UnAdjusted")</f>
        <v>49177</v>
      </c>
      <c r="C32" s="19">
        <f ca="1"/>
        <v>4.0576874809214791E-2</v>
      </c>
      <c r="D32" s="6" t="e">
        <f ca="1">OFFSET('中债收益率曲线（银行间）'!$A$1,'中大 &amp; 中债'!$C$4,'中大 &amp; 中债'!A32+1)</f>
        <v>#N/A</v>
      </c>
      <c r="E32" s="7">
        <f ca="1"/>
        <v>0.41683891485382368</v>
      </c>
      <c r="F32" s="12" t="e">
        <f t="shared" ca="1" si="0"/>
        <v>#N/A</v>
      </c>
    </row>
    <row r="33" spans="1:9">
      <c r="A33" s="11">
        <v>23</v>
      </c>
      <c r="B33" s="5">
        <f ca="1">_xll.qlCalendarAdvance("Null",B32,"1Y","UnAdjusted")</f>
        <v>49542</v>
      </c>
      <c r="C33" s="19">
        <f ca="1"/>
        <v>4.0471237638098678E-2</v>
      </c>
      <c r="D33" s="6" t="e">
        <f ca="1">OFFSET('中债收益率曲线（银行间）'!$A$1,'中大 &amp; 中债'!$C$4,'中大 &amp; 中债'!A33+1)</f>
        <v>#N/A</v>
      </c>
      <c r="E33" s="7">
        <f ca="1"/>
        <v>0.40152091942860457</v>
      </c>
      <c r="F33" s="12" t="e">
        <f t="shared" ca="1" si="0"/>
        <v>#N/A</v>
      </c>
    </row>
    <row r="34" spans="1:9">
      <c r="A34" s="11">
        <v>24</v>
      </c>
      <c r="B34" s="5">
        <f ca="1">_xll.qlCalendarAdvance("Null",B33,"1Y","UnAdjusted")</f>
        <v>49908</v>
      </c>
      <c r="C34" s="19">
        <f ca="1"/>
        <v>4.0374412985393571E-2</v>
      </c>
      <c r="D34" s="6" t="e">
        <f ca="1">OFFSET('中债收益率曲线（银行间）'!$A$1,'中大 &amp; 中债'!$C$4,'中大 &amp; 中债'!A34+1)</f>
        <v>#N/A</v>
      </c>
      <c r="E34" s="7">
        <f ca="1"/>
        <v>0.38676582966186829</v>
      </c>
      <c r="F34" s="12" t="e">
        <f t="shared" ca="1" si="0"/>
        <v>#N/A</v>
      </c>
    </row>
    <row r="35" spans="1:9">
      <c r="A35" s="11">
        <v>25</v>
      </c>
      <c r="B35" s="5">
        <f ca="1">_xll.qlCalendarAdvance("Null",B34,"1Y","UnAdjusted")</f>
        <v>50273</v>
      </c>
      <c r="C35" s="19">
        <f ca="1"/>
        <v>4.0285342262868618E-2</v>
      </c>
      <c r="D35" s="6" t="e">
        <f ca="1">OFFSET('中债收益率曲线（银行间）'!$A$1,'中大 &amp; 中债'!$C$4,'中大 &amp; 中债'!A35+1)</f>
        <v>#N/A</v>
      </c>
      <c r="E35" s="7">
        <f ca="1"/>
        <v>0.37255295989785131</v>
      </c>
      <c r="F35" s="12" t="e">
        <f t="shared" ca="1" si="0"/>
        <v>#N/A</v>
      </c>
    </row>
    <row r="36" spans="1:9">
      <c r="A36" s="11">
        <v>26</v>
      </c>
      <c r="B36" s="5">
        <f ca="1">_xll.qlCalendarAdvance("Null",B35,"1Y","UnAdjusted")</f>
        <v>50638</v>
      </c>
      <c r="C36" s="19">
        <f ca="1"/>
        <v>4.0203129902780743E-2</v>
      </c>
      <c r="D36" s="6" t="e">
        <f ca="1">OFFSET('中债收益率曲线（银行间）'!$A$1,'中大 &amp; 中债'!$C$4,'中大 &amp; 中债'!A36+1)</f>
        <v>#N/A</v>
      </c>
      <c r="E36" s="7">
        <f ca="1"/>
        <v>0.3588623846372177</v>
      </c>
      <c r="F36" s="12" t="e">
        <f t="shared" ca="1" si="0"/>
        <v>#N/A</v>
      </c>
    </row>
    <row r="37" spans="1:9">
      <c r="A37" s="11">
        <v>27</v>
      </c>
      <c r="B37" s="5">
        <f ca="1">_xll.qlCalendarAdvance("Null",B36,"1Y","UnAdjusted")</f>
        <v>51003</v>
      </c>
      <c r="C37" s="19">
        <f ca="1"/>
        <v>4.0127013140208945E-2</v>
      </c>
      <c r="D37" s="6" t="e">
        <f ca="1">OFFSET('中债收益率曲线（银行间）'!$A$1,'中大 &amp; 中债'!$C$4,'中大 &amp; 中债'!A37+1)</f>
        <v>#N/A</v>
      </c>
      <c r="E37" s="7">
        <f ca="1"/>
        <v>0.34567491060283251</v>
      </c>
      <c r="F37" s="12" t="e">
        <f t="shared" ca="1" si="0"/>
        <v>#N/A</v>
      </c>
    </row>
    <row r="38" spans="1:9">
      <c r="A38" s="11">
        <v>28</v>
      </c>
      <c r="B38" s="5">
        <f ca="1">_xll.qlCalendarAdvance("Null",B37,"1Y","UnAdjusted")</f>
        <v>51369</v>
      </c>
      <c r="C38" s="19">
        <f ca="1"/>
        <v>4.0056338276535319E-2</v>
      </c>
      <c r="D38" s="6" t="e">
        <f ca="1">OFFSET('中债收益率曲线（银行间）'!$A$1,'中大 &amp; 中债'!$C$4,'中大 &amp; 中债'!A38+1)</f>
        <v>#N/A</v>
      </c>
      <c r="E38" s="7">
        <f ca="1"/>
        <v>0.33297204983206197</v>
      </c>
      <c r="F38" s="12" t="e">
        <f t="shared" ca="1" si="0"/>
        <v>#N/A</v>
      </c>
    </row>
    <row r="39" spans="1:9">
      <c r="A39" s="11">
        <v>29</v>
      </c>
      <c r="B39" s="5">
        <f ca="1">_xll.qlCalendarAdvance("Null",B38,"1Y","UnAdjusted")</f>
        <v>51734</v>
      </c>
      <c r="C39" s="19">
        <f ca="1"/>
        <v>3.9990541858272E-2</v>
      </c>
      <c r="D39" s="6" t="e">
        <f ca="1">OFFSET('中债收益率曲线（银行间）'!$A$1,'中大 &amp; 中债'!$C$4,'中大 &amp; 中债'!A39+1)</f>
        <v>#N/A</v>
      </c>
      <c r="E39" s="7">
        <f ca="1"/>
        <v>0.32073599375787809</v>
      </c>
      <c r="F39" s="12" t="e">
        <f t="shared" ca="1" si="0"/>
        <v>#N/A</v>
      </c>
    </row>
    <row r="40" spans="1:9">
      <c r="A40" s="13">
        <v>30</v>
      </c>
      <c r="B40" s="8">
        <f ca="1">_xll.qlCalendarAdvance("Null",B39,"1Y","UnAdjusted")</f>
        <v>52099</v>
      </c>
      <c r="C40" s="20">
        <f ca="1"/>
        <v>3.9929135623340883E-2</v>
      </c>
      <c r="D40" s="9" t="e">
        <f ca="1">OFFSET('中债收益率曲线（银行间）'!$A$1,'中大 &amp; 中债'!$C$4,'中大 &amp; 中债'!A40+1)</f>
        <v>#N/A</v>
      </c>
      <c r="E40" s="10">
        <f ca="1"/>
        <v>0.30894958824243057</v>
      </c>
      <c r="F40" s="14" t="e">
        <f t="shared" ca="1" si="0"/>
        <v>#N/A</v>
      </c>
    </row>
    <row r="43" spans="1:9">
      <c r="C43" s="64" t="s">
        <v>1890</v>
      </c>
      <c r="D43" s="64" t="s">
        <v>1889</v>
      </c>
      <c r="H43" s="72">
        <v>41095</v>
      </c>
      <c r="I43" s="72">
        <v>41137</v>
      </c>
    </row>
    <row r="44" spans="1:9">
      <c r="A44" s="11">
        <v>0</v>
      </c>
      <c r="B44" s="68">
        <v>41096</v>
      </c>
      <c r="C44" s="71">
        <v>2.1609444317183701E-2</v>
      </c>
      <c r="D44" s="66">
        <f ca="1">C44+0.005</f>
        <v>2.6609444317183702E-2</v>
      </c>
      <c r="G44" s="11">
        <v>0</v>
      </c>
      <c r="H44" s="71">
        <v>2.1609444317183701E-2</v>
      </c>
      <c r="I44" s="3">
        <v>1.9486700996083295E-2</v>
      </c>
    </row>
    <row r="45" spans="1:9">
      <c r="A45" s="11">
        <v>1</v>
      </c>
      <c r="B45" s="68">
        <v>41461</v>
      </c>
      <c r="C45" s="65">
        <v>2.2687573685647777E-2</v>
      </c>
      <c r="D45" s="66">
        <f t="shared" ref="D45:D74" ca="1" si="1">C45+0.005</f>
        <v>2.7687573685647778E-2</v>
      </c>
      <c r="G45" s="11">
        <v>1</v>
      </c>
      <c r="H45" s="65">
        <v>2.2687573685647777E-2</v>
      </c>
      <c r="I45" s="3">
        <v>2.8091043565409812E-2</v>
      </c>
    </row>
    <row r="46" spans="1:9">
      <c r="A46" s="11">
        <v>2</v>
      </c>
      <c r="B46" s="68">
        <v>41826</v>
      </c>
      <c r="C46" s="65">
        <v>2.3612839999730628E-2</v>
      </c>
      <c r="D46" s="66">
        <f t="shared" ca="1" si="1"/>
        <v>2.8612839999730629E-2</v>
      </c>
      <c r="G46" s="11">
        <v>2</v>
      </c>
      <c r="H46" s="65">
        <v>2.3612839999730628E-2</v>
      </c>
      <c r="I46" s="3">
        <v>2.5087704719455983E-2</v>
      </c>
    </row>
    <row r="47" spans="1:9">
      <c r="A47" s="11">
        <v>3</v>
      </c>
      <c r="B47" s="68">
        <v>42191</v>
      </c>
      <c r="C47" s="65">
        <v>2.5496900142083057E-2</v>
      </c>
      <c r="D47" s="66">
        <f t="shared" ca="1" si="1"/>
        <v>3.0496900142083058E-2</v>
      </c>
      <c r="G47" s="11">
        <v>3</v>
      </c>
      <c r="H47" s="65">
        <v>2.5496900142083057E-2</v>
      </c>
      <c r="I47" s="3">
        <v>2.7700456670382678E-2</v>
      </c>
    </row>
    <row r="48" spans="1:9">
      <c r="A48" s="11">
        <v>4</v>
      </c>
      <c r="B48" s="68">
        <v>42557</v>
      </c>
      <c r="C48" s="65">
        <v>2.6864141244806961E-2</v>
      </c>
      <c r="D48" s="66">
        <f t="shared" ca="1" si="1"/>
        <v>3.1864141244806958E-2</v>
      </c>
      <c r="G48" s="11">
        <v>4</v>
      </c>
      <c r="H48" s="65">
        <v>2.6864141244806961E-2</v>
      </c>
      <c r="I48" s="3">
        <v>2.9108864542681356E-2</v>
      </c>
    </row>
    <row r="49" spans="1:9">
      <c r="A49" s="11">
        <v>5</v>
      </c>
      <c r="B49" s="68">
        <v>42922</v>
      </c>
      <c r="C49" s="65">
        <v>2.9197348286732261E-2</v>
      </c>
      <c r="D49" s="66">
        <f t="shared" ca="1" si="1"/>
        <v>3.4197348286732258E-2</v>
      </c>
      <c r="G49" s="11">
        <v>5</v>
      </c>
      <c r="H49" s="65">
        <v>2.9197348286732261E-2</v>
      </c>
      <c r="I49" s="3">
        <v>3.0262115261928679E-2</v>
      </c>
    </row>
    <row r="50" spans="1:9">
      <c r="A50" s="11">
        <v>6</v>
      </c>
      <c r="B50" s="68">
        <v>43287</v>
      </c>
      <c r="C50" s="65">
        <v>3.1258990280260912E-2</v>
      </c>
      <c r="D50" s="66">
        <f t="shared" ca="1" si="1"/>
        <v>3.625899028026091E-2</v>
      </c>
      <c r="G50" s="11">
        <v>6</v>
      </c>
      <c r="H50" s="65">
        <v>3.1258990280260912E-2</v>
      </c>
      <c r="I50" s="3">
        <v>3.2065552300727829E-2</v>
      </c>
    </row>
    <row r="51" spans="1:9">
      <c r="A51" s="11">
        <v>7</v>
      </c>
      <c r="B51" s="68">
        <v>43652</v>
      </c>
      <c r="C51" s="65">
        <v>3.1558771223038296E-2</v>
      </c>
      <c r="D51" s="66">
        <f t="shared" ca="1" si="1"/>
        <v>3.6558771223038293E-2</v>
      </c>
      <c r="G51" s="11">
        <v>7</v>
      </c>
      <c r="H51" s="65">
        <v>3.1558771223038296E-2</v>
      </c>
      <c r="I51" s="3">
        <v>3.2072825369401592E-2</v>
      </c>
    </row>
    <row r="52" spans="1:9">
      <c r="A52" s="11">
        <v>8</v>
      </c>
      <c r="B52" s="68">
        <v>44018</v>
      </c>
      <c r="C52" s="65">
        <v>3.3854095120158245E-2</v>
      </c>
      <c r="D52" s="66">
        <f t="shared" ca="1" si="1"/>
        <v>3.8854095120158243E-2</v>
      </c>
      <c r="G52" s="11">
        <v>8</v>
      </c>
      <c r="H52" s="65">
        <v>3.3854095120158245E-2</v>
      </c>
      <c r="I52" s="3">
        <v>3.3645239420822204E-2</v>
      </c>
    </row>
    <row r="53" spans="1:9">
      <c r="A53" s="11">
        <v>9</v>
      </c>
      <c r="B53" s="68">
        <v>44383</v>
      </c>
      <c r="C53" s="65">
        <v>3.4357030231712882E-2</v>
      </c>
      <c r="D53" s="66">
        <f t="shared" ca="1" si="1"/>
        <v>3.9357030231712879E-2</v>
      </c>
      <c r="G53" s="11">
        <v>9</v>
      </c>
      <c r="H53" s="65">
        <v>3.4357030231712882E-2</v>
      </c>
      <c r="I53" s="3">
        <v>3.4048608847720541E-2</v>
      </c>
    </row>
    <row r="54" spans="1:9">
      <c r="A54" s="11">
        <v>10</v>
      </c>
      <c r="B54" s="68">
        <v>44748</v>
      </c>
      <c r="C54" s="65">
        <v>3.4282992508601673E-2</v>
      </c>
      <c r="D54" s="66">
        <f t="shared" ca="1" si="1"/>
        <v>3.928299250860167E-2</v>
      </c>
      <c r="G54" s="11">
        <v>10</v>
      </c>
      <c r="H54" s="65">
        <v>3.4282992508601673E-2</v>
      </c>
      <c r="I54" s="3">
        <v>3.4330198225209996E-2</v>
      </c>
    </row>
    <row r="55" spans="1:9">
      <c r="A55" s="11">
        <v>11</v>
      </c>
      <c r="B55" s="68">
        <v>45113</v>
      </c>
      <c r="C55" s="65">
        <v>3.5602777589163637E-2</v>
      </c>
      <c r="D55" s="66">
        <f t="shared" ca="1" si="1"/>
        <v>4.0602777589163634E-2</v>
      </c>
      <c r="G55" s="11">
        <v>11</v>
      </c>
      <c r="H55" s="65">
        <v>3.5602777589163637E-2</v>
      </c>
      <c r="I55" s="3">
        <v>3.5494806494253739E-2</v>
      </c>
    </row>
    <row r="56" spans="1:9">
      <c r="A56" s="11">
        <v>12</v>
      </c>
      <c r="B56" s="68">
        <v>45479</v>
      </c>
      <c r="C56" s="65">
        <v>3.6703884861286395E-2</v>
      </c>
      <c r="D56" s="66">
        <f t="shared" ca="1" si="1"/>
        <v>4.1703884861286393E-2</v>
      </c>
      <c r="G56" s="11">
        <v>12</v>
      </c>
      <c r="H56" s="65">
        <v>3.6703884861286395E-2</v>
      </c>
      <c r="I56" s="3">
        <v>3.6466315006463912E-2</v>
      </c>
    </row>
    <row r="57" spans="1:9">
      <c r="A57" s="11">
        <v>13</v>
      </c>
      <c r="B57" s="68">
        <v>45844</v>
      </c>
      <c r="C57" s="65">
        <v>3.7636505400705511E-2</v>
      </c>
      <c r="D57" s="66">
        <f t="shared" ca="1" si="1"/>
        <v>4.2636505400705509E-2</v>
      </c>
      <c r="G57" s="11">
        <v>13</v>
      </c>
      <c r="H57" s="65">
        <v>3.7636505400705511E-2</v>
      </c>
      <c r="I57" s="3">
        <v>3.7289072558575276E-2</v>
      </c>
    </row>
    <row r="58" spans="1:9">
      <c r="A58" s="11">
        <v>14</v>
      </c>
      <c r="B58" s="68">
        <v>46209</v>
      </c>
      <c r="C58" s="65">
        <v>3.8436562171049182E-2</v>
      </c>
      <c r="D58" s="66">
        <f t="shared" ca="1" si="1"/>
        <v>4.343656217104918E-2</v>
      </c>
      <c r="G58" s="11">
        <v>14</v>
      </c>
      <c r="H58" s="65">
        <v>3.8436562171049182E-2</v>
      </c>
      <c r="I58" s="3">
        <v>3.7994813122795845E-2</v>
      </c>
    </row>
    <row r="59" spans="1:9">
      <c r="A59" s="11">
        <v>15</v>
      </c>
      <c r="B59" s="68">
        <v>46574</v>
      </c>
      <c r="C59" s="65">
        <v>3.9130443670662096E-2</v>
      </c>
      <c r="D59" s="66">
        <f t="shared" ca="1" si="1"/>
        <v>4.4130443670662094E-2</v>
      </c>
      <c r="G59" s="11">
        <v>15</v>
      </c>
      <c r="H59" s="65">
        <v>3.9130443670662096E-2</v>
      </c>
      <c r="I59" s="3">
        <v>3.8606843333383711E-2</v>
      </c>
    </row>
    <row r="60" spans="1:9">
      <c r="A60" s="11">
        <v>16</v>
      </c>
      <c r="B60" s="68">
        <v>46940</v>
      </c>
      <c r="C60" s="65">
        <v>3.9663512359585429E-2</v>
      </c>
      <c r="D60" s="66">
        <f t="shared" ca="1" si="1"/>
        <v>4.4663512359585426E-2</v>
      </c>
      <c r="G60" s="11">
        <v>16</v>
      </c>
      <c r="H60" s="65">
        <v>3.9663512359585429E-2</v>
      </c>
      <c r="I60" s="3">
        <v>3.8912479244995968E-2</v>
      </c>
    </row>
    <row r="61" spans="1:9">
      <c r="A61" s="11">
        <v>17</v>
      </c>
      <c r="B61" s="68">
        <v>47305</v>
      </c>
      <c r="C61" s="65">
        <v>4.0125083562080111E-2</v>
      </c>
      <c r="D61" s="66">
        <f t="shared" ca="1" si="1"/>
        <v>4.5125083562080108E-2</v>
      </c>
      <c r="G61" s="11">
        <v>17</v>
      </c>
      <c r="H61" s="65">
        <v>4.0125083562080111E-2</v>
      </c>
      <c r="I61" s="3">
        <v>3.9182232681140183E-2</v>
      </c>
    </row>
    <row r="62" spans="1:9">
      <c r="A62" s="11">
        <v>18</v>
      </c>
      <c r="B62" s="68">
        <v>47670</v>
      </c>
      <c r="C62" s="65">
        <v>4.0535541104288919E-2</v>
      </c>
      <c r="D62" s="66">
        <f t="shared" ca="1" si="1"/>
        <v>4.5535541104288917E-2</v>
      </c>
      <c r="G62" s="11">
        <v>18</v>
      </c>
      <c r="H62" s="65">
        <v>4.0535541104288919E-2</v>
      </c>
      <c r="I62" s="3">
        <v>3.9947307781078134E-2</v>
      </c>
    </row>
    <row r="63" spans="1:9">
      <c r="A63" s="11">
        <v>19</v>
      </c>
      <c r="B63" s="68">
        <v>48035</v>
      </c>
      <c r="C63" s="65">
        <v>4.0902929885814121E-2</v>
      </c>
      <c r="D63" s="66">
        <f t="shared" ca="1" si="1"/>
        <v>4.5902929885814119E-2</v>
      </c>
      <c r="G63" s="11">
        <v>19</v>
      </c>
      <c r="H63" s="65">
        <v>4.0902929885814121E-2</v>
      </c>
      <c r="I63" s="3">
        <v>4.0648023913853359E-2</v>
      </c>
    </row>
    <row r="64" spans="1:9">
      <c r="A64" s="11">
        <v>20</v>
      </c>
      <c r="B64" s="68">
        <v>48401</v>
      </c>
      <c r="C64" s="65">
        <v>4.1259289026769119E-2</v>
      </c>
      <c r="D64" s="66">
        <f t="shared" ca="1" si="1"/>
        <v>4.6259289026769117E-2</v>
      </c>
      <c r="G64" s="11">
        <v>20</v>
      </c>
      <c r="H64" s="65">
        <v>4.1259289026769119E-2</v>
      </c>
      <c r="I64" s="3">
        <v>4.1279072105940395E-2</v>
      </c>
    </row>
    <row r="65" spans="1:9">
      <c r="A65" s="11">
        <v>21</v>
      </c>
      <c r="B65" s="68">
        <v>48766</v>
      </c>
      <c r="C65" s="65">
        <v>4.1679367752477603E-2</v>
      </c>
      <c r="D65" s="66">
        <f t="shared" ca="1" si="1"/>
        <v>4.66793677524776E-2</v>
      </c>
      <c r="G65" s="11">
        <v>21</v>
      </c>
      <c r="H65" s="65">
        <v>4.1679367752477603E-2</v>
      </c>
      <c r="I65" s="3">
        <v>4.1850350199735153E-2</v>
      </c>
    </row>
    <row r="66" spans="1:9">
      <c r="A66" s="11">
        <v>22</v>
      </c>
      <c r="B66" s="68">
        <v>49131</v>
      </c>
      <c r="C66" s="65">
        <v>4.2061404565338023E-2</v>
      </c>
      <c r="D66" s="66">
        <f t="shared" ca="1" si="1"/>
        <v>4.7061404565338021E-2</v>
      </c>
      <c r="G66" s="11">
        <v>22</v>
      </c>
      <c r="H66" s="65">
        <v>4.2061404565338023E-2</v>
      </c>
      <c r="I66" s="3">
        <v>4.2369965893690242E-2</v>
      </c>
    </row>
    <row r="67" spans="1:9">
      <c r="A67" s="11">
        <v>23</v>
      </c>
      <c r="B67" s="68">
        <v>49496</v>
      </c>
      <c r="C67" s="65">
        <v>4.2410343151011443E-2</v>
      </c>
      <c r="D67" s="66">
        <f t="shared" ca="1" si="1"/>
        <v>4.741034315101144E-2</v>
      </c>
      <c r="G67" s="11">
        <v>23</v>
      </c>
      <c r="H67" s="65">
        <v>4.2410343151011443E-2</v>
      </c>
      <c r="I67" s="3">
        <v>4.2844623942736249E-2</v>
      </c>
    </row>
    <row r="68" spans="1:9">
      <c r="A68" s="11">
        <v>24</v>
      </c>
      <c r="B68" s="68">
        <v>49862</v>
      </c>
      <c r="C68" s="65">
        <v>4.2730306164056042E-2</v>
      </c>
      <c r="D68" s="66">
        <f t="shared" ca="1" si="1"/>
        <v>4.773030616405604E-2</v>
      </c>
      <c r="G68" s="11">
        <v>24</v>
      </c>
      <c r="H68" s="65">
        <v>4.2730306164056042E-2</v>
      </c>
      <c r="I68" s="3">
        <v>4.327991702698486E-2</v>
      </c>
    </row>
    <row r="69" spans="1:9">
      <c r="A69" s="11">
        <v>25</v>
      </c>
      <c r="B69" s="68">
        <v>50227</v>
      </c>
      <c r="C69" s="65">
        <v>4.3024758875444435E-2</v>
      </c>
      <c r="D69" s="66">
        <f t="shared" ca="1" si="1"/>
        <v>4.8024758875444433E-2</v>
      </c>
      <c r="G69" s="11">
        <v>25</v>
      </c>
      <c r="H69" s="65">
        <v>4.3024758875444435E-2</v>
      </c>
      <c r="I69" s="3">
        <v>4.3680547136083492E-2</v>
      </c>
    </row>
    <row r="70" spans="1:9">
      <c r="A70" s="11">
        <v>26</v>
      </c>
      <c r="B70" s="68">
        <v>50592</v>
      </c>
      <c r="C70" s="65">
        <v>4.3296635178972531E-2</v>
      </c>
      <c r="D70" s="66">
        <f t="shared" ca="1" si="1"/>
        <v>4.8296635178972529E-2</v>
      </c>
      <c r="G70" s="11">
        <v>26</v>
      </c>
      <c r="H70" s="65">
        <v>4.3296635178972531E-2</v>
      </c>
      <c r="I70" s="3">
        <v>4.4050496092877811E-2</v>
      </c>
    </row>
    <row r="71" spans="1:9">
      <c r="A71" s="11">
        <v>27</v>
      </c>
      <c r="B71" s="68">
        <v>50957</v>
      </c>
      <c r="C71" s="65">
        <v>4.3548435684547693E-2</v>
      </c>
      <c r="D71" s="66">
        <f t="shared" ca="1" si="1"/>
        <v>4.854843568454769E-2</v>
      </c>
      <c r="G71" s="11">
        <v>27</v>
      </c>
      <c r="H71" s="65">
        <v>4.3548435684547693E-2</v>
      </c>
      <c r="I71" s="3">
        <v>4.4393158345732209E-2</v>
      </c>
    </row>
    <row r="72" spans="1:9">
      <c r="A72" s="11">
        <v>28</v>
      </c>
      <c r="B72" s="68">
        <v>51323</v>
      </c>
      <c r="C72" s="65">
        <v>4.3782304855389809E-2</v>
      </c>
      <c r="D72" s="66">
        <f t="shared" ca="1" si="1"/>
        <v>4.8782304855389806E-2</v>
      </c>
      <c r="G72" s="11">
        <v>28</v>
      </c>
      <c r="H72" s="65">
        <v>4.3782304855389809E-2</v>
      </c>
      <c r="I72" s="3">
        <v>4.4711445423200047E-2</v>
      </c>
    </row>
    <row r="73" spans="1:9">
      <c r="A73" s="11">
        <v>29</v>
      </c>
      <c r="B73" s="69">
        <v>51688</v>
      </c>
      <c r="C73" s="65">
        <v>4.3978076189930437E-2</v>
      </c>
      <c r="D73" s="66">
        <f t="shared" ca="1" si="1"/>
        <v>4.8978076189930435E-2</v>
      </c>
      <c r="G73" s="11">
        <v>29</v>
      </c>
      <c r="H73" s="65">
        <v>4.3978076189930437E-2</v>
      </c>
      <c r="I73" s="3">
        <v>4.5007868863777389E-2</v>
      </c>
    </row>
    <row r="74" spans="1:9">
      <c r="A74" s="13">
        <v>30</v>
      </c>
      <c r="B74" s="70">
        <v>52053</v>
      </c>
      <c r="C74" s="67">
        <v>4.349542542368412E-2</v>
      </c>
      <c r="D74" s="66">
        <f t="shared" ca="1" si="1"/>
        <v>4.8495425423684117E-2</v>
      </c>
      <c r="G74" s="13">
        <v>30</v>
      </c>
      <c r="H74" s="67">
        <v>4.349542542368412E-2</v>
      </c>
      <c r="I74" s="3">
        <v>4.5284606623779977E-2</v>
      </c>
    </row>
  </sheetData>
  <phoneticPr fontId="4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S75"/>
  <sheetViews>
    <sheetView workbookViewId="0">
      <selection activeCell="L14" sqref="L14"/>
    </sheetView>
  </sheetViews>
  <sheetFormatPr defaultRowHeight="15"/>
  <cols>
    <col min="1" max="2" width="10.5" style="35" bestFit="1" customWidth="1"/>
    <col min="3" max="3" width="15.25" style="35" customWidth="1"/>
    <col min="4" max="4" width="14.125" style="35" customWidth="1"/>
    <col min="5" max="5" width="12.375" style="35" customWidth="1"/>
    <col min="6" max="6" width="14.5" style="35" customWidth="1"/>
    <col min="7" max="7" width="19.375" style="35" customWidth="1"/>
    <col min="8" max="8" width="10.5" style="35" bestFit="1" customWidth="1"/>
    <col min="9" max="9" width="37.125" style="35" bestFit="1" customWidth="1"/>
    <col min="10" max="10" width="10.5" style="35" bestFit="1" customWidth="1"/>
    <col min="11" max="11" width="37.125" style="35" bestFit="1" customWidth="1"/>
    <col min="12" max="13" width="9" style="35"/>
    <col min="14" max="14" width="10.5" style="35" bestFit="1" customWidth="1"/>
    <col min="15" max="15" width="37.125" style="35" bestFit="1" customWidth="1"/>
    <col min="16" max="17" width="9" style="35"/>
    <col min="18" max="18" width="10.5" style="35" bestFit="1" customWidth="1"/>
    <col min="19" max="19" width="37.125" style="35" bestFit="1" customWidth="1"/>
    <col min="20" max="16384" width="9" style="35"/>
  </cols>
  <sheetData>
    <row r="1" spans="1:19">
      <c r="A1" s="35" t="s">
        <v>41</v>
      </c>
      <c r="E1" s="35" t="s">
        <v>42</v>
      </c>
      <c r="I1" s="35" t="s">
        <v>43</v>
      </c>
      <c r="M1" s="35" t="s">
        <v>44</v>
      </c>
      <c r="Q1" s="35" t="s">
        <v>45</v>
      </c>
    </row>
    <row r="2" spans="1:19">
      <c r="A2" s="36">
        <f ca="1">'中大 &amp; 中债'!A2</f>
        <v>41141</v>
      </c>
      <c r="E2" s="36">
        <f ca="1">_xll.qlCalendarAdvance("China",$A$2,"-1W")</f>
        <v>41134</v>
      </c>
      <c r="I2" s="36">
        <f ca="1">_xll.qlCalendarAdvance("China",$A$2,"-1M")</f>
        <v>41110</v>
      </c>
      <c r="M2" s="36">
        <f ca="1">_xll.qlCalendarAdvance("China",$A$2,"-3M")</f>
        <v>41050</v>
      </c>
      <c r="Q2" s="36">
        <f ca="1">_xll.qlCalendarAdvance("China",$A$2,"-1Y")</f>
        <v>40777</v>
      </c>
    </row>
    <row r="4" spans="1:19">
      <c r="B4" s="35" t="b">
        <f ca="1">_xll.qlSettingsSetEvaluationDate(A2)</f>
        <v>1</v>
      </c>
      <c r="C4" s="35" t="str">
        <f ca="1">"CNY_Treasury_Live_Curve_"&amp;YEAR(A2)&amp;"-"&amp;MONTH(A2)&amp;"-"&amp;DAY(A2)</f>
        <v>CNY_Treasury_Live_Curve_2012-8-20</v>
      </c>
      <c r="F4" s="35" t="b">
        <f ca="1">_xll.qlSettingsSetEvaluationDate(E2)</f>
        <v>1</v>
      </c>
      <c r="G4" s="35" t="str">
        <f ca="1">"CNY_Treasury_Live_Curve_"&amp;YEAR(E2)&amp;"-"&amp;MONTH(E2)&amp;"-"&amp;DAY(E2)</f>
        <v>CNY_Treasury_Live_Curve_2012-8-13</v>
      </c>
      <c r="J4" s="35" t="b">
        <f ca="1">_xll.qlSettingsSetEvaluationDate(I2)</f>
        <v>1</v>
      </c>
      <c r="K4" s="35" t="str">
        <f ca="1">"CNY_Treasury_Live_Curve_"&amp;YEAR(I2)&amp;"-"&amp;MONTH(I2)&amp;"-"&amp;DAY(I2)</f>
        <v>CNY_Treasury_Live_Curve_2012-7-20</v>
      </c>
      <c r="N4" s="35" t="b">
        <f ca="1">_xll.qlSettingsSetEvaluationDate(M2)</f>
        <v>1</v>
      </c>
      <c r="O4" s="35" t="str">
        <f ca="1">"CNY_Treasury_Live_Curve_"&amp;YEAR(M2)&amp;"-"&amp;MONTH(M2)&amp;"-"&amp;DAY(M2)</f>
        <v>CNY_Treasury_Live_Curve_2012-5-21</v>
      </c>
      <c r="R4" s="35" t="b">
        <f ca="1">_xll.qlSettingsSetEvaluationDate(Q2)</f>
        <v>1</v>
      </c>
      <c r="S4" s="35" t="str">
        <f ca="1">"CNY_Treasury_Live_Curve_"&amp;YEAR(Q2)&amp;"-"&amp;MONTH(Q2)&amp;"-"&amp;DAY(Q2)</f>
        <v>CNY_Treasury_Live_Curve_2011-8-22</v>
      </c>
    </row>
    <row r="5" spans="1:19">
      <c r="B5" s="35" t="s">
        <v>46</v>
      </c>
      <c r="C5" s="35" t="str">
        <f ca="1">deserializeObject('中大 &amp; 中债'!$C$2,C4&amp;".xml",TRUE)</f>
        <v>CNY_Treasury_Live_Curve_2012-8-20</v>
      </c>
      <c r="F5" s="35" t="s">
        <v>46</v>
      </c>
      <c r="G5" s="35" t="str">
        <f ca="1">deserializeObject('中大 &amp; 中债'!$C$2,G4&amp;".xml",TRUE)</f>
        <v>CNY_Treasury_Live_Curve_2012-8-13</v>
      </c>
      <c r="J5" s="35" t="s">
        <v>46</v>
      </c>
      <c r="K5" s="35" t="str">
        <f ca="1">deserializeObject('中大 &amp; 中债'!$C$2,K4&amp;".xml",TRUE)</f>
        <v>CNY_Treasury_Live_Curve_2012-7-20</v>
      </c>
      <c r="N5" s="35" t="s">
        <v>46</v>
      </c>
      <c r="O5" s="35" t="str">
        <f ca="1">deserializeObject('中大 &amp; 中债'!$C$2,O4&amp;".xml",TRUE)</f>
        <v>CNY_Treasury_Live_Curve_2012-5-21</v>
      </c>
      <c r="R5" s="35" t="s">
        <v>46</v>
      </c>
      <c r="S5" s="35" t="str">
        <f ca="1">deserializeObject('中大 &amp; 中债'!$C$2,S4&amp;".xml",TRUE)</f>
        <v>CNY_Treasury_Live_Curve_2011-8-22</v>
      </c>
    </row>
    <row r="7" spans="1:19">
      <c r="B7" s="35" t="s">
        <v>47</v>
      </c>
      <c r="C7" s="36">
        <f ca="1">A2</f>
        <v>41141</v>
      </c>
      <c r="F7" s="35" t="s">
        <v>47</v>
      </c>
      <c r="G7" s="36">
        <f ca="1">E2</f>
        <v>41134</v>
      </c>
      <c r="J7" s="35" t="s">
        <v>47</v>
      </c>
      <c r="K7" s="36">
        <f ca="1">I2</f>
        <v>41110</v>
      </c>
      <c r="N7" s="35" t="s">
        <v>47</v>
      </c>
      <c r="O7" s="36">
        <f ca="1">M2</f>
        <v>41050</v>
      </c>
      <c r="R7" s="35" t="s">
        <v>47</v>
      </c>
      <c r="S7" s="36">
        <f ca="1">Q2</f>
        <v>40777</v>
      </c>
    </row>
    <row r="8" spans="1:19">
      <c r="A8" s="35">
        <v>0</v>
      </c>
      <c r="B8" s="36">
        <f ca="1">_xll.qlCalendarAdvance("Null",A$2,$A8&amp;"Y","UnAdjusted")</f>
        <v>41141</v>
      </c>
      <c r="C8" s="37">
        <f t="array" aca="1" ref="C8:C38" ca="1">_xll.qlYieldTSZeroRate($C$5,B8:B38,"Bond Basis","Compounded",,TRUE)</f>
        <v>2.1598412615808416E-2</v>
      </c>
      <c r="F8" s="36">
        <f ca="1">_xll.qlCalendarAdvance("Null",E$2,$A8&amp;"Y","UnAdjusted")</f>
        <v>41134</v>
      </c>
      <c r="G8" s="37">
        <f t="array" aca="1" ref="G8:G38" ca="1">_xll.qlYieldTSZeroRate($G$5,F8:F38,"Bond Basis","Compounded",,TRUE)</f>
        <v>2.159841261581108E-2</v>
      </c>
      <c r="J8" s="36">
        <f ca="1">_xll.qlCalendarAdvance("Null",I$2,$A8&amp;"Y","UnAdjusted")</f>
        <v>41110</v>
      </c>
      <c r="K8" s="37">
        <f t="array" aca="1" ref="K8:K38" ca="1">_xll.qlYieldTSZeroRate($K$5,J8:J38,"Bond Basis","Compounded",,TRUE)</f>
        <v>2.1598412614387552E-2</v>
      </c>
      <c r="N8" s="36">
        <f ca="1">_xll.qlCalendarAdvance("Null",M$2,$A8&amp;"Y","UnAdjusted")</f>
        <v>41050</v>
      </c>
      <c r="O8" s="37" t="e">
        <f t="array" aca="1" ref="O8:O38" ca="1">_xll.qlYieldTSZeroRate($O$5,N8:N38,"Bond Basis","Compounded",,TRUE)</f>
        <v>#NUM!</v>
      </c>
      <c r="R8" s="36">
        <f ca="1">_xll.qlCalendarAdvance("Null",Q$2,$A8&amp;"Y","UnAdjusted")</f>
        <v>40777</v>
      </c>
      <c r="S8" s="37" t="e">
        <f t="array" aca="1" ref="S8:S38" ca="1">_xll.qlYieldTSZeroRate($S$5,R8:R38,"Bond Basis","Compounded",,TRUE)</f>
        <v>#NUM!</v>
      </c>
    </row>
    <row r="9" spans="1:19">
      <c r="A9" s="35">
        <v>1</v>
      </c>
      <c r="B9" s="36">
        <f ca="1">_xll.qlCalendarAdvance("Null",A$2,$A9&amp;"Y","UnAdjusted")</f>
        <v>41506</v>
      </c>
      <c r="C9" s="37">
        <f ca="1"/>
        <v>2.7682142735742987E-2</v>
      </c>
      <c r="F9" s="36">
        <f ca="1">_xll.qlCalendarAdvance("Null",E$2,$A9&amp;"Y","UnAdjusted")</f>
        <v>41499</v>
      </c>
      <c r="G9" s="37">
        <f ca="1"/>
        <v>2.7341156745553929E-2</v>
      </c>
      <c r="J9" s="36">
        <f ca="1">_xll.qlCalendarAdvance("Null",I$2,$A9&amp;"Y","UnAdjusted")</f>
        <v>41475</v>
      </c>
      <c r="K9" s="37">
        <f ca="1"/>
        <v>2.2703315380794731E-2</v>
      </c>
      <c r="N9" s="36">
        <f ca="1">_xll.qlCalendarAdvance("Null",M$2,$A9&amp;"Y","UnAdjusted")</f>
        <v>41415</v>
      </c>
      <c r="O9" s="37">
        <f ca="1"/>
        <v>2.2711290307781518E-2</v>
      </c>
      <c r="R9" s="36">
        <f ca="1">_xll.qlCalendarAdvance("Null",Q$2,$A9&amp;"Y","UnAdjusted")</f>
        <v>41143</v>
      </c>
      <c r="S9" s="37">
        <f ca="1"/>
        <v>4.1276251594740243E-2</v>
      </c>
    </row>
    <row r="10" spans="1:19">
      <c r="A10" s="35">
        <v>2</v>
      </c>
      <c r="B10" s="36">
        <f ca="1">_xll.qlCalendarAdvance("Null",A$2,$A10&amp;"Y","UnAdjusted")</f>
        <v>41871</v>
      </c>
      <c r="C10" s="37">
        <f ca="1"/>
        <v>2.7140354630448726E-2</v>
      </c>
      <c r="F10" s="36">
        <f ca="1">_xll.qlCalendarAdvance("Null",E$2,$A10&amp;"Y","UnAdjusted")</f>
        <v>41864</v>
      </c>
      <c r="G10" s="37">
        <f ca="1"/>
        <v>2.4750582993804837E-2</v>
      </c>
      <c r="J10" s="36">
        <f ca="1">_xll.qlCalendarAdvance("Null",I$2,$A10&amp;"Y","UnAdjusted")</f>
        <v>41840</v>
      </c>
      <c r="K10" s="37">
        <f ca="1"/>
        <v>2.2921310922779714E-2</v>
      </c>
      <c r="N10" s="36">
        <f ca="1">_xll.qlCalendarAdvance("Null",M$2,$A10&amp;"Y","UnAdjusted")</f>
        <v>41780</v>
      </c>
      <c r="O10" s="37">
        <f ca="1"/>
        <v>2.4499745368767645E-2</v>
      </c>
      <c r="R10" s="36">
        <f ca="1">_xll.qlCalendarAdvance("Null",Q$2,$A10&amp;"Y","UnAdjusted")</f>
        <v>41508</v>
      </c>
      <c r="S10" s="37">
        <f ca="1"/>
        <v>4.10966584893806E-2</v>
      </c>
    </row>
    <row r="11" spans="1:19">
      <c r="A11" s="35">
        <v>3</v>
      </c>
      <c r="B11" s="36">
        <f ca="1">_xll.qlCalendarAdvance("Null",A$2,$A11&amp;"Y","UnAdjusted")</f>
        <v>42236</v>
      </c>
      <c r="C11" s="37">
        <f ca="1"/>
        <v>2.7807997696922993E-2</v>
      </c>
      <c r="F11" s="36">
        <f ca="1">_xll.qlCalendarAdvance("Null",E$2,$A11&amp;"Y","UnAdjusted")</f>
        <v>42229</v>
      </c>
      <c r="G11" s="37">
        <f ca="1"/>
        <v>2.6639356893737531E-2</v>
      </c>
      <c r="J11" s="36">
        <f ca="1">_xll.qlCalendarAdvance("Null",I$2,$A11&amp;"Y","UnAdjusted")</f>
        <v>42205</v>
      </c>
      <c r="K11" s="37">
        <f ca="1"/>
        <v>2.4071841269600158E-2</v>
      </c>
      <c r="N11" s="36">
        <f ca="1">_xll.qlCalendarAdvance("Null",M$2,$A11&amp;"Y","UnAdjusted")</f>
        <v>42145</v>
      </c>
      <c r="O11" s="37">
        <f ca="1"/>
        <v>2.6159447920657053E-2</v>
      </c>
      <c r="R11" s="36">
        <f ca="1">_xll.qlCalendarAdvance("Null",Q$2,$A11&amp;"Y","UnAdjusted")</f>
        <v>41873</v>
      </c>
      <c r="S11" s="37">
        <f ca="1"/>
        <v>4.1455867662962387E-2</v>
      </c>
    </row>
    <row r="12" spans="1:19">
      <c r="A12" s="35">
        <v>4</v>
      </c>
      <c r="B12" s="36">
        <f ca="1">_xll.qlCalendarAdvance("Null",A$2,$A12&amp;"Y","UnAdjusted")</f>
        <v>42602</v>
      </c>
      <c r="C12" s="37">
        <f ca="1"/>
        <v>2.8649787386786585E-2</v>
      </c>
      <c r="F12" s="36">
        <f ca="1">_xll.qlCalendarAdvance("Null",E$2,$A12&amp;"Y","UnAdjusted")</f>
        <v>42595</v>
      </c>
      <c r="G12" s="37">
        <f ca="1"/>
        <v>2.7933255692868864E-2</v>
      </c>
      <c r="J12" s="36">
        <f ca="1">_xll.qlCalendarAdvance("Null",I$2,$A12&amp;"Y","UnAdjusted")</f>
        <v>42571</v>
      </c>
      <c r="K12" s="37">
        <f ca="1"/>
        <v>2.653794564327705E-2</v>
      </c>
      <c r="N12" s="36">
        <f ca="1">_xll.qlCalendarAdvance("Null",M$2,$A12&amp;"Y","UnAdjusted")</f>
        <v>42511</v>
      </c>
      <c r="O12" s="37">
        <f ca="1"/>
        <v>2.6507450635383734E-2</v>
      </c>
      <c r="R12" s="36">
        <f ca="1">_xll.qlCalendarAdvance("Null",Q$2,$A12&amp;"Y","UnAdjusted")</f>
        <v>42238</v>
      </c>
      <c r="S12" s="37">
        <f ca="1"/>
        <v>3.7007681362640765E-2</v>
      </c>
    </row>
    <row r="13" spans="1:19">
      <c r="A13" s="35">
        <v>5</v>
      </c>
      <c r="B13" s="36">
        <f ca="1">_xll.qlCalendarAdvance("Null",A$2,$A13&amp;"Y","UnAdjusted")</f>
        <v>42967</v>
      </c>
      <c r="C13" s="37">
        <f ca="1"/>
        <v>3.1047073752766607E-2</v>
      </c>
      <c r="F13" s="36">
        <f ca="1">_xll.qlCalendarAdvance("Null",E$2,$A13&amp;"Y","UnAdjusted")</f>
        <v>42960</v>
      </c>
      <c r="G13" s="37">
        <f ca="1"/>
        <v>2.966969376304629E-2</v>
      </c>
      <c r="J13" s="36">
        <f ca="1">_xll.qlCalendarAdvance("Null",I$2,$A13&amp;"Y","UnAdjusted")</f>
        <v>42936</v>
      </c>
      <c r="K13" s="37">
        <f ca="1"/>
        <v>2.841524562759612E-2</v>
      </c>
      <c r="N13" s="36">
        <f ca="1">_xll.qlCalendarAdvance("Null",M$2,$A13&amp;"Y","UnAdjusted")</f>
        <v>42876</v>
      </c>
      <c r="O13" s="37">
        <f ca="1"/>
        <v>2.8489432400669035E-2</v>
      </c>
      <c r="R13" s="36">
        <f ca="1">_xll.qlCalendarAdvance("Null",Q$2,$A13&amp;"Y","UnAdjusted")</f>
        <v>42604</v>
      </c>
      <c r="S13" s="37">
        <f ca="1"/>
        <v>3.964120920737102E-2</v>
      </c>
    </row>
    <row r="14" spans="1:19">
      <c r="A14" s="35">
        <v>6</v>
      </c>
      <c r="B14" s="36">
        <f ca="1">_xll.qlCalendarAdvance("Null",A$2,$A14&amp;"Y","UnAdjusted")</f>
        <v>43332</v>
      </c>
      <c r="C14" s="37">
        <f ca="1"/>
        <v>3.2145669486191464E-2</v>
      </c>
      <c r="F14" s="36">
        <f ca="1">_xll.qlCalendarAdvance("Null",E$2,$A14&amp;"Y","UnAdjusted")</f>
        <v>43325</v>
      </c>
      <c r="G14" s="37">
        <f ca="1"/>
        <v>3.1378706151277802E-2</v>
      </c>
      <c r="J14" s="36">
        <f ca="1">_xll.qlCalendarAdvance("Null",I$2,$A14&amp;"Y","UnAdjusted")</f>
        <v>43301</v>
      </c>
      <c r="K14" s="37">
        <f ca="1"/>
        <v>3.0649931891704174E-2</v>
      </c>
      <c r="N14" s="36">
        <f ca="1">_xll.qlCalendarAdvance("Null",M$2,$A14&amp;"Y","UnAdjusted")</f>
        <v>43241</v>
      </c>
      <c r="O14" s="37">
        <f ca="1"/>
        <v>3.2120404668379843E-2</v>
      </c>
      <c r="R14" s="36">
        <f ca="1">_xll.qlCalendarAdvance("Null",Q$2,$A14&amp;"Y","UnAdjusted")</f>
        <v>42969</v>
      </c>
      <c r="S14" s="37">
        <f ca="1"/>
        <v>3.7702102158865047E-2</v>
      </c>
    </row>
    <row r="15" spans="1:19">
      <c r="A15" s="35">
        <v>7</v>
      </c>
      <c r="B15" s="36">
        <f ca="1">_xll.qlCalendarAdvance("Null",A$2,$A15&amp;"Y","UnAdjusted")</f>
        <v>43697</v>
      </c>
      <c r="C15" s="37">
        <f ca="1"/>
        <v>3.2188948107303883E-2</v>
      </c>
      <c r="F15" s="36">
        <f ca="1">_xll.qlCalendarAdvance("Null",E$2,$A15&amp;"Y","UnAdjusted")</f>
        <v>43690</v>
      </c>
      <c r="G15" s="37">
        <f ca="1"/>
        <v>3.1826931313687856E-2</v>
      </c>
      <c r="J15" s="36">
        <f ca="1">_xll.qlCalendarAdvance("Null",I$2,$A15&amp;"Y","UnAdjusted")</f>
        <v>43666</v>
      </c>
      <c r="K15" s="37">
        <f ca="1"/>
        <v>3.1768746564968087E-2</v>
      </c>
      <c r="N15" s="36">
        <f ca="1">_xll.qlCalendarAdvance("Null",M$2,$A15&amp;"Y","UnAdjusted")</f>
        <v>43606</v>
      </c>
      <c r="O15" s="37">
        <f ca="1"/>
        <v>3.3101969098502604E-2</v>
      </c>
      <c r="R15" s="36">
        <f ca="1">_xll.qlCalendarAdvance("Null",Q$2,$A15&amp;"Y","UnAdjusted")</f>
        <v>43334</v>
      </c>
      <c r="S15" s="37">
        <f ca="1"/>
        <v>4.0321045952536716E-2</v>
      </c>
    </row>
    <row r="16" spans="1:19">
      <c r="A16" s="35">
        <v>8</v>
      </c>
      <c r="B16" s="36">
        <f ca="1">_xll.qlCalendarAdvance("Null",A$2,$A16&amp;"Y","UnAdjusted")</f>
        <v>44063</v>
      </c>
      <c r="C16" s="37">
        <f ca="1"/>
        <v>3.3682359909762871E-2</v>
      </c>
      <c r="F16" s="36">
        <f ca="1">_xll.qlCalendarAdvance("Null",E$2,$A16&amp;"Y","UnAdjusted")</f>
        <v>44056</v>
      </c>
      <c r="G16" s="37">
        <f ca="1"/>
        <v>3.3190460331254501E-2</v>
      </c>
      <c r="J16" s="36">
        <f ca="1">_xll.qlCalendarAdvance("Null",I$2,$A16&amp;"Y","UnAdjusted")</f>
        <v>44032</v>
      </c>
      <c r="K16" s="37">
        <f ca="1"/>
        <v>3.3809967151066767E-2</v>
      </c>
      <c r="N16" s="36">
        <f ca="1">_xll.qlCalendarAdvance("Null",M$2,$A16&amp;"Y","UnAdjusted")</f>
        <v>43972</v>
      </c>
      <c r="O16" s="37">
        <f ca="1"/>
        <v>3.394073416196286E-2</v>
      </c>
      <c r="R16" s="36">
        <f ca="1">_xll.qlCalendarAdvance("Null",Q$2,$A16&amp;"Y","UnAdjusted")</f>
        <v>43699</v>
      </c>
      <c r="S16" s="37">
        <f ca="1"/>
        <v>4.0450176402084592E-2</v>
      </c>
    </row>
    <row r="17" spans="1:19">
      <c r="A17" s="35">
        <v>9</v>
      </c>
      <c r="B17" s="36">
        <f ca="1">_xll.qlCalendarAdvance("Null",A$2,$A17&amp;"Y","UnAdjusted")</f>
        <v>44428</v>
      </c>
      <c r="C17" s="37">
        <f ca="1"/>
        <v>3.4165587057763513E-2</v>
      </c>
      <c r="F17" s="36">
        <f ca="1">_xll.qlCalendarAdvance("Null",E$2,$A17&amp;"Y","UnAdjusted")</f>
        <v>44421</v>
      </c>
      <c r="G17" s="37">
        <f ca="1"/>
        <v>3.4254367930654617E-2</v>
      </c>
      <c r="J17" s="36">
        <f ca="1">_xll.qlCalendarAdvance("Null",I$2,$A17&amp;"Y","UnAdjusted")</f>
        <v>44397</v>
      </c>
      <c r="K17" s="37">
        <f ca="1"/>
        <v>3.3837251235810939E-2</v>
      </c>
      <c r="N17" s="36">
        <f ca="1">_xll.qlCalendarAdvance("Null",M$2,$A17&amp;"Y","UnAdjusted")</f>
        <v>44337</v>
      </c>
      <c r="O17" s="37">
        <f ca="1"/>
        <v>3.4590117050569358E-2</v>
      </c>
      <c r="R17" s="36">
        <f ca="1">_xll.qlCalendarAdvance("Null",Q$2,$A17&amp;"Y","UnAdjusted")</f>
        <v>44065</v>
      </c>
      <c r="S17" s="37">
        <f ca="1"/>
        <v>4.0548668004282362E-2</v>
      </c>
    </row>
    <row r="18" spans="1:19">
      <c r="A18" s="35">
        <v>10</v>
      </c>
      <c r="B18" s="36">
        <f ca="1">_xll.qlCalendarAdvance("Null",A$2,$A18&amp;"Y","UnAdjusted")</f>
        <v>44793</v>
      </c>
      <c r="C18" s="37">
        <f ca="1"/>
        <v>3.4307430876302503E-2</v>
      </c>
      <c r="F18" s="36">
        <f ca="1">_xll.qlCalendarAdvance("Null",E$2,$A18&amp;"Y","UnAdjusted")</f>
        <v>44786</v>
      </c>
      <c r="G18" s="37">
        <f ca="1"/>
        <v>3.4027856927906219E-2</v>
      </c>
      <c r="J18" s="36">
        <f ca="1">_xll.qlCalendarAdvance("Null",I$2,$A18&amp;"Y","UnAdjusted")</f>
        <v>44762</v>
      </c>
      <c r="K18" s="37">
        <f ca="1"/>
        <v>3.3992188329186712E-2</v>
      </c>
      <c r="N18" s="36">
        <f ca="1">_xll.qlCalendarAdvance("Null",M$2,$A18&amp;"Y","UnAdjusted")</f>
        <v>44702</v>
      </c>
      <c r="O18" s="37">
        <f ca="1"/>
        <v>3.464171437196395E-2</v>
      </c>
      <c r="R18" s="36">
        <f ca="1">_xll.qlCalendarAdvance("Null",Q$2,$A18&amp;"Y","UnAdjusted")</f>
        <v>44430</v>
      </c>
      <c r="S18" s="37">
        <f ca="1"/>
        <v>4.0177731698205488E-2</v>
      </c>
    </row>
    <row r="19" spans="1:19">
      <c r="A19" s="35">
        <v>11</v>
      </c>
      <c r="B19" s="36">
        <f ca="1">_xll.qlCalendarAdvance("Null",A$2,$A19&amp;"Y","UnAdjusted")</f>
        <v>45158</v>
      </c>
      <c r="C19" s="37">
        <f ca="1"/>
        <v>3.5480254305945813E-2</v>
      </c>
      <c r="F19" s="36">
        <f ca="1">_xll.qlCalendarAdvance("Null",E$2,$A19&amp;"Y","UnAdjusted")</f>
        <v>45151</v>
      </c>
      <c r="G19" s="37">
        <f ca="1"/>
        <v>3.5313264582284232E-2</v>
      </c>
      <c r="J19" s="36">
        <f ca="1">_xll.qlCalendarAdvance("Null",I$2,$A19&amp;"Y","UnAdjusted")</f>
        <v>45127</v>
      </c>
      <c r="K19" s="37">
        <f ca="1"/>
        <v>3.5419238668408459E-2</v>
      </c>
      <c r="N19" s="36">
        <f ca="1">_xll.qlCalendarAdvance("Null",M$2,$A19&amp;"Y","UnAdjusted")</f>
        <v>45067</v>
      </c>
      <c r="O19" s="37">
        <f ca="1"/>
        <v>3.5805582594272023E-2</v>
      </c>
      <c r="R19" s="36">
        <f ca="1">_xll.qlCalendarAdvance("Null",Q$2,$A19&amp;"Y","UnAdjusted")</f>
        <v>44795</v>
      </c>
      <c r="S19" s="37">
        <f ca="1"/>
        <v>4.019150749665501E-2</v>
      </c>
    </row>
    <row r="20" spans="1:19">
      <c r="A20" s="35">
        <v>12</v>
      </c>
      <c r="B20" s="36">
        <f ca="1">_xll.qlCalendarAdvance("Null",A$2,$A20&amp;"Y","UnAdjusted")</f>
        <v>45524</v>
      </c>
      <c r="C20" s="37">
        <f ca="1"/>
        <v>3.6459973100215537E-2</v>
      </c>
      <c r="F20" s="36">
        <f ca="1">_xll.qlCalendarAdvance("Null",E$2,$A20&amp;"Y","UnAdjusted")</f>
        <v>45517</v>
      </c>
      <c r="G20" s="37">
        <f ca="1"/>
        <v>3.6386794603075812E-2</v>
      </c>
      <c r="J20" s="36">
        <f ca="1">_xll.qlCalendarAdvance("Null",I$2,$A20&amp;"Y","UnAdjusted")</f>
        <v>45493</v>
      </c>
      <c r="K20" s="37">
        <f ca="1"/>
        <v>3.6609951666793927E-2</v>
      </c>
      <c r="N20" s="36">
        <f ca="1">_xll.qlCalendarAdvance("Null",M$2,$A20&amp;"Y","UnAdjusted")</f>
        <v>45433</v>
      </c>
      <c r="O20" s="37">
        <f ca="1"/>
        <v>3.5470907597333845E-2</v>
      </c>
      <c r="R20" s="36">
        <f ca="1">_xll.qlCalendarAdvance("Null",Q$2,$A20&amp;"Y","UnAdjusted")</f>
        <v>45160</v>
      </c>
      <c r="S20" s="37">
        <f ca="1"/>
        <v>4.0860472253315905E-2</v>
      </c>
    </row>
    <row r="21" spans="1:19">
      <c r="A21" s="35">
        <v>13</v>
      </c>
      <c r="B21" s="36">
        <f ca="1">_xll.qlCalendarAdvance("Null",A$2,$A21&amp;"Y","UnAdjusted")</f>
        <v>45889</v>
      </c>
      <c r="C21" s="37">
        <f ca="1"/>
        <v>3.7290651168604638E-2</v>
      </c>
      <c r="F21" s="36">
        <f ca="1">_xll.qlCalendarAdvance("Null",E$2,$A21&amp;"Y","UnAdjusted")</f>
        <v>45882</v>
      </c>
      <c r="G21" s="37">
        <f ca="1"/>
        <v>3.7296844395988904E-2</v>
      </c>
      <c r="J21" s="36">
        <f ca="1">_xll.qlCalendarAdvance("Null",I$2,$A21&amp;"Y","UnAdjusted")</f>
        <v>45858</v>
      </c>
      <c r="K21" s="37">
        <f ca="1"/>
        <v>3.761854749781901E-2</v>
      </c>
      <c r="N21" s="36">
        <f ca="1">_xll.qlCalendarAdvance("Null",M$2,$A21&amp;"Y","UnAdjusted")</f>
        <v>45798</v>
      </c>
      <c r="O21" s="37">
        <f ca="1"/>
        <v>3.6880596837234991E-2</v>
      </c>
      <c r="R21" s="36">
        <f ca="1">_xll.qlCalendarAdvance("Null",Q$2,$A21&amp;"Y","UnAdjusted")</f>
        <v>45526</v>
      </c>
      <c r="S21" s="37">
        <f ca="1"/>
        <v>4.1702161532489512E-2</v>
      </c>
    </row>
    <row r="22" spans="1:19">
      <c r="A22" s="35">
        <v>14</v>
      </c>
      <c r="B22" s="36">
        <f ca="1">_xll.qlCalendarAdvance("Null",A$2,$A22&amp;"Y","UnAdjusted")</f>
        <v>46254</v>
      </c>
      <c r="C22" s="37">
        <f ca="1"/>
        <v>3.8003893749461115E-2</v>
      </c>
      <c r="F22" s="36">
        <f ca="1">_xll.qlCalendarAdvance("Null",E$2,$A22&amp;"Y","UnAdjusted")</f>
        <v>46247</v>
      </c>
      <c r="G22" s="37">
        <f ca="1"/>
        <v>3.8078114373453209E-2</v>
      </c>
      <c r="J22" s="36">
        <f ca="1">_xll.qlCalendarAdvance("Null",I$2,$A22&amp;"Y","UnAdjusted")</f>
        <v>46223</v>
      </c>
      <c r="K22" s="37">
        <f ca="1"/>
        <v>3.8483839239511264E-2</v>
      </c>
      <c r="N22" s="36">
        <f ca="1">_xll.qlCalendarAdvance("Null",M$2,$A22&amp;"Y","UnAdjusted")</f>
        <v>46163</v>
      </c>
      <c r="O22" s="37">
        <f ca="1"/>
        <v>3.8250794534060661E-2</v>
      </c>
      <c r="R22" s="36">
        <f ca="1">_xll.qlCalendarAdvance("Null",Q$2,$A22&amp;"Y","UnAdjusted")</f>
        <v>45891</v>
      </c>
      <c r="S22" s="37">
        <f ca="1"/>
        <v>4.2295674888722212E-2</v>
      </c>
    </row>
    <row r="23" spans="1:19">
      <c r="A23" s="35">
        <v>15</v>
      </c>
      <c r="B23" s="36">
        <f ca="1">_xll.qlCalendarAdvance("Null",A$2,$A23&amp;"Y","UnAdjusted")</f>
        <v>46619</v>
      </c>
      <c r="C23" s="37">
        <f ca="1"/>
        <v>3.8620005173964689E-2</v>
      </c>
      <c r="F23" s="36">
        <f ca="1">_xll.qlCalendarAdvance("Null",E$2,$A23&amp;"Y","UnAdjusted")</f>
        <v>46612</v>
      </c>
      <c r="G23" s="37">
        <f ca="1"/>
        <v>3.8756133241326429E-2</v>
      </c>
      <c r="J23" s="36">
        <f ca="1">_xll.qlCalendarAdvance("Null",I$2,$A23&amp;"Y","UnAdjusted")</f>
        <v>46588</v>
      </c>
      <c r="K23" s="37">
        <f ca="1"/>
        <v>3.9234342409297573E-2</v>
      </c>
      <c r="N23" s="36">
        <f ca="1">_xll.qlCalendarAdvance("Null",M$2,$A23&amp;"Y","UnAdjusted")</f>
        <v>46528</v>
      </c>
      <c r="O23" s="37">
        <f ca="1"/>
        <v>3.9437741960094641E-2</v>
      </c>
      <c r="R23" s="36">
        <f ca="1">_xll.qlCalendarAdvance("Null",Q$2,$A23&amp;"Y","UnAdjusted")</f>
        <v>46256</v>
      </c>
      <c r="S23" s="37">
        <f ca="1"/>
        <v>4.2805205111597022E-2</v>
      </c>
    </row>
    <row r="24" spans="1:19">
      <c r="A24" s="35">
        <v>16</v>
      </c>
      <c r="B24" s="36">
        <f ca="1">_xll.qlCalendarAdvance("Null",A$2,$A24&amp;"Y","UnAdjusted")</f>
        <v>46985</v>
      </c>
      <c r="C24" s="37">
        <f ca="1"/>
        <v>3.8913082455251713E-2</v>
      </c>
      <c r="F24" s="36">
        <f ca="1">_xll.qlCalendarAdvance("Null",E$2,$A24&amp;"Y","UnAdjusted")</f>
        <v>46978</v>
      </c>
      <c r="G24" s="37">
        <f ca="1"/>
        <v>3.9036549734195125E-2</v>
      </c>
      <c r="J24" s="36">
        <f ca="1">_xll.qlCalendarAdvance("Null",I$2,$A24&amp;"Y","UnAdjusted")</f>
        <v>46954</v>
      </c>
      <c r="K24" s="37">
        <f ca="1"/>
        <v>3.9293149752848588E-2</v>
      </c>
      <c r="N24" s="36">
        <f ca="1">_xll.qlCalendarAdvance("Null",M$2,$A24&amp;"Y","UnAdjusted")</f>
        <v>46894</v>
      </c>
      <c r="O24" s="37">
        <f ca="1"/>
        <v>4.0292231821865698E-2</v>
      </c>
      <c r="R24" s="36">
        <f ca="1">_xll.qlCalendarAdvance("Null",Q$2,$A24&amp;"Y","UnAdjusted")</f>
        <v>46621</v>
      </c>
      <c r="S24" s="37">
        <f ca="1"/>
        <v>4.3247399937367925E-2</v>
      </c>
    </row>
    <row r="25" spans="1:19">
      <c r="A25" s="35">
        <v>17</v>
      </c>
      <c r="B25" s="36">
        <f ca="1">_xll.qlCalendarAdvance("Null",A$2,$A25&amp;"Y","UnAdjusted")</f>
        <v>47350</v>
      </c>
      <c r="C25" s="37">
        <f ca="1"/>
        <v>3.9171916993348432E-2</v>
      </c>
      <c r="F25" s="36">
        <f ca="1">_xll.qlCalendarAdvance("Null",E$2,$A25&amp;"Y","UnAdjusted")</f>
        <v>47343</v>
      </c>
      <c r="G25" s="37">
        <f ca="1"/>
        <v>3.9281681799310686E-2</v>
      </c>
      <c r="J25" s="36">
        <f ca="1">_xll.qlCalendarAdvance("Null",I$2,$A25&amp;"Y","UnAdjusted")</f>
        <v>47319</v>
      </c>
      <c r="K25" s="37">
        <f ca="1"/>
        <v>3.9301216069160816E-2</v>
      </c>
      <c r="N25" s="36">
        <f ca="1">_xll.qlCalendarAdvance("Null",M$2,$A25&amp;"Y","UnAdjusted")</f>
        <v>47259</v>
      </c>
      <c r="O25" s="37">
        <f ca="1"/>
        <v>4.0992367401495811E-2</v>
      </c>
      <c r="R25" s="36">
        <f ca="1">_xll.qlCalendarAdvance("Null",Q$2,$A25&amp;"Y","UnAdjusted")</f>
        <v>46987</v>
      </c>
      <c r="S25" s="37">
        <f ca="1"/>
        <v>4.3634779785167277E-2</v>
      </c>
    </row>
    <row r="26" spans="1:19">
      <c r="A26" s="35">
        <v>18</v>
      </c>
      <c r="B26" s="36">
        <f ca="1">_xll.qlCalendarAdvance("Null",A$2,$A26&amp;"Y","UnAdjusted")</f>
        <v>47715</v>
      </c>
      <c r="C26" s="37">
        <f ca="1"/>
        <v>3.9944640092433259E-2</v>
      </c>
      <c r="F26" s="36">
        <f ca="1">_xll.qlCalendarAdvance("Null",E$2,$A26&amp;"Y","UnAdjusted")</f>
        <v>47708</v>
      </c>
      <c r="G26" s="37">
        <f ca="1"/>
        <v>4.0045018035820945E-2</v>
      </c>
      <c r="J26" s="36">
        <f ca="1">_xll.qlCalendarAdvance("Null",I$2,$A26&amp;"Y","UnAdjusted")</f>
        <v>47684</v>
      </c>
      <c r="K26" s="37">
        <f ca="1"/>
        <v>4.0006089242512255E-2</v>
      </c>
      <c r="N26" s="36">
        <f ca="1">_xll.qlCalendarAdvance("Null",M$2,$A26&amp;"Y","UnAdjusted")</f>
        <v>47624</v>
      </c>
      <c r="O26" s="37">
        <f ca="1"/>
        <v>4.1676952754037044E-2</v>
      </c>
      <c r="R26" s="36">
        <f ca="1">_xll.qlCalendarAdvance("Null",Q$2,$A26&amp;"Y","UnAdjusted")</f>
        <v>47352</v>
      </c>
      <c r="S26" s="37">
        <f ca="1"/>
        <v>4.3976942163481914E-2</v>
      </c>
    </row>
    <row r="27" spans="1:19">
      <c r="A27" s="35">
        <v>19</v>
      </c>
      <c r="B27" s="36">
        <f ca="1">_xll.qlCalendarAdvance("Null",A$2,$A27&amp;"Y","UnAdjusted")</f>
        <v>48080</v>
      </c>
      <c r="C27" s="37">
        <f ca="1"/>
        <v>4.0647069349606157E-2</v>
      </c>
      <c r="F27" s="36">
        <f ca="1">_xll.qlCalendarAdvance("Null",E$2,$A27&amp;"Y","UnAdjusted")</f>
        <v>48073</v>
      </c>
      <c r="G27" s="37">
        <f ca="1"/>
        <v>4.073545921541144E-2</v>
      </c>
      <c r="J27" s="36">
        <f ca="1">_xll.qlCalendarAdvance("Null",I$2,$A27&amp;"Y","UnAdjusted")</f>
        <v>48049</v>
      </c>
      <c r="K27" s="37">
        <f ca="1"/>
        <v>4.0680567970095005E-2</v>
      </c>
      <c r="N27" s="36">
        <f ca="1">_xll.qlCalendarAdvance("Null",M$2,$A27&amp;"Y","UnAdjusted")</f>
        <v>47989</v>
      </c>
      <c r="O27" s="37">
        <f ca="1"/>
        <v>4.2284269463782609E-2</v>
      </c>
      <c r="R27" s="36">
        <f ca="1">_xll.qlCalendarAdvance("Null",Q$2,$A27&amp;"Y","UnAdjusted")</f>
        <v>47717</v>
      </c>
      <c r="S27" s="37">
        <f ca="1"/>
        <v>4.4281367580472963E-2</v>
      </c>
    </row>
    <row r="28" spans="1:19">
      <c r="A28" s="35">
        <v>20</v>
      </c>
      <c r="B28" s="36">
        <f ca="1">_xll.qlCalendarAdvance("Null",A$2,$A28&amp;"Y","UnAdjusted")</f>
        <v>48446</v>
      </c>
      <c r="C28" s="37">
        <f ca="1"/>
        <v>4.1279953071006847E-2</v>
      </c>
      <c r="F28" s="36">
        <f ca="1">_xll.qlCalendarAdvance("Null",E$2,$A28&amp;"Y","UnAdjusted")</f>
        <v>48439</v>
      </c>
      <c r="G28" s="37">
        <f ca="1"/>
        <v>4.1324648440205225E-2</v>
      </c>
      <c r="J28" s="36">
        <f ca="1">_xll.qlCalendarAdvance("Null",I$2,$A28&amp;"Y","UnAdjusted")</f>
        <v>48415</v>
      </c>
      <c r="K28" s="37">
        <f ca="1"/>
        <v>4.1183590259718184E-2</v>
      </c>
      <c r="N28" s="36">
        <f ca="1">_xll.qlCalendarAdvance("Null",M$2,$A28&amp;"Y","UnAdjusted")</f>
        <v>48355</v>
      </c>
      <c r="O28" s="37">
        <f ca="1"/>
        <v>4.246158961850055E-2</v>
      </c>
      <c r="R28" s="36">
        <f ca="1">_xll.qlCalendarAdvance("Null",Q$2,$A28&amp;"Y","UnAdjusted")</f>
        <v>48082</v>
      </c>
      <c r="S28" s="37">
        <f ca="1"/>
        <v>4.4553972741960601E-2</v>
      </c>
    </row>
    <row r="29" spans="1:19">
      <c r="A29" s="35">
        <v>21</v>
      </c>
      <c r="B29" s="36">
        <f ca="1">_xll.qlCalendarAdvance("Null",A$2,$A29&amp;"Y","UnAdjusted")</f>
        <v>48811</v>
      </c>
      <c r="C29" s="37">
        <f ca="1"/>
        <v>4.1853132246310043E-2</v>
      </c>
      <c r="F29" s="36">
        <f ca="1">_xll.qlCalendarAdvance("Null",E$2,$A29&amp;"Y","UnAdjusted")</f>
        <v>48804</v>
      </c>
      <c r="G29" s="37">
        <f ca="1"/>
        <v>4.1858182151045975E-2</v>
      </c>
      <c r="J29" s="36">
        <f ca="1">_xll.qlCalendarAdvance("Null",I$2,$A29&amp;"Y","UnAdjusted")</f>
        <v>48780</v>
      </c>
      <c r="K29" s="37">
        <f ca="1"/>
        <v>4.1638915170081114E-2</v>
      </c>
      <c r="N29" s="36">
        <f ca="1">_xll.qlCalendarAdvance("Null",M$2,$A29&amp;"Y","UnAdjusted")</f>
        <v>48720</v>
      </c>
      <c r="O29" s="37">
        <f ca="1"/>
        <v>4.2621915269997368E-2</v>
      </c>
      <c r="R29" s="36">
        <f ca="1">_xll.qlCalendarAdvance("Null",Q$2,$A29&amp;"Y","UnAdjusted")</f>
        <v>48448</v>
      </c>
      <c r="S29" s="37">
        <f ca="1"/>
        <v>4.4799498896471279E-2</v>
      </c>
    </row>
    <row r="30" spans="1:19">
      <c r="A30" s="35">
        <v>22</v>
      </c>
      <c r="B30" s="36">
        <f ca="1">_xll.qlCalendarAdvance("Null",A$2,$A30&amp;"Y","UnAdjusted")</f>
        <v>49176</v>
      </c>
      <c r="C30" s="37">
        <f ca="1"/>
        <v>4.2374674792552636E-2</v>
      </c>
      <c r="F30" s="36">
        <f ca="1">_xll.qlCalendarAdvance("Null",E$2,$A30&amp;"Y","UnAdjusted")</f>
        <v>49169</v>
      </c>
      <c r="G30" s="37">
        <f ca="1"/>
        <v>4.2343590556646049E-2</v>
      </c>
      <c r="J30" s="36">
        <f ca="1">_xll.qlCalendarAdvance("Null",I$2,$A30&amp;"Y","UnAdjusted")</f>
        <v>49145</v>
      </c>
      <c r="K30" s="37">
        <f ca="1"/>
        <v>4.2053019694815674E-2</v>
      </c>
      <c r="N30" s="36">
        <f ca="1">_xll.qlCalendarAdvance("Null",M$2,$A30&amp;"Y","UnAdjusted")</f>
        <v>49085</v>
      </c>
      <c r="O30" s="37">
        <f ca="1"/>
        <v>4.2767577843575433E-2</v>
      </c>
      <c r="R30" s="36">
        <f ca="1">_xll.qlCalendarAdvance("Null",Q$2,$A30&amp;"Y","UnAdjusted")</f>
        <v>48813</v>
      </c>
      <c r="S30" s="37">
        <f ca="1"/>
        <v>4.5021789929216016E-2</v>
      </c>
    </row>
    <row r="31" spans="1:19">
      <c r="A31" s="35">
        <v>23</v>
      </c>
      <c r="B31" s="36">
        <f ca="1">_xll.qlCalendarAdvance("Null",A$2,$A31&amp;"Y","UnAdjusted")</f>
        <v>49541</v>
      </c>
      <c r="C31" s="37">
        <f ca="1"/>
        <v>4.2851257662312792E-2</v>
      </c>
      <c r="F31" s="36">
        <f ca="1">_xll.qlCalendarAdvance("Null",E$2,$A31&amp;"Y","UnAdjusted")</f>
        <v>49534</v>
      </c>
      <c r="G31" s="37">
        <f ca="1"/>
        <v>4.2787104045065805E-2</v>
      </c>
      <c r="J31" s="36">
        <f ca="1">_xll.qlCalendarAdvance("Null",I$2,$A31&amp;"Y","UnAdjusted")</f>
        <v>49510</v>
      </c>
      <c r="K31" s="37">
        <f ca="1"/>
        <v>4.2431258905667679E-2</v>
      </c>
      <c r="N31" s="36">
        <f ca="1">_xll.qlCalendarAdvance("Null",M$2,$A31&amp;"Y","UnAdjusted")</f>
        <v>49450</v>
      </c>
      <c r="O31" s="37">
        <f ca="1"/>
        <v>4.2900500958324983E-2</v>
      </c>
      <c r="R31" s="36">
        <f ca="1">_xll.qlCalendarAdvance("Null",Q$2,$A31&amp;"Y","UnAdjusted")</f>
        <v>49178</v>
      </c>
      <c r="S31" s="37">
        <f ca="1"/>
        <v>4.5223995072114498E-2</v>
      </c>
    </row>
    <row r="32" spans="1:19">
      <c r="A32" s="35">
        <v>24</v>
      </c>
      <c r="B32" s="36">
        <f ca="1">_xll.qlCalendarAdvance("Null",A$2,$A32&amp;"Y","UnAdjusted")</f>
        <v>49907</v>
      </c>
      <c r="C32" s="37">
        <f ca="1"/>
        <v>4.3288454219730044E-2</v>
      </c>
      <c r="F32" s="36">
        <f ca="1">_xll.qlCalendarAdvance("Null",E$2,$A32&amp;"Y","UnAdjusted")</f>
        <v>49900</v>
      </c>
      <c r="G32" s="37">
        <f ca="1"/>
        <v>4.3193922039034716E-2</v>
      </c>
      <c r="J32" s="36">
        <f ca="1">_xll.qlCalendarAdvance("Null",I$2,$A32&amp;"Y","UnAdjusted")</f>
        <v>49876</v>
      </c>
      <c r="K32" s="37">
        <f ca="1"/>
        <v>4.2778098787732644E-2</v>
      </c>
      <c r="N32" s="36">
        <f ca="1">_xll.qlCalendarAdvance("Null",M$2,$A32&amp;"Y","UnAdjusted")</f>
        <v>49816</v>
      </c>
      <c r="O32" s="37">
        <f ca="1"/>
        <v>4.3022285856662457E-2</v>
      </c>
      <c r="R32" s="36">
        <f ca="1">_xll.qlCalendarAdvance("Null",Q$2,$A32&amp;"Y","UnAdjusted")</f>
        <v>49543</v>
      </c>
      <c r="S32" s="37">
        <f ca="1"/>
        <v>4.5408719039684131E-2</v>
      </c>
    </row>
    <row r="33" spans="1:19">
      <c r="A33" s="35">
        <v>25</v>
      </c>
      <c r="B33" s="36">
        <f ca="1">_xll.qlCalendarAdvance("Null",A$2,$A33&amp;"Y","UnAdjusted")</f>
        <v>50272</v>
      </c>
      <c r="C33" s="37">
        <f ca="1"/>
        <v>4.3690953197218496E-2</v>
      </c>
      <c r="F33" s="36">
        <f ca="1">_xll.qlCalendarAdvance("Null",E$2,$A33&amp;"Y","UnAdjusted")</f>
        <v>50265</v>
      </c>
      <c r="G33" s="37">
        <f ca="1"/>
        <v>4.3568417770452728E-2</v>
      </c>
      <c r="J33" s="36">
        <f ca="1">_xll.qlCalendarAdvance("Null",I$2,$A33&amp;"Y","UnAdjusted")</f>
        <v>50241</v>
      </c>
      <c r="K33" s="37">
        <f ca="1"/>
        <v>4.3097293400740533E-2</v>
      </c>
      <c r="N33" s="36">
        <f ca="1">_xll.qlCalendarAdvance("Null",M$2,$A33&amp;"Y","UnAdjusted")</f>
        <v>50181</v>
      </c>
      <c r="O33" s="37">
        <f ca="1"/>
        <v>4.3134276221947099E-2</v>
      </c>
      <c r="R33" s="36">
        <f ca="1">_xll.qlCalendarAdvance("Null",Q$2,$A33&amp;"Y","UnAdjusted")</f>
        <v>49909</v>
      </c>
      <c r="S33" s="37">
        <f ca="1"/>
        <v>4.557813483963713E-2</v>
      </c>
    </row>
    <row r="34" spans="1:19">
      <c r="A34" s="35">
        <v>26</v>
      </c>
      <c r="B34" s="36">
        <f ca="1">_xll.qlCalendarAdvance("Null",A$2,$A34&amp;"Y","UnAdjusted")</f>
        <v>50637</v>
      </c>
      <c r="C34" s="37">
        <f ca="1"/>
        <v>4.4062727511799737E-2</v>
      </c>
      <c r="F34" s="36">
        <f ca="1">_xll.qlCalendarAdvance("Null",E$2,$A34&amp;"Y","UnAdjusted")</f>
        <v>50630</v>
      </c>
      <c r="G34" s="37">
        <f ca="1"/>
        <v>4.39142961122021E-2</v>
      </c>
      <c r="J34" s="36">
        <f ca="1">_xll.qlCalendarAdvance("Null",I$2,$A34&amp;"Y","UnAdjusted")</f>
        <v>50606</v>
      </c>
      <c r="K34" s="37">
        <f ca="1"/>
        <v>4.339202130219455E-2</v>
      </c>
      <c r="N34" s="36">
        <f ca="1">_xll.qlCalendarAdvance("Null",M$2,$A34&amp;"Y","UnAdjusted")</f>
        <v>50546</v>
      </c>
      <c r="O34" s="37">
        <f ca="1"/>
        <v>4.3237607961857494E-2</v>
      </c>
      <c r="R34" s="36">
        <f ca="1">_xll.qlCalendarAdvance("Null",Q$2,$A34&amp;"Y","UnAdjusted")</f>
        <v>50274</v>
      </c>
      <c r="S34" s="37">
        <f ca="1"/>
        <v>4.573406965346094E-2</v>
      </c>
    </row>
    <row r="35" spans="1:19">
      <c r="A35" s="35">
        <v>27</v>
      </c>
      <c r="B35" s="36">
        <f ca="1">_xll.qlCalendarAdvance("Null",A$2,$A35&amp;"Y","UnAdjusted")</f>
        <v>51002</v>
      </c>
      <c r="C35" s="37">
        <f ca="1"/>
        <v>4.440716584415938E-2</v>
      </c>
      <c r="F35" s="36">
        <f ca="1">_xll.qlCalendarAdvance("Null",E$2,$A35&amp;"Y","UnAdjusted")</f>
        <v>50995</v>
      </c>
      <c r="G35" s="37">
        <f ca="1"/>
        <v>4.4234716559893528E-2</v>
      </c>
      <c r="J35" s="36">
        <f ca="1">_xll.qlCalendarAdvance("Null",I$2,$A35&amp;"Y","UnAdjusted")</f>
        <v>50971</v>
      </c>
      <c r="K35" s="37">
        <f ca="1"/>
        <v>4.3660991525309445E-2</v>
      </c>
      <c r="N35" s="36">
        <f ca="1">_xll.qlCalendarAdvance("Null",M$2,$A35&amp;"Y","UnAdjusted")</f>
        <v>50911</v>
      </c>
      <c r="O35" s="37">
        <f ca="1"/>
        <v>4.3333247874439706E-2</v>
      </c>
      <c r="R35" s="36">
        <f ca="1">_xll.qlCalendarAdvance("Null",Q$2,$A35&amp;"Y","UnAdjusted")</f>
        <v>50639</v>
      </c>
      <c r="S35" s="37">
        <f ca="1"/>
        <v>4.587807100014385E-2</v>
      </c>
    </row>
    <row r="36" spans="1:19">
      <c r="A36" s="35">
        <v>28</v>
      </c>
      <c r="B36" s="36">
        <f ca="1">_xll.qlCalendarAdvance("Null",A$2,$A36&amp;"Y","UnAdjusted")</f>
        <v>51368</v>
      </c>
      <c r="C36" s="37">
        <f ca="1"/>
        <v>4.4727176223278597E-2</v>
      </c>
      <c r="F36" s="36">
        <f ca="1">_xll.qlCalendarAdvance("Null",E$2,$A36&amp;"Y","UnAdjusted")</f>
        <v>51361</v>
      </c>
      <c r="G36" s="37">
        <f ca="1"/>
        <v>4.4532390022432367E-2</v>
      </c>
      <c r="J36" s="36">
        <f ca="1">_xll.qlCalendarAdvance("Null",I$2,$A36&amp;"Y","UnAdjusted")</f>
        <v>51337</v>
      </c>
      <c r="K36" s="37">
        <f ca="1"/>
        <v>4.3900639885830373E-2</v>
      </c>
      <c r="N36" s="36">
        <f ca="1">_xll.qlCalendarAdvance("Null",M$2,$A36&amp;"Y","UnAdjusted")</f>
        <v>51277</v>
      </c>
      <c r="O36" s="37">
        <f ca="1"/>
        <v>4.3422023989323044E-2</v>
      </c>
      <c r="R36" s="36">
        <f ca="1">_xll.qlCalendarAdvance("Null",Q$2,$A36&amp;"Y","UnAdjusted")</f>
        <v>51004</v>
      </c>
      <c r="S36" s="37">
        <f ca="1"/>
        <v>4.601145826954145E-2</v>
      </c>
    </row>
    <row r="37" spans="1:19">
      <c r="A37" s="35">
        <v>29</v>
      </c>
      <c r="B37" s="36">
        <f ca="1">_xll.qlCalendarAdvance("Null",A$2,$A37&amp;"Y","UnAdjusted")</f>
        <v>51733</v>
      </c>
      <c r="C37" s="37">
        <f ca="1"/>
        <v>4.5025268327339552E-2</v>
      </c>
      <c r="F37" s="36">
        <f ca="1">_xll.qlCalendarAdvance("Null",E$2,$A37&amp;"Y","UnAdjusted")</f>
        <v>51726</v>
      </c>
      <c r="G37" s="37">
        <f ca="1"/>
        <v>4.4809655705837059E-2</v>
      </c>
      <c r="J37" s="36">
        <f ca="1">_xll.qlCalendarAdvance("Null",I$2,$A37&amp;"Y","UnAdjusted")</f>
        <v>51702</v>
      </c>
      <c r="K37" s="37">
        <f ca="1"/>
        <v>4.412381023991685E-2</v>
      </c>
      <c r="N37" s="36">
        <f ca="1">_xll.qlCalendarAdvance("Null",M$2,$A37&amp;"Y","UnAdjusted")</f>
        <v>51642</v>
      </c>
      <c r="O37" s="37">
        <f ca="1"/>
        <v>4.3504649602738032E-2</v>
      </c>
      <c r="R37" s="36">
        <f ca="1">_xll.qlCalendarAdvance("Null",Q$2,$A37&amp;"Y","UnAdjusted")</f>
        <v>51370</v>
      </c>
      <c r="S37" s="37">
        <f ca="1"/>
        <v>4.6487095694887071E-2</v>
      </c>
    </row>
    <row r="38" spans="1:19">
      <c r="A38" s="35">
        <v>30</v>
      </c>
      <c r="B38" s="36">
        <f ca="1">_xll.qlCalendarAdvance("Null",A$2,$A38&amp;"Y","UnAdjusted")</f>
        <v>52098</v>
      </c>
      <c r="C38" s="37">
        <f ca="1"/>
        <v>4.5303619434013287E-2</v>
      </c>
      <c r="F38" s="36">
        <f ca="1">_xll.qlCalendarAdvance("Null",E$2,$A38&amp;"Y","UnAdjusted")</f>
        <v>52091</v>
      </c>
      <c r="G38" s="37">
        <f ca="1"/>
        <v>4.5068542708541104E-2</v>
      </c>
      <c r="J38" s="36">
        <f ca="1">_xll.qlCalendarAdvance("Null",I$2,$A38&amp;"Y","UnAdjusted")</f>
        <v>52067</v>
      </c>
      <c r="K38" s="37">
        <f ca="1"/>
        <v>4.4332145615653795E-2</v>
      </c>
      <c r="N38" s="36">
        <f ca="1">_xll.qlCalendarAdvance("Null",M$2,$A38&amp;"Y","UnAdjusted")</f>
        <v>52007</v>
      </c>
      <c r="O38" s="37">
        <f ca="1"/>
        <v>4.3581742484279484E-2</v>
      </c>
      <c r="R38" s="36">
        <f ca="1">_xll.qlCalendarAdvance("Null",Q$2,$A38&amp;"Y","UnAdjusted")</f>
        <v>51735</v>
      </c>
      <c r="S38" s="37">
        <f ca="1"/>
        <v>4.8597332736677767E-2</v>
      </c>
    </row>
    <row r="43" spans="1:19">
      <c r="A43" s="25"/>
      <c r="B43" s="26"/>
      <c r="C43" s="29" t="s">
        <v>49</v>
      </c>
      <c r="D43" s="30"/>
      <c r="E43" s="30"/>
      <c r="F43" s="30"/>
      <c r="G43" s="31"/>
    </row>
    <row r="44" spans="1:19">
      <c r="A44" s="27"/>
      <c r="B44" s="28" t="s">
        <v>48</v>
      </c>
      <c r="C44" s="32">
        <f ca="1">C7</f>
        <v>41141</v>
      </c>
      <c r="D44" s="33">
        <f ca="1">G7</f>
        <v>41134</v>
      </c>
      <c r="E44" s="33">
        <f ca="1">K7</f>
        <v>41110</v>
      </c>
      <c r="F44" s="33">
        <f ca="1">O7</f>
        <v>41050</v>
      </c>
      <c r="G44" s="34">
        <f ca="1">S7</f>
        <v>40777</v>
      </c>
    </row>
    <row r="45" spans="1:19">
      <c r="A45" s="39">
        <f ca="1">A8</f>
        <v>0</v>
      </c>
      <c r="B45" s="40" t="str">
        <f t="shared" ref="B45:B75" ca="1" si="0">A45&amp;"Y"</f>
        <v>0Y</v>
      </c>
      <c r="C45" s="41">
        <v>1.9486700996083295E-2</v>
      </c>
      <c r="D45" s="42">
        <v>2.1587395881754068E-2</v>
      </c>
      <c r="E45" s="42">
        <v>2.1602304446447507E-2</v>
      </c>
      <c r="F45" s="42">
        <v>2.4739412350622381E-2</v>
      </c>
      <c r="G45" s="43">
        <v>3.0914761752851128E-2</v>
      </c>
    </row>
    <row r="46" spans="1:19">
      <c r="A46" s="39">
        <f t="shared" ref="A46:A75" ca="1" si="1">A9</f>
        <v>1</v>
      </c>
      <c r="B46" s="40" t="str">
        <f t="shared" ca="1" si="0"/>
        <v>1Y</v>
      </c>
      <c r="C46" s="44">
        <v>2.465574930943748E-2</v>
      </c>
      <c r="D46" s="45">
        <v>2.4820633478512821E-2</v>
      </c>
      <c r="E46" s="45">
        <v>2.3103588698816679E-2</v>
      </c>
      <c r="F46" s="45">
        <v>2.3969305460415091E-2</v>
      </c>
      <c r="G46" s="46">
        <v>3.5977958678154121E-2</v>
      </c>
    </row>
    <row r="47" spans="1:19">
      <c r="A47" s="39">
        <f t="shared" ca="1" si="1"/>
        <v>2</v>
      </c>
      <c r="B47" s="40" t="str">
        <f t="shared" ca="1" si="0"/>
        <v>2Y</v>
      </c>
      <c r="C47" s="44">
        <v>2.6759129289106953E-2</v>
      </c>
      <c r="D47" s="45">
        <v>2.6018160406353852E-2</v>
      </c>
      <c r="E47" s="45">
        <v>2.4995902034512518E-2</v>
      </c>
      <c r="F47" s="45">
        <v>2.5073329260193455E-2</v>
      </c>
      <c r="G47" s="46">
        <v>3.6298613654038192E-2</v>
      </c>
    </row>
    <row r="48" spans="1:19">
      <c r="A48" s="39">
        <f t="shared" ca="1" si="1"/>
        <v>3</v>
      </c>
      <c r="B48" s="40" t="str">
        <f t="shared" ca="1" si="0"/>
        <v>3Y</v>
      </c>
      <c r="C48" s="44">
        <v>2.8003633737023748E-2</v>
      </c>
      <c r="D48" s="45">
        <v>2.7181069774188105E-2</v>
      </c>
      <c r="E48" s="45">
        <v>2.4526504955926232E-2</v>
      </c>
      <c r="F48" s="45">
        <v>2.857084712312874E-2</v>
      </c>
      <c r="G48" s="46">
        <v>3.674579300674452E-2</v>
      </c>
    </row>
    <row r="49" spans="1:7">
      <c r="A49" s="39">
        <f t="shared" ca="1" si="1"/>
        <v>4</v>
      </c>
      <c r="B49" s="40" t="str">
        <f t="shared" ca="1" si="0"/>
        <v>4Y</v>
      </c>
      <c r="C49" s="44">
        <v>2.9174270320064588E-2</v>
      </c>
      <c r="D49" s="45">
        <v>2.8162660726406052E-2</v>
      </c>
      <c r="E49" s="45">
        <v>2.6293351865622983E-2</v>
      </c>
      <c r="F49" s="45">
        <v>3.053188553612185E-2</v>
      </c>
      <c r="G49" s="46">
        <v>3.7574191171632965E-2</v>
      </c>
    </row>
    <row r="50" spans="1:7">
      <c r="A50" s="39">
        <f t="shared" ca="1" si="1"/>
        <v>5</v>
      </c>
      <c r="B50" s="40" t="str">
        <f t="shared" ca="1" si="0"/>
        <v>5Y</v>
      </c>
      <c r="C50" s="44">
        <v>3.0508425101937853E-2</v>
      </c>
      <c r="D50" s="45">
        <v>2.9901822445899562E-2</v>
      </c>
      <c r="E50" s="45">
        <v>2.8047285270486944E-2</v>
      </c>
      <c r="F50" s="45">
        <v>3.1356354326572022E-2</v>
      </c>
      <c r="G50" s="46">
        <v>3.8513599765811701E-2</v>
      </c>
    </row>
    <row r="51" spans="1:7">
      <c r="A51" s="39">
        <f t="shared" ca="1" si="1"/>
        <v>6</v>
      </c>
      <c r="B51" s="40" t="str">
        <f t="shared" ca="1" si="0"/>
        <v>6Y</v>
      </c>
      <c r="C51" s="44">
        <v>3.1602978468950438E-2</v>
      </c>
      <c r="D51" s="45">
        <v>3.1160337363725699E-2</v>
      </c>
      <c r="E51" s="45">
        <v>3.053219802932583E-2</v>
      </c>
      <c r="F51" s="45">
        <v>3.2558856587639795E-2</v>
      </c>
      <c r="G51" s="46">
        <v>3.865149413537794E-2</v>
      </c>
    </row>
    <row r="52" spans="1:7">
      <c r="A52" s="39">
        <f t="shared" ca="1" si="1"/>
        <v>7</v>
      </c>
      <c r="B52" s="40" t="str">
        <f t="shared" ca="1" si="0"/>
        <v>7Y</v>
      </c>
      <c r="C52" s="44">
        <v>3.2482441645473203E-2</v>
      </c>
      <c r="D52" s="45">
        <v>3.2452334000677707E-2</v>
      </c>
      <c r="E52" s="45">
        <v>3.1889664190261291E-2</v>
      </c>
      <c r="F52" s="45">
        <v>3.4381779704744098E-2</v>
      </c>
      <c r="G52" s="46">
        <v>4.044926446881747E-2</v>
      </c>
    </row>
    <row r="53" spans="1:7">
      <c r="A53" s="39">
        <f t="shared" ca="1" si="1"/>
        <v>8</v>
      </c>
      <c r="B53" s="40" t="str">
        <f t="shared" ca="1" si="0"/>
        <v>8Y</v>
      </c>
      <c r="C53" s="44">
        <v>3.3628835672184776E-2</v>
      </c>
      <c r="D53" s="45">
        <v>3.3627241554970988E-2</v>
      </c>
      <c r="E53" s="45">
        <v>3.3209016754762954E-2</v>
      </c>
      <c r="F53" s="45">
        <v>3.4388527047751083E-2</v>
      </c>
      <c r="G53" s="46">
        <v>4.01310728762998E-2</v>
      </c>
    </row>
    <row r="54" spans="1:7">
      <c r="A54" s="39">
        <f t="shared" ca="1" si="1"/>
        <v>9</v>
      </c>
      <c r="B54" s="40" t="str">
        <f t="shared" ca="1" si="0"/>
        <v>9Y</v>
      </c>
      <c r="C54" s="44">
        <v>3.4030170049038411E-2</v>
      </c>
      <c r="D54" s="45">
        <v>3.4370342020836775E-2</v>
      </c>
      <c r="E54" s="45">
        <v>3.4840863816978596E-2</v>
      </c>
      <c r="F54" s="45">
        <v>3.4973227844846244E-2</v>
      </c>
      <c r="G54" s="46">
        <v>3.9883657803985617E-2</v>
      </c>
    </row>
    <row r="55" spans="1:7">
      <c r="A55" s="39">
        <f t="shared" ca="1" si="1"/>
        <v>10</v>
      </c>
      <c r="B55" s="40" t="str">
        <f t="shared" ca="1" si="0"/>
        <v>10Y</v>
      </c>
      <c r="C55" s="44">
        <v>3.4312958974863861E-2</v>
      </c>
      <c r="D55" s="45">
        <v>3.4397872519792205E-2</v>
      </c>
      <c r="E55" s="45">
        <v>3.3585999125128163E-2</v>
      </c>
      <c r="F55" s="45">
        <v>3.5330034524496901E-2</v>
      </c>
      <c r="G55" s="46">
        <v>4.004131681812817E-2</v>
      </c>
    </row>
    <row r="56" spans="1:7">
      <c r="A56" s="39">
        <f t="shared" ca="1" si="1"/>
        <v>11</v>
      </c>
      <c r="B56" s="40" t="str">
        <f t="shared" ca="1" si="0"/>
        <v>11Y</v>
      </c>
      <c r="C56" s="44">
        <v>3.5479959736425482E-2</v>
      </c>
      <c r="D56" s="45">
        <v>3.5552646376293406E-2</v>
      </c>
      <c r="E56" s="45">
        <v>3.535286472764998E-2</v>
      </c>
      <c r="F56" s="45">
        <v>3.8049253873547295E-2</v>
      </c>
      <c r="G56" s="46">
        <v>4.1083228904051028E-2</v>
      </c>
    </row>
    <row r="57" spans="1:7">
      <c r="A57" s="39">
        <f t="shared" ca="1" si="1"/>
        <v>12</v>
      </c>
      <c r="B57" s="40" t="str">
        <f t="shared" ca="1" si="0"/>
        <v>12Y</v>
      </c>
      <c r="C57" s="44">
        <v>3.6453466128587131E-2</v>
      </c>
      <c r="D57" s="45">
        <v>3.6515942636064613E-2</v>
      </c>
      <c r="E57" s="45">
        <v>3.6647357834801886E-2</v>
      </c>
      <c r="F57" s="45">
        <v>3.6149836613659447E-2</v>
      </c>
      <c r="G57" s="46">
        <v>4.1952286267986194E-2</v>
      </c>
    </row>
    <row r="58" spans="1:7">
      <c r="A58" s="39">
        <f t="shared" ca="1" si="1"/>
        <v>13</v>
      </c>
      <c r="B58" s="40" t="str">
        <f t="shared" ca="1" si="0"/>
        <v>13Y</v>
      </c>
      <c r="C58" s="44">
        <v>3.7277917135647209E-2</v>
      </c>
      <c r="D58" s="45">
        <v>3.7331739335940251E-2</v>
      </c>
      <c r="E58" s="45">
        <v>3.764871889268151E-2</v>
      </c>
      <c r="F58" s="45">
        <v>3.6993261270425126E-2</v>
      </c>
      <c r="G58" s="46">
        <v>4.2688209103582953E-2</v>
      </c>
    </row>
    <row r="59" spans="1:7">
      <c r="A59" s="39">
        <f t="shared" ca="1" si="1"/>
        <v>14</v>
      </c>
      <c r="B59" s="40" t="str">
        <f t="shared" ca="1" si="0"/>
        <v>14Y</v>
      </c>
      <c r="C59" s="44">
        <v>3.798511138110916E-2</v>
      </c>
      <c r="D59" s="45">
        <v>3.803150467277594E-2</v>
      </c>
      <c r="E59" s="45">
        <v>3.8507798208087252E-2</v>
      </c>
      <c r="F59" s="45">
        <v>3.8188175408929492E-2</v>
      </c>
      <c r="G59" s="46">
        <v>4.3319413791357064E-2</v>
      </c>
    </row>
    <row r="60" spans="1:7">
      <c r="A60" s="39">
        <f t="shared" ca="1" si="1"/>
        <v>15</v>
      </c>
      <c r="B60" s="40" t="str">
        <f t="shared" ca="1" si="0"/>
        <v>15Y</v>
      </c>
      <c r="C60" s="44">
        <v>3.8598403054591168E-2</v>
      </c>
      <c r="D60" s="45">
        <v>3.8638349788536308E-2</v>
      </c>
      <c r="E60" s="45">
        <v>3.9252908907737583E-2</v>
      </c>
      <c r="F60" s="45">
        <v>3.9224881351737073E-2</v>
      </c>
      <c r="G60" s="46">
        <v>4.3866766928580825E-2</v>
      </c>
    </row>
    <row r="61" spans="1:7">
      <c r="A61" s="39">
        <f t="shared" ca="1" si="1"/>
        <v>16</v>
      </c>
      <c r="B61" s="40" t="str">
        <f t="shared" ca="1" si="0"/>
        <v>16Y</v>
      </c>
      <c r="C61" s="44">
        <v>3.8905046545651523E-2</v>
      </c>
      <c r="D61" s="45">
        <v>3.8941674507784629E-2</v>
      </c>
      <c r="E61" s="45">
        <v>3.9314326079126216E-2</v>
      </c>
      <c r="F61" s="45">
        <v>4.004504688686894E-2</v>
      </c>
      <c r="G61" s="46">
        <v>4.4345936476180903E-2</v>
      </c>
    </row>
    <row r="62" spans="1:7">
      <c r="A62" s="39">
        <f t="shared" ca="1" si="1"/>
        <v>17</v>
      </c>
      <c r="B62" s="40" t="str">
        <f t="shared" ca="1" si="0"/>
        <v>17Y</v>
      </c>
      <c r="C62" s="44">
        <v>3.9175689516365075E-2</v>
      </c>
      <c r="D62" s="45">
        <v>3.9205132442889257E-2</v>
      </c>
      <c r="E62" s="45">
        <v>3.9317967415287036E-2</v>
      </c>
      <c r="F62" s="45">
        <v>4.0741696707442099E-2</v>
      </c>
      <c r="G62" s="46">
        <v>4.4768915793925501E-2</v>
      </c>
    </row>
    <row r="63" spans="1:7">
      <c r="A63" s="39">
        <f t="shared" ca="1" si="1"/>
        <v>18</v>
      </c>
      <c r="B63" s="40" t="str">
        <f t="shared" ca="1" si="0"/>
        <v>18Y</v>
      </c>
      <c r="C63" s="44">
        <v>3.9939384386251886E-2</v>
      </c>
      <c r="D63" s="45">
        <v>3.9959834097861503E-2</v>
      </c>
      <c r="E63" s="45">
        <v>4.001395959784193E-2</v>
      </c>
      <c r="F63" s="45">
        <v>4.1436373800533444E-2</v>
      </c>
      <c r="G63" s="46">
        <v>4.5145041227042437E-2</v>
      </c>
    </row>
    <row r="64" spans="1:7">
      <c r="A64" s="39">
        <f t="shared" ca="1" si="1"/>
        <v>19</v>
      </c>
      <c r="B64" s="40" t="str">
        <f t="shared" ca="1" si="0"/>
        <v>19Y</v>
      </c>
      <c r="C64" s="44">
        <v>4.0638798928442021E-2</v>
      </c>
      <c r="D64" s="45">
        <v>4.0664799682976316E-2</v>
      </c>
      <c r="E64" s="45">
        <v>4.0727197834525608E-2</v>
      </c>
      <c r="F64" s="45">
        <v>4.2066760441827E-2</v>
      </c>
      <c r="G64" s="46">
        <v>4.5481689286048121E-2</v>
      </c>
    </row>
    <row r="65" spans="1:7">
      <c r="A65" s="39">
        <f t="shared" ca="1" si="1"/>
        <v>20</v>
      </c>
      <c r="B65" s="40" t="str">
        <f t="shared" ca="1" si="0"/>
        <v>20Y</v>
      </c>
      <c r="C65" s="44">
        <v>4.1268674193820631E-2</v>
      </c>
      <c r="D65" s="45">
        <v>4.1307641054074473E-2</v>
      </c>
      <c r="E65" s="45">
        <v>4.1337538738185131E-2</v>
      </c>
      <c r="F65" s="45">
        <v>4.2285933043785473E-2</v>
      </c>
      <c r="G65" s="46">
        <v>4.5784765251402737E-2</v>
      </c>
    </row>
    <row r="66" spans="1:7">
      <c r="A66" s="39">
        <f t="shared" ca="1" si="1"/>
        <v>21</v>
      </c>
      <c r="B66" s="40" t="str">
        <f t="shared" ca="1" si="0"/>
        <v>21Y</v>
      </c>
      <c r="C66" s="44">
        <v>4.1838889846541383E-2</v>
      </c>
      <c r="D66" s="45">
        <v>4.1889601600621829E-2</v>
      </c>
      <c r="E66" s="45">
        <v>4.1726262455439089E-2</v>
      </c>
      <c r="F66" s="45">
        <v>4.2484271785506067E-2</v>
      </c>
      <c r="G66" s="46">
        <v>4.6059052544628942E-2</v>
      </c>
    </row>
    <row r="67" spans="1:7">
      <c r="A67" s="39">
        <f t="shared" ca="1" si="1"/>
        <v>22</v>
      </c>
      <c r="B67" s="40" t="str">
        <f t="shared" ca="1" si="0"/>
        <v>22Y</v>
      </c>
      <c r="C67" s="44">
        <v>4.2357538677022299E-2</v>
      </c>
      <c r="D67" s="45">
        <v>4.241893887386694E-2</v>
      </c>
      <c r="E67" s="45">
        <v>4.2079773571450874E-2</v>
      </c>
      <c r="F67" s="45">
        <v>4.2664612483908737E-2</v>
      </c>
      <c r="G67" s="46">
        <v>4.6308467055960367E-2</v>
      </c>
    </row>
    <row r="68" spans="1:7">
      <c r="A68" s="39">
        <f t="shared" ca="1" si="1"/>
        <v>23</v>
      </c>
      <c r="B68" s="40" t="str">
        <f t="shared" ca="1" si="0"/>
        <v>23Y</v>
      </c>
      <c r="C68" s="44">
        <v>4.2831313098677049E-2</v>
      </c>
      <c r="D68" s="45">
        <v>4.2902481686629024E-2</v>
      </c>
      <c r="E68" s="45">
        <v>4.2402649359845057E-2</v>
      </c>
      <c r="F68" s="45">
        <v>4.2829298628409784E-2</v>
      </c>
      <c r="G68" s="46">
        <v>4.6536245285158762E-2</v>
      </c>
    </row>
    <row r="69" spans="1:7">
      <c r="A69" s="39">
        <f t="shared" ca="1" si="1"/>
        <v>24</v>
      </c>
      <c r="B69" s="40" t="str">
        <f t="shared" ca="1" si="0"/>
        <v>24Y</v>
      </c>
      <c r="C69" s="44">
        <v>4.3265795487131609E-2</v>
      </c>
      <c r="D69" s="45">
        <v>4.3345926303003157E-2</v>
      </c>
      <c r="E69" s="45">
        <v>4.2698706713397927E-2</v>
      </c>
      <c r="F69" s="45">
        <v>4.2980283778031314E-2</v>
      </c>
      <c r="G69" s="46">
        <v>4.674508555548007E-2</v>
      </c>
    </row>
    <row r="70" spans="1:7">
      <c r="A70" s="39">
        <f t="shared" ca="1" si="1"/>
        <v>25</v>
      </c>
      <c r="B70" s="40" t="str">
        <f t="shared" ca="1" si="0"/>
        <v>25Y</v>
      </c>
      <c r="C70" s="44">
        <v>4.3665679160970861E-2</v>
      </c>
      <c r="D70" s="45">
        <v>4.3754061878812367E-2</v>
      </c>
      <c r="E70" s="45">
        <v>4.2971153741577561E-2</v>
      </c>
      <c r="F70" s="45">
        <v>4.3119209422586513E-2</v>
      </c>
      <c r="G70" s="46">
        <v>4.6937255411222178E-2</v>
      </c>
    </row>
    <row r="71" spans="1:7">
      <c r="A71" s="39">
        <f t="shared" ca="1" si="1"/>
        <v>26</v>
      </c>
      <c r="B71" s="40" t="str">
        <f t="shared" ca="1" si="0"/>
        <v>26Y</v>
      </c>
      <c r="C71" s="44">
        <v>4.4034938594099682E-2</v>
      </c>
      <c r="D71" s="45">
        <v>4.4130944113894399E-2</v>
      </c>
      <c r="E71" s="45">
        <v>4.3222706490028573E-2</v>
      </c>
      <c r="F71" s="45">
        <v>4.3247464903585886E-2</v>
      </c>
      <c r="G71" s="46">
        <v>4.7114674283904368E-2</v>
      </c>
    </row>
    <row r="72" spans="1:7">
      <c r="A72" s="39">
        <f t="shared" ca="1" si="1"/>
        <v>27</v>
      </c>
      <c r="B72" s="40" t="str">
        <f t="shared" ca="1" si="0"/>
        <v>27Y</v>
      </c>
      <c r="C72" s="44">
        <v>4.4376961965334694E-2</v>
      </c>
      <c r="D72" s="45">
        <v>4.4480030483897037E-2</v>
      </c>
      <c r="E72" s="45">
        <v>4.3487655669782743E-2</v>
      </c>
      <c r="F72" s="45">
        <v>4.3366234039139417E-2</v>
      </c>
      <c r="G72" s="46">
        <v>4.7220499966339924E-2</v>
      </c>
    </row>
    <row r="73" spans="1:7">
      <c r="A73" s="39">
        <f t="shared" ca="1" si="1"/>
        <v>28</v>
      </c>
      <c r="B73" s="40" t="str">
        <f t="shared" ca="1" si="0"/>
        <v>28Y</v>
      </c>
      <c r="C73" s="44">
        <v>4.4694655421928742E-2</v>
      </c>
      <c r="D73" s="45">
        <v>4.4804286616101363E-2</v>
      </c>
      <c r="E73" s="45">
        <v>4.3819775593650467E-2</v>
      </c>
      <c r="F73" s="45">
        <v>4.3476531772099314E-2</v>
      </c>
      <c r="G73" s="46">
        <v>4.7163706754203449E-2</v>
      </c>
    </row>
    <row r="74" spans="1:7">
      <c r="A74" s="39">
        <f t="shared" ca="1" si="1"/>
        <v>29</v>
      </c>
      <c r="B74" s="40" t="str">
        <f t="shared" ca="1" si="0"/>
        <v>29Y</v>
      </c>
      <c r="C74" s="44">
        <v>4.4990525857404595E-2</v>
      </c>
      <c r="D74" s="45">
        <v>4.5106270746089416E-2</v>
      </c>
      <c r="E74" s="45">
        <v>4.412908571740104E-2</v>
      </c>
      <c r="F74" s="45">
        <v>4.3579233246299642E-2</v>
      </c>
      <c r="G74" s="46">
        <v>4.7110833084050618E-2</v>
      </c>
    </row>
    <row r="75" spans="1:7">
      <c r="A75" s="38">
        <f t="shared" ca="1" si="1"/>
        <v>30</v>
      </c>
      <c r="B75" s="47" t="str">
        <f t="shared" ca="1" si="0"/>
        <v>30Y</v>
      </c>
      <c r="C75" s="48">
        <v>4.5266747197662438E-2</v>
      </c>
      <c r="D75" s="49">
        <v>4.5388201349559676E-2</v>
      </c>
      <c r="E75" s="49">
        <v>4.4417857860122423E-2</v>
      </c>
      <c r="F75" s="49">
        <v>4.3675097075309699E-2</v>
      </c>
      <c r="G75" s="50">
        <v>4.7061486733916968E-2</v>
      </c>
    </row>
  </sheetData>
  <phoneticPr fontId="4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F159"/>
  <sheetViews>
    <sheetView workbookViewId="0">
      <selection activeCell="A160" sqref="A160"/>
    </sheetView>
  </sheetViews>
  <sheetFormatPr defaultRowHeight="13.5"/>
  <cols>
    <col min="1" max="1" width="40.25" bestFit="1" customWidth="1"/>
  </cols>
  <sheetData>
    <row r="1" spans="1:32">
      <c r="A1" s="62" t="s">
        <v>0</v>
      </c>
      <c r="B1" s="62" t="s">
        <v>1</v>
      </c>
      <c r="C1" s="62" t="s">
        <v>2</v>
      </c>
      <c r="D1" s="62" t="s">
        <v>3</v>
      </c>
      <c r="E1" s="62" t="s">
        <v>4</v>
      </c>
      <c r="F1" s="62" t="s">
        <v>5</v>
      </c>
      <c r="G1" s="62" t="s">
        <v>6</v>
      </c>
      <c r="H1" s="62" t="s">
        <v>7</v>
      </c>
      <c r="I1" s="62" t="s">
        <v>8</v>
      </c>
      <c r="J1" s="62" t="s">
        <v>9</v>
      </c>
      <c r="K1" s="62" t="s">
        <v>10</v>
      </c>
      <c r="L1" s="62" t="s">
        <v>11</v>
      </c>
      <c r="M1" s="62" t="s">
        <v>12</v>
      </c>
      <c r="N1" s="62" t="s">
        <v>13</v>
      </c>
      <c r="O1" s="62" t="s">
        <v>14</v>
      </c>
      <c r="P1" s="62" t="s">
        <v>15</v>
      </c>
      <c r="Q1" s="62" t="s">
        <v>16</v>
      </c>
      <c r="R1" s="62" t="s">
        <v>17</v>
      </c>
      <c r="S1" s="62" t="s">
        <v>18</v>
      </c>
      <c r="T1" s="62" t="s">
        <v>19</v>
      </c>
      <c r="U1" s="62" t="s">
        <v>20</v>
      </c>
      <c r="V1" s="62" t="s">
        <v>21</v>
      </c>
      <c r="W1" s="62" t="s">
        <v>22</v>
      </c>
      <c r="X1" s="62" t="s">
        <v>23</v>
      </c>
      <c r="Y1" s="62" t="s">
        <v>24</v>
      </c>
      <c r="Z1" s="62" t="s">
        <v>25</v>
      </c>
      <c r="AA1" s="62" t="s">
        <v>26</v>
      </c>
      <c r="AB1" s="62" t="s">
        <v>27</v>
      </c>
      <c r="AC1" s="62" t="s">
        <v>28</v>
      </c>
      <c r="AD1" s="62" t="s">
        <v>29</v>
      </c>
      <c r="AE1" s="62" t="s">
        <v>30</v>
      </c>
      <c r="AF1" s="62" t="s">
        <v>31</v>
      </c>
    </row>
    <row r="2" spans="1:32">
      <c r="A2" s="2">
        <v>40912</v>
      </c>
      <c r="B2" s="62">
        <v>2.3431E-2</v>
      </c>
      <c r="C2" s="62">
        <v>2.7654999999999999E-2</v>
      </c>
      <c r="D2" s="62">
        <v>2.8608999999999999E-2</v>
      </c>
      <c r="E2" s="62">
        <v>2.895E-2</v>
      </c>
      <c r="F2" s="62">
        <v>3.0253000000000002E-2</v>
      </c>
      <c r="G2" s="62">
        <v>3.0842000000000001E-2</v>
      </c>
      <c r="H2" s="62">
        <v>3.3782E-2</v>
      </c>
      <c r="I2" s="62">
        <v>3.4105999999999997E-2</v>
      </c>
      <c r="J2" s="62">
        <v>3.4977000000000001E-2</v>
      </c>
      <c r="K2" s="62">
        <v>3.5062000000000003E-2</v>
      </c>
      <c r="L2" s="62">
        <v>3.5052E-2</v>
      </c>
      <c r="M2" s="62">
        <v>3.5312000000000003E-2</v>
      </c>
      <c r="N2" s="62">
        <v>3.5904999999999999E-2</v>
      </c>
      <c r="O2" s="62">
        <v>3.6698000000000001E-2</v>
      </c>
      <c r="P2" s="62">
        <v>3.7552000000000002E-2</v>
      </c>
      <c r="Q2" s="62">
        <v>3.8314000000000001E-2</v>
      </c>
      <c r="R2" s="62">
        <v>3.8948000000000003E-2</v>
      </c>
      <c r="S2" s="62">
        <v>3.9539999999999999E-2</v>
      </c>
      <c r="T2" s="62">
        <v>4.0114000000000004E-2</v>
      </c>
      <c r="U2" s="62">
        <v>4.0694999999999995E-2</v>
      </c>
      <c r="V2" s="62">
        <v>4.1313000000000002E-2</v>
      </c>
      <c r="W2" s="62">
        <v>4.1877000000000004E-2</v>
      </c>
      <c r="X2" s="62">
        <v>4.2291999999999996E-2</v>
      </c>
      <c r="Y2" s="62">
        <v>4.258E-2</v>
      </c>
      <c r="Z2" s="62">
        <v>4.2765000000000004E-2</v>
      </c>
      <c r="AA2" s="62">
        <v>4.2874999999999996E-2</v>
      </c>
      <c r="AB2" s="62">
        <v>4.2938000000000004E-2</v>
      </c>
      <c r="AC2" s="62">
        <v>4.2984999999999995E-2</v>
      </c>
      <c r="AD2" s="62">
        <v>4.3051000000000006E-2</v>
      </c>
      <c r="AE2" s="62">
        <v>4.317E-2</v>
      </c>
      <c r="AF2" s="62">
        <v>4.3381999999999997E-2</v>
      </c>
    </row>
    <row r="3" spans="1:32">
      <c r="A3" s="1">
        <v>40913</v>
      </c>
      <c r="B3" s="62">
        <v>2.8456000000000002E-2</v>
      </c>
      <c r="C3" s="62">
        <v>2.7785000000000001E-2</v>
      </c>
      <c r="D3" s="62">
        <v>2.8635000000000001E-2</v>
      </c>
      <c r="E3" s="62">
        <v>2.9216000000000002E-2</v>
      </c>
      <c r="F3" s="62">
        <v>3.0265E-2</v>
      </c>
      <c r="G3" s="62">
        <v>3.1141000000000002E-2</v>
      </c>
      <c r="H3" s="62">
        <v>3.3637E-2</v>
      </c>
      <c r="I3" s="62">
        <v>3.4162999999999999E-2</v>
      </c>
      <c r="J3" s="62">
        <v>3.5062999999999997E-2</v>
      </c>
      <c r="K3" s="62">
        <v>3.4988999999999999E-2</v>
      </c>
      <c r="L3" s="62">
        <v>3.4935000000000001E-2</v>
      </c>
      <c r="M3" s="62">
        <v>3.5193000000000002E-2</v>
      </c>
      <c r="N3" s="62">
        <v>3.5809000000000001E-2</v>
      </c>
      <c r="O3" s="62">
        <v>3.6638999999999998E-2</v>
      </c>
      <c r="P3" s="62">
        <v>3.7532999999999997E-2</v>
      </c>
      <c r="Q3" s="62">
        <v>3.8328000000000001E-2</v>
      </c>
      <c r="R3" s="62">
        <v>3.9011999999999998E-2</v>
      </c>
      <c r="S3" s="62">
        <v>3.9683000000000003E-2</v>
      </c>
      <c r="T3" s="62">
        <v>4.0330000000000005E-2</v>
      </c>
      <c r="U3" s="62">
        <v>4.0940999999999998E-2</v>
      </c>
      <c r="V3" s="62">
        <v>4.1501000000000003E-2</v>
      </c>
      <c r="W3" s="62">
        <v>4.1966999999999997E-2</v>
      </c>
      <c r="X3" s="62">
        <v>4.2310999999999994E-2</v>
      </c>
      <c r="Y3" s="62">
        <v>4.2549999999999998E-2</v>
      </c>
      <c r="Z3" s="62">
        <v>4.2704000000000006E-2</v>
      </c>
      <c r="AA3" s="62">
        <v>4.2790999999999996E-2</v>
      </c>
      <c r="AB3" s="62">
        <v>4.2834999999999998E-2</v>
      </c>
      <c r="AC3" s="62">
        <v>4.2858E-2</v>
      </c>
      <c r="AD3" s="62">
        <v>4.2886000000000001E-2</v>
      </c>
      <c r="AE3" s="62">
        <v>4.2944000000000003E-2</v>
      </c>
      <c r="AF3" s="62">
        <v>4.3061999999999996E-2</v>
      </c>
    </row>
    <row r="4" spans="1:32">
      <c r="A4" s="1">
        <v>40914</v>
      </c>
      <c r="B4" s="62">
        <v>2.8435000000000002E-2</v>
      </c>
      <c r="C4" s="62">
        <v>2.7771000000000001E-2</v>
      </c>
      <c r="D4" s="62">
        <v>2.8597999999999998E-2</v>
      </c>
      <c r="E4" s="62">
        <v>2.9037E-2</v>
      </c>
      <c r="F4" s="62">
        <v>3.0044000000000001E-2</v>
      </c>
      <c r="G4" s="62">
        <v>3.0587E-2</v>
      </c>
      <c r="H4" s="62">
        <v>3.3298999999999995E-2</v>
      </c>
      <c r="I4" s="62">
        <v>3.3673000000000002E-2</v>
      </c>
      <c r="J4" s="62">
        <v>3.4700000000000002E-2</v>
      </c>
      <c r="K4" s="62">
        <v>3.4637000000000001E-2</v>
      </c>
      <c r="L4" s="62">
        <v>3.4591999999999998E-2</v>
      </c>
      <c r="M4" s="62">
        <v>3.4869999999999998E-2</v>
      </c>
      <c r="N4" s="62">
        <v>3.5527999999999997E-2</v>
      </c>
      <c r="O4" s="62">
        <v>3.6414000000000002E-2</v>
      </c>
      <c r="P4" s="62">
        <v>3.7368999999999999E-2</v>
      </c>
      <c r="Q4" s="62">
        <v>3.8218999999999996E-2</v>
      </c>
      <c r="R4" s="62">
        <v>3.8960000000000002E-2</v>
      </c>
      <c r="S4" s="62">
        <v>3.9695999999999995E-2</v>
      </c>
      <c r="T4" s="62">
        <v>4.0397999999999996E-2</v>
      </c>
      <c r="U4" s="62">
        <v>4.1033999999999994E-2</v>
      </c>
      <c r="V4" s="62">
        <v>4.1569000000000002E-2</v>
      </c>
      <c r="W4" s="62">
        <v>4.1981999999999998E-2</v>
      </c>
      <c r="X4" s="62">
        <v>4.2289E-2</v>
      </c>
      <c r="Y4" s="62">
        <v>4.2502000000000005E-2</v>
      </c>
      <c r="Z4" s="62">
        <v>4.2637999999999995E-2</v>
      </c>
      <c r="AA4" s="62">
        <v>4.2713000000000001E-2</v>
      </c>
      <c r="AB4" s="62">
        <v>4.2746000000000006E-2</v>
      </c>
      <c r="AC4" s="62">
        <v>4.2758000000000004E-2</v>
      </c>
      <c r="AD4" s="62">
        <v>4.2768E-2</v>
      </c>
      <c r="AE4" s="62">
        <v>4.2798999999999997E-2</v>
      </c>
      <c r="AF4" s="62">
        <v>4.2876000000000004E-2</v>
      </c>
    </row>
    <row r="5" spans="1:32">
      <c r="A5" s="1">
        <v>40917</v>
      </c>
      <c r="B5" s="62">
        <v>2.8456000000000002E-2</v>
      </c>
      <c r="C5" s="62">
        <v>2.7307999999999999E-2</v>
      </c>
      <c r="D5" s="62">
        <v>2.8627E-2</v>
      </c>
      <c r="E5" s="62">
        <v>2.9020999999999998E-2</v>
      </c>
      <c r="F5" s="62">
        <v>2.9992999999999999E-2</v>
      </c>
      <c r="G5" s="62">
        <v>3.0558999999999999E-2</v>
      </c>
      <c r="H5" s="62">
        <v>3.3271999999999996E-2</v>
      </c>
      <c r="I5" s="62">
        <v>3.3589000000000001E-2</v>
      </c>
      <c r="J5" s="62">
        <v>3.4447999999999999E-2</v>
      </c>
      <c r="K5" s="62">
        <v>3.4408000000000001E-2</v>
      </c>
      <c r="L5" s="62">
        <v>3.4382000000000003E-2</v>
      </c>
      <c r="M5" s="62">
        <v>3.4689999999999999E-2</v>
      </c>
      <c r="N5" s="62">
        <v>3.5402000000000003E-2</v>
      </c>
      <c r="O5" s="62">
        <v>3.6357E-2</v>
      </c>
      <c r="P5" s="62">
        <v>3.7385000000000002E-2</v>
      </c>
      <c r="Q5" s="62">
        <v>3.8301000000000002E-2</v>
      </c>
      <c r="R5" s="62">
        <v>3.9108000000000004E-2</v>
      </c>
      <c r="S5" s="62">
        <v>3.9913999999999998E-2</v>
      </c>
      <c r="T5" s="62">
        <v>4.0674999999999996E-2</v>
      </c>
      <c r="U5" s="62">
        <v>4.1341999999999997E-2</v>
      </c>
      <c r="V5" s="62">
        <v>4.1860999999999995E-2</v>
      </c>
      <c r="W5" s="62">
        <v>4.2234000000000001E-2</v>
      </c>
      <c r="X5" s="62">
        <v>4.2510000000000006E-2</v>
      </c>
      <c r="Y5" s="62">
        <v>4.2701999999999997E-2</v>
      </c>
      <c r="Z5" s="62">
        <v>4.2824000000000001E-2</v>
      </c>
      <c r="AA5" s="62">
        <v>4.2888999999999997E-2</v>
      </c>
      <c r="AB5" s="62">
        <v>4.2914000000000001E-2</v>
      </c>
      <c r="AC5" s="62">
        <v>4.2915999999999996E-2</v>
      </c>
      <c r="AD5" s="62">
        <v>4.2914000000000001E-2</v>
      </c>
      <c r="AE5" s="62">
        <v>4.2925999999999999E-2</v>
      </c>
      <c r="AF5" s="62">
        <v>4.2973999999999998E-2</v>
      </c>
    </row>
    <row r="6" spans="1:32">
      <c r="A6" s="1">
        <v>40918</v>
      </c>
      <c r="B6" s="62">
        <v>2.5388999999999998E-2</v>
      </c>
      <c r="C6" s="62">
        <v>2.7282999999999998E-2</v>
      </c>
      <c r="D6" s="62">
        <v>2.8558E-2</v>
      </c>
      <c r="E6" s="62">
        <v>2.9035999999999999E-2</v>
      </c>
      <c r="F6" s="62">
        <v>2.9994E-2</v>
      </c>
      <c r="G6" s="62">
        <v>3.0607000000000002E-2</v>
      </c>
      <c r="H6" s="62">
        <v>3.3334999999999997E-2</v>
      </c>
      <c r="I6" s="62">
        <v>3.3628999999999999E-2</v>
      </c>
      <c r="J6" s="62">
        <v>3.4664E-2</v>
      </c>
      <c r="K6" s="62">
        <v>3.4660000000000003E-2</v>
      </c>
      <c r="L6" s="62">
        <v>3.4636E-2</v>
      </c>
      <c r="M6" s="62">
        <v>3.4918999999999999E-2</v>
      </c>
      <c r="N6" s="62">
        <v>3.5576999999999998E-2</v>
      </c>
      <c r="O6" s="62">
        <v>3.6458999999999998E-2</v>
      </c>
      <c r="P6" s="62">
        <v>3.7408000000000004E-2</v>
      </c>
      <c r="Q6" s="62">
        <v>3.8253000000000002E-2</v>
      </c>
      <c r="R6" s="62">
        <v>3.8997000000000004E-2</v>
      </c>
      <c r="S6" s="62">
        <v>3.9742E-2</v>
      </c>
      <c r="T6" s="62">
        <v>4.0444000000000008E-2</v>
      </c>
      <c r="U6" s="62">
        <v>4.1056000000000002E-2</v>
      </c>
      <c r="V6" s="62">
        <v>4.1528000000000002E-2</v>
      </c>
      <c r="W6" s="62">
        <v>4.1860000000000001E-2</v>
      </c>
      <c r="X6" s="62">
        <v>4.2099999999999999E-2</v>
      </c>
      <c r="Y6" s="62">
        <v>4.2261E-2</v>
      </c>
      <c r="Z6" s="62">
        <v>4.2355999999999998E-2</v>
      </c>
      <c r="AA6" s="62">
        <v>4.2401000000000001E-2</v>
      </c>
      <c r="AB6" s="62">
        <v>4.2412999999999999E-2</v>
      </c>
      <c r="AC6" s="62">
        <v>4.2409000000000002E-2</v>
      </c>
      <c r="AD6" s="62">
        <v>4.2407E-2</v>
      </c>
      <c r="AE6" s="62">
        <v>4.2426999999999999E-2</v>
      </c>
      <c r="AF6" s="62">
        <v>4.2487999999999998E-2</v>
      </c>
    </row>
    <row r="7" spans="1:32">
      <c r="A7" s="1">
        <v>40919</v>
      </c>
      <c r="B7" s="62">
        <v>2.0856E-2</v>
      </c>
      <c r="C7" s="62">
        <v>2.7884000000000003E-2</v>
      </c>
      <c r="D7" s="62">
        <v>2.8742999999999998E-2</v>
      </c>
      <c r="E7" s="62">
        <v>2.8997999999999999E-2</v>
      </c>
      <c r="F7" s="62">
        <v>3.0102000000000004E-2</v>
      </c>
      <c r="G7" s="62">
        <v>3.0609000000000001E-2</v>
      </c>
      <c r="H7" s="62">
        <v>3.3301999999999998E-2</v>
      </c>
      <c r="I7" s="62">
        <v>3.3831E-2</v>
      </c>
      <c r="J7" s="62">
        <v>3.4854999999999997E-2</v>
      </c>
      <c r="K7" s="62">
        <v>3.4852000000000001E-2</v>
      </c>
      <c r="L7" s="62">
        <v>3.4826999999999997E-2</v>
      </c>
      <c r="M7" s="62">
        <v>3.5105999999999998E-2</v>
      </c>
      <c r="N7" s="62">
        <v>3.5751999999999999E-2</v>
      </c>
      <c r="O7" s="62">
        <v>3.6617999999999998E-2</v>
      </c>
      <c r="P7" s="62">
        <v>3.7551000000000001E-2</v>
      </c>
      <c r="Q7" s="62">
        <v>3.8379999999999997E-2</v>
      </c>
      <c r="R7" s="62">
        <v>3.9116999999999999E-2</v>
      </c>
      <c r="S7" s="62">
        <v>3.9861000000000001E-2</v>
      </c>
      <c r="T7" s="62">
        <v>4.0566999999999999E-2</v>
      </c>
      <c r="U7" s="62">
        <v>4.1184999999999999E-2</v>
      </c>
      <c r="V7" s="62">
        <v>4.1661000000000004E-2</v>
      </c>
      <c r="W7" s="62">
        <v>4.1993000000000003E-2</v>
      </c>
      <c r="X7" s="62">
        <v>4.2229000000000003E-2</v>
      </c>
      <c r="Y7" s="62">
        <v>4.2384000000000005E-2</v>
      </c>
      <c r="Z7" s="62">
        <v>4.2472000000000003E-2</v>
      </c>
      <c r="AA7" s="62">
        <v>4.2510000000000006E-2</v>
      </c>
      <c r="AB7" s="62">
        <v>4.2516999999999999E-2</v>
      </c>
      <c r="AC7" s="62">
        <v>4.2511E-2</v>
      </c>
      <c r="AD7" s="62">
        <v>4.2512000000000001E-2</v>
      </c>
      <c r="AE7" s="62">
        <v>4.2542999999999997E-2</v>
      </c>
      <c r="AF7" s="62">
        <v>4.2615999999999994E-2</v>
      </c>
    </row>
    <row r="8" spans="1:32">
      <c r="A8" s="1">
        <v>40920</v>
      </c>
      <c r="B8" s="62">
        <v>2.3206000000000001E-2</v>
      </c>
      <c r="C8" s="62">
        <v>2.7841000000000001E-2</v>
      </c>
      <c r="D8" s="62">
        <v>2.8638E-2</v>
      </c>
      <c r="E8" s="62">
        <v>2.8986000000000001E-2</v>
      </c>
      <c r="F8" s="62">
        <v>2.9990000000000003E-2</v>
      </c>
      <c r="G8" s="62">
        <v>3.0699999999999998E-2</v>
      </c>
      <c r="H8" s="62">
        <v>3.3360000000000001E-2</v>
      </c>
      <c r="I8" s="62">
        <v>3.3466000000000003E-2</v>
      </c>
      <c r="J8" s="62">
        <v>3.4660999999999997E-2</v>
      </c>
      <c r="K8" s="62">
        <v>3.4620000000000005E-2</v>
      </c>
      <c r="L8" s="62">
        <v>3.4624000000000002E-2</v>
      </c>
      <c r="M8" s="62">
        <v>3.4992000000000002E-2</v>
      </c>
      <c r="N8" s="62">
        <v>3.5687000000000003E-2</v>
      </c>
      <c r="O8" s="62">
        <v>3.6575000000000003E-2</v>
      </c>
      <c r="P8" s="62">
        <v>3.7512999999999998E-2</v>
      </c>
      <c r="Q8" s="62">
        <v>3.8344999999999997E-2</v>
      </c>
      <c r="R8" s="62">
        <v>3.9085999999999996E-2</v>
      </c>
      <c r="S8" s="62">
        <v>3.9834000000000001E-2</v>
      </c>
      <c r="T8" s="62">
        <v>4.0541000000000001E-2</v>
      </c>
      <c r="U8" s="62">
        <v>4.1154999999999997E-2</v>
      </c>
      <c r="V8" s="62">
        <v>4.1619999999999997E-2</v>
      </c>
      <c r="W8" s="62">
        <v>4.1944000000000002E-2</v>
      </c>
      <c r="X8" s="62">
        <v>4.2183999999999999E-2</v>
      </c>
      <c r="Y8" s="62">
        <v>4.2350000000000006E-2</v>
      </c>
      <c r="Z8" s="62">
        <v>4.2453000000000005E-2</v>
      </c>
      <c r="AA8" s="62">
        <v>4.2507999999999997E-2</v>
      </c>
      <c r="AB8" s="62">
        <v>4.2527000000000002E-2</v>
      </c>
      <c r="AC8" s="62">
        <v>4.2526000000000001E-2</v>
      </c>
      <c r="AD8" s="62">
        <v>4.2519000000000001E-2</v>
      </c>
      <c r="AE8" s="62">
        <v>4.2525000000000007E-2</v>
      </c>
      <c r="AF8" s="62">
        <v>4.2560000000000001E-2</v>
      </c>
    </row>
    <row r="9" spans="1:32">
      <c r="A9" s="1">
        <v>40921</v>
      </c>
      <c r="B9" s="62">
        <v>2.7077E-2</v>
      </c>
      <c r="C9" s="62">
        <v>2.7938000000000001E-2</v>
      </c>
      <c r="D9" s="62">
        <v>2.8732999999999998E-2</v>
      </c>
      <c r="E9" s="62">
        <v>2.9033000000000003E-2</v>
      </c>
      <c r="F9" s="62">
        <v>3.0215000000000002E-2</v>
      </c>
      <c r="G9" s="62">
        <v>3.0697000000000002E-2</v>
      </c>
      <c r="H9" s="62">
        <v>3.3397000000000003E-2</v>
      </c>
      <c r="I9" s="62">
        <v>3.3614000000000005E-2</v>
      </c>
      <c r="J9" s="62">
        <v>3.4672000000000001E-2</v>
      </c>
      <c r="K9" s="62">
        <v>3.4728000000000002E-2</v>
      </c>
      <c r="L9" s="62">
        <v>3.4714999999999996E-2</v>
      </c>
      <c r="M9" s="62">
        <v>3.5012000000000001E-2</v>
      </c>
      <c r="N9" s="62">
        <v>3.5682999999999999E-2</v>
      </c>
      <c r="O9" s="62">
        <v>3.6577999999999999E-2</v>
      </c>
      <c r="P9" s="62">
        <v>3.7539999999999997E-2</v>
      </c>
      <c r="Q9" s="62">
        <v>3.8397000000000001E-2</v>
      </c>
      <c r="R9" s="62">
        <v>3.9149999999999997E-2</v>
      </c>
      <c r="S9" s="62">
        <v>3.9893999999999999E-2</v>
      </c>
      <c r="T9" s="62">
        <v>4.0591999999999996E-2</v>
      </c>
      <c r="U9" s="62">
        <v>4.1201000000000002E-2</v>
      </c>
      <c r="V9" s="62">
        <v>4.1673000000000002E-2</v>
      </c>
      <c r="W9" s="62">
        <v>4.2009999999999999E-2</v>
      </c>
      <c r="X9" s="62">
        <v>4.2253999999999993E-2</v>
      </c>
      <c r="Y9" s="62">
        <v>4.2416000000000002E-2</v>
      </c>
      <c r="Z9" s="62">
        <v>4.2512999999999995E-2</v>
      </c>
      <c r="AA9" s="62">
        <v>4.2558999999999993E-2</v>
      </c>
      <c r="AB9" s="62">
        <v>4.2569999999999997E-2</v>
      </c>
      <c r="AC9" s="62">
        <v>4.2566E-2</v>
      </c>
      <c r="AD9" s="62">
        <v>4.2564999999999999E-2</v>
      </c>
      <c r="AE9" s="62">
        <v>4.2587E-2</v>
      </c>
      <c r="AF9" s="62">
        <v>4.2649999999999993E-2</v>
      </c>
    </row>
    <row r="10" spans="1:32">
      <c r="A10" s="1">
        <v>40924</v>
      </c>
      <c r="B10" s="62">
        <v>3.0438999999999997E-2</v>
      </c>
      <c r="C10" s="62">
        <v>2.8250999999999998E-2</v>
      </c>
      <c r="D10" s="62">
        <v>2.8957E-2</v>
      </c>
      <c r="E10" s="62">
        <v>2.921E-2</v>
      </c>
      <c r="F10" s="62">
        <v>3.031E-2</v>
      </c>
      <c r="G10" s="62">
        <v>3.0903E-2</v>
      </c>
      <c r="H10" s="62">
        <v>3.3551000000000004E-2</v>
      </c>
      <c r="I10" s="62">
        <v>3.3765999999999997E-2</v>
      </c>
      <c r="J10" s="62">
        <v>3.4790000000000001E-2</v>
      </c>
      <c r="K10" s="62">
        <v>3.4851E-2</v>
      </c>
      <c r="L10" s="62">
        <v>3.4840000000000003E-2</v>
      </c>
      <c r="M10" s="62">
        <v>3.5135E-2</v>
      </c>
      <c r="N10" s="62">
        <v>3.5795E-2</v>
      </c>
      <c r="O10" s="62">
        <v>3.6674000000000005E-2</v>
      </c>
      <c r="P10" s="62">
        <v>3.7617999999999999E-2</v>
      </c>
      <c r="Q10" s="62">
        <v>3.8459E-2</v>
      </c>
      <c r="R10" s="62">
        <v>3.9203999999999996E-2</v>
      </c>
      <c r="S10" s="62">
        <v>3.9951E-2</v>
      </c>
      <c r="T10" s="62">
        <v>4.0655999999999998E-2</v>
      </c>
      <c r="U10" s="62">
        <v>4.1270000000000001E-2</v>
      </c>
      <c r="V10" s="62">
        <v>4.1740000000000006E-2</v>
      </c>
      <c r="W10" s="62">
        <v>4.2072000000000005E-2</v>
      </c>
      <c r="X10" s="62">
        <v>4.2317999999999995E-2</v>
      </c>
      <c r="Y10" s="62">
        <v>4.2488999999999999E-2</v>
      </c>
      <c r="Z10" s="62">
        <v>4.2595000000000001E-2</v>
      </c>
      <c r="AA10" s="62">
        <v>4.2652000000000002E-2</v>
      </c>
      <c r="AB10" s="62">
        <v>4.2672999999999996E-2</v>
      </c>
      <c r="AC10" s="62">
        <v>4.2672000000000002E-2</v>
      </c>
      <c r="AD10" s="62">
        <v>4.2667999999999998E-2</v>
      </c>
      <c r="AE10" s="62">
        <v>4.2675999999999999E-2</v>
      </c>
      <c r="AF10" s="62">
        <v>4.2714000000000002E-2</v>
      </c>
    </row>
    <row r="11" spans="1:32">
      <c r="A11" s="1">
        <v>40925</v>
      </c>
      <c r="B11" s="62">
        <v>4.2381000000000002E-2</v>
      </c>
      <c r="C11" s="62">
        <v>2.8208E-2</v>
      </c>
      <c r="D11" s="62">
        <v>2.8772000000000002E-2</v>
      </c>
      <c r="E11" s="62">
        <v>2.9302999999999999E-2</v>
      </c>
      <c r="F11" s="62">
        <v>3.0438999999999997E-2</v>
      </c>
      <c r="G11" s="62">
        <v>3.0872999999999998E-2</v>
      </c>
      <c r="H11" s="62">
        <v>3.3446999999999998E-2</v>
      </c>
      <c r="I11" s="62">
        <v>3.3584000000000003E-2</v>
      </c>
      <c r="J11" s="62">
        <v>3.4641999999999999E-2</v>
      </c>
      <c r="K11" s="62">
        <v>3.4648999999999999E-2</v>
      </c>
      <c r="L11" s="62">
        <v>3.4630999999999995E-2</v>
      </c>
      <c r="M11" s="62">
        <v>3.4937999999999997E-2</v>
      </c>
      <c r="N11" s="62">
        <v>3.5630999999999996E-2</v>
      </c>
      <c r="O11" s="62">
        <v>3.6554999999999997E-2</v>
      </c>
      <c r="P11" s="62">
        <v>3.7548999999999999E-2</v>
      </c>
      <c r="Q11" s="62">
        <v>3.8433000000000002E-2</v>
      </c>
      <c r="R11" s="62">
        <v>3.9201E-2</v>
      </c>
      <c r="S11" s="62">
        <v>3.9951E-2</v>
      </c>
      <c r="T11" s="62">
        <v>4.0645000000000001E-2</v>
      </c>
      <c r="U11" s="62">
        <v>4.1243999999999996E-2</v>
      </c>
      <c r="V11" s="62">
        <v>4.1707000000000001E-2</v>
      </c>
      <c r="W11" s="62">
        <v>4.2037999999999999E-2</v>
      </c>
      <c r="X11" s="62">
        <v>4.2283999999999995E-2</v>
      </c>
      <c r="Y11" s="62">
        <v>4.2453000000000005E-2</v>
      </c>
      <c r="Z11" s="62">
        <v>4.2558999999999993E-2</v>
      </c>
      <c r="AA11" s="62">
        <v>4.2615E-2</v>
      </c>
      <c r="AB11" s="62">
        <v>4.2636E-2</v>
      </c>
      <c r="AC11" s="62">
        <v>4.2634999999999999E-2</v>
      </c>
      <c r="AD11" s="62">
        <v>4.2630000000000001E-2</v>
      </c>
      <c r="AE11" s="62">
        <v>4.2637000000000001E-2</v>
      </c>
      <c r="AF11" s="62">
        <v>4.2675999999999999E-2</v>
      </c>
    </row>
    <row r="12" spans="1:32">
      <c r="A12" s="1">
        <v>40926</v>
      </c>
      <c r="B12" s="62">
        <v>5.0381000000000002E-2</v>
      </c>
      <c r="C12" s="62">
        <v>2.8614000000000001E-2</v>
      </c>
      <c r="D12" s="62">
        <v>2.9002E-2</v>
      </c>
      <c r="E12" s="62">
        <v>2.9373E-2</v>
      </c>
      <c r="F12" s="62">
        <v>3.0405999999999999E-2</v>
      </c>
      <c r="G12" s="62">
        <v>3.0979E-2</v>
      </c>
      <c r="H12" s="62">
        <v>3.3217999999999998E-2</v>
      </c>
      <c r="I12" s="62">
        <v>3.3576999999999996E-2</v>
      </c>
      <c r="J12" s="62">
        <v>3.4540000000000001E-2</v>
      </c>
      <c r="K12" s="62">
        <v>3.4548000000000002E-2</v>
      </c>
      <c r="L12" s="62">
        <v>3.4530999999999999E-2</v>
      </c>
      <c r="M12" s="62">
        <v>3.4844E-2</v>
      </c>
      <c r="N12" s="62">
        <v>3.5548000000000003E-2</v>
      </c>
      <c r="O12" s="62">
        <v>3.6485999999999998E-2</v>
      </c>
      <c r="P12" s="62">
        <v>3.7494E-2</v>
      </c>
      <c r="Q12" s="62">
        <v>3.8391000000000002E-2</v>
      </c>
      <c r="R12" s="62">
        <v>3.9163000000000003E-2</v>
      </c>
      <c r="S12" s="62">
        <v>3.9909E-2</v>
      </c>
      <c r="T12" s="62">
        <v>4.0605000000000002E-2</v>
      </c>
      <c r="U12" s="62">
        <v>4.1223000000000003E-2</v>
      </c>
      <c r="V12" s="62">
        <v>4.1734E-2</v>
      </c>
      <c r="W12" s="62">
        <v>4.2126000000000004E-2</v>
      </c>
      <c r="X12" s="62">
        <v>4.2416000000000002E-2</v>
      </c>
      <c r="Y12" s="62">
        <v>4.2618000000000003E-2</v>
      </c>
      <c r="Z12" s="62">
        <v>4.2746000000000006E-2</v>
      </c>
      <c r="AA12" s="62">
        <v>4.2816E-2</v>
      </c>
      <c r="AB12" s="62">
        <v>4.2846000000000002E-2</v>
      </c>
      <c r="AC12" s="62">
        <v>4.2853000000000002E-2</v>
      </c>
      <c r="AD12" s="62">
        <v>4.2859000000000001E-2</v>
      </c>
      <c r="AE12" s="62">
        <v>4.2882999999999998E-2</v>
      </c>
      <c r="AF12" s="62">
        <v>4.2948000000000007E-2</v>
      </c>
    </row>
    <row r="13" spans="1:32">
      <c r="A13" s="1">
        <v>40927</v>
      </c>
      <c r="B13" s="62">
        <v>3.5688999999999999E-2</v>
      </c>
      <c r="C13" s="62">
        <v>2.8439000000000002E-2</v>
      </c>
      <c r="D13" s="62">
        <v>2.9005E-2</v>
      </c>
      <c r="E13" s="62">
        <v>2.9301000000000001E-2</v>
      </c>
      <c r="F13" s="62">
        <v>3.0234999999999998E-2</v>
      </c>
      <c r="G13" s="62">
        <v>3.0659000000000002E-2</v>
      </c>
      <c r="H13" s="62">
        <v>3.2996999999999999E-2</v>
      </c>
      <c r="I13" s="62">
        <v>3.3368000000000002E-2</v>
      </c>
      <c r="J13" s="62">
        <v>3.4373999999999995E-2</v>
      </c>
      <c r="K13" s="62">
        <v>3.4345000000000001E-2</v>
      </c>
      <c r="L13" s="62">
        <v>3.4324E-2</v>
      </c>
      <c r="M13" s="62">
        <v>3.4647999999999998E-2</v>
      </c>
      <c r="N13" s="62">
        <v>3.5375000000000004E-2</v>
      </c>
      <c r="O13" s="62">
        <v>3.6343E-2</v>
      </c>
      <c r="P13" s="62">
        <v>3.7384000000000001E-2</v>
      </c>
      <c r="Q13" s="62">
        <v>3.8311000000000005E-2</v>
      </c>
      <c r="R13" s="62">
        <v>3.9099000000000002E-2</v>
      </c>
      <c r="S13" s="62">
        <v>3.9845999999999999E-2</v>
      </c>
      <c r="T13" s="62">
        <v>4.0533E-2</v>
      </c>
      <c r="U13" s="62">
        <v>4.1139999999999996E-2</v>
      </c>
      <c r="V13" s="62">
        <v>4.1645000000000001E-2</v>
      </c>
      <c r="W13" s="62">
        <v>4.2035999999999997E-2</v>
      </c>
      <c r="X13" s="62">
        <v>4.2325000000000002E-2</v>
      </c>
      <c r="Y13" s="62">
        <v>4.2526000000000001E-2</v>
      </c>
      <c r="Z13" s="62">
        <v>4.2653999999999997E-2</v>
      </c>
      <c r="AA13" s="62">
        <v>4.2723000000000004E-2</v>
      </c>
      <c r="AB13" s="62">
        <v>4.2751999999999998E-2</v>
      </c>
      <c r="AC13" s="62">
        <v>4.2759999999999999E-2</v>
      </c>
      <c r="AD13" s="62">
        <v>4.2765000000000004E-2</v>
      </c>
      <c r="AE13" s="62">
        <v>4.2789000000000001E-2</v>
      </c>
      <c r="AF13" s="62">
        <v>4.2854000000000003E-2</v>
      </c>
    </row>
    <row r="14" spans="1:32">
      <c r="A14" s="1">
        <v>40928</v>
      </c>
      <c r="B14" s="62">
        <v>2.1488999999999998E-2</v>
      </c>
      <c r="C14" s="62">
        <v>2.8154999999999999E-2</v>
      </c>
      <c r="D14" s="62">
        <v>2.8853E-2</v>
      </c>
      <c r="E14" s="62">
        <v>2.9170999999999999E-2</v>
      </c>
      <c r="F14" s="62">
        <v>3.0077E-2</v>
      </c>
      <c r="G14" s="62">
        <v>3.0615E-2</v>
      </c>
      <c r="H14" s="62">
        <v>3.2896000000000002E-2</v>
      </c>
      <c r="I14" s="62">
        <v>3.3352E-2</v>
      </c>
      <c r="J14" s="62">
        <v>3.4444000000000002E-2</v>
      </c>
      <c r="K14" s="62">
        <v>3.4412999999999999E-2</v>
      </c>
      <c r="L14" s="62">
        <v>3.4390000000000004E-2</v>
      </c>
      <c r="M14" s="62">
        <v>3.4710999999999999E-2</v>
      </c>
      <c r="N14" s="62">
        <v>3.5431999999999998E-2</v>
      </c>
      <c r="O14" s="62">
        <v>3.6392000000000001E-2</v>
      </c>
      <c r="P14" s="62">
        <v>3.7423999999999999E-2</v>
      </c>
      <c r="Q14" s="62">
        <v>3.8342000000000001E-2</v>
      </c>
      <c r="R14" s="62">
        <v>3.9125E-2</v>
      </c>
      <c r="S14" s="62">
        <v>3.9871999999999998E-2</v>
      </c>
      <c r="T14" s="62">
        <v>4.0559999999999999E-2</v>
      </c>
      <c r="U14" s="62">
        <v>4.1169999999999998E-2</v>
      </c>
      <c r="V14" s="62">
        <v>4.1676000000000005E-2</v>
      </c>
      <c r="W14" s="62">
        <v>4.2066999999999993E-2</v>
      </c>
      <c r="X14" s="62">
        <v>4.2356999999999999E-2</v>
      </c>
      <c r="Y14" s="62">
        <v>4.2557999999999999E-2</v>
      </c>
      <c r="Z14" s="62">
        <v>4.2685000000000001E-2</v>
      </c>
      <c r="AA14" s="62">
        <v>4.2754E-2</v>
      </c>
      <c r="AB14" s="62">
        <v>4.2782999999999995E-2</v>
      </c>
      <c r="AC14" s="62">
        <v>4.2790000000000002E-2</v>
      </c>
      <c r="AD14" s="62">
        <v>4.2795E-2</v>
      </c>
      <c r="AE14" s="62">
        <v>4.2819000000000003E-2</v>
      </c>
      <c r="AF14" s="62">
        <v>4.2884000000000005E-2</v>
      </c>
    </row>
    <row r="15" spans="1:32">
      <c r="A15" s="1">
        <v>40929</v>
      </c>
      <c r="B15" s="62">
        <v>2.1406000000000001E-2</v>
      </c>
      <c r="C15" s="62">
        <v>2.8169E-2</v>
      </c>
      <c r="D15" s="62">
        <v>2.8794E-2</v>
      </c>
      <c r="E15" s="62">
        <v>2.9182E-2</v>
      </c>
      <c r="F15" s="62">
        <v>3.0147E-2</v>
      </c>
      <c r="G15" s="62">
        <v>3.0679999999999999E-2</v>
      </c>
      <c r="H15" s="62">
        <v>3.2915E-2</v>
      </c>
      <c r="I15" s="62">
        <v>3.3315999999999998E-2</v>
      </c>
      <c r="J15" s="62">
        <v>3.4327000000000003E-2</v>
      </c>
      <c r="K15" s="62">
        <v>3.4419999999999999E-2</v>
      </c>
      <c r="L15" s="62">
        <v>3.4397000000000004E-2</v>
      </c>
      <c r="M15" s="62">
        <v>3.4717999999999999E-2</v>
      </c>
      <c r="N15" s="62">
        <v>3.5437999999999997E-2</v>
      </c>
      <c r="O15" s="62">
        <v>3.6396999999999999E-2</v>
      </c>
      <c r="P15" s="62">
        <v>3.7427000000000002E-2</v>
      </c>
      <c r="Q15" s="62">
        <v>3.8342999999999995E-2</v>
      </c>
      <c r="R15" s="62">
        <v>3.9126000000000001E-2</v>
      </c>
      <c r="S15" s="62">
        <v>3.9871999999999998E-2</v>
      </c>
      <c r="T15" s="62">
        <v>4.0561E-2</v>
      </c>
      <c r="U15" s="62">
        <v>4.1170999999999999E-2</v>
      </c>
      <c r="V15" s="62">
        <v>4.1676999999999999E-2</v>
      </c>
      <c r="W15" s="62">
        <v>4.2069000000000002E-2</v>
      </c>
      <c r="X15" s="62">
        <v>4.2358E-2</v>
      </c>
      <c r="Y15" s="62">
        <v>4.2558999999999993E-2</v>
      </c>
      <c r="Z15" s="62">
        <v>4.2686000000000002E-2</v>
      </c>
      <c r="AA15" s="62">
        <v>4.2755000000000001E-2</v>
      </c>
      <c r="AB15" s="62">
        <v>4.2784000000000003E-2</v>
      </c>
      <c r="AC15" s="62">
        <v>4.2790999999999996E-2</v>
      </c>
      <c r="AD15" s="62">
        <v>4.2796000000000001E-2</v>
      </c>
      <c r="AE15" s="62">
        <v>4.2819999999999997E-2</v>
      </c>
      <c r="AF15" s="62">
        <v>4.2885E-2</v>
      </c>
    </row>
    <row r="16" spans="1:32">
      <c r="A16" s="1">
        <v>40937</v>
      </c>
      <c r="B16" s="62">
        <v>1.9705999999999998E-2</v>
      </c>
      <c r="C16" s="62">
        <v>2.7757E-2</v>
      </c>
      <c r="D16" s="62">
        <v>2.8706999999999996E-2</v>
      </c>
      <c r="E16" s="62">
        <v>2.9045999999999999E-2</v>
      </c>
      <c r="F16" s="62">
        <v>3.0207000000000001E-2</v>
      </c>
      <c r="G16" s="62">
        <v>3.0647000000000001E-2</v>
      </c>
      <c r="H16" s="62">
        <v>3.2927999999999999E-2</v>
      </c>
      <c r="I16" s="62">
        <v>3.3350999999999999E-2</v>
      </c>
      <c r="J16" s="62">
        <v>3.4327999999999997E-2</v>
      </c>
      <c r="K16" s="62">
        <v>3.4403999999999997E-2</v>
      </c>
      <c r="L16" s="62">
        <v>3.4401000000000001E-2</v>
      </c>
      <c r="M16" s="62">
        <v>3.4738999999999999E-2</v>
      </c>
      <c r="N16" s="62">
        <v>3.5460999999999999E-2</v>
      </c>
      <c r="O16" s="62">
        <v>3.6412E-2</v>
      </c>
      <c r="P16" s="62">
        <v>3.7430999999999999E-2</v>
      </c>
      <c r="Q16" s="62">
        <v>3.8341E-2</v>
      </c>
      <c r="R16" s="62">
        <v>3.9121000000000003E-2</v>
      </c>
      <c r="S16" s="62">
        <v>3.9867E-2</v>
      </c>
      <c r="T16" s="62">
        <v>4.0556999999999996E-2</v>
      </c>
      <c r="U16" s="62">
        <v>4.1167999999999996E-2</v>
      </c>
      <c r="V16" s="62">
        <v>4.1675000000000004E-2</v>
      </c>
      <c r="W16" s="62">
        <v>4.2065999999999999E-2</v>
      </c>
      <c r="X16" s="62">
        <v>4.2355999999999998E-2</v>
      </c>
      <c r="Y16" s="62">
        <v>4.2556999999999998E-2</v>
      </c>
      <c r="Z16" s="62">
        <v>4.2684E-2</v>
      </c>
      <c r="AA16" s="62">
        <v>4.2752999999999999E-2</v>
      </c>
      <c r="AB16" s="62">
        <v>4.2782000000000001E-2</v>
      </c>
      <c r="AC16" s="62">
        <v>4.2789000000000001E-2</v>
      </c>
      <c r="AD16" s="62">
        <v>4.2793999999999999E-2</v>
      </c>
      <c r="AE16" s="62">
        <v>4.2817999999999995E-2</v>
      </c>
      <c r="AF16" s="62">
        <v>4.2882999999999998E-2</v>
      </c>
    </row>
    <row r="17" spans="1:32">
      <c r="A17" s="1">
        <v>40938</v>
      </c>
      <c r="B17" s="62">
        <v>1.6292000000000001E-2</v>
      </c>
      <c r="C17" s="62">
        <v>2.7757E-2</v>
      </c>
      <c r="D17" s="62">
        <v>2.8579E-2</v>
      </c>
      <c r="E17" s="62">
        <v>2.9090999999999999E-2</v>
      </c>
      <c r="F17" s="62">
        <v>3.0249999999999999E-2</v>
      </c>
      <c r="G17" s="62">
        <v>3.0896E-2</v>
      </c>
      <c r="H17" s="62">
        <v>3.3089E-2</v>
      </c>
      <c r="I17" s="62">
        <v>3.3427999999999999E-2</v>
      </c>
      <c r="J17" s="62">
        <v>3.4453999999999999E-2</v>
      </c>
      <c r="K17" s="62">
        <v>3.4597000000000003E-2</v>
      </c>
      <c r="L17" s="62">
        <v>3.4611999999999997E-2</v>
      </c>
      <c r="M17" s="62">
        <v>3.4949000000000001E-2</v>
      </c>
      <c r="N17" s="62">
        <v>3.5638000000000003E-2</v>
      </c>
      <c r="O17" s="62">
        <v>3.6539000000000002E-2</v>
      </c>
      <c r="P17" s="62">
        <v>3.7502000000000001E-2</v>
      </c>
      <c r="Q17" s="62">
        <v>3.8365999999999997E-2</v>
      </c>
      <c r="R17" s="62">
        <v>3.9122999999999998E-2</v>
      </c>
      <c r="S17" s="62">
        <v>3.9867E-2</v>
      </c>
      <c r="T17" s="62">
        <v>4.0566999999999999E-2</v>
      </c>
      <c r="U17" s="62">
        <v>4.1193E-2</v>
      </c>
      <c r="V17" s="62">
        <v>4.1707999999999995E-2</v>
      </c>
      <c r="W17" s="62">
        <v>4.2099999999999999E-2</v>
      </c>
      <c r="X17" s="62">
        <v>4.2389999999999997E-2</v>
      </c>
      <c r="Y17" s="62">
        <v>4.2591999999999998E-2</v>
      </c>
      <c r="Z17" s="62">
        <v>4.2720000000000001E-2</v>
      </c>
      <c r="AA17" s="62">
        <v>4.2790000000000002E-2</v>
      </c>
      <c r="AB17" s="62">
        <v>4.2819000000000003E-2</v>
      </c>
      <c r="AC17" s="62">
        <v>4.2827000000000004E-2</v>
      </c>
      <c r="AD17" s="62">
        <v>4.2832000000000002E-2</v>
      </c>
      <c r="AE17" s="62">
        <v>4.2855999999999998E-2</v>
      </c>
      <c r="AF17" s="62">
        <v>4.2922000000000002E-2</v>
      </c>
    </row>
    <row r="18" spans="1:32">
      <c r="A18" s="1">
        <v>40939</v>
      </c>
      <c r="B18" s="62">
        <v>1.7388999999999998E-2</v>
      </c>
      <c r="C18" s="62">
        <v>2.7658000000000002E-2</v>
      </c>
      <c r="D18" s="62">
        <v>2.8624999999999998E-2</v>
      </c>
      <c r="E18" s="62">
        <v>2.9127E-2</v>
      </c>
      <c r="F18" s="62">
        <v>3.0394000000000001E-2</v>
      </c>
      <c r="G18" s="62">
        <v>3.0825000000000002E-2</v>
      </c>
      <c r="H18" s="62">
        <v>3.3146000000000002E-2</v>
      </c>
      <c r="I18" s="62">
        <v>3.3533E-2</v>
      </c>
      <c r="J18" s="62">
        <v>3.4557000000000004E-2</v>
      </c>
      <c r="K18" s="62">
        <v>3.4666999999999996E-2</v>
      </c>
      <c r="L18" s="62">
        <v>3.4672000000000001E-2</v>
      </c>
      <c r="M18" s="62">
        <v>3.4998999999999995E-2</v>
      </c>
      <c r="N18" s="62">
        <v>3.5680999999999997E-2</v>
      </c>
      <c r="O18" s="62">
        <v>3.6575999999999997E-2</v>
      </c>
      <c r="P18" s="62">
        <v>3.7533999999999998E-2</v>
      </c>
      <c r="Q18" s="62">
        <v>3.8391000000000002E-2</v>
      </c>
      <c r="R18" s="62">
        <v>3.9147000000000001E-2</v>
      </c>
      <c r="S18" s="62">
        <v>3.9900999999999999E-2</v>
      </c>
      <c r="T18" s="62">
        <v>4.0612000000000002E-2</v>
      </c>
      <c r="U18" s="62">
        <v>4.1238000000000004E-2</v>
      </c>
      <c r="V18" s="62">
        <v>4.1732999999999999E-2</v>
      </c>
      <c r="W18" s="62">
        <v>4.2091999999999997E-2</v>
      </c>
      <c r="X18" s="62">
        <v>4.2350000000000006E-2</v>
      </c>
      <c r="Y18" s="62">
        <v>4.2522999999999998E-2</v>
      </c>
      <c r="Z18" s="62">
        <v>4.2625000000000003E-2</v>
      </c>
      <c r="AA18" s="62">
        <v>4.2674000000000004E-2</v>
      </c>
      <c r="AB18" s="62">
        <v>4.2687999999999997E-2</v>
      </c>
      <c r="AC18" s="62">
        <v>4.2686000000000002E-2</v>
      </c>
      <c r="AD18" s="62">
        <v>4.2689000000000005E-2</v>
      </c>
      <c r="AE18" s="62">
        <v>4.2718999999999993E-2</v>
      </c>
      <c r="AF18" s="62">
        <v>4.2790999999999996E-2</v>
      </c>
    </row>
    <row r="19" spans="1:32">
      <c r="A19" s="1">
        <v>40940</v>
      </c>
      <c r="B19" s="62">
        <v>1.7364000000000001E-2</v>
      </c>
      <c r="C19" s="62">
        <v>2.7829000000000003E-2</v>
      </c>
      <c r="D19" s="62">
        <v>2.8767999999999998E-2</v>
      </c>
      <c r="E19" s="62">
        <v>2.9312999999999999E-2</v>
      </c>
      <c r="F19" s="62">
        <v>3.0447000000000002E-2</v>
      </c>
      <c r="G19" s="62">
        <v>3.15E-2</v>
      </c>
      <c r="H19" s="62">
        <v>3.3576000000000002E-2</v>
      </c>
      <c r="I19" s="62">
        <v>3.4098000000000003E-2</v>
      </c>
      <c r="J19" s="62">
        <v>3.4901000000000001E-2</v>
      </c>
      <c r="K19" s="62">
        <v>3.4966999999999998E-2</v>
      </c>
      <c r="L19" s="62">
        <v>3.4915000000000002E-2</v>
      </c>
      <c r="M19" s="62">
        <v>3.5215999999999997E-2</v>
      </c>
      <c r="N19" s="62">
        <v>3.5874000000000003E-2</v>
      </c>
      <c r="O19" s="62">
        <v>3.6746000000000001E-2</v>
      </c>
      <c r="P19" s="62">
        <v>3.7679999999999998E-2</v>
      </c>
      <c r="Q19" s="62">
        <v>3.8509000000000002E-2</v>
      </c>
      <c r="R19" s="62">
        <v>3.9251000000000001E-2</v>
      </c>
      <c r="S19" s="62">
        <v>4.0007000000000001E-2</v>
      </c>
      <c r="T19" s="62">
        <v>4.0730000000000002E-2</v>
      </c>
      <c r="U19" s="62">
        <v>4.1368000000000002E-2</v>
      </c>
      <c r="V19" s="62">
        <v>4.1863000000000004E-2</v>
      </c>
      <c r="W19" s="62">
        <v>4.2217999999999999E-2</v>
      </c>
      <c r="X19" s="62">
        <v>4.2480000000000004E-2</v>
      </c>
      <c r="Y19" s="62">
        <v>4.2662000000000005E-2</v>
      </c>
      <c r="Z19" s="62">
        <v>4.2777000000000003E-2</v>
      </c>
      <c r="AA19" s="62">
        <v>4.2839000000000002E-2</v>
      </c>
      <c r="AB19" s="62">
        <v>4.2862999999999998E-2</v>
      </c>
      <c r="AC19" s="62">
        <v>4.2865E-2</v>
      </c>
      <c r="AD19" s="62">
        <v>4.2864000000000006E-2</v>
      </c>
      <c r="AE19" s="62">
        <v>4.2876000000000004E-2</v>
      </c>
      <c r="AF19" s="62">
        <v>4.2923000000000003E-2</v>
      </c>
    </row>
    <row r="20" spans="1:32">
      <c r="A20" s="1">
        <v>40941</v>
      </c>
      <c r="B20" s="62">
        <v>1.7388999999999998E-2</v>
      </c>
      <c r="C20" s="62">
        <v>2.7732999999999997E-2</v>
      </c>
      <c r="D20" s="62">
        <v>2.8946999999999997E-2</v>
      </c>
      <c r="E20" s="62">
        <v>2.9293E-2</v>
      </c>
      <c r="F20" s="62">
        <v>3.0516999999999999E-2</v>
      </c>
      <c r="G20" s="62">
        <v>3.1433000000000003E-2</v>
      </c>
      <c r="H20" s="62">
        <v>3.3793000000000004E-2</v>
      </c>
      <c r="I20" s="62">
        <v>3.4162999999999999E-2</v>
      </c>
      <c r="J20" s="62">
        <v>3.4992999999999996E-2</v>
      </c>
      <c r="K20" s="62">
        <v>3.5034999999999997E-2</v>
      </c>
      <c r="L20" s="62">
        <v>3.5012000000000001E-2</v>
      </c>
      <c r="M20" s="62">
        <v>3.5309E-2</v>
      </c>
      <c r="N20" s="62">
        <v>3.5956999999999996E-2</v>
      </c>
      <c r="O20" s="62">
        <v>3.6814E-2</v>
      </c>
      <c r="P20" s="62">
        <v>3.7732000000000002E-2</v>
      </c>
      <c r="Q20" s="62">
        <v>3.8547999999999999E-2</v>
      </c>
      <c r="R20" s="62">
        <v>3.9281999999999997E-2</v>
      </c>
      <c r="S20" s="62">
        <v>4.0037000000000003E-2</v>
      </c>
      <c r="T20" s="62">
        <v>4.0763999999999995E-2</v>
      </c>
      <c r="U20" s="62">
        <v>4.1407999999999993E-2</v>
      </c>
      <c r="V20" s="62">
        <v>4.1905999999999999E-2</v>
      </c>
      <c r="W20" s="62">
        <v>4.2259999999999999E-2</v>
      </c>
      <c r="X20" s="62">
        <v>4.2522999999999998E-2</v>
      </c>
      <c r="Y20" s="62">
        <v>4.2705E-2</v>
      </c>
      <c r="Z20" s="62">
        <v>4.2819999999999997E-2</v>
      </c>
      <c r="AA20" s="62">
        <v>4.2881999999999997E-2</v>
      </c>
      <c r="AB20" s="62">
        <v>4.2907000000000001E-2</v>
      </c>
      <c r="AC20" s="62">
        <v>4.2908999999999996E-2</v>
      </c>
      <c r="AD20" s="62">
        <v>4.2908000000000002E-2</v>
      </c>
      <c r="AE20" s="62">
        <v>4.2920999999999994E-2</v>
      </c>
      <c r="AF20" s="62">
        <v>4.2967000000000005E-2</v>
      </c>
    </row>
    <row r="21" spans="1:32">
      <c r="A21" s="1">
        <v>40942</v>
      </c>
      <c r="B21" s="62">
        <v>1.6955999999999999E-2</v>
      </c>
      <c r="C21" s="62">
        <v>2.7803000000000001E-2</v>
      </c>
      <c r="D21" s="62">
        <v>2.8961000000000001E-2</v>
      </c>
      <c r="E21" s="62">
        <v>2.9291000000000001E-2</v>
      </c>
      <c r="F21" s="62">
        <v>3.0520000000000002E-2</v>
      </c>
      <c r="G21" s="62">
        <v>3.1475000000000003E-2</v>
      </c>
      <c r="H21" s="62">
        <v>3.3696999999999998E-2</v>
      </c>
      <c r="I21" s="62">
        <v>3.4203000000000004E-2</v>
      </c>
      <c r="J21" s="62">
        <v>3.4959999999999998E-2</v>
      </c>
      <c r="K21" s="62">
        <v>3.5012000000000001E-2</v>
      </c>
      <c r="L21" s="62">
        <v>3.4955E-2</v>
      </c>
      <c r="M21" s="62">
        <v>3.5255999999999996E-2</v>
      </c>
      <c r="N21" s="62">
        <v>3.5910000000000004E-2</v>
      </c>
      <c r="O21" s="62">
        <v>3.6775000000000002E-2</v>
      </c>
      <c r="P21" s="62">
        <v>3.7700999999999998E-2</v>
      </c>
      <c r="Q21" s="62">
        <v>3.8523999999999996E-2</v>
      </c>
      <c r="R21" s="62">
        <v>3.9260999999999997E-2</v>
      </c>
      <c r="S21" s="62">
        <v>4.0016999999999997E-2</v>
      </c>
      <c r="T21" s="62">
        <v>4.0742E-2</v>
      </c>
      <c r="U21" s="62">
        <v>4.1383000000000003E-2</v>
      </c>
      <c r="V21" s="62">
        <v>4.1880000000000001E-2</v>
      </c>
      <c r="W21" s="62">
        <v>4.2234000000000001E-2</v>
      </c>
      <c r="X21" s="62">
        <v>4.2497E-2</v>
      </c>
      <c r="Y21" s="62">
        <v>4.2679000000000002E-2</v>
      </c>
      <c r="Z21" s="62">
        <v>4.2793999999999999E-2</v>
      </c>
      <c r="AA21" s="62">
        <v>4.2855999999999998E-2</v>
      </c>
      <c r="AB21" s="62">
        <v>4.2881000000000002E-2</v>
      </c>
      <c r="AC21" s="62">
        <v>4.2882999999999998E-2</v>
      </c>
      <c r="AD21" s="62">
        <v>4.2881999999999997E-2</v>
      </c>
      <c r="AE21" s="62">
        <v>4.2895000000000003E-2</v>
      </c>
      <c r="AF21" s="62">
        <v>4.2941E-2</v>
      </c>
    </row>
    <row r="22" spans="1:32">
      <c r="A22" s="1">
        <v>40945</v>
      </c>
      <c r="B22" s="62">
        <v>1.5464E-2</v>
      </c>
      <c r="C22" s="62">
        <v>2.8131E-2</v>
      </c>
      <c r="D22" s="62">
        <v>2.8976000000000002E-2</v>
      </c>
      <c r="E22" s="62">
        <v>2.9382999999999999E-2</v>
      </c>
      <c r="F22" s="62">
        <v>3.1015999999999998E-2</v>
      </c>
      <c r="G22" s="62">
        <v>3.1780000000000003E-2</v>
      </c>
      <c r="H22" s="62">
        <v>3.4119999999999998E-2</v>
      </c>
      <c r="I22" s="62">
        <v>3.4550999999999998E-2</v>
      </c>
      <c r="J22" s="62">
        <v>3.5371E-2</v>
      </c>
      <c r="K22" s="62">
        <v>3.5445999999999998E-2</v>
      </c>
      <c r="L22" s="62">
        <v>3.5404999999999999E-2</v>
      </c>
      <c r="M22" s="62">
        <v>3.5682999999999999E-2</v>
      </c>
      <c r="N22" s="62">
        <v>3.6287E-2</v>
      </c>
      <c r="O22" s="62">
        <v>3.7087000000000002E-2</v>
      </c>
      <c r="P22" s="62">
        <v>3.7942000000000004E-2</v>
      </c>
      <c r="Q22" s="62">
        <v>3.8700999999999999E-2</v>
      </c>
      <c r="R22" s="62">
        <v>3.9403000000000001E-2</v>
      </c>
      <c r="S22" s="62">
        <v>4.0156999999999998E-2</v>
      </c>
      <c r="T22" s="62">
        <v>4.0899999999999999E-2</v>
      </c>
      <c r="U22" s="62">
        <v>4.1563999999999997E-2</v>
      </c>
      <c r="V22" s="62">
        <v>4.2074E-2</v>
      </c>
      <c r="W22" s="62">
        <v>4.2430000000000002E-2</v>
      </c>
      <c r="X22" s="62">
        <v>4.2694000000000003E-2</v>
      </c>
      <c r="Y22" s="62">
        <v>4.2877999999999999E-2</v>
      </c>
      <c r="Z22" s="62">
        <v>4.2994000000000004E-2</v>
      </c>
      <c r="AA22" s="62">
        <v>4.3056999999999998E-2</v>
      </c>
      <c r="AB22" s="62">
        <v>4.3082000000000002E-2</v>
      </c>
      <c r="AC22" s="62">
        <v>4.3085000000000005E-2</v>
      </c>
      <c r="AD22" s="62">
        <v>4.3085000000000005E-2</v>
      </c>
      <c r="AE22" s="62">
        <v>4.3097999999999997E-2</v>
      </c>
      <c r="AF22" s="62">
        <v>4.3146000000000004E-2</v>
      </c>
    </row>
    <row r="23" spans="1:32">
      <c r="A23" s="1">
        <v>40946</v>
      </c>
      <c r="B23" s="62">
        <v>1.5481E-2</v>
      </c>
      <c r="C23" s="62">
        <v>2.8176E-2</v>
      </c>
      <c r="D23" s="62">
        <v>2.8988E-2</v>
      </c>
      <c r="E23" s="62">
        <v>2.9352E-2</v>
      </c>
      <c r="F23" s="62">
        <v>3.0889000000000003E-2</v>
      </c>
      <c r="G23" s="62">
        <v>3.1738000000000002E-2</v>
      </c>
      <c r="H23" s="62">
        <v>3.4028999999999997E-2</v>
      </c>
      <c r="I23" s="62">
        <v>3.4571999999999999E-2</v>
      </c>
      <c r="J23" s="62">
        <v>3.5388000000000003E-2</v>
      </c>
      <c r="K23" s="62">
        <v>3.5464999999999997E-2</v>
      </c>
      <c r="L23" s="62">
        <v>3.5441E-2</v>
      </c>
      <c r="M23" s="62">
        <v>3.5718E-2</v>
      </c>
      <c r="N23" s="62">
        <v>3.6323000000000001E-2</v>
      </c>
      <c r="O23" s="62">
        <v>3.7122000000000002E-2</v>
      </c>
      <c r="P23" s="62">
        <v>3.7976000000000003E-2</v>
      </c>
      <c r="Q23" s="62">
        <v>3.8734999999999999E-2</v>
      </c>
      <c r="R23" s="62">
        <v>3.9437E-2</v>
      </c>
      <c r="S23" s="62">
        <v>4.0190999999999998E-2</v>
      </c>
      <c r="T23" s="62">
        <v>4.0933999999999998E-2</v>
      </c>
      <c r="U23" s="62">
        <v>4.1597999999999996E-2</v>
      </c>
      <c r="V23" s="62">
        <v>4.2108E-2</v>
      </c>
      <c r="W23" s="62">
        <v>4.2464000000000002E-2</v>
      </c>
      <c r="X23" s="62">
        <v>4.2727000000000001E-2</v>
      </c>
      <c r="Y23" s="62">
        <v>4.2911000000000005E-2</v>
      </c>
      <c r="Z23" s="62">
        <v>4.3026999999999996E-2</v>
      </c>
      <c r="AA23" s="62">
        <v>4.3089000000000002E-2</v>
      </c>
      <c r="AB23" s="62">
        <v>4.3114E-2</v>
      </c>
      <c r="AC23" s="62">
        <v>4.3117000000000003E-2</v>
      </c>
      <c r="AD23" s="62">
        <v>4.3116000000000002E-2</v>
      </c>
      <c r="AE23" s="62">
        <v>4.3129999999999995E-2</v>
      </c>
      <c r="AF23" s="62">
        <v>4.3177E-2</v>
      </c>
    </row>
    <row r="24" spans="1:32">
      <c r="A24" s="1">
        <v>40947</v>
      </c>
      <c r="B24" s="62">
        <v>1.5381000000000001E-2</v>
      </c>
      <c r="C24" s="62">
        <v>2.9275000000000002E-2</v>
      </c>
      <c r="D24" s="62">
        <v>2.9628000000000002E-2</v>
      </c>
      <c r="E24" s="62">
        <v>3.0001000000000003E-2</v>
      </c>
      <c r="F24" s="62">
        <v>3.1181E-2</v>
      </c>
      <c r="G24" s="62">
        <v>3.2028000000000001E-2</v>
      </c>
      <c r="H24" s="62">
        <v>3.4211999999999999E-2</v>
      </c>
      <c r="I24" s="62">
        <v>3.4706000000000001E-2</v>
      </c>
      <c r="J24" s="62">
        <v>3.5716999999999999E-2</v>
      </c>
      <c r="K24" s="62">
        <v>3.5761000000000001E-2</v>
      </c>
      <c r="L24" s="62">
        <v>3.5729000000000004E-2</v>
      </c>
      <c r="M24" s="62">
        <v>3.5992000000000003E-2</v>
      </c>
      <c r="N24" s="62">
        <v>3.6562000000000004E-2</v>
      </c>
      <c r="O24" s="62">
        <v>3.7317000000000003E-2</v>
      </c>
      <c r="P24" s="62">
        <v>3.8122999999999997E-2</v>
      </c>
      <c r="Q24" s="62">
        <v>3.8837999999999998E-2</v>
      </c>
      <c r="R24" s="62">
        <v>3.9516000000000003E-2</v>
      </c>
      <c r="S24" s="62">
        <v>4.0266999999999997E-2</v>
      </c>
      <c r="T24" s="62">
        <v>4.1021999999999996E-2</v>
      </c>
      <c r="U24" s="62">
        <v>4.1703000000000004E-2</v>
      </c>
      <c r="V24" s="62">
        <v>4.2224000000000005E-2</v>
      </c>
      <c r="W24" s="62">
        <v>4.2583000000000003E-2</v>
      </c>
      <c r="X24" s="62">
        <v>4.2840999999999997E-2</v>
      </c>
      <c r="Y24" s="62">
        <v>4.3014999999999998E-2</v>
      </c>
      <c r="Z24" s="62">
        <v>4.3117999999999997E-2</v>
      </c>
      <c r="AA24" s="62">
        <v>4.3167999999999998E-2</v>
      </c>
      <c r="AB24" s="62">
        <v>4.3182999999999999E-2</v>
      </c>
      <c r="AC24" s="62">
        <v>4.3182999999999999E-2</v>
      </c>
      <c r="AD24" s="62">
        <v>4.3186999999999996E-2</v>
      </c>
      <c r="AE24" s="62">
        <v>4.3216999999999998E-2</v>
      </c>
      <c r="AF24" s="62">
        <v>4.3289000000000001E-2</v>
      </c>
    </row>
    <row r="25" spans="1:32">
      <c r="A25" s="1">
        <v>40948</v>
      </c>
      <c r="B25" s="62">
        <v>1.5381000000000001E-2</v>
      </c>
      <c r="C25" s="62">
        <v>2.9588999999999997E-2</v>
      </c>
      <c r="D25" s="62">
        <v>3.0240999999999997E-2</v>
      </c>
      <c r="E25" s="62">
        <v>3.0529999999999998E-2</v>
      </c>
      <c r="F25" s="62">
        <v>3.1669000000000003E-2</v>
      </c>
      <c r="G25" s="62">
        <v>3.2059000000000004E-2</v>
      </c>
      <c r="H25" s="62">
        <v>3.4556000000000003E-2</v>
      </c>
      <c r="I25" s="62">
        <v>3.4992000000000002E-2</v>
      </c>
      <c r="J25" s="62">
        <v>3.6019999999999996E-2</v>
      </c>
      <c r="K25" s="62">
        <v>3.6072E-2</v>
      </c>
      <c r="L25" s="62">
        <v>3.6046999999999996E-2</v>
      </c>
      <c r="M25" s="62">
        <v>3.6291999999999998E-2</v>
      </c>
      <c r="N25" s="62">
        <v>3.6825000000000004E-2</v>
      </c>
      <c r="O25" s="62">
        <v>3.7530000000000001E-2</v>
      </c>
      <c r="P25" s="62">
        <v>3.8282999999999998E-2</v>
      </c>
      <c r="Q25" s="62">
        <v>3.8951E-2</v>
      </c>
      <c r="R25" s="62">
        <v>3.9581999999999999E-2</v>
      </c>
      <c r="S25" s="62">
        <v>4.0281000000000004E-2</v>
      </c>
      <c r="T25" s="62">
        <v>4.0984999999999994E-2</v>
      </c>
      <c r="U25" s="62">
        <v>4.1624999999999995E-2</v>
      </c>
      <c r="V25" s="62">
        <v>4.2125000000000003E-2</v>
      </c>
      <c r="W25" s="62">
        <v>4.2477999999999995E-2</v>
      </c>
      <c r="X25" s="62">
        <v>4.2741000000000001E-2</v>
      </c>
      <c r="Y25" s="62">
        <v>4.2923000000000003E-2</v>
      </c>
      <c r="Z25" s="62">
        <v>4.3038999999999994E-2</v>
      </c>
      <c r="AA25" s="62">
        <v>4.3102999999999995E-2</v>
      </c>
      <c r="AB25" s="62">
        <v>4.3129999999999995E-2</v>
      </c>
      <c r="AC25" s="62">
        <v>4.3137000000000002E-2</v>
      </c>
      <c r="AD25" s="62">
        <v>4.3139999999999998E-2</v>
      </c>
      <c r="AE25" s="62">
        <v>4.3159000000000003E-2</v>
      </c>
      <c r="AF25" s="62">
        <v>4.3213000000000001E-2</v>
      </c>
    </row>
    <row r="26" spans="1:32">
      <c r="A26" s="1">
        <v>40949</v>
      </c>
      <c r="B26" s="62">
        <v>1.6680999999999998E-2</v>
      </c>
      <c r="C26" s="62">
        <v>2.9547E-2</v>
      </c>
      <c r="D26" s="62">
        <v>3.0320999999999997E-2</v>
      </c>
      <c r="E26" s="62">
        <v>3.0494E-2</v>
      </c>
      <c r="F26" s="62">
        <v>3.1567999999999999E-2</v>
      </c>
      <c r="G26" s="62">
        <v>3.1925000000000002E-2</v>
      </c>
      <c r="H26" s="62">
        <v>3.4359000000000001E-2</v>
      </c>
      <c r="I26" s="62">
        <v>3.4792000000000003E-2</v>
      </c>
      <c r="J26" s="62">
        <v>3.5844000000000001E-2</v>
      </c>
      <c r="K26" s="62">
        <v>3.5922000000000003E-2</v>
      </c>
      <c r="L26" s="62">
        <v>3.5830000000000001E-2</v>
      </c>
      <c r="M26" s="62">
        <v>3.6088000000000002E-2</v>
      </c>
      <c r="N26" s="62">
        <v>3.6645999999999998E-2</v>
      </c>
      <c r="O26" s="62">
        <v>3.7381000000000005E-2</v>
      </c>
      <c r="P26" s="62">
        <v>3.8166000000000005E-2</v>
      </c>
      <c r="Q26" s="62">
        <v>3.8863000000000002E-2</v>
      </c>
      <c r="R26" s="62">
        <v>3.9510999999999998E-2</v>
      </c>
      <c r="S26" s="62">
        <v>4.0210999999999997E-2</v>
      </c>
      <c r="T26" s="62">
        <v>4.0906000000000005E-2</v>
      </c>
      <c r="U26" s="62">
        <v>4.1535999999999997E-2</v>
      </c>
      <c r="V26" s="62">
        <v>4.2030000000000005E-2</v>
      </c>
      <c r="W26" s="62">
        <v>4.2382999999999997E-2</v>
      </c>
      <c r="X26" s="62">
        <v>4.2644000000000001E-2</v>
      </c>
      <c r="Y26" s="62">
        <v>4.2827000000000004E-2</v>
      </c>
      <c r="Z26" s="62">
        <v>4.2942000000000001E-2</v>
      </c>
      <c r="AA26" s="62">
        <v>4.3006000000000003E-2</v>
      </c>
      <c r="AB26" s="62">
        <v>4.3033000000000002E-2</v>
      </c>
      <c r="AC26" s="62">
        <v>4.3038999999999994E-2</v>
      </c>
      <c r="AD26" s="62">
        <v>4.3041999999999997E-2</v>
      </c>
      <c r="AE26" s="62">
        <v>4.3060000000000001E-2</v>
      </c>
      <c r="AF26" s="62">
        <v>4.3114E-2</v>
      </c>
    </row>
    <row r="27" spans="1:32">
      <c r="A27" s="1">
        <v>40952</v>
      </c>
      <c r="B27" s="62">
        <v>1.6697E-2</v>
      </c>
      <c r="C27" s="62">
        <v>2.9037E-2</v>
      </c>
      <c r="D27" s="62">
        <v>2.997E-2</v>
      </c>
      <c r="E27" s="62">
        <v>3.0497999999999997E-2</v>
      </c>
      <c r="F27" s="62">
        <v>3.1206000000000001E-2</v>
      </c>
      <c r="G27" s="62">
        <v>3.1606999999999996E-2</v>
      </c>
      <c r="H27" s="62">
        <v>3.4002999999999999E-2</v>
      </c>
      <c r="I27" s="62">
        <v>3.4564999999999999E-2</v>
      </c>
      <c r="J27" s="62">
        <v>3.5869999999999999E-2</v>
      </c>
      <c r="K27" s="62">
        <v>3.5924999999999999E-2</v>
      </c>
      <c r="L27" s="62">
        <v>3.5790000000000002E-2</v>
      </c>
      <c r="M27" s="62">
        <v>3.6047999999999997E-2</v>
      </c>
      <c r="N27" s="62">
        <v>3.6603999999999998E-2</v>
      </c>
      <c r="O27" s="62">
        <v>3.7336999999999995E-2</v>
      </c>
      <c r="P27" s="62">
        <v>3.8120000000000001E-2</v>
      </c>
      <c r="Q27" s="62">
        <v>3.8814000000000001E-2</v>
      </c>
      <c r="R27" s="62">
        <v>3.9459000000000001E-2</v>
      </c>
      <c r="S27" s="62">
        <v>4.0155000000000003E-2</v>
      </c>
      <c r="T27" s="62">
        <v>4.0849000000000003E-2</v>
      </c>
      <c r="U27" s="62">
        <v>4.1478000000000001E-2</v>
      </c>
      <c r="V27" s="62">
        <v>4.1978000000000001E-2</v>
      </c>
      <c r="W27" s="62">
        <v>4.2332000000000002E-2</v>
      </c>
      <c r="X27" s="62">
        <v>4.2583999999999997E-2</v>
      </c>
      <c r="Y27" s="62">
        <v>4.2748999999999995E-2</v>
      </c>
      <c r="Z27" s="62">
        <v>4.2842999999999999E-2</v>
      </c>
      <c r="AA27" s="62">
        <v>4.2886000000000001E-2</v>
      </c>
      <c r="AB27" s="62">
        <v>4.2897999999999999E-2</v>
      </c>
      <c r="AC27" s="62">
        <v>4.2899E-2</v>
      </c>
      <c r="AD27" s="62">
        <v>4.2913E-2</v>
      </c>
      <c r="AE27" s="62">
        <v>4.2962999999999994E-2</v>
      </c>
      <c r="AF27" s="62">
        <v>4.3052E-2</v>
      </c>
    </row>
    <row r="28" spans="1:32">
      <c r="A28" s="1">
        <v>40953</v>
      </c>
      <c r="B28" s="62">
        <v>1.9786999999999999E-2</v>
      </c>
      <c r="C28" s="62">
        <v>2.9325E-2</v>
      </c>
      <c r="D28" s="62">
        <v>3.0099000000000001E-2</v>
      </c>
      <c r="E28" s="62">
        <v>3.0404E-2</v>
      </c>
      <c r="F28" s="62">
        <v>3.1206000000000001E-2</v>
      </c>
      <c r="G28" s="62">
        <v>3.1702000000000001E-2</v>
      </c>
      <c r="H28" s="62">
        <v>3.3794999999999999E-2</v>
      </c>
      <c r="I28" s="62">
        <v>3.4543999999999998E-2</v>
      </c>
      <c r="J28" s="62">
        <v>3.5859000000000002E-2</v>
      </c>
      <c r="K28" s="62">
        <v>3.5931999999999999E-2</v>
      </c>
      <c r="L28" s="62">
        <v>3.5804999999999997E-2</v>
      </c>
      <c r="M28" s="62">
        <v>3.6062999999999998E-2</v>
      </c>
      <c r="N28" s="62">
        <v>3.6617000000000004E-2</v>
      </c>
      <c r="O28" s="62">
        <v>3.7349E-2</v>
      </c>
      <c r="P28" s="62">
        <v>3.8128999999999996E-2</v>
      </c>
      <c r="Q28" s="62">
        <v>3.8821000000000001E-2</v>
      </c>
      <c r="R28" s="62">
        <v>3.9467000000000002E-2</v>
      </c>
      <c r="S28" s="62">
        <v>4.0167000000000001E-2</v>
      </c>
      <c r="T28" s="62">
        <v>4.0864000000000004E-2</v>
      </c>
      <c r="U28" s="62">
        <v>4.1493000000000002E-2</v>
      </c>
      <c r="V28" s="62">
        <v>4.1984E-2</v>
      </c>
      <c r="W28" s="62">
        <v>4.2332000000000002E-2</v>
      </c>
      <c r="X28" s="62">
        <v>4.2588999999999995E-2</v>
      </c>
      <c r="Y28" s="62">
        <v>4.2769000000000001E-2</v>
      </c>
      <c r="Z28" s="62">
        <v>4.2881999999999997E-2</v>
      </c>
      <c r="AA28" s="62">
        <v>4.2945000000000004E-2</v>
      </c>
      <c r="AB28" s="62">
        <v>4.2969999999999994E-2</v>
      </c>
      <c r="AC28" s="62">
        <v>4.2975000000000006E-2</v>
      </c>
      <c r="AD28" s="62">
        <v>4.2977000000000001E-2</v>
      </c>
      <c r="AE28" s="62">
        <v>4.2994000000000004E-2</v>
      </c>
      <c r="AF28" s="62">
        <v>4.3045E-2</v>
      </c>
    </row>
    <row r="29" spans="1:32">
      <c r="A29" s="1">
        <v>40954</v>
      </c>
      <c r="B29" s="62">
        <v>1.9889E-2</v>
      </c>
      <c r="C29" s="62">
        <v>2.9437000000000001E-2</v>
      </c>
      <c r="D29" s="62">
        <v>3.0377999999999999E-2</v>
      </c>
      <c r="E29" s="62">
        <v>3.0495000000000001E-2</v>
      </c>
      <c r="F29" s="62">
        <v>3.1620000000000002E-2</v>
      </c>
      <c r="G29" s="62">
        <v>3.1928999999999999E-2</v>
      </c>
      <c r="H29" s="62">
        <v>3.3995000000000004E-2</v>
      </c>
      <c r="I29" s="62">
        <v>3.4937999999999997E-2</v>
      </c>
      <c r="J29" s="62">
        <v>3.6061999999999997E-2</v>
      </c>
      <c r="K29" s="62">
        <v>3.6083999999999998E-2</v>
      </c>
      <c r="L29" s="62">
        <v>3.5976000000000001E-2</v>
      </c>
      <c r="M29" s="62">
        <v>3.6226000000000001E-2</v>
      </c>
      <c r="N29" s="62">
        <v>3.6763999999999998E-2</v>
      </c>
      <c r="O29" s="62">
        <v>3.7472999999999999E-2</v>
      </c>
      <c r="P29" s="62">
        <v>3.8228999999999999E-2</v>
      </c>
      <c r="Q29" s="62">
        <v>3.8900000000000004E-2</v>
      </c>
      <c r="R29" s="62">
        <v>3.9532999999999999E-2</v>
      </c>
      <c r="S29" s="62">
        <v>4.0232999999999998E-2</v>
      </c>
      <c r="T29" s="62">
        <v>4.0937000000000001E-2</v>
      </c>
      <c r="U29" s="62">
        <v>4.1575000000000001E-2</v>
      </c>
      <c r="V29" s="62">
        <v>4.2069999999999996E-2</v>
      </c>
      <c r="W29" s="62">
        <v>4.2419000000000005E-2</v>
      </c>
      <c r="X29" s="62">
        <v>4.2678000000000001E-2</v>
      </c>
      <c r="Y29" s="62">
        <v>4.2858E-2</v>
      </c>
      <c r="Z29" s="62">
        <v>4.2972000000000003E-2</v>
      </c>
      <c r="AA29" s="62">
        <v>4.3034999999999997E-2</v>
      </c>
      <c r="AB29" s="62">
        <v>4.3060999999999995E-2</v>
      </c>
      <c r="AC29" s="62">
        <v>4.3067000000000001E-2</v>
      </c>
      <c r="AD29" s="62">
        <v>4.3068999999999996E-2</v>
      </c>
      <c r="AE29" s="62">
        <v>4.3085999999999999E-2</v>
      </c>
      <c r="AF29" s="62">
        <v>4.3137999999999996E-2</v>
      </c>
    </row>
    <row r="30" spans="1:32">
      <c r="A30" s="1">
        <v>40955</v>
      </c>
      <c r="B30" s="62">
        <v>2.5739000000000001E-2</v>
      </c>
      <c r="C30" s="62">
        <v>2.9695999999999997E-2</v>
      </c>
      <c r="D30" s="62">
        <v>3.0435E-2</v>
      </c>
      <c r="E30" s="62">
        <v>3.0613000000000001E-2</v>
      </c>
      <c r="F30" s="62">
        <v>3.1709999999999995E-2</v>
      </c>
      <c r="G30" s="62">
        <v>3.2031999999999998E-2</v>
      </c>
      <c r="H30" s="62">
        <v>3.4027000000000002E-2</v>
      </c>
      <c r="I30" s="62">
        <v>3.5025000000000001E-2</v>
      </c>
      <c r="J30" s="62">
        <v>3.601E-2</v>
      </c>
      <c r="K30" s="62">
        <v>3.6014999999999998E-2</v>
      </c>
      <c r="L30" s="62">
        <v>3.5997000000000001E-2</v>
      </c>
      <c r="M30" s="62">
        <v>3.6248999999999997E-2</v>
      </c>
      <c r="N30" s="62">
        <v>3.6783999999999997E-2</v>
      </c>
      <c r="O30" s="62">
        <v>3.7488E-2</v>
      </c>
      <c r="P30" s="62">
        <v>3.8239000000000002E-2</v>
      </c>
      <c r="Q30" s="62">
        <v>3.8906000000000003E-2</v>
      </c>
      <c r="R30" s="62">
        <v>3.9535000000000001E-2</v>
      </c>
      <c r="S30" s="62">
        <v>4.0232000000000004E-2</v>
      </c>
      <c r="T30" s="62">
        <v>4.0933000000000004E-2</v>
      </c>
      <c r="U30" s="62">
        <v>4.1572999999999999E-2</v>
      </c>
      <c r="V30" s="62">
        <v>4.2079000000000005E-2</v>
      </c>
      <c r="W30" s="62">
        <v>4.2436000000000001E-2</v>
      </c>
      <c r="X30" s="62">
        <v>4.2694000000000003E-2</v>
      </c>
      <c r="Y30" s="62">
        <v>4.2866999999999995E-2</v>
      </c>
      <c r="Z30" s="62">
        <v>4.2969999999999994E-2</v>
      </c>
      <c r="AA30" s="62">
        <v>4.3021000000000004E-2</v>
      </c>
      <c r="AB30" s="62">
        <v>4.3038E-2</v>
      </c>
      <c r="AC30" s="62">
        <v>4.3041000000000003E-2</v>
      </c>
      <c r="AD30" s="62">
        <v>4.3051000000000006E-2</v>
      </c>
      <c r="AE30" s="62">
        <v>4.3089000000000002E-2</v>
      </c>
      <c r="AF30" s="62">
        <v>4.317E-2</v>
      </c>
    </row>
    <row r="31" spans="1:32">
      <c r="A31" s="1">
        <v>40956</v>
      </c>
      <c r="B31" s="62">
        <v>3.0705E-2</v>
      </c>
      <c r="C31" s="62">
        <v>2.9855999999999997E-2</v>
      </c>
      <c r="D31" s="62">
        <v>3.0594E-2</v>
      </c>
      <c r="E31" s="62">
        <v>3.0852000000000001E-2</v>
      </c>
      <c r="F31" s="62">
        <v>3.1896000000000001E-2</v>
      </c>
      <c r="G31" s="62">
        <v>3.2312E-2</v>
      </c>
      <c r="H31" s="62">
        <v>3.4387000000000001E-2</v>
      </c>
      <c r="I31" s="62">
        <v>3.5104000000000003E-2</v>
      </c>
      <c r="J31" s="62">
        <v>3.5992000000000003E-2</v>
      </c>
      <c r="K31" s="62">
        <v>3.5990000000000001E-2</v>
      </c>
      <c r="L31" s="62">
        <v>3.5973999999999999E-2</v>
      </c>
      <c r="M31" s="62">
        <v>3.6227999999999996E-2</v>
      </c>
      <c r="N31" s="62">
        <v>3.6764999999999999E-2</v>
      </c>
      <c r="O31" s="62">
        <v>3.7469999999999996E-2</v>
      </c>
      <c r="P31" s="62">
        <v>3.8220999999999998E-2</v>
      </c>
      <c r="Q31" s="62">
        <v>3.8887999999999999E-2</v>
      </c>
      <c r="R31" s="62">
        <v>3.9535000000000001E-2</v>
      </c>
      <c r="S31" s="62">
        <v>4.0271999999999995E-2</v>
      </c>
      <c r="T31" s="62">
        <v>4.1021999999999996E-2</v>
      </c>
      <c r="U31" s="62">
        <v>4.1702000000000003E-2</v>
      </c>
      <c r="V31" s="62">
        <v>4.2220000000000008E-2</v>
      </c>
      <c r="W31" s="62">
        <v>4.2571000000000005E-2</v>
      </c>
      <c r="X31" s="62">
        <v>4.2824000000000001E-2</v>
      </c>
      <c r="Y31" s="62">
        <v>4.2994000000000004E-2</v>
      </c>
      <c r="Z31" s="62">
        <v>4.3095000000000001E-2</v>
      </c>
      <c r="AA31" s="62">
        <v>4.3144000000000002E-2</v>
      </c>
      <c r="AB31" s="62">
        <v>4.3159000000000003E-2</v>
      </c>
      <c r="AC31" s="62">
        <v>4.3159000000000003E-2</v>
      </c>
      <c r="AD31" s="62">
        <v>4.3164000000000001E-2</v>
      </c>
      <c r="AE31" s="62">
        <v>4.3194999999999997E-2</v>
      </c>
      <c r="AF31" s="62">
        <v>4.3268000000000001E-2</v>
      </c>
    </row>
    <row r="32" spans="1:32">
      <c r="A32" s="1">
        <v>40959</v>
      </c>
      <c r="B32" s="62">
        <v>3.0539E-2</v>
      </c>
      <c r="C32" s="62">
        <v>2.9218999999999998E-2</v>
      </c>
      <c r="D32" s="62">
        <v>3.0096999999999999E-2</v>
      </c>
      <c r="E32" s="62">
        <v>3.0301999999999999E-2</v>
      </c>
      <c r="F32" s="62">
        <v>3.1307999999999996E-2</v>
      </c>
      <c r="G32" s="62">
        <v>3.1809999999999998E-2</v>
      </c>
      <c r="H32" s="62">
        <v>3.4264000000000003E-2</v>
      </c>
      <c r="I32" s="62">
        <v>3.4787999999999999E-2</v>
      </c>
      <c r="J32" s="62">
        <v>3.5674000000000004E-2</v>
      </c>
      <c r="K32" s="62">
        <v>3.5743999999999998E-2</v>
      </c>
      <c r="L32" s="62">
        <v>3.5742999999999997E-2</v>
      </c>
      <c r="M32" s="62">
        <v>3.6019999999999996E-2</v>
      </c>
      <c r="N32" s="62">
        <v>3.6584999999999999E-2</v>
      </c>
      <c r="O32" s="62">
        <v>3.7321E-2</v>
      </c>
      <c r="P32" s="62">
        <v>3.8105E-2</v>
      </c>
      <c r="Q32" s="62">
        <v>3.8803000000000004E-2</v>
      </c>
      <c r="R32" s="62">
        <v>3.9473000000000001E-2</v>
      </c>
      <c r="S32" s="62">
        <v>4.0217999999999997E-2</v>
      </c>
      <c r="T32" s="62">
        <v>4.0965000000000001E-2</v>
      </c>
      <c r="U32" s="62">
        <v>4.1628999999999999E-2</v>
      </c>
      <c r="V32" s="62">
        <v>4.2119999999999998E-2</v>
      </c>
      <c r="W32" s="62">
        <v>4.2443000000000002E-2</v>
      </c>
      <c r="X32" s="62">
        <v>4.2674999999999998E-2</v>
      </c>
      <c r="Y32" s="62">
        <v>4.2830000000000007E-2</v>
      </c>
      <c r="Z32" s="62">
        <v>4.2920999999999994E-2</v>
      </c>
      <c r="AA32" s="62">
        <v>4.2964000000000002E-2</v>
      </c>
      <c r="AB32" s="62">
        <v>4.2973999999999998E-2</v>
      </c>
      <c r="AC32" s="62">
        <v>4.2967999999999999E-2</v>
      </c>
      <c r="AD32" s="62">
        <v>4.2965999999999997E-2</v>
      </c>
      <c r="AE32" s="62">
        <v>4.2987000000000004E-2</v>
      </c>
      <c r="AF32" s="62">
        <v>4.3047000000000002E-2</v>
      </c>
    </row>
    <row r="33" spans="1:32">
      <c r="A33" s="1">
        <v>40960</v>
      </c>
      <c r="B33" s="62">
        <v>3.1063999999999998E-2</v>
      </c>
      <c r="C33" s="62">
        <v>2.9360000000000001E-2</v>
      </c>
      <c r="D33" s="62">
        <v>3.0203999999999998E-2</v>
      </c>
      <c r="E33" s="62">
        <v>3.0629E-2</v>
      </c>
      <c r="F33" s="62">
        <v>3.1299E-2</v>
      </c>
      <c r="G33" s="62">
        <v>3.1779000000000002E-2</v>
      </c>
      <c r="H33" s="62">
        <v>3.4130000000000001E-2</v>
      </c>
      <c r="I33" s="62">
        <v>3.4929999999999996E-2</v>
      </c>
      <c r="J33" s="62">
        <v>3.5663E-2</v>
      </c>
      <c r="K33" s="62">
        <v>3.5800999999999999E-2</v>
      </c>
      <c r="L33" s="62">
        <v>3.5792999999999998E-2</v>
      </c>
      <c r="M33" s="62">
        <v>3.6062999999999998E-2</v>
      </c>
      <c r="N33" s="62">
        <v>3.6622000000000002E-2</v>
      </c>
      <c r="O33" s="62">
        <v>3.7352999999999997E-2</v>
      </c>
      <c r="P33" s="62">
        <v>3.8131999999999999E-2</v>
      </c>
      <c r="Q33" s="62">
        <v>3.8823999999999997E-2</v>
      </c>
      <c r="R33" s="62">
        <v>3.9483999999999998E-2</v>
      </c>
      <c r="S33" s="62">
        <v>4.0217000000000003E-2</v>
      </c>
      <c r="T33" s="62">
        <v>4.0955999999999999E-2</v>
      </c>
      <c r="U33" s="62">
        <v>4.1626999999999997E-2</v>
      </c>
      <c r="V33" s="62">
        <v>4.2145999999999996E-2</v>
      </c>
      <c r="W33" s="62">
        <v>4.2510000000000006E-2</v>
      </c>
      <c r="X33" s="62">
        <v>4.2779999999999999E-2</v>
      </c>
      <c r="Y33" s="62">
        <v>4.2967999999999999E-2</v>
      </c>
      <c r="Z33" s="62">
        <v>4.3087999999999994E-2</v>
      </c>
      <c r="AA33" s="62">
        <v>4.3154000000000005E-2</v>
      </c>
      <c r="AB33" s="62">
        <v>4.3181000000000004E-2</v>
      </c>
      <c r="AC33" s="62">
        <v>4.3186999999999996E-2</v>
      </c>
      <c r="AD33" s="62">
        <v>4.3189999999999999E-2</v>
      </c>
      <c r="AE33" s="62">
        <v>4.3208000000000003E-2</v>
      </c>
      <c r="AF33" s="62">
        <v>4.3261000000000001E-2</v>
      </c>
    </row>
    <row r="34" spans="1:32">
      <c r="A34" s="1">
        <v>40961</v>
      </c>
      <c r="B34" s="62">
        <v>2.9789E-2</v>
      </c>
      <c r="C34" s="62">
        <v>2.9394999999999998E-2</v>
      </c>
      <c r="D34" s="62">
        <v>3.0262999999999998E-2</v>
      </c>
      <c r="E34" s="62">
        <v>3.0748000000000001E-2</v>
      </c>
      <c r="F34" s="62">
        <v>3.1448000000000004E-2</v>
      </c>
      <c r="G34" s="62">
        <v>3.2074999999999999E-2</v>
      </c>
      <c r="H34" s="62">
        <v>3.4113999999999998E-2</v>
      </c>
      <c r="I34" s="62">
        <v>3.4884999999999999E-2</v>
      </c>
      <c r="J34" s="62">
        <v>3.5666000000000003E-2</v>
      </c>
      <c r="K34" s="62">
        <v>3.5861000000000004E-2</v>
      </c>
      <c r="L34" s="62">
        <v>3.5916999999999998E-2</v>
      </c>
      <c r="M34" s="62">
        <v>3.6226000000000001E-2</v>
      </c>
      <c r="N34" s="62">
        <v>3.6762999999999997E-2</v>
      </c>
      <c r="O34" s="62">
        <v>3.7436999999999998E-2</v>
      </c>
      <c r="P34" s="62">
        <v>3.8149000000000002E-2</v>
      </c>
      <c r="Q34" s="62">
        <v>3.8795999999999997E-2</v>
      </c>
      <c r="R34" s="62">
        <v>3.9441000000000004E-2</v>
      </c>
      <c r="S34" s="62">
        <v>4.0172999999999993E-2</v>
      </c>
      <c r="T34" s="62">
        <v>4.0919999999999998E-2</v>
      </c>
      <c r="U34" s="62">
        <v>4.1599999999999998E-2</v>
      </c>
      <c r="V34" s="62">
        <v>4.2123999999999995E-2</v>
      </c>
      <c r="W34" s="62">
        <v>4.2488999999999999E-2</v>
      </c>
      <c r="X34" s="62">
        <v>4.2759999999999999E-2</v>
      </c>
      <c r="Y34" s="62">
        <v>4.2949000000000001E-2</v>
      </c>
      <c r="Z34" s="62">
        <v>4.3068999999999996E-2</v>
      </c>
      <c r="AA34" s="62">
        <v>4.3135000000000007E-2</v>
      </c>
      <c r="AB34" s="62">
        <v>4.3163E-2</v>
      </c>
      <c r="AC34" s="62">
        <v>4.317E-2</v>
      </c>
      <c r="AD34" s="62">
        <v>4.3173000000000003E-2</v>
      </c>
      <c r="AE34" s="62">
        <v>4.3191E-2</v>
      </c>
      <c r="AF34" s="62">
        <v>4.3246E-2</v>
      </c>
    </row>
    <row r="35" spans="1:32">
      <c r="A35" s="1">
        <v>40962</v>
      </c>
      <c r="B35" s="62">
        <v>3.0394000000000001E-2</v>
      </c>
      <c r="C35" s="62">
        <v>2.9411999999999997E-2</v>
      </c>
      <c r="D35" s="62">
        <v>3.0282E-2</v>
      </c>
      <c r="E35" s="62">
        <v>3.0743999999999997E-2</v>
      </c>
      <c r="F35" s="62">
        <v>3.1509999999999996E-2</v>
      </c>
      <c r="G35" s="62">
        <v>3.2072999999999997E-2</v>
      </c>
      <c r="H35" s="62">
        <v>3.4306000000000003E-2</v>
      </c>
      <c r="I35" s="62">
        <v>3.4787999999999999E-2</v>
      </c>
      <c r="J35" s="62">
        <v>3.5671000000000001E-2</v>
      </c>
      <c r="K35" s="62">
        <v>3.5846000000000003E-2</v>
      </c>
      <c r="L35" s="62">
        <v>3.5889000000000004E-2</v>
      </c>
      <c r="M35" s="62">
        <v>3.6211E-2</v>
      </c>
      <c r="N35" s="62">
        <v>3.6759E-2</v>
      </c>
      <c r="O35" s="62">
        <v>3.7437999999999999E-2</v>
      </c>
      <c r="P35" s="62">
        <v>3.8147E-2</v>
      </c>
      <c r="Q35" s="62">
        <v>3.8780999999999996E-2</v>
      </c>
      <c r="R35" s="62">
        <v>3.9411000000000002E-2</v>
      </c>
      <c r="S35" s="62">
        <v>4.0141999999999997E-2</v>
      </c>
      <c r="T35" s="62">
        <v>4.0894000000000007E-2</v>
      </c>
      <c r="U35" s="62">
        <v>4.1582000000000001E-2</v>
      </c>
      <c r="V35" s="62">
        <v>4.2110000000000002E-2</v>
      </c>
      <c r="W35" s="62">
        <v>4.2474999999999999E-2</v>
      </c>
      <c r="X35" s="62">
        <v>4.2746000000000006E-2</v>
      </c>
      <c r="Y35" s="62">
        <v>4.2934E-2</v>
      </c>
      <c r="Z35" s="62">
        <v>4.3055000000000003E-2</v>
      </c>
      <c r="AA35" s="62">
        <v>4.3121E-2</v>
      </c>
      <c r="AB35" s="62">
        <v>4.3150000000000001E-2</v>
      </c>
      <c r="AC35" s="62">
        <v>4.3156E-2</v>
      </c>
      <c r="AD35" s="62">
        <v>4.3159000000000003E-2</v>
      </c>
      <c r="AE35" s="62">
        <v>4.3178000000000001E-2</v>
      </c>
      <c r="AF35" s="62">
        <v>4.3232E-2</v>
      </c>
    </row>
    <row r="36" spans="1:32">
      <c r="A36" s="1">
        <v>40963</v>
      </c>
      <c r="B36" s="62">
        <v>2.8774000000000001E-2</v>
      </c>
      <c r="C36" s="62">
        <v>2.9269E-2</v>
      </c>
      <c r="D36" s="62">
        <v>3.0217000000000001E-2</v>
      </c>
      <c r="E36" s="62">
        <v>3.0757E-2</v>
      </c>
      <c r="F36" s="62">
        <v>3.1497999999999998E-2</v>
      </c>
      <c r="G36" s="62">
        <v>3.2155000000000003E-2</v>
      </c>
      <c r="H36" s="62">
        <v>3.4336999999999999E-2</v>
      </c>
      <c r="I36" s="62">
        <v>3.4786000000000004E-2</v>
      </c>
      <c r="J36" s="62">
        <v>3.5693999999999997E-2</v>
      </c>
      <c r="K36" s="62">
        <v>3.5789000000000001E-2</v>
      </c>
      <c r="L36" s="62">
        <v>3.5781E-2</v>
      </c>
      <c r="M36" s="62">
        <v>3.6046999999999996E-2</v>
      </c>
      <c r="N36" s="62">
        <v>3.6596000000000004E-2</v>
      </c>
      <c r="O36" s="62">
        <v>3.7314E-2</v>
      </c>
      <c r="P36" s="62">
        <v>3.8077E-2</v>
      </c>
      <c r="Q36" s="62">
        <v>3.8755000000000005E-2</v>
      </c>
      <c r="R36" s="62">
        <v>3.9406999999999998E-2</v>
      </c>
      <c r="S36" s="62">
        <v>4.0138999999999994E-2</v>
      </c>
      <c r="T36" s="62">
        <v>4.0883000000000003E-2</v>
      </c>
      <c r="U36" s="62">
        <v>4.1558000000000005E-2</v>
      </c>
      <c r="V36" s="62">
        <v>4.2079999999999999E-2</v>
      </c>
      <c r="W36" s="62">
        <v>4.2443999999999996E-2</v>
      </c>
      <c r="X36" s="62">
        <v>4.2714999999999996E-2</v>
      </c>
      <c r="Y36" s="62">
        <v>4.2903999999999998E-2</v>
      </c>
      <c r="Z36" s="62">
        <v>4.3023999999999993E-2</v>
      </c>
      <c r="AA36" s="62">
        <v>4.3090000000000003E-2</v>
      </c>
      <c r="AB36" s="62">
        <v>4.3117999999999997E-2</v>
      </c>
      <c r="AC36" s="62">
        <v>4.3124999999999997E-2</v>
      </c>
      <c r="AD36" s="62">
        <v>4.3128E-2</v>
      </c>
      <c r="AE36" s="62">
        <v>4.3146000000000004E-2</v>
      </c>
      <c r="AF36" s="62">
        <v>4.3200000000000002E-2</v>
      </c>
    </row>
    <row r="37" spans="1:32">
      <c r="A37" s="1">
        <v>40966</v>
      </c>
      <c r="B37" s="62">
        <v>2.0622999999999999E-2</v>
      </c>
      <c r="C37" s="62">
        <v>2.9371000000000001E-2</v>
      </c>
      <c r="D37" s="62">
        <v>3.0261E-2</v>
      </c>
      <c r="E37" s="62">
        <v>3.0898999999999999E-2</v>
      </c>
      <c r="F37" s="62">
        <v>3.1696000000000002E-2</v>
      </c>
      <c r="G37" s="62">
        <v>3.2425999999999996E-2</v>
      </c>
      <c r="H37" s="62">
        <v>3.4596000000000002E-2</v>
      </c>
      <c r="I37" s="62">
        <v>3.5076999999999997E-2</v>
      </c>
      <c r="J37" s="62">
        <v>3.6087000000000001E-2</v>
      </c>
      <c r="K37" s="62">
        <v>3.6166000000000004E-2</v>
      </c>
      <c r="L37" s="62">
        <v>3.6137999999999997E-2</v>
      </c>
      <c r="M37" s="62">
        <v>3.6391E-2</v>
      </c>
      <c r="N37" s="62">
        <v>3.6920000000000001E-2</v>
      </c>
      <c r="O37" s="62">
        <v>3.7613000000000001E-2</v>
      </c>
      <c r="P37" s="62">
        <v>3.8350000000000002E-2</v>
      </c>
      <c r="Q37" s="62">
        <v>3.9003000000000003E-2</v>
      </c>
      <c r="R37" s="62">
        <v>3.9640000000000002E-2</v>
      </c>
      <c r="S37" s="62">
        <v>4.0372999999999999E-2</v>
      </c>
      <c r="T37" s="62">
        <v>4.1124000000000001E-2</v>
      </c>
      <c r="U37" s="62">
        <v>4.181E-2</v>
      </c>
      <c r="V37" s="62">
        <v>4.2339000000000002E-2</v>
      </c>
      <c r="W37" s="62">
        <v>4.2704000000000006E-2</v>
      </c>
      <c r="X37" s="62">
        <v>4.2975000000000006E-2</v>
      </c>
      <c r="Y37" s="62">
        <v>4.3164999999999995E-2</v>
      </c>
      <c r="Z37" s="62">
        <v>4.3285999999999998E-2</v>
      </c>
      <c r="AA37" s="62">
        <v>4.3352000000000002E-2</v>
      </c>
      <c r="AB37" s="62">
        <v>4.3380000000000002E-2</v>
      </c>
      <c r="AC37" s="62">
        <v>4.3387000000000002E-2</v>
      </c>
      <c r="AD37" s="62">
        <v>4.3390000000000005E-2</v>
      </c>
      <c r="AE37" s="62">
        <v>4.3409000000000003E-2</v>
      </c>
      <c r="AF37" s="62">
        <v>4.3463000000000002E-2</v>
      </c>
    </row>
    <row r="38" spans="1:32">
      <c r="A38" s="1">
        <v>40967</v>
      </c>
      <c r="B38" s="62">
        <v>1.7309000000000001E-2</v>
      </c>
      <c r="C38" s="62">
        <v>2.9468000000000001E-2</v>
      </c>
      <c r="D38" s="62">
        <v>3.0369999999999998E-2</v>
      </c>
      <c r="E38" s="62">
        <v>3.0956000000000001E-2</v>
      </c>
      <c r="F38" s="62">
        <v>3.1948999999999998E-2</v>
      </c>
      <c r="G38" s="62">
        <v>3.2634999999999997E-2</v>
      </c>
      <c r="H38" s="62">
        <v>3.4515999999999998E-2</v>
      </c>
      <c r="I38" s="62">
        <v>3.5242000000000002E-2</v>
      </c>
      <c r="J38" s="62">
        <v>3.6070999999999999E-2</v>
      </c>
      <c r="K38" s="62">
        <v>3.6093E-2</v>
      </c>
      <c r="L38" s="62">
        <v>3.6082999999999997E-2</v>
      </c>
      <c r="M38" s="62">
        <v>3.6332000000000003E-2</v>
      </c>
      <c r="N38" s="62">
        <v>3.6852999999999997E-2</v>
      </c>
      <c r="O38" s="62">
        <v>3.7551000000000001E-2</v>
      </c>
      <c r="P38" s="62">
        <v>3.8323000000000003E-2</v>
      </c>
      <c r="Q38" s="62">
        <v>3.9060000000000004E-2</v>
      </c>
      <c r="R38" s="62">
        <v>3.9698999999999998E-2</v>
      </c>
      <c r="S38" s="62">
        <v>4.0412999999999998E-2</v>
      </c>
      <c r="T38" s="62">
        <v>4.1161000000000003E-2</v>
      </c>
      <c r="U38" s="62">
        <v>4.1855000000000003E-2</v>
      </c>
      <c r="V38" s="62">
        <v>4.2396000000000003E-2</v>
      </c>
      <c r="W38" s="62">
        <v>4.2746000000000006E-2</v>
      </c>
      <c r="X38" s="62">
        <v>4.2954999999999993E-2</v>
      </c>
      <c r="Y38" s="62">
        <v>4.3056999999999998E-2</v>
      </c>
      <c r="Z38" s="62">
        <v>4.3087999999999994E-2</v>
      </c>
      <c r="AA38" s="62">
        <v>4.3085999999999999E-2</v>
      </c>
      <c r="AB38" s="62">
        <v>4.3094E-2</v>
      </c>
      <c r="AC38" s="62">
        <v>4.3149E-2</v>
      </c>
      <c r="AD38" s="62">
        <v>4.3238000000000006E-2</v>
      </c>
      <c r="AE38" s="62">
        <v>4.3348999999999999E-2</v>
      </c>
      <c r="AF38" s="62">
        <v>4.3479000000000004E-2</v>
      </c>
    </row>
    <row r="39" spans="1:32">
      <c r="A39" s="1">
        <v>40968</v>
      </c>
      <c r="B39" s="62">
        <v>1.6425000000000002E-2</v>
      </c>
      <c r="C39" s="62">
        <v>2.9474999999999998E-2</v>
      </c>
      <c r="D39" s="62">
        <v>3.0394999999999998E-2</v>
      </c>
      <c r="E39" s="62">
        <v>3.0859999999999999E-2</v>
      </c>
      <c r="F39" s="62">
        <v>3.1604E-2</v>
      </c>
      <c r="G39" s="62">
        <v>3.2379999999999999E-2</v>
      </c>
      <c r="H39" s="62">
        <v>3.4397999999999998E-2</v>
      </c>
      <c r="I39" s="62">
        <v>3.4953999999999999E-2</v>
      </c>
      <c r="J39" s="62">
        <v>3.5956000000000002E-2</v>
      </c>
      <c r="K39" s="62">
        <v>3.5971999999999997E-2</v>
      </c>
      <c r="L39" s="62">
        <v>3.5962000000000001E-2</v>
      </c>
      <c r="M39" s="62">
        <v>3.6233000000000001E-2</v>
      </c>
      <c r="N39" s="62">
        <v>3.6788000000000001E-2</v>
      </c>
      <c r="O39" s="62">
        <v>3.7511000000000003E-2</v>
      </c>
      <c r="P39" s="62">
        <v>3.8280000000000002E-2</v>
      </c>
      <c r="Q39" s="62">
        <v>3.8962999999999998E-2</v>
      </c>
      <c r="R39" s="62">
        <v>3.9631E-2</v>
      </c>
      <c r="S39" s="62">
        <v>4.0392000000000004E-2</v>
      </c>
      <c r="T39" s="62">
        <v>4.1151E-2</v>
      </c>
      <c r="U39" s="62">
        <v>4.1806000000000003E-2</v>
      </c>
      <c r="V39" s="62">
        <v>4.2295999999999993E-2</v>
      </c>
      <c r="W39" s="62">
        <v>4.2672999999999996E-2</v>
      </c>
      <c r="X39" s="62">
        <v>4.2950999999999996E-2</v>
      </c>
      <c r="Y39" s="62">
        <v>4.3144000000000002E-2</v>
      </c>
      <c r="Z39" s="62">
        <v>4.3268000000000001E-2</v>
      </c>
      <c r="AA39" s="62">
        <v>4.3338999999999996E-2</v>
      </c>
      <c r="AB39" s="62">
        <v>4.3376999999999999E-2</v>
      </c>
      <c r="AC39" s="62">
        <v>4.3400000000000001E-2</v>
      </c>
      <c r="AD39" s="62">
        <v>4.3429999999999996E-2</v>
      </c>
      <c r="AE39" s="62">
        <v>4.3487999999999999E-2</v>
      </c>
      <c r="AF39" s="62">
        <v>4.3598999999999999E-2</v>
      </c>
    </row>
    <row r="40" spans="1:32">
      <c r="A40" s="1">
        <v>40969</v>
      </c>
      <c r="B40" s="62">
        <v>1.5559E-2</v>
      </c>
      <c r="C40" s="62">
        <v>2.9304999999999998E-2</v>
      </c>
      <c r="D40" s="62">
        <v>3.0223E-2</v>
      </c>
      <c r="E40" s="62">
        <v>3.0890000000000001E-2</v>
      </c>
      <c r="F40" s="62">
        <v>3.1720999999999999E-2</v>
      </c>
      <c r="G40" s="62">
        <v>3.2375000000000001E-2</v>
      </c>
      <c r="H40" s="62">
        <v>3.4502999999999999E-2</v>
      </c>
      <c r="I40" s="62">
        <v>3.5038E-2</v>
      </c>
      <c r="J40" s="62">
        <v>3.6101000000000001E-2</v>
      </c>
      <c r="K40" s="62">
        <v>3.6159999999999998E-2</v>
      </c>
      <c r="L40" s="62">
        <v>3.6142000000000001E-2</v>
      </c>
      <c r="M40" s="62">
        <v>3.6327999999999999E-2</v>
      </c>
      <c r="N40" s="62">
        <v>3.6831999999999997E-2</v>
      </c>
      <c r="O40" s="62">
        <v>3.7526999999999998E-2</v>
      </c>
      <c r="P40" s="62">
        <v>3.8282999999999998E-2</v>
      </c>
      <c r="Q40" s="62">
        <v>3.8956999999999999E-2</v>
      </c>
      <c r="R40" s="62">
        <v>3.9597E-2</v>
      </c>
      <c r="S40" s="62">
        <v>4.0315000000000004E-2</v>
      </c>
      <c r="T40" s="62">
        <v>4.1051000000000004E-2</v>
      </c>
      <c r="U40" s="62">
        <v>4.1737999999999997E-2</v>
      </c>
      <c r="V40" s="62">
        <v>4.2303E-2</v>
      </c>
      <c r="W40" s="62">
        <v>4.2717999999999999E-2</v>
      </c>
      <c r="X40" s="62">
        <v>4.3018000000000001E-2</v>
      </c>
      <c r="Y40" s="62">
        <v>4.3217999999999999E-2</v>
      </c>
      <c r="Z40" s="62">
        <v>4.3338999999999996E-2</v>
      </c>
      <c r="AA40" s="62">
        <v>4.3400999999999995E-2</v>
      </c>
      <c r="AB40" s="62">
        <v>4.3425000000000005E-2</v>
      </c>
      <c r="AC40" s="62">
        <v>4.3436000000000002E-2</v>
      </c>
      <c r="AD40" s="62">
        <v>4.3456999999999996E-2</v>
      </c>
      <c r="AE40" s="62">
        <v>4.3517E-2</v>
      </c>
      <c r="AF40" s="62">
        <v>4.3631000000000003E-2</v>
      </c>
    </row>
    <row r="41" spans="1:32">
      <c r="A41" s="1">
        <v>40970</v>
      </c>
      <c r="B41" s="62">
        <v>1.5783999999999999E-2</v>
      </c>
      <c r="C41" s="62">
        <v>2.9256000000000001E-2</v>
      </c>
      <c r="D41" s="62">
        <v>3.0278999999999997E-2</v>
      </c>
      <c r="E41" s="62">
        <v>3.0890000000000001E-2</v>
      </c>
      <c r="F41" s="62">
        <v>3.1829999999999997E-2</v>
      </c>
      <c r="G41" s="62">
        <v>3.2596E-2</v>
      </c>
      <c r="H41" s="62">
        <v>3.4715999999999997E-2</v>
      </c>
      <c r="I41" s="62">
        <v>3.5369000000000005E-2</v>
      </c>
      <c r="J41" s="62">
        <v>3.6201999999999998E-2</v>
      </c>
      <c r="K41" s="62">
        <v>3.6260000000000001E-2</v>
      </c>
      <c r="L41" s="62">
        <v>3.6255999999999997E-2</v>
      </c>
      <c r="M41" s="62">
        <v>3.6505999999999997E-2</v>
      </c>
      <c r="N41" s="62">
        <v>3.7010000000000001E-2</v>
      </c>
      <c r="O41" s="62">
        <v>3.7665000000000004E-2</v>
      </c>
      <c r="P41" s="62">
        <v>3.8360999999999999E-2</v>
      </c>
      <c r="Q41" s="62">
        <v>3.8980000000000001E-2</v>
      </c>
      <c r="R41" s="62">
        <v>3.9592999999999996E-2</v>
      </c>
      <c r="S41" s="62">
        <v>4.0311000000000007E-2</v>
      </c>
      <c r="T41" s="62">
        <v>4.1062000000000001E-2</v>
      </c>
      <c r="U41" s="62">
        <v>4.1765999999999998E-2</v>
      </c>
      <c r="V41" s="62">
        <v>4.2333999999999997E-2</v>
      </c>
      <c r="W41" s="62">
        <v>4.2746000000000006E-2</v>
      </c>
      <c r="X41" s="62">
        <v>4.3052E-2</v>
      </c>
      <c r="Y41" s="62">
        <v>4.3267E-2</v>
      </c>
      <c r="Z41" s="62">
        <v>4.3403999999999998E-2</v>
      </c>
      <c r="AA41" s="62">
        <v>4.3482E-2</v>
      </c>
      <c r="AB41" s="62">
        <v>4.3518000000000001E-2</v>
      </c>
      <c r="AC41" s="62">
        <v>4.3533000000000002E-2</v>
      </c>
      <c r="AD41" s="62">
        <v>4.3545E-2</v>
      </c>
      <c r="AE41" s="62">
        <v>4.3579E-2</v>
      </c>
      <c r="AF41" s="62">
        <v>4.3657000000000001E-2</v>
      </c>
    </row>
    <row r="42" spans="1:32">
      <c r="A42" s="1">
        <v>40973</v>
      </c>
      <c r="B42" s="62">
        <v>1.4957E-2</v>
      </c>
      <c r="C42" s="62">
        <v>2.9307E-2</v>
      </c>
      <c r="D42" s="62">
        <v>3.0334E-2</v>
      </c>
      <c r="E42" s="62">
        <v>3.0889000000000003E-2</v>
      </c>
      <c r="F42" s="62">
        <v>3.1918000000000002E-2</v>
      </c>
      <c r="G42" s="62">
        <v>3.2652E-2</v>
      </c>
      <c r="H42" s="62">
        <v>3.4638000000000002E-2</v>
      </c>
      <c r="I42" s="62">
        <v>3.5559E-2</v>
      </c>
      <c r="J42" s="62">
        <v>3.6275000000000002E-2</v>
      </c>
      <c r="K42" s="62">
        <v>3.6260000000000001E-2</v>
      </c>
      <c r="L42" s="62">
        <v>3.6242999999999997E-2</v>
      </c>
      <c r="M42" s="62">
        <v>3.6488E-2</v>
      </c>
      <c r="N42" s="62">
        <v>3.6993999999999999E-2</v>
      </c>
      <c r="O42" s="62">
        <v>3.7652999999999999E-2</v>
      </c>
      <c r="P42" s="62">
        <v>3.8352999999999998E-2</v>
      </c>
      <c r="Q42" s="62">
        <v>3.8973000000000001E-2</v>
      </c>
      <c r="R42" s="62">
        <v>3.9586000000000003E-2</v>
      </c>
      <c r="S42" s="62">
        <v>4.0305000000000001E-2</v>
      </c>
      <c r="T42" s="62">
        <v>4.1056000000000002E-2</v>
      </c>
      <c r="U42" s="62">
        <v>4.1759999999999999E-2</v>
      </c>
      <c r="V42" s="62">
        <v>4.2328999999999999E-2</v>
      </c>
      <c r="W42" s="62">
        <v>4.2741000000000001E-2</v>
      </c>
      <c r="X42" s="62">
        <v>4.3047000000000002E-2</v>
      </c>
      <c r="Y42" s="62">
        <v>4.3262000000000002E-2</v>
      </c>
      <c r="Z42" s="62">
        <v>4.3399E-2</v>
      </c>
      <c r="AA42" s="62">
        <v>4.3476999999999995E-2</v>
      </c>
      <c r="AB42" s="62">
        <v>4.3513999999999997E-2</v>
      </c>
      <c r="AC42" s="62">
        <v>4.3528000000000004E-2</v>
      </c>
      <c r="AD42" s="62">
        <v>4.3540999999999996E-2</v>
      </c>
      <c r="AE42" s="62">
        <v>4.3575000000000003E-2</v>
      </c>
      <c r="AF42" s="62">
        <v>4.3653000000000004E-2</v>
      </c>
    </row>
    <row r="43" spans="1:32">
      <c r="A43" s="1">
        <v>40974</v>
      </c>
      <c r="B43" s="62">
        <v>1.3646E-2</v>
      </c>
      <c r="C43" s="62">
        <v>2.9322000000000001E-2</v>
      </c>
      <c r="D43" s="62">
        <v>3.0335000000000001E-2</v>
      </c>
      <c r="E43" s="62">
        <v>3.0575999999999999E-2</v>
      </c>
      <c r="F43" s="62">
        <v>3.1775999999999999E-2</v>
      </c>
      <c r="G43" s="62">
        <v>3.2495999999999997E-2</v>
      </c>
      <c r="H43" s="62">
        <v>3.4582000000000002E-2</v>
      </c>
      <c r="I43" s="62">
        <v>3.5224999999999999E-2</v>
      </c>
      <c r="J43" s="62">
        <v>3.6091999999999999E-2</v>
      </c>
      <c r="K43" s="62">
        <v>3.6103999999999997E-2</v>
      </c>
      <c r="L43" s="62">
        <v>3.6094000000000001E-2</v>
      </c>
      <c r="M43" s="62">
        <v>3.6351000000000001E-2</v>
      </c>
      <c r="N43" s="62">
        <v>3.6873999999999997E-2</v>
      </c>
      <c r="O43" s="62">
        <v>3.7553999999999997E-2</v>
      </c>
      <c r="P43" s="62">
        <v>3.8275000000000003E-2</v>
      </c>
      <c r="Q43" s="62">
        <v>3.8915999999999999E-2</v>
      </c>
      <c r="R43" s="62">
        <v>3.9539999999999999E-2</v>
      </c>
      <c r="S43" s="62">
        <v>4.0259000000000003E-2</v>
      </c>
      <c r="T43" s="62">
        <v>4.1005E-2</v>
      </c>
      <c r="U43" s="62">
        <v>4.1700999999999995E-2</v>
      </c>
      <c r="V43" s="62">
        <v>4.2264999999999997E-2</v>
      </c>
      <c r="W43" s="62">
        <v>4.2675999999999999E-2</v>
      </c>
      <c r="X43" s="62">
        <v>4.2981999999999992E-2</v>
      </c>
      <c r="Y43" s="62">
        <v>4.3196000000000005E-2</v>
      </c>
      <c r="Z43" s="62">
        <v>4.3333000000000003E-2</v>
      </c>
      <c r="AA43" s="62">
        <v>4.3410000000000004E-2</v>
      </c>
      <c r="AB43" s="62">
        <v>4.3445999999999999E-2</v>
      </c>
      <c r="AC43" s="62">
        <v>4.3459999999999999E-2</v>
      </c>
      <c r="AD43" s="62">
        <v>4.3472999999999998E-2</v>
      </c>
      <c r="AE43" s="62">
        <v>4.3506000000000003E-2</v>
      </c>
      <c r="AF43" s="62">
        <v>4.3583999999999998E-2</v>
      </c>
    </row>
    <row r="44" spans="1:32">
      <c r="A44" s="1">
        <v>40975</v>
      </c>
      <c r="B44" s="62">
        <v>1.3646E-2</v>
      </c>
      <c r="C44" s="62">
        <v>2.9013000000000001E-2</v>
      </c>
      <c r="D44" s="62">
        <v>3.0352999999999998E-2</v>
      </c>
      <c r="E44" s="62">
        <v>3.0591E-2</v>
      </c>
      <c r="F44" s="62">
        <v>3.1865000000000004E-2</v>
      </c>
      <c r="G44" s="62">
        <v>3.2238000000000003E-2</v>
      </c>
      <c r="H44" s="62">
        <v>3.4264999999999997E-2</v>
      </c>
      <c r="I44" s="62">
        <v>3.4904000000000004E-2</v>
      </c>
      <c r="J44" s="62">
        <v>3.5952000000000005E-2</v>
      </c>
      <c r="K44" s="62">
        <v>3.5955000000000001E-2</v>
      </c>
      <c r="L44" s="62">
        <v>3.5943999999999997E-2</v>
      </c>
      <c r="M44" s="62">
        <v>3.6208999999999998E-2</v>
      </c>
      <c r="N44" s="62">
        <v>3.6749999999999998E-2</v>
      </c>
      <c r="O44" s="62">
        <v>3.7451999999999999E-2</v>
      </c>
      <c r="P44" s="62">
        <v>3.8197999999999996E-2</v>
      </c>
      <c r="Q44" s="62">
        <v>3.8858999999999998E-2</v>
      </c>
      <c r="R44" s="62">
        <v>3.9495000000000002E-2</v>
      </c>
      <c r="S44" s="62">
        <v>4.0214999999999994E-2</v>
      </c>
      <c r="T44" s="62">
        <v>4.0953999999999997E-2</v>
      </c>
      <c r="U44" s="62">
        <v>4.1641999999999998E-2</v>
      </c>
      <c r="V44" s="62">
        <v>4.2202000000000003E-2</v>
      </c>
      <c r="W44" s="62">
        <v>4.2611999999999997E-2</v>
      </c>
      <c r="X44" s="62">
        <v>4.2916999999999997E-2</v>
      </c>
      <c r="Y44" s="62">
        <v>4.3129999999999995E-2</v>
      </c>
      <c r="Z44" s="62">
        <v>4.3267E-2</v>
      </c>
      <c r="AA44" s="62">
        <v>4.3343999999999994E-2</v>
      </c>
      <c r="AB44" s="62">
        <v>4.3379000000000001E-2</v>
      </c>
      <c r="AC44" s="62">
        <v>4.3392999999999994E-2</v>
      </c>
      <c r="AD44" s="62">
        <v>4.3404999999999999E-2</v>
      </c>
      <c r="AE44" s="62">
        <v>4.3437999999999997E-2</v>
      </c>
      <c r="AF44" s="62">
        <v>4.3516000000000006E-2</v>
      </c>
    </row>
    <row r="45" spans="1:32">
      <c r="A45" s="1">
        <v>40976</v>
      </c>
      <c r="B45" s="62">
        <v>1.3637999999999999E-2</v>
      </c>
      <c r="C45" s="62">
        <v>2.8957999999999998E-2</v>
      </c>
      <c r="D45" s="62">
        <v>2.9881999999999999E-2</v>
      </c>
      <c r="E45" s="62">
        <v>3.0272999999999998E-2</v>
      </c>
      <c r="F45" s="62">
        <v>3.1709999999999995E-2</v>
      </c>
      <c r="G45" s="62">
        <v>3.2226999999999999E-2</v>
      </c>
      <c r="H45" s="62">
        <v>3.4179000000000001E-2</v>
      </c>
      <c r="I45" s="62">
        <v>3.4938999999999998E-2</v>
      </c>
      <c r="J45" s="62">
        <v>3.5977000000000002E-2</v>
      </c>
      <c r="K45" s="62">
        <v>3.5968E-2</v>
      </c>
      <c r="L45" s="62">
        <v>3.5955000000000001E-2</v>
      </c>
      <c r="M45" s="62">
        <v>3.6219000000000001E-2</v>
      </c>
      <c r="N45" s="62">
        <v>3.6759E-2</v>
      </c>
      <c r="O45" s="62">
        <v>3.7461000000000001E-2</v>
      </c>
      <c r="P45" s="62">
        <v>3.8206999999999998E-2</v>
      </c>
      <c r="Q45" s="62">
        <v>3.8866999999999999E-2</v>
      </c>
      <c r="R45" s="62">
        <v>3.9501000000000001E-2</v>
      </c>
      <c r="S45" s="62">
        <v>4.0217000000000003E-2</v>
      </c>
      <c r="T45" s="62">
        <v>4.0953999999999997E-2</v>
      </c>
      <c r="U45" s="62">
        <v>4.1642999999999999E-2</v>
      </c>
      <c r="V45" s="62">
        <v>4.2209000000000003E-2</v>
      </c>
      <c r="W45" s="62">
        <v>4.2624000000000002E-2</v>
      </c>
      <c r="X45" s="62">
        <v>4.2923000000000003E-2</v>
      </c>
      <c r="Y45" s="62">
        <v>4.3124000000000003E-2</v>
      </c>
      <c r="Z45" s="62">
        <v>4.3243999999999998E-2</v>
      </c>
      <c r="AA45" s="62">
        <v>4.3304999999999996E-2</v>
      </c>
      <c r="AB45" s="62">
        <v>4.3329000000000006E-2</v>
      </c>
      <c r="AC45" s="62">
        <v>4.3338999999999996E-2</v>
      </c>
      <c r="AD45" s="62">
        <v>4.3361000000000004E-2</v>
      </c>
      <c r="AE45" s="62">
        <v>4.3422000000000002E-2</v>
      </c>
      <c r="AF45" s="62">
        <v>4.3535999999999998E-2</v>
      </c>
    </row>
    <row r="46" spans="1:32">
      <c r="A46" s="1">
        <v>40977</v>
      </c>
      <c r="B46" s="62">
        <v>1.3580000000000002E-2</v>
      </c>
      <c r="C46" s="62">
        <v>2.8922E-2</v>
      </c>
      <c r="D46" s="62">
        <v>2.9916000000000002E-2</v>
      </c>
      <c r="E46" s="62">
        <v>3.0287999999999999E-2</v>
      </c>
      <c r="F46" s="62">
        <v>3.1830999999999998E-2</v>
      </c>
      <c r="G46" s="62">
        <v>3.2053999999999999E-2</v>
      </c>
      <c r="H46" s="62">
        <v>3.4344E-2</v>
      </c>
      <c r="I46" s="62">
        <v>3.4898999999999999E-2</v>
      </c>
      <c r="J46" s="62">
        <v>3.5947E-2</v>
      </c>
      <c r="K46" s="62">
        <v>3.6024E-2</v>
      </c>
      <c r="L46" s="62">
        <v>3.6015999999999999E-2</v>
      </c>
      <c r="M46" s="62">
        <v>3.6278999999999999E-2</v>
      </c>
      <c r="N46" s="62">
        <v>3.6811999999999998E-2</v>
      </c>
      <c r="O46" s="62">
        <v>3.7505000000000004E-2</v>
      </c>
      <c r="P46" s="62">
        <v>3.8239999999999996E-2</v>
      </c>
      <c r="Q46" s="62">
        <v>3.8892999999999997E-2</v>
      </c>
      <c r="R46" s="62">
        <v>3.9513E-2</v>
      </c>
      <c r="S46" s="62">
        <v>4.0209000000000002E-2</v>
      </c>
      <c r="T46" s="62">
        <v>4.0932000000000003E-2</v>
      </c>
      <c r="U46" s="62">
        <v>4.1628999999999999E-2</v>
      </c>
      <c r="V46" s="62">
        <v>4.2241000000000001E-2</v>
      </c>
      <c r="W46" s="62">
        <v>4.2721000000000002E-2</v>
      </c>
      <c r="X46" s="62">
        <v>4.3076999999999997E-2</v>
      </c>
      <c r="Y46" s="62">
        <v>4.3326000000000003E-2</v>
      </c>
      <c r="Z46" s="62">
        <v>4.3486999999999998E-2</v>
      </c>
      <c r="AA46" s="62">
        <v>4.3579E-2</v>
      </c>
      <c r="AB46" s="62">
        <v>4.3625999999999998E-2</v>
      </c>
      <c r="AC46" s="62">
        <v>4.3651000000000002E-2</v>
      </c>
      <c r="AD46" s="62">
        <v>4.3680000000000004E-2</v>
      </c>
      <c r="AE46" s="62">
        <v>4.3739999999999994E-2</v>
      </c>
      <c r="AF46" s="62">
        <v>4.3859000000000002E-2</v>
      </c>
    </row>
    <row r="47" spans="1:32">
      <c r="A47" s="1">
        <v>40980</v>
      </c>
      <c r="B47" s="62">
        <v>1.355E-2</v>
      </c>
      <c r="C47" s="62">
        <v>2.8595000000000002E-2</v>
      </c>
      <c r="D47" s="62">
        <v>2.9655999999999998E-2</v>
      </c>
      <c r="E47" s="62">
        <v>3.0247000000000003E-2</v>
      </c>
      <c r="F47" s="62">
        <v>3.1640000000000001E-2</v>
      </c>
      <c r="G47" s="62">
        <v>3.1830999999999998E-2</v>
      </c>
      <c r="H47" s="62">
        <v>3.4148999999999999E-2</v>
      </c>
      <c r="I47" s="62">
        <v>3.4793999999999999E-2</v>
      </c>
      <c r="J47" s="62">
        <v>3.5969000000000001E-2</v>
      </c>
      <c r="K47" s="62">
        <v>3.5910000000000004E-2</v>
      </c>
      <c r="L47" s="62">
        <v>3.5886999999999995E-2</v>
      </c>
      <c r="M47" s="62">
        <v>3.6157000000000002E-2</v>
      </c>
      <c r="N47" s="62">
        <v>3.6705999999999996E-2</v>
      </c>
      <c r="O47" s="62">
        <v>3.7418E-2</v>
      </c>
      <c r="P47" s="62">
        <v>3.8174E-2</v>
      </c>
      <c r="Q47" s="62">
        <v>3.8843999999999997E-2</v>
      </c>
      <c r="R47" s="62">
        <v>3.9473000000000001E-2</v>
      </c>
      <c r="S47" s="62">
        <v>4.0168999999999996E-2</v>
      </c>
      <c r="T47" s="62">
        <v>4.0888000000000001E-2</v>
      </c>
      <c r="U47" s="62">
        <v>4.1578999999999998E-2</v>
      </c>
      <c r="V47" s="62">
        <v>4.2187000000000002E-2</v>
      </c>
      <c r="W47" s="62">
        <v>4.2666000000000003E-2</v>
      </c>
      <c r="X47" s="62">
        <v>4.3021999999999998E-2</v>
      </c>
      <c r="Y47" s="62">
        <v>4.3270000000000003E-2</v>
      </c>
      <c r="Z47" s="62">
        <v>4.3429999999999996E-2</v>
      </c>
      <c r="AA47" s="62">
        <v>4.3522999999999999E-2</v>
      </c>
      <c r="AB47" s="62">
        <v>4.3569000000000004E-2</v>
      </c>
      <c r="AC47" s="62">
        <v>4.3594000000000001E-2</v>
      </c>
      <c r="AD47" s="62">
        <v>4.3621999999999994E-2</v>
      </c>
      <c r="AE47" s="62">
        <v>4.3680999999999998E-2</v>
      </c>
      <c r="AF47" s="62">
        <v>4.3801E-2</v>
      </c>
    </row>
    <row r="48" spans="1:32">
      <c r="A48" s="1">
        <v>40981</v>
      </c>
      <c r="B48" s="62">
        <v>1.4666999999999999E-2</v>
      </c>
      <c r="C48" s="62">
        <v>2.8654000000000002E-2</v>
      </c>
      <c r="D48" s="62">
        <v>2.9807999999999998E-2</v>
      </c>
      <c r="E48" s="62">
        <v>3.0058999999999999E-2</v>
      </c>
      <c r="F48" s="62">
        <v>3.1505999999999999E-2</v>
      </c>
      <c r="G48" s="62">
        <v>3.1919000000000003E-2</v>
      </c>
      <c r="H48" s="62">
        <v>3.4195000000000003E-2</v>
      </c>
      <c r="I48" s="62">
        <v>3.4820999999999998E-2</v>
      </c>
      <c r="J48" s="62">
        <v>3.5962999999999995E-2</v>
      </c>
      <c r="K48" s="62">
        <v>3.6089999999999997E-2</v>
      </c>
      <c r="L48" s="62">
        <v>3.6073000000000001E-2</v>
      </c>
      <c r="M48" s="62">
        <v>3.6269999999999997E-2</v>
      </c>
      <c r="N48" s="62">
        <v>3.6778999999999999E-2</v>
      </c>
      <c r="O48" s="62">
        <v>3.7475999999999995E-2</v>
      </c>
      <c r="P48" s="62">
        <v>3.8231000000000001E-2</v>
      </c>
      <c r="Q48" s="62">
        <v>3.8904999999999995E-2</v>
      </c>
      <c r="R48" s="62">
        <v>3.9535000000000001E-2</v>
      </c>
      <c r="S48" s="62">
        <v>4.0232000000000004E-2</v>
      </c>
      <c r="T48" s="62">
        <v>4.0951000000000001E-2</v>
      </c>
      <c r="U48" s="62">
        <v>4.1641000000000004E-2</v>
      </c>
      <c r="V48" s="62">
        <v>4.2249000000000002E-2</v>
      </c>
      <c r="W48" s="62">
        <v>4.2728999999999996E-2</v>
      </c>
      <c r="X48" s="62">
        <v>4.3085000000000005E-2</v>
      </c>
      <c r="Y48" s="62">
        <v>4.3334000000000004E-2</v>
      </c>
      <c r="Z48" s="62">
        <v>4.3494000000000005E-2</v>
      </c>
      <c r="AA48" s="62">
        <v>4.3586E-2</v>
      </c>
      <c r="AB48" s="62">
        <v>4.3632999999999998E-2</v>
      </c>
      <c r="AC48" s="62">
        <v>4.3658000000000002E-2</v>
      </c>
      <c r="AD48" s="62">
        <v>4.3685999999999996E-2</v>
      </c>
      <c r="AE48" s="62">
        <v>4.3745000000000006E-2</v>
      </c>
      <c r="AF48" s="62">
        <v>4.3865000000000001E-2</v>
      </c>
    </row>
    <row r="49" spans="1:32">
      <c r="A49" s="1">
        <v>40982</v>
      </c>
      <c r="B49" s="62">
        <v>1.4631E-2</v>
      </c>
      <c r="C49" s="62">
        <v>2.8784999999999998E-2</v>
      </c>
      <c r="D49" s="62">
        <v>2.9876E-2</v>
      </c>
      <c r="E49" s="62">
        <v>3.0171E-2</v>
      </c>
      <c r="F49" s="62">
        <v>3.1642999999999998E-2</v>
      </c>
      <c r="G49" s="62">
        <v>3.2101999999999999E-2</v>
      </c>
      <c r="H49" s="62">
        <v>3.4201000000000002E-2</v>
      </c>
      <c r="I49" s="62">
        <v>3.5070999999999998E-2</v>
      </c>
      <c r="J49" s="62">
        <v>3.5998000000000002E-2</v>
      </c>
      <c r="K49" s="62">
        <v>3.6139000000000004E-2</v>
      </c>
      <c r="L49" s="62">
        <v>3.6112999999999999E-2</v>
      </c>
      <c r="M49" s="62">
        <v>3.6305999999999998E-2</v>
      </c>
      <c r="N49" s="62">
        <v>3.6815000000000001E-2</v>
      </c>
      <c r="O49" s="62">
        <v>3.7515E-2</v>
      </c>
      <c r="P49" s="62">
        <v>3.8274000000000002E-2</v>
      </c>
      <c r="Q49" s="62">
        <v>3.8949999999999999E-2</v>
      </c>
      <c r="R49" s="62">
        <v>3.9572999999999997E-2</v>
      </c>
      <c r="S49" s="62">
        <v>4.0252999999999997E-2</v>
      </c>
      <c r="T49" s="62">
        <v>4.095E-2</v>
      </c>
      <c r="U49" s="62">
        <v>4.1622000000000006E-2</v>
      </c>
      <c r="V49" s="62">
        <v>4.2222000000000003E-2</v>
      </c>
      <c r="W49" s="62">
        <v>4.2701999999999997E-2</v>
      </c>
      <c r="X49" s="62">
        <v>4.3056999999999998E-2</v>
      </c>
      <c r="Y49" s="62">
        <v>4.3304999999999996E-2</v>
      </c>
      <c r="Z49" s="62">
        <v>4.3464999999999997E-2</v>
      </c>
      <c r="AA49" s="62">
        <v>4.3558000000000006E-2</v>
      </c>
      <c r="AB49" s="62">
        <v>4.3604000000000004E-2</v>
      </c>
      <c r="AC49" s="62">
        <v>4.3630000000000002E-2</v>
      </c>
      <c r="AD49" s="62">
        <v>4.3661000000000005E-2</v>
      </c>
      <c r="AE49" s="62">
        <v>4.3722999999999998E-2</v>
      </c>
      <c r="AF49" s="62">
        <v>4.3845999999999996E-2</v>
      </c>
    </row>
    <row r="50" spans="1:32">
      <c r="A50" s="1">
        <v>40983</v>
      </c>
      <c r="B50" s="62">
        <v>1.5969000000000001E-2</v>
      </c>
      <c r="C50" s="62">
        <v>2.8871999999999998E-2</v>
      </c>
      <c r="D50" s="62">
        <v>3.0030999999999999E-2</v>
      </c>
      <c r="E50" s="62">
        <v>3.0196000000000001E-2</v>
      </c>
      <c r="F50" s="62">
        <v>3.1959000000000001E-2</v>
      </c>
      <c r="G50" s="62">
        <v>3.2254999999999999E-2</v>
      </c>
      <c r="H50" s="62">
        <v>3.4521999999999997E-2</v>
      </c>
      <c r="I50" s="62">
        <v>3.5164000000000001E-2</v>
      </c>
      <c r="J50" s="62">
        <v>3.6206999999999996E-2</v>
      </c>
      <c r="K50" s="62">
        <v>3.6296000000000002E-2</v>
      </c>
      <c r="L50" s="62">
        <v>3.6249999999999998E-2</v>
      </c>
      <c r="M50" s="62">
        <v>3.6436999999999997E-2</v>
      </c>
      <c r="N50" s="62">
        <v>3.6937999999999999E-2</v>
      </c>
      <c r="O50" s="62">
        <v>3.7628000000000002E-2</v>
      </c>
      <c r="P50" s="62">
        <v>3.8376E-2</v>
      </c>
      <c r="Q50" s="62">
        <v>3.9039999999999998E-2</v>
      </c>
      <c r="R50" s="62">
        <v>3.9655000000000003E-2</v>
      </c>
      <c r="S50" s="62">
        <v>4.0330000000000005E-2</v>
      </c>
      <c r="T50" s="62">
        <v>4.1026999999999994E-2</v>
      </c>
      <c r="U50" s="62">
        <v>4.1704999999999999E-2</v>
      </c>
      <c r="V50" s="62">
        <v>4.2319000000000002E-2</v>
      </c>
      <c r="W50" s="62">
        <v>4.2809E-2</v>
      </c>
      <c r="X50" s="62">
        <v>4.3162000000000006E-2</v>
      </c>
      <c r="Y50" s="62">
        <v>4.3396999999999998E-2</v>
      </c>
      <c r="Z50" s="62">
        <v>4.3540000000000002E-2</v>
      </c>
      <c r="AA50" s="62">
        <v>4.3615000000000001E-2</v>
      </c>
      <c r="AB50" s="62">
        <v>4.3651000000000002E-2</v>
      </c>
      <c r="AC50" s="62">
        <v>4.3678000000000002E-2</v>
      </c>
      <c r="AD50" s="62">
        <v>4.3727000000000002E-2</v>
      </c>
      <c r="AE50" s="62">
        <v>4.3833000000000004E-2</v>
      </c>
      <c r="AF50" s="62">
        <v>4.3998000000000002E-2</v>
      </c>
    </row>
    <row r="51" spans="1:32">
      <c r="A51" s="1">
        <v>40984</v>
      </c>
      <c r="B51" s="62">
        <v>1.6774999999999998E-2</v>
      </c>
      <c r="C51" s="62">
        <v>2.8690000000000004E-2</v>
      </c>
      <c r="D51" s="62">
        <v>2.9944999999999999E-2</v>
      </c>
      <c r="E51" s="62">
        <v>3.0118999999999996E-2</v>
      </c>
      <c r="F51" s="62">
        <v>3.1732999999999997E-2</v>
      </c>
      <c r="G51" s="62">
        <v>3.2240999999999999E-2</v>
      </c>
      <c r="H51" s="62">
        <v>3.4263000000000002E-2</v>
      </c>
      <c r="I51" s="62">
        <v>3.5067000000000001E-2</v>
      </c>
      <c r="J51" s="62">
        <v>3.6104999999999998E-2</v>
      </c>
      <c r="K51" s="62">
        <v>3.6149000000000001E-2</v>
      </c>
      <c r="L51" s="62">
        <v>3.6143999999999996E-2</v>
      </c>
      <c r="M51" s="62">
        <v>3.6406000000000001E-2</v>
      </c>
      <c r="N51" s="62">
        <v>3.6927000000000001E-2</v>
      </c>
      <c r="O51" s="62">
        <v>3.7599999999999995E-2</v>
      </c>
      <c r="P51" s="62">
        <v>3.8313E-2</v>
      </c>
      <c r="Q51" s="62">
        <v>3.8946000000000001E-2</v>
      </c>
      <c r="R51" s="62">
        <v>3.9579000000000003E-2</v>
      </c>
      <c r="S51" s="62">
        <v>4.0321999999999997E-2</v>
      </c>
      <c r="T51" s="62">
        <v>4.1081000000000006E-2</v>
      </c>
      <c r="U51" s="62">
        <v>4.1756000000000001E-2</v>
      </c>
      <c r="V51" s="62">
        <v>4.2268E-2</v>
      </c>
      <c r="W51" s="62">
        <v>4.2633000000000004E-2</v>
      </c>
      <c r="X51" s="62">
        <v>4.2873999999999995E-2</v>
      </c>
      <c r="Y51" s="62">
        <v>4.3017E-2</v>
      </c>
      <c r="Z51" s="62">
        <v>4.3090999999999997E-2</v>
      </c>
      <c r="AA51" s="62">
        <v>4.3125999999999998E-2</v>
      </c>
      <c r="AB51" s="62">
        <v>4.3154999999999999E-2</v>
      </c>
      <c r="AC51" s="62">
        <v>4.3212E-2</v>
      </c>
      <c r="AD51" s="62">
        <v>4.3334999999999999E-2</v>
      </c>
      <c r="AE51" s="62">
        <v>4.3499999999999997E-2</v>
      </c>
      <c r="AF51" s="62">
        <v>4.3665000000000002E-2</v>
      </c>
    </row>
    <row r="52" spans="1:32">
      <c r="A52" s="1">
        <v>40987</v>
      </c>
      <c r="B52" s="62">
        <v>1.6941999999999999E-2</v>
      </c>
      <c r="C52" s="62">
        <v>2.8452000000000002E-2</v>
      </c>
      <c r="D52" s="62">
        <v>2.9868000000000002E-2</v>
      </c>
      <c r="E52" s="62">
        <v>3.0157E-2</v>
      </c>
      <c r="F52" s="62">
        <v>3.1865000000000004E-2</v>
      </c>
      <c r="G52" s="62">
        <v>3.2181000000000001E-2</v>
      </c>
      <c r="H52" s="62">
        <v>3.4306999999999997E-2</v>
      </c>
      <c r="I52" s="62">
        <v>3.5009999999999999E-2</v>
      </c>
      <c r="J52" s="62">
        <v>3.6223999999999999E-2</v>
      </c>
      <c r="K52" s="62">
        <v>3.6287E-2</v>
      </c>
      <c r="L52" s="62">
        <v>3.6266E-2</v>
      </c>
      <c r="M52" s="62">
        <v>3.6458999999999998E-2</v>
      </c>
      <c r="N52" s="62">
        <v>3.6953E-2</v>
      </c>
      <c r="O52" s="62">
        <v>3.7627000000000001E-2</v>
      </c>
      <c r="P52" s="62">
        <v>3.8357999999999996E-2</v>
      </c>
      <c r="Q52" s="62">
        <v>3.9008000000000001E-2</v>
      </c>
      <c r="R52" s="62">
        <v>3.9634000000000003E-2</v>
      </c>
      <c r="S52" s="62">
        <v>4.0349000000000003E-2</v>
      </c>
      <c r="T52" s="62">
        <v>4.1085999999999998E-2</v>
      </c>
      <c r="U52" s="62">
        <v>4.1773999999999999E-2</v>
      </c>
      <c r="V52" s="62">
        <v>4.2337E-2</v>
      </c>
      <c r="W52" s="62">
        <v>4.2750000000000003E-2</v>
      </c>
      <c r="X52" s="62">
        <v>4.3056999999999998E-2</v>
      </c>
      <c r="Y52" s="62">
        <v>4.3272000000000005E-2</v>
      </c>
      <c r="Z52" s="62">
        <v>4.3409000000000003E-2</v>
      </c>
      <c r="AA52" s="62">
        <v>4.3486999999999998E-2</v>
      </c>
      <c r="AB52" s="62">
        <v>4.3522999999999999E-2</v>
      </c>
      <c r="AC52" s="62">
        <v>4.3536999999999999E-2</v>
      </c>
      <c r="AD52" s="62">
        <v>4.3550000000000005E-2</v>
      </c>
      <c r="AE52" s="62">
        <v>4.3583999999999998E-2</v>
      </c>
      <c r="AF52" s="62">
        <v>4.3663999999999994E-2</v>
      </c>
    </row>
    <row r="53" spans="1:32">
      <c r="A53" s="1">
        <v>40988</v>
      </c>
      <c r="B53" s="62">
        <v>1.7984E-2</v>
      </c>
      <c r="C53" s="62">
        <v>2.8711E-2</v>
      </c>
      <c r="D53" s="62">
        <v>2.9949E-2</v>
      </c>
      <c r="E53" s="62">
        <v>3.0110999999999999E-2</v>
      </c>
      <c r="F53" s="62">
        <v>3.1671999999999999E-2</v>
      </c>
      <c r="G53" s="62">
        <v>3.2413999999999998E-2</v>
      </c>
      <c r="H53" s="62">
        <v>3.4277000000000002E-2</v>
      </c>
      <c r="I53" s="62">
        <v>3.5128E-2</v>
      </c>
      <c r="J53" s="62">
        <v>3.6305999999999998E-2</v>
      </c>
      <c r="K53" s="62">
        <v>3.6309000000000001E-2</v>
      </c>
      <c r="L53" s="62">
        <v>3.6270999999999998E-2</v>
      </c>
      <c r="M53" s="62">
        <v>3.6457000000000003E-2</v>
      </c>
      <c r="N53" s="62">
        <v>3.6949999999999997E-2</v>
      </c>
      <c r="O53" s="62">
        <v>3.7626E-2</v>
      </c>
      <c r="P53" s="62">
        <v>3.8357999999999996E-2</v>
      </c>
      <c r="Q53" s="62">
        <v>3.9008000000000001E-2</v>
      </c>
      <c r="R53" s="62">
        <v>3.9634000000000003E-2</v>
      </c>
      <c r="S53" s="62">
        <v>4.0347999999999995E-2</v>
      </c>
      <c r="T53" s="62">
        <v>4.1085999999999998E-2</v>
      </c>
      <c r="U53" s="62">
        <v>4.1775E-2</v>
      </c>
      <c r="V53" s="62">
        <v>4.2337999999999994E-2</v>
      </c>
      <c r="W53" s="62">
        <v>4.2751999999999998E-2</v>
      </c>
      <c r="X53" s="62">
        <v>4.3059E-2</v>
      </c>
      <c r="Y53" s="62">
        <v>4.3274E-2</v>
      </c>
      <c r="Z53" s="62">
        <v>4.3410999999999998E-2</v>
      </c>
      <c r="AA53" s="62">
        <v>4.3489000000000007E-2</v>
      </c>
      <c r="AB53" s="62">
        <v>4.3525000000000001E-2</v>
      </c>
      <c r="AC53" s="62">
        <v>4.3539000000000001E-2</v>
      </c>
      <c r="AD53" s="62">
        <v>4.3552E-2</v>
      </c>
      <c r="AE53" s="62">
        <v>4.3587000000000001E-2</v>
      </c>
      <c r="AF53" s="62">
        <v>4.3666999999999997E-2</v>
      </c>
    </row>
    <row r="54" spans="1:32">
      <c r="A54" s="1">
        <v>40989</v>
      </c>
      <c r="B54" s="62">
        <v>1.847E-2</v>
      </c>
      <c r="C54" s="62">
        <v>2.8774999999999998E-2</v>
      </c>
      <c r="D54" s="62">
        <v>2.9929000000000001E-2</v>
      </c>
      <c r="E54" s="62">
        <v>3.0144999999999998E-2</v>
      </c>
      <c r="F54" s="62">
        <v>3.168E-2</v>
      </c>
      <c r="G54" s="62">
        <v>3.2532999999999999E-2</v>
      </c>
      <c r="H54" s="62">
        <v>3.4440999999999999E-2</v>
      </c>
      <c r="I54" s="62">
        <v>3.5076000000000003E-2</v>
      </c>
      <c r="J54" s="62">
        <v>3.6240999999999995E-2</v>
      </c>
      <c r="K54" s="62">
        <v>3.6282999999999996E-2</v>
      </c>
      <c r="L54" s="62">
        <v>3.6276999999999997E-2</v>
      </c>
      <c r="M54" s="62">
        <v>3.6531000000000001E-2</v>
      </c>
      <c r="N54" s="62">
        <v>3.7033999999999997E-2</v>
      </c>
      <c r="O54" s="62">
        <v>3.7683000000000001E-2</v>
      </c>
      <c r="P54" s="62">
        <v>3.8371000000000002E-2</v>
      </c>
      <c r="Q54" s="62">
        <v>3.8981000000000002E-2</v>
      </c>
      <c r="R54" s="62">
        <v>3.9647000000000002E-2</v>
      </c>
      <c r="S54" s="62">
        <v>4.0490000000000005E-2</v>
      </c>
      <c r="T54" s="62">
        <v>4.1355000000000003E-2</v>
      </c>
      <c r="U54" s="62">
        <v>4.2069999999999996E-2</v>
      </c>
      <c r="V54" s="62">
        <v>4.2566E-2</v>
      </c>
      <c r="W54" s="62">
        <v>4.2949000000000001E-2</v>
      </c>
      <c r="X54" s="62">
        <v>4.3230999999999999E-2</v>
      </c>
      <c r="Y54" s="62">
        <v>4.3429000000000002E-2</v>
      </c>
      <c r="Z54" s="62">
        <v>4.3555000000000003E-2</v>
      </c>
      <c r="AA54" s="62">
        <v>4.3628E-2</v>
      </c>
      <c r="AB54" s="62">
        <v>4.3666000000000003E-2</v>
      </c>
      <c r="AC54" s="62">
        <v>4.3688999999999999E-2</v>
      </c>
      <c r="AD54" s="62">
        <v>4.3715999999999998E-2</v>
      </c>
      <c r="AE54" s="62">
        <v>4.3769999999999996E-2</v>
      </c>
      <c r="AF54" s="62">
        <v>4.3875000000000004E-2</v>
      </c>
    </row>
    <row r="55" spans="1:32">
      <c r="A55" s="1">
        <v>40990</v>
      </c>
      <c r="B55" s="62">
        <v>1.9975E-2</v>
      </c>
      <c r="C55" s="62">
        <v>2.8816000000000001E-2</v>
      </c>
      <c r="D55" s="62">
        <v>2.9923999999999999E-2</v>
      </c>
      <c r="E55" s="62">
        <v>3.0192999999999998E-2</v>
      </c>
      <c r="F55" s="62">
        <v>3.177E-2</v>
      </c>
      <c r="G55" s="62">
        <v>3.2217999999999997E-2</v>
      </c>
      <c r="H55" s="62">
        <v>3.4266999999999999E-2</v>
      </c>
      <c r="I55" s="62">
        <v>3.5131000000000003E-2</v>
      </c>
      <c r="J55" s="62">
        <v>3.6131000000000003E-2</v>
      </c>
      <c r="K55" s="62">
        <v>3.6180999999999998E-2</v>
      </c>
      <c r="L55" s="62">
        <v>3.6159999999999998E-2</v>
      </c>
      <c r="M55" s="62">
        <v>3.6361999999999998E-2</v>
      </c>
      <c r="N55" s="62">
        <v>3.687E-2</v>
      </c>
      <c r="O55" s="62">
        <v>3.7562000000000005E-2</v>
      </c>
      <c r="P55" s="62">
        <v>3.8311000000000005E-2</v>
      </c>
      <c r="Q55" s="62">
        <v>3.8977999999999999E-2</v>
      </c>
      <c r="R55" s="62">
        <v>3.9692999999999999E-2</v>
      </c>
      <c r="S55" s="62">
        <v>4.0579000000000004E-2</v>
      </c>
      <c r="T55" s="62">
        <v>4.1468999999999999E-2</v>
      </c>
      <c r="U55" s="62">
        <v>4.2176999999999999E-2</v>
      </c>
      <c r="V55" s="62">
        <v>4.2645000000000002E-2</v>
      </c>
      <c r="W55" s="62">
        <v>4.3005000000000002E-2</v>
      </c>
      <c r="X55" s="62">
        <v>4.3272000000000005E-2</v>
      </c>
      <c r="Y55" s="62">
        <v>4.3457999999999997E-2</v>
      </c>
      <c r="Z55" s="62">
        <v>4.3575999999999997E-2</v>
      </c>
      <c r="AA55" s="62">
        <v>4.3643999999999995E-2</v>
      </c>
      <c r="AB55" s="62">
        <v>4.3676000000000006E-2</v>
      </c>
      <c r="AC55" s="62">
        <v>4.3692000000000002E-2</v>
      </c>
      <c r="AD55" s="62">
        <v>4.3708999999999998E-2</v>
      </c>
      <c r="AE55" s="62">
        <v>4.3749000000000003E-2</v>
      </c>
      <c r="AF55" s="62">
        <v>4.3833000000000004E-2</v>
      </c>
    </row>
    <row r="56" spans="1:32">
      <c r="A56" s="1">
        <v>40991</v>
      </c>
      <c r="B56" s="62">
        <v>2.0116999999999999E-2</v>
      </c>
      <c r="C56" s="62">
        <v>2.8527999999999998E-2</v>
      </c>
      <c r="D56" s="62">
        <v>2.9672E-2</v>
      </c>
      <c r="E56" s="62">
        <v>3.0034000000000002E-2</v>
      </c>
      <c r="F56" s="62">
        <v>3.1503999999999997E-2</v>
      </c>
      <c r="G56" s="62">
        <v>3.1945000000000001E-2</v>
      </c>
      <c r="H56" s="62">
        <v>3.4321999999999998E-2</v>
      </c>
      <c r="I56" s="62">
        <v>3.4914000000000001E-2</v>
      </c>
      <c r="J56" s="62">
        <v>3.5899E-2</v>
      </c>
      <c r="K56" s="62">
        <v>3.5935000000000002E-2</v>
      </c>
      <c r="L56" s="62">
        <v>3.5913E-2</v>
      </c>
      <c r="M56" s="62">
        <v>3.6131000000000003E-2</v>
      </c>
      <c r="N56" s="62">
        <v>3.6678999999999996E-2</v>
      </c>
      <c r="O56" s="62">
        <v>3.7426000000000001E-2</v>
      </c>
      <c r="P56" s="62">
        <v>3.8233999999999997E-2</v>
      </c>
      <c r="Q56" s="62">
        <v>3.8954000000000003E-2</v>
      </c>
      <c r="R56" s="62">
        <v>3.9727999999999999E-2</v>
      </c>
      <c r="S56" s="62">
        <v>4.0684999999999999E-2</v>
      </c>
      <c r="T56" s="62">
        <v>4.1624999999999995E-2</v>
      </c>
      <c r="U56" s="62">
        <v>4.2328999999999999E-2</v>
      </c>
      <c r="V56" s="62">
        <v>4.2748999999999995E-2</v>
      </c>
      <c r="W56" s="62">
        <v>4.3073E-2</v>
      </c>
      <c r="X56" s="62">
        <v>4.3311999999999996E-2</v>
      </c>
      <c r="Y56" s="62">
        <v>4.3478000000000003E-2</v>
      </c>
      <c r="Z56" s="62">
        <v>4.3582999999999997E-2</v>
      </c>
      <c r="AA56" s="62">
        <v>4.3639999999999998E-2</v>
      </c>
      <c r="AB56" s="62">
        <v>4.3663999999999994E-2</v>
      </c>
      <c r="AC56" s="62">
        <v>4.3668999999999999E-2</v>
      </c>
      <c r="AD56" s="62">
        <v>4.3673000000000003E-2</v>
      </c>
      <c r="AE56" s="62">
        <v>4.3692000000000002E-2</v>
      </c>
      <c r="AF56" s="62">
        <v>4.3746E-2</v>
      </c>
    </row>
    <row r="57" spans="1:32">
      <c r="A57" s="1">
        <v>40994</v>
      </c>
      <c r="B57" s="62">
        <v>1.9834000000000001E-2</v>
      </c>
      <c r="C57" s="62">
        <v>2.8435999999999999E-2</v>
      </c>
      <c r="D57" s="62">
        <v>2.9695999999999997E-2</v>
      </c>
      <c r="E57" s="62">
        <v>2.9950999999999998E-2</v>
      </c>
      <c r="F57" s="62">
        <v>3.1365999999999998E-2</v>
      </c>
      <c r="G57" s="62">
        <v>3.2037000000000003E-2</v>
      </c>
      <c r="H57" s="62">
        <v>3.4264999999999997E-2</v>
      </c>
      <c r="I57" s="62">
        <v>3.4865E-2</v>
      </c>
      <c r="J57" s="62">
        <v>3.5906E-2</v>
      </c>
      <c r="K57" s="62">
        <v>3.5901000000000002E-2</v>
      </c>
      <c r="L57" s="62">
        <v>3.5894000000000002E-2</v>
      </c>
      <c r="M57" s="62">
        <v>3.6181999999999999E-2</v>
      </c>
      <c r="N57" s="62">
        <v>3.6749000000000004E-2</v>
      </c>
      <c r="O57" s="62">
        <v>3.7478999999999998E-2</v>
      </c>
      <c r="P57" s="62">
        <v>3.8252000000000001E-2</v>
      </c>
      <c r="Q57" s="62">
        <v>3.8938E-2</v>
      </c>
      <c r="R57" s="62">
        <v>3.9641999999999997E-2</v>
      </c>
      <c r="S57" s="62">
        <v>4.0492999999999994E-2</v>
      </c>
      <c r="T57" s="62">
        <v>4.1378999999999999E-2</v>
      </c>
      <c r="U57" s="62">
        <v>4.2172000000000001E-2</v>
      </c>
      <c r="V57" s="62">
        <v>4.2733999999999994E-2</v>
      </c>
      <c r="W57" s="62">
        <v>4.3080999999999994E-2</v>
      </c>
      <c r="X57" s="62">
        <v>4.3338999999999996E-2</v>
      </c>
      <c r="Y57" s="62">
        <v>4.3518999999999995E-2</v>
      </c>
      <c r="Z57" s="62">
        <v>4.3631999999999997E-2</v>
      </c>
      <c r="AA57" s="62">
        <v>4.3693000000000003E-2</v>
      </c>
      <c r="AB57" s="62">
        <v>4.3715000000000004E-2</v>
      </c>
      <c r="AC57" s="62">
        <v>4.3712999999999995E-2</v>
      </c>
      <c r="AD57" s="62">
        <v>4.3705000000000001E-2</v>
      </c>
      <c r="AE57" s="62">
        <v>4.3707000000000003E-2</v>
      </c>
      <c r="AF57" s="62">
        <v>4.3739E-2</v>
      </c>
    </row>
    <row r="58" spans="1:32">
      <c r="A58" s="1">
        <v>40995</v>
      </c>
      <c r="B58" s="62">
        <v>1.8474999999999998E-2</v>
      </c>
      <c r="C58" s="62">
        <v>2.8435999999999999E-2</v>
      </c>
      <c r="D58" s="62">
        <v>2.9618999999999999E-2</v>
      </c>
      <c r="E58" s="62">
        <v>2.9977E-2</v>
      </c>
      <c r="F58" s="62">
        <v>3.1505999999999999E-2</v>
      </c>
      <c r="G58" s="62">
        <v>3.2046999999999999E-2</v>
      </c>
      <c r="H58" s="62">
        <v>3.4394000000000001E-2</v>
      </c>
      <c r="I58" s="62">
        <v>3.4943000000000002E-2</v>
      </c>
      <c r="J58" s="62">
        <v>3.6014999999999998E-2</v>
      </c>
      <c r="K58" s="62">
        <v>3.6082999999999997E-2</v>
      </c>
      <c r="L58" s="62">
        <v>3.6066000000000001E-2</v>
      </c>
      <c r="M58" s="62">
        <v>3.6284000000000004E-2</v>
      </c>
      <c r="N58" s="62">
        <v>3.6817999999999997E-2</v>
      </c>
      <c r="O58" s="62">
        <v>3.7543E-2</v>
      </c>
      <c r="P58" s="62">
        <v>3.8327E-2</v>
      </c>
      <c r="Q58" s="62">
        <v>3.9024999999999997E-2</v>
      </c>
      <c r="R58" s="62">
        <v>3.9772000000000002E-2</v>
      </c>
      <c r="S58" s="62">
        <v>4.0689999999999997E-2</v>
      </c>
      <c r="T58" s="62">
        <v>4.1596000000000001E-2</v>
      </c>
      <c r="U58" s="62">
        <v>4.2285000000000003E-2</v>
      </c>
      <c r="V58" s="62">
        <v>4.2713000000000001E-2</v>
      </c>
      <c r="W58" s="62">
        <v>4.3042999999999998E-2</v>
      </c>
      <c r="X58" s="62">
        <v>4.3287000000000006E-2</v>
      </c>
      <c r="Y58" s="62">
        <v>4.3456000000000002E-2</v>
      </c>
      <c r="Z58" s="62">
        <v>4.3562999999999998E-2</v>
      </c>
      <c r="AA58" s="62">
        <v>4.3621999999999994E-2</v>
      </c>
      <c r="AB58" s="62">
        <v>4.3647999999999999E-2</v>
      </c>
      <c r="AC58" s="62">
        <v>4.3656E-2</v>
      </c>
      <c r="AD58" s="62">
        <v>4.3663999999999994E-2</v>
      </c>
      <c r="AE58" s="62">
        <v>4.3688999999999999E-2</v>
      </c>
      <c r="AF58" s="62">
        <v>4.3752000000000006E-2</v>
      </c>
    </row>
    <row r="59" spans="1:32">
      <c r="A59" s="1">
        <v>40996</v>
      </c>
      <c r="B59" s="62">
        <v>1.9341999999999998E-2</v>
      </c>
      <c r="C59" s="62">
        <v>2.8485E-2</v>
      </c>
      <c r="D59" s="62">
        <v>2.9357999999999999E-2</v>
      </c>
      <c r="E59" s="62">
        <v>2.9876999999999997E-2</v>
      </c>
      <c r="F59" s="62">
        <v>3.1525999999999998E-2</v>
      </c>
      <c r="G59" s="62">
        <v>3.1869999999999996E-2</v>
      </c>
      <c r="H59" s="62">
        <v>3.4131000000000002E-2</v>
      </c>
      <c r="I59" s="62">
        <v>3.4853000000000002E-2</v>
      </c>
      <c r="J59" s="62">
        <v>3.5886000000000001E-2</v>
      </c>
      <c r="K59" s="62">
        <v>3.5880000000000002E-2</v>
      </c>
      <c r="L59" s="62">
        <v>3.5874000000000003E-2</v>
      </c>
      <c r="M59" s="62">
        <v>3.6172000000000003E-2</v>
      </c>
      <c r="N59" s="62">
        <v>3.6753000000000001E-2</v>
      </c>
      <c r="O59" s="62">
        <v>3.7499999999999999E-2</v>
      </c>
      <c r="P59" s="62">
        <v>3.8292E-2</v>
      </c>
      <c r="Q59" s="62">
        <v>3.8993E-2</v>
      </c>
      <c r="R59" s="62">
        <v>3.9697000000000003E-2</v>
      </c>
      <c r="S59" s="62">
        <v>4.0528000000000002E-2</v>
      </c>
      <c r="T59" s="62">
        <v>4.1382000000000002E-2</v>
      </c>
      <c r="U59" s="62">
        <v>4.2145999999999996E-2</v>
      </c>
      <c r="V59" s="62">
        <v>4.2694999999999997E-2</v>
      </c>
      <c r="W59" s="62">
        <v>4.3042999999999998E-2</v>
      </c>
      <c r="X59" s="62">
        <v>4.3301999999999993E-2</v>
      </c>
      <c r="Y59" s="62">
        <v>4.3482E-2</v>
      </c>
      <c r="Z59" s="62">
        <v>4.3594999999999995E-2</v>
      </c>
      <c r="AA59" s="62">
        <v>4.3656E-2</v>
      </c>
      <c r="AB59" s="62">
        <v>4.3678000000000002E-2</v>
      </c>
      <c r="AC59" s="62">
        <v>4.3677000000000001E-2</v>
      </c>
      <c r="AD59" s="62">
        <v>4.367E-2</v>
      </c>
      <c r="AE59" s="62">
        <v>4.3673999999999998E-2</v>
      </c>
      <c r="AF59" s="62">
        <v>4.3707999999999997E-2</v>
      </c>
    </row>
    <row r="60" spans="1:32">
      <c r="A60" s="1">
        <v>40997</v>
      </c>
      <c r="B60" s="62">
        <v>1.9E-2</v>
      </c>
      <c r="C60" s="62">
        <v>2.8336E-2</v>
      </c>
      <c r="D60" s="62">
        <v>2.8816000000000001E-2</v>
      </c>
      <c r="E60" s="62">
        <v>2.9521000000000002E-2</v>
      </c>
      <c r="F60" s="62">
        <v>3.1055000000000003E-2</v>
      </c>
      <c r="G60" s="62">
        <v>3.1788999999999998E-2</v>
      </c>
      <c r="H60" s="62">
        <v>3.4103000000000001E-2</v>
      </c>
      <c r="I60" s="62">
        <v>3.4714999999999996E-2</v>
      </c>
      <c r="J60" s="62">
        <v>3.5680999999999997E-2</v>
      </c>
      <c r="K60" s="62">
        <v>3.5811999999999997E-2</v>
      </c>
      <c r="L60" s="62">
        <v>3.5810000000000002E-2</v>
      </c>
      <c r="M60" s="62">
        <v>3.6061000000000003E-2</v>
      </c>
      <c r="N60" s="62">
        <v>3.6638000000000004E-2</v>
      </c>
      <c r="O60" s="62">
        <v>3.7413000000000002E-2</v>
      </c>
      <c r="P60" s="62">
        <v>3.8248000000000004E-2</v>
      </c>
      <c r="Q60" s="62">
        <v>3.8996000000000003E-2</v>
      </c>
      <c r="R60" s="62">
        <v>3.9726999999999998E-2</v>
      </c>
      <c r="S60" s="62">
        <v>4.0559000000000005E-2</v>
      </c>
      <c r="T60" s="62">
        <v>4.1401E-2</v>
      </c>
      <c r="U60" s="62">
        <v>4.2148000000000005E-2</v>
      </c>
      <c r="V60" s="62">
        <v>4.2687999999999997E-2</v>
      </c>
      <c r="W60" s="62">
        <v>4.3036000000000005E-2</v>
      </c>
      <c r="X60" s="62">
        <v>4.3292999999999998E-2</v>
      </c>
      <c r="Y60" s="62">
        <v>4.3471999999999997E-2</v>
      </c>
      <c r="Z60" s="62">
        <v>4.3585000000000006E-2</v>
      </c>
      <c r="AA60" s="62">
        <v>4.3644999999999996E-2</v>
      </c>
      <c r="AB60" s="62">
        <v>4.3666000000000003E-2</v>
      </c>
      <c r="AC60" s="62">
        <v>4.3665000000000002E-2</v>
      </c>
      <c r="AD60" s="62">
        <v>4.3657000000000001E-2</v>
      </c>
      <c r="AE60" s="62">
        <v>4.3659999999999997E-2</v>
      </c>
      <c r="AF60" s="62">
        <v>4.3693999999999997E-2</v>
      </c>
    </row>
    <row r="61" spans="1:32">
      <c r="A61" s="1">
        <v>40998</v>
      </c>
      <c r="B61" s="62">
        <v>1.9758999999999999E-2</v>
      </c>
      <c r="C61" s="62">
        <v>2.8355000000000002E-2</v>
      </c>
      <c r="D61" s="62">
        <v>2.8799000000000002E-2</v>
      </c>
      <c r="E61" s="62">
        <v>2.9575000000000001E-2</v>
      </c>
      <c r="F61" s="62">
        <v>3.1152000000000003E-2</v>
      </c>
      <c r="G61" s="62">
        <v>3.1585999999999996E-2</v>
      </c>
      <c r="H61" s="62">
        <v>3.4037000000000005E-2</v>
      </c>
      <c r="I61" s="62">
        <v>3.4651999999999995E-2</v>
      </c>
      <c r="J61" s="62">
        <v>3.5632999999999998E-2</v>
      </c>
      <c r="K61" s="62">
        <v>3.5704E-2</v>
      </c>
      <c r="L61" s="62">
        <v>3.5714000000000003E-2</v>
      </c>
      <c r="M61" s="62">
        <v>3.6032000000000002E-2</v>
      </c>
      <c r="N61" s="62">
        <v>3.6636000000000002E-2</v>
      </c>
      <c r="O61" s="62">
        <v>3.7408999999999998E-2</v>
      </c>
      <c r="P61" s="62">
        <v>3.8227000000000004E-2</v>
      </c>
      <c r="Q61" s="62">
        <v>3.8954000000000003E-2</v>
      </c>
      <c r="R61" s="62">
        <v>3.9674000000000001E-2</v>
      </c>
      <c r="S61" s="62">
        <v>4.0505000000000006E-2</v>
      </c>
      <c r="T61" s="62">
        <v>4.1351000000000006E-2</v>
      </c>
      <c r="U61" s="62">
        <v>4.2104000000000003E-2</v>
      </c>
      <c r="V61" s="62">
        <v>4.2647000000000004E-2</v>
      </c>
      <c r="W61" s="62">
        <v>4.2994000000000004E-2</v>
      </c>
      <c r="X61" s="62">
        <v>4.3251999999999999E-2</v>
      </c>
      <c r="Y61" s="62">
        <v>4.3430999999999997E-2</v>
      </c>
      <c r="Z61" s="62">
        <v>4.3543000000000005E-2</v>
      </c>
      <c r="AA61" s="62">
        <v>4.3602999999999996E-2</v>
      </c>
      <c r="AB61" s="62">
        <v>4.3624000000000003E-2</v>
      </c>
      <c r="AC61" s="62">
        <v>4.3623000000000002E-2</v>
      </c>
      <c r="AD61" s="62">
        <v>4.3615000000000001E-2</v>
      </c>
      <c r="AE61" s="62">
        <v>4.3617999999999997E-2</v>
      </c>
      <c r="AF61" s="62">
        <v>4.3651999999999996E-2</v>
      </c>
    </row>
    <row r="62" spans="1:32">
      <c r="A62" s="1">
        <v>40999</v>
      </c>
      <c r="B62" s="62">
        <v>1.9724999999999999E-2</v>
      </c>
      <c r="C62" s="62">
        <v>2.8355000000000002E-2</v>
      </c>
      <c r="D62" s="62">
        <v>2.8753000000000001E-2</v>
      </c>
      <c r="E62" s="62">
        <v>2.9467E-2</v>
      </c>
      <c r="F62" s="62">
        <v>3.1153E-2</v>
      </c>
      <c r="G62" s="62">
        <v>3.1587999999999998E-2</v>
      </c>
      <c r="H62" s="62">
        <v>3.3972000000000002E-2</v>
      </c>
      <c r="I62" s="62">
        <v>3.4630000000000001E-2</v>
      </c>
      <c r="J62" s="62">
        <v>3.5571999999999999E-2</v>
      </c>
      <c r="K62" s="62">
        <v>3.5668999999999999E-2</v>
      </c>
      <c r="L62" s="62">
        <v>3.5659999999999997E-2</v>
      </c>
      <c r="M62" s="62">
        <v>3.5913E-2</v>
      </c>
      <c r="N62" s="62">
        <v>3.6507999999999999E-2</v>
      </c>
      <c r="O62" s="62">
        <v>3.7309999999999996E-2</v>
      </c>
      <c r="P62" s="62">
        <v>3.8174E-2</v>
      </c>
      <c r="Q62" s="62">
        <v>3.8946999999999996E-2</v>
      </c>
      <c r="R62" s="62">
        <v>3.9689999999999996E-2</v>
      </c>
      <c r="S62" s="62">
        <v>4.0523999999999998E-2</v>
      </c>
      <c r="T62" s="62">
        <v>4.1359000000000007E-2</v>
      </c>
      <c r="U62" s="62">
        <v>4.2098000000000003E-2</v>
      </c>
      <c r="V62" s="62">
        <v>4.2633999999999998E-2</v>
      </c>
      <c r="W62" s="62">
        <v>4.2979999999999997E-2</v>
      </c>
      <c r="X62" s="62">
        <v>4.3238000000000006E-2</v>
      </c>
      <c r="Y62" s="62">
        <v>4.3415999999999996E-2</v>
      </c>
      <c r="Z62" s="62">
        <v>4.3528999999999998E-2</v>
      </c>
      <c r="AA62" s="62">
        <v>4.3587999999999995E-2</v>
      </c>
      <c r="AB62" s="62">
        <v>4.3609000000000002E-2</v>
      </c>
      <c r="AC62" s="62">
        <v>4.3606999999999993E-2</v>
      </c>
      <c r="AD62" s="62">
        <v>4.3598999999999999E-2</v>
      </c>
      <c r="AE62" s="62">
        <v>4.3602999999999996E-2</v>
      </c>
      <c r="AF62" s="62">
        <v>4.3636000000000001E-2</v>
      </c>
    </row>
    <row r="63" spans="1:32">
      <c r="A63" s="1">
        <v>41000</v>
      </c>
      <c r="B63" s="62">
        <v>1.9383999999999998E-2</v>
      </c>
      <c r="C63" s="62">
        <v>2.8551000000000003E-2</v>
      </c>
      <c r="D63" s="62">
        <v>2.8969999999999999E-2</v>
      </c>
      <c r="E63" s="62">
        <v>2.9489000000000001E-2</v>
      </c>
      <c r="F63" s="62">
        <v>3.1359999999999999E-2</v>
      </c>
      <c r="G63" s="62">
        <v>3.1796000000000005E-2</v>
      </c>
      <c r="H63" s="62">
        <v>3.4171E-2</v>
      </c>
      <c r="I63" s="62">
        <v>3.4868000000000003E-2</v>
      </c>
      <c r="J63" s="62">
        <v>3.5714000000000003E-2</v>
      </c>
      <c r="K63" s="62">
        <v>3.5880000000000002E-2</v>
      </c>
      <c r="L63" s="62">
        <v>3.5868000000000004E-2</v>
      </c>
      <c r="M63" s="62">
        <v>3.6109000000000002E-2</v>
      </c>
      <c r="N63" s="62">
        <v>3.6680999999999998E-2</v>
      </c>
      <c r="O63" s="62">
        <v>3.7453E-2</v>
      </c>
      <c r="P63" s="62">
        <v>3.8285E-2</v>
      </c>
      <c r="Q63" s="62">
        <v>3.9028E-2</v>
      </c>
      <c r="R63" s="62">
        <v>3.9754999999999999E-2</v>
      </c>
      <c r="S63" s="62">
        <v>4.0586999999999998E-2</v>
      </c>
      <c r="T63" s="62">
        <v>4.1430999999999996E-2</v>
      </c>
      <c r="U63" s="62">
        <v>4.2182000000000004E-2</v>
      </c>
      <c r="V63" s="62">
        <v>4.2723000000000004E-2</v>
      </c>
      <c r="W63" s="62">
        <v>4.3070999999999998E-2</v>
      </c>
      <c r="X63" s="62">
        <v>4.3329000000000006E-2</v>
      </c>
      <c r="Y63" s="62">
        <v>4.3508999999999999E-2</v>
      </c>
      <c r="Z63" s="62">
        <v>4.3621E-2</v>
      </c>
      <c r="AA63" s="62">
        <v>4.3680999999999998E-2</v>
      </c>
      <c r="AB63" s="62">
        <v>4.3703000000000006E-2</v>
      </c>
      <c r="AC63" s="62">
        <v>4.3700999999999997E-2</v>
      </c>
      <c r="AD63" s="62">
        <v>4.3693999999999997E-2</v>
      </c>
      <c r="AE63" s="62">
        <v>4.3697E-2</v>
      </c>
      <c r="AF63" s="62">
        <v>4.3730999999999999E-2</v>
      </c>
    </row>
    <row r="64" spans="1:32">
      <c r="A64" s="1">
        <v>41004</v>
      </c>
      <c r="B64" s="62">
        <v>2.3025000000000004E-2</v>
      </c>
      <c r="C64" s="62">
        <v>2.8595000000000002E-2</v>
      </c>
      <c r="D64" s="62">
        <v>2.8946999999999997E-2</v>
      </c>
      <c r="E64" s="62">
        <v>2.9395999999999999E-2</v>
      </c>
      <c r="F64" s="62">
        <v>3.1488999999999996E-2</v>
      </c>
      <c r="G64" s="62">
        <v>3.1713999999999999E-2</v>
      </c>
      <c r="H64" s="62">
        <v>3.4201000000000002E-2</v>
      </c>
      <c r="I64" s="62">
        <v>3.4844E-2</v>
      </c>
      <c r="J64" s="62">
        <v>3.5861000000000004E-2</v>
      </c>
      <c r="K64" s="62">
        <v>3.5893000000000001E-2</v>
      </c>
      <c r="L64" s="62">
        <v>3.585E-2</v>
      </c>
      <c r="M64" s="62">
        <v>3.6083999999999998E-2</v>
      </c>
      <c r="N64" s="62">
        <v>3.6659000000000004E-2</v>
      </c>
      <c r="O64" s="62">
        <v>3.7437999999999999E-2</v>
      </c>
      <c r="P64" s="62">
        <v>3.8280000000000002E-2</v>
      </c>
      <c r="Q64" s="62">
        <v>3.9028E-2</v>
      </c>
      <c r="R64" s="62">
        <v>3.9756E-2</v>
      </c>
      <c r="S64" s="62">
        <v>4.0589000000000007E-2</v>
      </c>
      <c r="T64" s="62">
        <v>4.1432000000000004E-2</v>
      </c>
      <c r="U64" s="62">
        <v>4.2182000000000004E-2</v>
      </c>
      <c r="V64" s="62">
        <v>4.2723000000000004E-2</v>
      </c>
      <c r="W64" s="62">
        <v>4.3070999999999998E-2</v>
      </c>
      <c r="X64" s="62">
        <v>4.3329000000000006E-2</v>
      </c>
      <c r="Y64" s="62">
        <v>4.3507999999999998E-2</v>
      </c>
      <c r="Z64" s="62">
        <v>4.3621E-2</v>
      </c>
      <c r="AA64" s="62">
        <v>4.3680999999999998E-2</v>
      </c>
      <c r="AB64" s="62">
        <v>4.3703000000000006E-2</v>
      </c>
      <c r="AC64" s="62">
        <v>4.3700999999999997E-2</v>
      </c>
      <c r="AD64" s="62">
        <v>4.3693999999999997E-2</v>
      </c>
      <c r="AE64" s="62">
        <v>4.3697E-2</v>
      </c>
      <c r="AF64" s="62">
        <v>4.3730999999999999E-2</v>
      </c>
    </row>
    <row r="65" spans="1:32">
      <c r="A65" s="1">
        <v>41005</v>
      </c>
      <c r="B65" s="62">
        <v>2.528E-2</v>
      </c>
      <c r="C65" s="62">
        <v>2.8731E-2</v>
      </c>
      <c r="D65" s="62">
        <v>2.9031999999999999E-2</v>
      </c>
      <c r="E65" s="62">
        <v>2.9381000000000001E-2</v>
      </c>
      <c r="F65" s="62">
        <v>3.1543999999999996E-2</v>
      </c>
      <c r="G65" s="62">
        <v>3.1764000000000001E-2</v>
      </c>
      <c r="H65" s="62">
        <v>3.4172000000000001E-2</v>
      </c>
      <c r="I65" s="62">
        <v>3.4904000000000004E-2</v>
      </c>
      <c r="J65" s="62">
        <v>3.5864E-2</v>
      </c>
      <c r="K65" s="62">
        <v>3.5894000000000002E-2</v>
      </c>
      <c r="L65" s="62">
        <v>3.5859000000000002E-2</v>
      </c>
      <c r="M65" s="62">
        <v>3.6094000000000001E-2</v>
      </c>
      <c r="N65" s="62">
        <v>3.6669E-2</v>
      </c>
      <c r="O65" s="62">
        <v>3.7448000000000002E-2</v>
      </c>
      <c r="P65" s="62">
        <v>3.8288999999999997E-2</v>
      </c>
      <c r="Q65" s="62">
        <v>3.9036000000000001E-2</v>
      </c>
      <c r="R65" s="62">
        <v>3.9764000000000001E-2</v>
      </c>
      <c r="S65" s="62">
        <v>4.0595999999999993E-2</v>
      </c>
      <c r="T65" s="62">
        <v>4.1440000000000005E-2</v>
      </c>
      <c r="U65" s="62">
        <v>4.2190000000000005E-2</v>
      </c>
      <c r="V65" s="62">
        <v>4.2731999999999999E-2</v>
      </c>
      <c r="W65" s="62">
        <v>4.308E-2</v>
      </c>
      <c r="X65" s="62">
        <v>4.3338000000000002E-2</v>
      </c>
      <c r="Y65" s="62">
        <v>4.3517E-2</v>
      </c>
      <c r="Z65" s="62">
        <v>4.3630000000000002E-2</v>
      </c>
      <c r="AA65" s="62">
        <v>4.369E-2</v>
      </c>
      <c r="AB65" s="62">
        <v>4.3712000000000001E-2</v>
      </c>
      <c r="AC65" s="62">
        <v>4.3711E-2</v>
      </c>
      <c r="AD65" s="62">
        <v>4.3703000000000006E-2</v>
      </c>
      <c r="AE65" s="62">
        <v>4.3707000000000003E-2</v>
      </c>
      <c r="AF65" s="62">
        <v>4.3741000000000002E-2</v>
      </c>
    </row>
    <row r="66" spans="1:32">
      <c r="A66" s="1">
        <v>41008</v>
      </c>
      <c r="B66" s="62">
        <v>2.2117000000000001E-2</v>
      </c>
      <c r="C66" s="62">
        <v>2.8698000000000001E-2</v>
      </c>
      <c r="D66" s="62">
        <v>2.9005999999999997E-2</v>
      </c>
      <c r="E66" s="62">
        <v>2.9538999999999999E-2</v>
      </c>
      <c r="F66" s="62">
        <v>3.1466000000000001E-2</v>
      </c>
      <c r="G66" s="62">
        <v>3.1771000000000001E-2</v>
      </c>
      <c r="H66" s="62">
        <v>3.4331E-2</v>
      </c>
      <c r="I66" s="62">
        <v>3.4952000000000004E-2</v>
      </c>
      <c r="J66" s="62">
        <v>3.5964000000000003E-2</v>
      </c>
      <c r="K66" s="62">
        <v>3.6031000000000001E-2</v>
      </c>
      <c r="L66" s="62">
        <v>3.6027000000000003E-2</v>
      </c>
      <c r="M66" s="62">
        <v>3.6334999999999999E-2</v>
      </c>
      <c r="N66" s="62">
        <v>3.6924999999999999E-2</v>
      </c>
      <c r="O66" s="62">
        <v>3.7680999999999999E-2</v>
      </c>
      <c r="P66" s="62">
        <v>3.848E-2</v>
      </c>
      <c r="Q66" s="62">
        <v>3.9188000000000001E-2</v>
      </c>
      <c r="R66" s="62">
        <v>3.9890000000000002E-2</v>
      </c>
      <c r="S66" s="62">
        <v>4.0709000000000002E-2</v>
      </c>
      <c r="T66" s="62">
        <v>4.1551999999999999E-2</v>
      </c>
      <c r="U66" s="62">
        <v>4.2317999999999995E-2</v>
      </c>
      <c r="V66" s="62">
        <v>4.2895000000000003E-2</v>
      </c>
      <c r="W66" s="62">
        <v>4.3277000000000003E-2</v>
      </c>
      <c r="X66" s="62">
        <v>4.3552E-2</v>
      </c>
      <c r="Y66" s="62">
        <v>4.3734000000000002E-2</v>
      </c>
      <c r="Z66" s="62">
        <v>4.3840000000000004E-2</v>
      </c>
      <c r="AA66" s="62">
        <v>4.3888999999999997E-2</v>
      </c>
      <c r="AB66" s="62">
        <v>4.3902000000000004E-2</v>
      </c>
      <c r="AC66" s="62">
        <v>4.3899000000000001E-2</v>
      </c>
      <c r="AD66" s="62">
        <v>4.3902999999999998E-2</v>
      </c>
      <c r="AE66" s="62">
        <v>4.3939000000000006E-2</v>
      </c>
      <c r="AF66" s="62">
        <v>4.4010999999999995E-2</v>
      </c>
    </row>
    <row r="67" spans="1:32">
      <c r="A67" s="1">
        <v>41009</v>
      </c>
      <c r="B67" s="62">
        <v>2.2938E-2</v>
      </c>
      <c r="C67" s="62">
        <v>2.8712000000000001E-2</v>
      </c>
      <c r="D67" s="62">
        <v>2.9087999999999999E-2</v>
      </c>
      <c r="E67" s="62">
        <v>2.9346999999999998E-2</v>
      </c>
      <c r="F67" s="62">
        <v>3.1116999999999999E-2</v>
      </c>
      <c r="G67" s="62">
        <v>3.1661999999999996E-2</v>
      </c>
      <c r="H67" s="62">
        <v>3.4331E-2</v>
      </c>
      <c r="I67" s="62">
        <v>3.4847999999999997E-2</v>
      </c>
      <c r="J67" s="62">
        <v>3.5966999999999999E-2</v>
      </c>
      <c r="K67" s="62">
        <v>3.6059000000000001E-2</v>
      </c>
      <c r="L67" s="62">
        <v>3.6055999999999998E-2</v>
      </c>
      <c r="M67" s="62">
        <v>3.6362999999999999E-2</v>
      </c>
      <c r="N67" s="62">
        <v>3.6950999999999998E-2</v>
      </c>
      <c r="O67" s="62">
        <v>3.7703E-2</v>
      </c>
      <c r="P67" s="62">
        <v>3.8498000000000004E-2</v>
      </c>
      <c r="Q67" s="62">
        <v>3.9203000000000002E-2</v>
      </c>
      <c r="R67" s="62">
        <v>3.9906000000000004E-2</v>
      </c>
      <c r="S67" s="62">
        <v>4.0728999999999994E-2</v>
      </c>
      <c r="T67" s="62">
        <v>4.1577000000000003E-2</v>
      </c>
      <c r="U67" s="62">
        <v>4.2342000000000005E-2</v>
      </c>
      <c r="V67" s="62">
        <v>4.2908000000000002E-2</v>
      </c>
      <c r="W67" s="62">
        <v>4.3281E-2</v>
      </c>
      <c r="X67" s="62">
        <v>4.3556999999999998E-2</v>
      </c>
      <c r="Y67" s="62">
        <v>4.3749999999999997E-2</v>
      </c>
      <c r="Z67" s="62">
        <v>4.3871E-2</v>
      </c>
      <c r="AA67" s="62">
        <v>4.3936999999999997E-2</v>
      </c>
      <c r="AB67" s="62">
        <v>4.3962000000000001E-2</v>
      </c>
      <c r="AC67" s="62">
        <v>4.3963999999999996E-2</v>
      </c>
      <c r="AD67" s="62">
        <v>4.3959999999999999E-2</v>
      </c>
      <c r="AE67" s="62">
        <v>4.3970000000000002E-2</v>
      </c>
      <c r="AF67" s="62">
        <v>4.4013999999999998E-2</v>
      </c>
    </row>
    <row r="68" spans="1:32">
      <c r="A68" s="1">
        <v>41010</v>
      </c>
      <c r="B68" s="62">
        <v>2.2967000000000001E-2</v>
      </c>
      <c r="C68" s="62">
        <v>2.8714E-2</v>
      </c>
      <c r="D68" s="62">
        <v>2.9090999999999999E-2</v>
      </c>
      <c r="E68" s="62">
        <v>2.9363999999999998E-2</v>
      </c>
      <c r="F68" s="62">
        <v>3.1147999999999999E-2</v>
      </c>
      <c r="G68" s="62">
        <v>3.1587999999999998E-2</v>
      </c>
      <c r="H68" s="62">
        <v>3.4159999999999996E-2</v>
      </c>
      <c r="I68" s="62">
        <v>3.4986999999999997E-2</v>
      </c>
      <c r="J68" s="62">
        <v>3.5851000000000001E-2</v>
      </c>
      <c r="K68" s="62">
        <v>3.5987999999999999E-2</v>
      </c>
      <c r="L68" s="62">
        <v>3.5992000000000003E-2</v>
      </c>
      <c r="M68" s="62">
        <v>3.6261000000000002E-2</v>
      </c>
      <c r="N68" s="62">
        <v>3.6847999999999999E-2</v>
      </c>
      <c r="O68" s="62">
        <v>3.7626E-2</v>
      </c>
      <c r="P68" s="62">
        <v>3.8462999999999997E-2</v>
      </c>
      <c r="Q68" s="62">
        <v>3.9212999999999998E-2</v>
      </c>
      <c r="R68" s="62">
        <v>3.9942999999999999E-2</v>
      </c>
      <c r="S68" s="62">
        <v>4.0770000000000001E-2</v>
      </c>
      <c r="T68" s="62">
        <v>4.1604999999999996E-2</v>
      </c>
      <c r="U68" s="62">
        <v>4.2354000000000003E-2</v>
      </c>
      <c r="V68" s="62">
        <v>4.2911999999999999E-2</v>
      </c>
      <c r="W68" s="62">
        <v>4.3284000000000003E-2</v>
      </c>
      <c r="X68" s="62">
        <v>4.3560000000000001E-2</v>
      </c>
      <c r="Y68" s="62">
        <v>4.3752000000000006E-2</v>
      </c>
      <c r="Z68" s="62">
        <v>4.3874000000000003E-2</v>
      </c>
      <c r="AA68" s="62">
        <v>4.3939000000000006E-2</v>
      </c>
      <c r="AB68" s="62">
        <v>4.3963999999999996E-2</v>
      </c>
      <c r="AC68" s="62">
        <v>4.3964999999999997E-2</v>
      </c>
      <c r="AD68" s="62">
        <v>4.3961E-2</v>
      </c>
      <c r="AE68" s="62">
        <v>4.3971000000000003E-2</v>
      </c>
      <c r="AF68" s="62">
        <v>4.4015000000000006E-2</v>
      </c>
    </row>
    <row r="69" spans="1:32">
      <c r="A69" s="1">
        <v>41011</v>
      </c>
      <c r="B69" s="62">
        <v>2.3466999999999998E-2</v>
      </c>
      <c r="C69" s="62">
        <v>2.8993999999999999E-2</v>
      </c>
      <c r="D69" s="62">
        <v>2.9271999999999999E-2</v>
      </c>
      <c r="E69" s="62">
        <v>2.9447999999999998E-2</v>
      </c>
      <c r="F69" s="62">
        <v>3.125E-2</v>
      </c>
      <c r="G69" s="62">
        <v>3.1796000000000005E-2</v>
      </c>
      <c r="H69" s="62">
        <v>3.4451000000000002E-2</v>
      </c>
      <c r="I69" s="62">
        <v>3.4893E-2</v>
      </c>
      <c r="J69" s="62">
        <v>3.5952000000000005E-2</v>
      </c>
      <c r="K69" s="62">
        <v>3.6091000000000005E-2</v>
      </c>
      <c r="L69" s="62">
        <v>3.6091999999999999E-2</v>
      </c>
      <c r="M69" s="62">
        <v>3.6348999999999999E-2</v>
      </c>
      <c r="N69" s="62">
        <v>3.6915000000000003E-2</v>
      </c>
      <c r="O69" s="62">
        <v>3.7668E-2</v>
      </c>
      <c r="P69" s="62">
        <v>3.8477000000000004E-2</v>
      </c>
      <c r="Q69" s="62">
        <v>3.9202000000000001E-2</v>
      </c>
      <c r="R69" s="62">
        <v>3.9902E-2</v>
      </c>
      <c r="S69" s="62">
        <v>4.0694999999999995E-2</v>
      </c>
      <c r="T69" s="62">
        <v>4.1513000000000001E-2</v>
      </c>
      <c r="U69" s="62">
        <v>4.2281000000000006E-2</v>
      </c>
      <c r="V69" s="62">
        <v>4.2915000000000002E-2</v>
      </c>
      <c r="W69" s="62">
        <v>4.3380999999999996E-2</v>
      </c>
      <c r="X69" s="62">
        <v>4.3715999999999998E-2</v>
      </c>
      <c r="Y69" s="62">
        <v>4.3939000000000006E-2</v>
      </c>
      <c r="Z69" s="62">
        <v>4.4070999999999999E-2</v>
      </c>
      <c r="AA69" s="62">
        <v>4.4137000000000003E-2</v>
      </c>
      <c r="AB69" s="62">
        <v>4.4162E-2</v>
      </c>
      <c r="AC69" s="62">
        <v>4.4173999999999998E-2</v>
      </c>
      <c r="AD69" s="62">
        <v>4.4202000000000005E-2</v>
      </c>
      <c r="AE69" s="62">
        <v>4.4276999999999997E-2</v>
      </c>
      <c r="AF69" s="62">
        <v>4.4394999999999997E-2</v>
      </c>
    </row>
    <row r="70" spans="1:32">
      <c r="A70" s="1">
        <v>41012</v>
      </c>
      <c r="B70" s="62">
        <v>2.5708000000000002E-2</v>
      </c>
      <c r="C70" s="62">
        <v>2.8799000000000002E-2</v>
      </c>
      <c r="D70" s="62">
        <v>2.9159999999999998E-2</v>
      </c>
      <c r="E70" s="62">
        <v>2.9504000000000002E-2</v>
      </c>
      <c r="F70" s="62">
        <v>3.1377999999999996E-2</v>
      </c>
      <c r="G70" s="62">
        <v>3.1872999999999999E-2</v>
      </c>
      <c r="H70" s="62">
        <v>3.4487999999999998E-2</v>
      </c>
      <c r="I70" s="62">
        <v>3.4826000000000003E-2</v>
      </c>
      <c r="J70" s="62">
        <v>3.5722000000000004E-2</v>
      </c>
      <c r="K70" s="62">
        <v>3.5916999999999998E-2</v>
      </c>
      <c r="L70" s="62">
        <v>3.5944999999999998E-2</v>
      </c>
      <c r="M70" s="62">
        <v>3.6234999999999996E-2</v>
      </c>
      <c r="N70" s="62">
        <v>3.6819999999999999E-2</v>
      </c>
      <c r="O70" s="62">
        <v>3.7581999999999997E-2</v>
      </c>
      <c r="P70" s="62">
        <v>3.8399000000000003E-2</v>
      </c>
      <c r="Q70" s="62">
        <v>3.9136000000000004E-2</v>
      </c>
      <c r="R70" s="62">
        <v>3.9867E-2</v>
      </c>
      <c r="S70" s="62">
        <v>4.0709999999999996E-2</v>
      </c>
      <c r="T70" s="62">
        <v>4.1588E-2</v>
      </c>
      <c r="U70" s="62">
        <v>4.2416999999999996E-2</v>
      </c>
      <c r="V70" s="62">
        <v>4.3102000000000001E-2</v>
      </c>
      <c r="W70" s="62">
        <v>4.3604000000000004E-2</v>
      </c>
      <c r="X70" s="62">
        <v>4.3964999999999997E-2</v>
      </c>
      <c r="Y70" s="62">
        <v>4.4206000000000002E-2</v>
      </c>
      <c r="Z70" s="62">
        <v>4.4349E-2</v>
      </c>
      <c r="AA70" s="62">
        <v>4.4421999999999996E-2</v>
      </c>
      <c r="AB70" s="62">
        <v>4.4450000000000003E-2</v>
      </c>
      <c r="AC70" s="62">
        <v>4.4463999999999997E-2</v>
      </c>
      <c r="AD70" s="62">
        <v>4.4496000000000001E-2</v>
      </c>
      <c r="AE70" s="62">
        <v>4.4578E-2</v>
      </c>
      <c r="AF70" s="62">
        <v>4.4706999999999997E-2</v>
      </c>
    </row>
    <row r="71" spans="1:32">
      <c r="A71" s="1">
        <v>41015</v>
      </c>
      <c r="B71" s="62">
        <v>2.4680000000000001E-2</v>
      </c>
      <c r="C71" s="62">
        <v>2.8835000000000003E-2</v>
      </c>
      <c r="D71" s="62">
        <v>2.9167000000000002E-2</v>
      </c>
      <c r="E71" s="62">
        <v>2.9479999999999999E-2</v>
      </c>
      <c r="F71" s="62">
        <v>3.1307000000000001E-2</v>
      </c>
      <c r="G71" s="62">
        <v>3.1895E-2</v>
      </c>
      <c r="H71" s="62">
        <v>3.4472000000000003E-2</v>
      </c>
      <c r="I71" s="62">
        <v>3.4946000000000005E-2</v>
      </c>
      <c r="J71" s="62">
        <v>3.5720999999999996E-2</v>
      </c>
      <c r="K71" s="62">
        <v>3.5942000000000002E-2</v>
      </c>
      <c r="L71" s="62">
        <v>3.5992000000000003E-2</v>
      </c>
      <c r="M71" s="62">
        <v>3.6303999999999996E-2</v>
      </c>
      <c r="N71" s="62">
        <v>3.6886999999999996E-2</v>
      </c>
      <c r="O71" s="62">
        <v>3.7633E-2</v>
      </c>
      <c r="P71" s="62">
        <v>3.8429000000000005E-2</v>
      </c>
      <c r="Q71" s="62">
        <v>3.9153E-2</v>
      </c>
      <c r="R71" s="62">
        <v>3.9883000000000002E-2</v>
      </c>
      <c r="S71" s="62">
        <v>4.0730000000000002E-2</v>
      </c>
      <c r="T71" s="62">
        <v>4.1614000000000005E-2</v>
      </c>
      <c r="U71" s="62">
        <v>4.2443999999999996E-2</v>
      </c>
      <c r="V71" s="62">
        <v>4.3118999999999998E-2</v>
      </c>
      <c r="W71" s="62">
        <v>4.3612000000000005E-2</v>
      </c>
      <c r="X71" s="62">
        <v>4.3978999999999997E-2</v>
      </c>
      <c r="Y71" s="62">
        <v>4.4236999999999999E-2</v>
      </c>
      <c r="Z71" s="62">
        <v>4.4401999999999997E-2</v>
      </c>
      <c r="AA71" s="62">
        <v>4.4496000000000001E-2</v>
      </c>
      <c r="AB71" s="62">
        <v>4.4539999999999996E-2</v>
      </c>
      <c r="AC71" s="62">
        <v>4.4556999999999999E-2</v>
      </c>
      <c r="AD71" s="62">
        <v>4.4573000000000002E-2</v>
      </c>
      <c r="AE71" s="62">
        <v>4.4615000000000002E-2</v>
      </c>
      <c r="AF71" s="62">
        <v>4.4711000000000001E-2</v>
      </c>
    </row>
    <row r="72" spans="1:32">
      <c r="A72" s="1">
        <v>41016</v>
      </c>
      <c r="B72" s="62">
        <v>2.1783E-2</v>
      </c>
      <c r="C72" s="62">
        <v>2.8719999999999999E-2</v>
      </c>
      <c r="D72" s="62">
        <v>2.9041999999999998E-2</v>
      </c>
      <c r="E72" s="62">
        <v>2.9468000000000001E-2</v>
      </c>
      <c r="F72" s="62">
        <v>3.1275999999999998E-2</v>
      </c>
      <c r="G72" s="62">
        <v>3.1899999999999998E-2</v>
      </c>
      <c r="H72" s="62">
        <v>3.4306999999999997E-2</v>
      </c>
      <c r="I72" s="62">
        <v>3.4819000000000003E-2</v>
      </c>
      <c r="J72" s="62">
        <v>3.5708000000000004E-2</v>
      </c>
      <c r="K72" s="62">
        <v>3.5928000000000002E-2</v>
      </c>
      <c r="L72" s="62">
        <v>3.5969000000000001E-2</v>
      </c>
      <c r="M72" s="62">
        <v>3.6273E-2</v>
      </c>
      <c r="N72" s="62">
        <v>3.6857000000000001E-2</v>
      </c>
      <c r="O72" s="62">
        <v>3.7612E-2</v>
      </c>
      <c r="P72" s="62">
        <v>3.8418000000000001E-2</v>
      </c>
      <c r="Q72" s="62">
        <v>3.9148999999999996E-2</v>
      </c>
      <c r="R72" s="62">
        <v>3.9879999999999999E-2</v>
      </c>
      <c r="S72" s="62">
        <v>4.0726999999999999E-2</v>
      </c>
      <c r="T72" s="62">
        <v>4.1609999999999994E-2</v>
      </c>
      <c r="U72" s="62">
        <v>4.2438000000000003E-2</v>
      </c>
      <c r="V72" s="62">
        <v>4.3112000000000004E-2</v>
      </c>
      <c r="W72" s="62">
        <v>4.3604999999999998E-2</v>
      </c>
      <c r="X72" s="62">
        <v>4.3971999999999997E-2</v>
      </c>
      <c r="Y72" s="62">
        <v>4.4229999999999998E-2</v>
      </c>
      <c r="Z72" s="62">
        <v>4.4394999999999997E-2</v>
      </c>
      <c r="AA72" s="62">
        <v>4.4489000000000001E-2</v>
      </c>
      <c r="AB72" s="62">
        <v>4.4531999999999995E-2</v>
      </c>
      <c r="AC72" s="62">
        <v>4.4549000000000005E-2</v>
      </c>
      <c r="AD72" s="62">
        <v>4.4565E-2</v>
      </c>
      <c r="AE72" s="62">
        <v>4.4607000000000001E-2</v>
      </c>
      <c r="AF72" s="62">
        <v>4.4701999999999999E-2</v>
      </c>
    </row>
    <row r="73" spans="1:32">
      <c r="A73" s="1">
        <v>41017</v>
      </c>
      <c r="B73" s="62">
        <v>2.1762E-2</v>
      </c>
      <c r="C73" s="62">
        <v>2.8544999999999997E-2</v>
      </c>
      <c r="D73" s="62">
        <v>2.9007000000000002E-2</v>
      </c>
      <c r="E73" s="62">
        <v>2.9461000000000001E-2</v>
      </c>
      <c r="F73" s="62">
        <v>3.1472E-2</v>
      </c>
      <c r="G73" s="62">
        <v>3.1977000000000005E-2</v>
      </c>
      <c r="H73" s="62">
        <v>3.4540000000000001E-2</v>
      </c>
      <c r="I73" s="62">
        <v>3.4856999999999999E-2</v>
      </c>
      <c r="J73" s="62">
        <v>3.5790000000000002E-2</v>
      </c>
      <c r="K73" s="62">
        <v>3.6006999999999997E-2</v>
      </c>
      <c r="L73" s="62">
        <v>3.6045000000000001E-2</v>
      </c>
      <c r="M73" s="62">
        <v>3.6344000000000001E-2</v>
      </c>
      <c r="N73" s="62">
        <v>3.6927000000000001E-2</v>
      </c>
      <c r="O73" s="62">
        <v>3.7679999999999998E-2</v>
      </c>
      <c r="P73" s="62">
        <v>3.8484999999999998E-2</v>
      </c>
      <c r="Q73" s="62">
        <v>3.9213999999999999E-2</v>
      </c>
      <c r="R73" s="62">
        <v>3.9927999999999998E-2</v>
      </c>
      <c r="S73" s="62">
        <v>4.0742E-2</v>
      </c>
      <c r="T73" s="62">
        <v>4.1599999999999998E-2</v>
      </c>
      <c r="U73" s="62">
        <v>4.2438999999999998E-2</v>
      </c>
      <c r="V73" s="62">
        <v>4.3189000000000005E-2</v>
      </c>
      <c r="W73" s="62">
        <v>4.3705999999999995E-2</v>
      </c>
      <c r="X73" s="62">
        <v>4.3952999999999999E-2</v>
      </c>
      <c r="Y73" s="62">
        <v>4.4032999999999996E-2</v>
      </c>
      <c r="Z73" s="62">
        <v>4.4054999999999997E-2</v>
      </c>
      <c r="AA73" s="62">
        <v>4.4138000000000004E-2</v>
      </c>
      <c r="AB73" s="62">
        <v>4.4297000000000003E-2</v>
      </c>
      <c r="AC73" s="62">
        <v>4.4435000000000002E-2</v>
      </c>
      <c r="AD73" s="62">
        <v>4.4554000000000003E-2</v>
      </c>
      <c r="AE73" s="62">
        <v>4.4654999999999993E-2</v>
      </c>
      <c r="AF73" s="62">
        <v>4.4741999999999997E-2</v>
      </c>
    </row>
    <row r="74" spans="1:32">
      <c r="A74" s="1">
        <v>41018</v>
      </c>
      <c r="B74" s="62">
        <v>2.3772000000000001E-2</v>
      </c>
      <c r="C74" s="62">
        <v>2.8459999999999999E-2</v>
      </c>
      <c r="D74" s="62">
        <v>2.8887999999999997E-2</v>
      </c>
      <c r="E74" s="62">
        <v>2.9614999999999999E-2</v>
      </c>
      <c r="F74" s="62">
        <v>3.1537000000000003E-2</v>
      </c>
      <c r="G74" s="62">
        <v>3.2113999999999997E-2</v>
      </c>
      <c r="H74" s="62">
        <v>3.4583000000000003E-2</v>
      </c>
      <c r="I74" s="62">
        <v>3.4938999999999998E-2</v>
      </c>
      <c r="J74" s="62">
        <v>3.5926E-2</v>
      </c>
      <c r="K74" s="62">
        <v>3.6166000000000004E-2</v>
      </c>
      <c r="L74" s="62">
        <v>3.6212000000000001E-2</v>
      </c>
      <c r="M74" s="62">
        <v>3.6511000000000002E-2</v>
      </c>
      <c r="N74" s="62">
        <v>3.7075999999999998E-2</v>
      </c>
      <c r="O74" s="62">
        <v>3.7801000000000001E-2</v>
      </c>
      <c r="P74" s="62">
        <v>3.8575999999999999E-2</v>
      </c>
      <c r="Q74" s="62">
        <v>3.9280000000000002E-2</v>
      </c>
      <c r="R74" s="62">
        <v>4.0003000000000004E-2</v>
      </c>
      <c r="S74" s="62">
        <v>4.0861000000000001E-2</v>
      </c>
      <c r="T74" s="62">
        <v>4.1761E-2</v>
      </c>
      <c r="U74" s="62">
        <v>4.2595999999999995E-2</v>
      </c>
      <c r="V74" s="62">
        <v>4.3249000000000003E-2</v>
      </c>
      <c r="W74" s="62">
        <v>4.3700000000000003E-2</v>
      </c>
      <c r="X74" s="62">
        <v>4.4024000000000001E-2</v>
      </c>
      <c r="Y74" s="62">
        <v>4.4239000000000001E-2</v>
      </c>
      <c r="Z74" s="62">
        <v>4.4366000000000003E-2</v>
      </c>
      <c r="AA74" s="62">
        <v>4.4428000000000002E-2</v>
      </c>
      <c r="AB74" s="62">
        <v>4.4448000000000001E-2</v>
      </c>
      <c r="AC74" s="62">
        <v>4.4452999999999993E-2</v>
      </c>
      <c r="AD74" s="62">
        <v>4.4470000000000003E-2</v>
      </c>
      <c r="AE74" s="62">
        <v>4.4527999999999998E-2</v>
      </c>
      <c r="AF74" s="62">
        <v>4.4625999999999999E-2</v>
      </c>
    </row>
    <row r="75" spans="1:32">
      <c r="A75" s="1">
        <v>41019</v>
      </c>
      <c r="B75" s="62">
        <v>2.5779999999999997E-2</v>
      </c>
      <c r="C75" s="62">
        <v>2.8370000000000003E-2</v>
      </c>
      <c r="D75" s="62">
        <v>2.8841000000000002E-2</v>
      </c>
      <c r="E75" s="62">
        <v>2.9547E-2</v>
      </c>
      <c r="F75" s="62">
        <v>3.1454000000000003E-2</v>
      </c>
      <c r="G75" s="62">
        <v>3.1977999999999999E-2</v>
      </c>
      <c r="H75" s="62">
        <v>3.4447999999999999E-2</v>
      </c>
      <c r="I75" s="62">
        <v>3.4901000000000001E-2</v>
      </c>
      <c r="J75" s="62">
        <v>3.5879000000000001E-2</v>
      </c>
      <c r="K75" s="62">
        <v>3.6074999999999996E-2</v>
      </c>
      <c r="L75" s="62">
        <v>3.61E-2</v>
      </c>
      <c r="M75" s="62">
        <v>3.6381000000000004E-2</v>
      </c>
      <c r="N75" s="62">
        <v>3.6943999999999998E-2</v>
      </c>
      <c r="O75" s="62">
        <v>3.7677000000000002E-2</v>
      </c>
      <c r="P75" s="62">
        <v>3.8462000000000003E-2</v>
      </c>
      <c r="Q75" s="62">
        <v>3.9169000000000002E-2</v>
      </c>
      <c r="R75" s="62">
        <v>3.9843000000000003E-2</v>
      </c>
      <c r="S75" s="62">
        <v>4.0591000000000002E-2</v>
      </c>
      <c r="T75" s="62">
        <v>4.1371999999999999E-2</v>
      </c>
      <c r="U75" s="62">
        <v>4.2140000000000004E-2</v>
      </c>
      <c r="V75" s="62">
        <v>4.2846000000000002E-2</v>
      </c>
      <c r="W75" s="62">
        <v>4.3414000000000001E-2</v>
      </c>
      <c r="X75" s="62">
        <v>4.3821000000000006E-2</v>
      </c>
      <c r="Y75" s="62">
        <v>4.4090999999999998E-2</v>
      </c>
      <c r="Z75" s="62">
        <v>4.4253999999999995E-2</v>
      </c>
      <c r="AA75" s="62">
        <v>4.4339000000000003E-2</v>
      </c>
      <c r="AB75" s="62">
        <v>4.4381000000000004E-2</v>
      </c>
      <c r="AC75" s="62">
        <v>4.4416000000000004E-2</v>
      </c>
      <c r="AD75" s="62">
        <v>4.4482000000000001E-2</v>
      </c>
      <c r="AE75" s="62">
        <v>4.462E-2</v>
      </c>
      <c r="AF75" s="62">
        <v>4.4812000000000005E-2</v>
      </c>
    </row>
    <row r="76" spans="1:32">
      <c r="A76" s="1">
        <v>41022</v>
      </c>
      <c r="B76" s="62">
        <v>2.5047E-2</v>
      </c>
      <c r="C76" s="62">
        <v>2.8473000000000002E-2</v>
      </c>
      <c r="D76" s="62">
        <v>2.8982999999999998E-2</v>
      </c>
      <c r="E76" s="62">
        <v>2.9454999999999999E-2</v>
      </c>
      <c r="F76" s="62">
        <v>3.1244999999999998E-2</v>
      </c>
      <c r="G76" s="62">
        <v>3.2024999999999998E-2</v>
      </c>
      <c r="H76" s="62">
        <v>3.4348000000000004E-2</v>
      </c>
      <c r="I76" s="62">
        <v>3.483E-2</v>
      </c>
      <c r="J76" s="62">
        <v>3.5969000000000001E-2</v>
      </c>
      <c r="K76" s="62">
        <v>3.6109000000000002E-2</v>
      </c>
      <c r="L76" s="62">
        <v>3.6095000000000002E-2</v>
      </c>
      <c r="M76" s="62">
        <v>3.6341999999999999E-2</v>
      </c>
      <c r="N76" s="62">
        <v>3.6901999999999997E-2</v>
      </c>
      <c r="O76" s="62">
        <v>3.7650000000000003E-2</v>
      </c>
      <c r="P76" s="62">
        <v>3.8452E-2</v>
      </c>
      <c r="Q76" s="62">
        <v>3.9168000000000001E-2</v>
      </c>
      <c r="R76" s="62">
        <v>3.9838999999999999E-2</v>
      </c>
      <c r="S76" s="62">
        <v>4.0586999999999998E-2</v>
      </c>
      <c r="T76" s="62">
        <v>4.1368000000000002E-2</v>
      </c>
      <c r="U76" s="62">
        <v>4.2138000000000002E-2</v>
      </c>
      <c r="V76" s="62">
        <v>4.2844E-2</v>
      </c>
      <c r="W76" s="62">
        <v>4.3410999999999998E-2</v>
      </c>
      <c r="X76" s="62">
        <v>4.3818000000000003E-2</v>
      </c>
      <c r="Y76" s="62">
        <v>4.4088000000000002E-2</v>
      </c>
      <c r="Z76" s="62">
        <v>4.4249999999999998E-2</v>
      </c>
      <c r="AA76" s="62">
        <v>4.4335000000000006E-2</v>
      </c>
      <c r="AB76" s="62">
        <v>4.4377000000000007E-2</v>
      </c>
      <c r="AC76" s="62">
        <v>4.4410999999999999E-2</v>
      </c>
      <c r="AD76" s="62">
        <v>4.4477000000000003E-2</v>
      </c>
      <c r="AE76" s="62">
        <v>4.4615999999999996E-2</v>
      </c>
      <c r="AF76" s="62">
        <v>4.4808000000000001E-2</v>
      </c>
    </row>
    <row r="77" spans="1:32">
      <c r="A77" s="1">
        <v>41023</v>
      </c>
      <c r="B77" s="62">
        <v>2.3942000000000001E-2</v>
      </c>
      <c r="C77" s="62">
        <v>2.8439000000000002E-2</v>
      </c>
      <c r="D77" s="62">
        <v>2.9003000000000001E-2</v>
      </c>
      <c r="E77" s="62">
        <v>2.9538999999999999E-2</v>
      </c>
      <c r="F77" s="62">
        <v>3.1158000000000002E-2</v>
      </c>
      <c r="G77" s="62">
        <v>3.1981999999999997E-2</v>
      </c>
      <c r="H77" s="62">
        <v>3.4388999999999996E-2</v>
      </c>
      <c r="I77" s="62">
        <v>3.4768E-2</v>
      </c>
      <c r="J77" s="62">
        <v>3.5771999999999998E-2</v>
      </c>
      <c r="K77" s="62">
        <v>3.5958000000000004E-2</v>
      </c>
      <c r="L77" s="62">
        <v>3.5979999999999998E-2</v>
      </c>
      <c r="M77" s="62">
        <v>3.6255000000000003E-2</v>
      </c>
      <c r="N77" s="62">
        <v>3.6808E-2</v>
      </c>
      <c r="O77" s="62">
        <v>3.7527999999999999E-2</v>
      </c>
      <c r="P77" s="62">
        <v>3.8296999999999998E-2</v>
      </c>
      <c r="Q77" s="62">
        <v>3.8989999999999997E-2</v>
      </c>
      <c r="R77" s="62">
        <v>3.9650999999999999E-2</v>
      </c>
      <c r="S77" s="62">
        <v>4.0389000000000001E-2</v>
      </c>
      <c r="T77" s="62">
        <v>4.1166000000000001E-2</v>
      </c>
      <c r="U77" s="62">
        <v>4.1940999999999999E-2</v>
      </c>
      <c r="V77" s="62">
        <v>4.2667999999999998E-2</v>
      </c>
      <c r="W77" s="62">
        <v>4.3270000000000003E-2</v>
      </c>
      <c r="X77" s="62">
        <v>4.3715999999999998E-2</v>
      </c>
      <c r="Y77" s="62">
        <v>4.4027999999999998E-2</v>
      </c>
      <c r="Z77" s="62">
        <v>4.4229000000000004E-2</v>
      </c>
      <c r="AA77" s="62">
        <v>4.4347999999999999E-2</v>
      </c>
      <c r="AB77" s="62">
        <v>4.4412E-2</v>
      </c>
      <c r="AC77" s="62">
        <v>4.4454E-2</v>
      </c>
      <c r="AD77" s="62">
        <v>4.4505999999999997E-2</v>
      </c>
      <c r="AE77" s="62">
        <v>4.4606000000000007E-2</v>
      </c>
      <c r="AF77" s="62">
        <v>4.4790999999999997E-2</v>
      </c>
    </row>
    <row r="78" spans="1:32">
      <c r="A78" s="1">
        <v>41024</v>
      </c>
      <c r="B78" s="62">
        <v>2.6436999999999999E-2</v>
      </c>
      <c r="C78" s="62">
        <v>2.8454999999999998E-2</v>
      </c>
      <c r="D78" s="62">
        <v>2.9127E-2</v>
      </c>
      <c r="E78" s="62">
        <v>2.9693999999999998E-2</v>
      </c>
      <c r="F78" s="62">
        <v>3.1412000000000002E-2</v>
      </c>
      <c r="G78" s="62">
        <v>3.1941999999999998E-2</v>
      </c>
      <c r="H78" s="62">
        <v>3.4463000000000001E-2</v>
      </c>
      <c r="I78" s="62">
        <v>3.4897999999999998E-2</v>
      </c>
      <c r="J78" s="62">
        <v>3.5785999999999998E-2</v>
      </c>
      <c r="K78" s="62">
        <v>3.6004000000000001E-2</v>
      </c>
      <c r="L78" s="62">
        <v>3.6046999999999996E-2</v>
      </c>
      <c r="M78" s="62">
        <v>3.6339000000000003E-2</v>
      </c>
      <c r="N78" s="62">
        <v>3.6886999999999996E-2</v>
      </c>
      <c r="O78" s="62">
        <v>3.7587999999999996E-2</v>
      </c>
      <c r="P78" s="62">
        <v>3.8336000000000002E-2</v>
      </c>
      <c r="Q78" s="62">
        <v>3.9015000000000001E-2</v>
      </c>
      <c r="R78" s="62">
        <v>3.9670999999999998E-2</v>
      </c>
      <c r="S78" s="62">
        <v>4.0409E-2</v>
      </c>
      <c r="T78" s="62">
        <v>4.1189000000000003E-2</v>
      </c>
      <c r="U78" s="62">
        <v>4.1966999999999997E-2</v>
      </c>
      <c r="V78" s="62">
        <v>4.2695999999999998E-2</v>
      </c>
      <c r="W78" s="62">
        <v>4.3297999999999996E-2</v>
      </c>
      <c r="X78" s="62">
        <v>4.3745000000000006E-2</v>
      </c>
      <c r="Y78" s="62">
        <v>4.4057000000000006E-2</v>
      </c>
      <c r="Z78" s="62">
        <v>4.4259000000000007E-2</v>
      </c>
      <c r="AA78" s="62">
        <v>4.4377000000000007E-2</v>
      </c>
      <c r="AB78" s="62">
        <v>4.4442000000000002E-2</v>
      </c>
      <c r="AC78" s="62">
        <v>4.4484000000000003E-2</v>
      </c>
      <c r="AD78" s="62">
        <v>4.4537000000000007E-2</v>
      </c>
      <c r="AE78" s="62">
        <v>4.4637000000000003E-2</v>
      </c>
      <c r="AF78" s="62">
        <v>4.4822000000000001E-2</v>
      </c>
    </row>
    <row r="79" spans="1:32">
      <c r="A79" s="1">
        <v>41025</v>
      </c>
      <c r="B79" s="62">
        <v>2.5838E-2</v>
      </c>
      <c r="C79" s="62">
        <v>2.8489E-2</v>
      </c>
      <c r="D79" s="62">
        <v>2.9192999999999997E-2</v>
      </c>
      <c r="E79" s="62">
        <v>2.9815999999999999E-2</v>
      </c>
      <c r="F79" s="62">
        <v>3.1522000000000001E-2</v>
      </c>
      <c r="G79" s="62">
        <v>3.1899999999999998E-2</v>
      </c>
      <c r="H79" s="62">
        <v>3.4203000000000004E-2</v>
      </c>
      <c r="I79" s="62">
        <v>3.4883000000000004E-2</v>
      </c>
      <c r="J79" s="62">
        <v>3.5684E-2</v>
      </c>
      <c r="K79" s="62">
        <v>3.6041999999999998E-2</v>
      </c>
      <c r="L79" s="62">
        <v>3.6037E-2</v>
      </c>
      <c r="M79" s="62">
        <v>3.6278000000000005E-2</v>
      </c>
      <c r="N79" s="62">
        <v>3.6823000000000002E-2</v>
      </c>
      <c r="O79" s="62">
        <v>3.755E-2</v>
      </c>
      <c r="P79" s="62">
        <v>3.8330999999999997E-2</v>
      </c>
      <c r="Q79" s="62">
        <v>3.9024999999999997E-2</v>
      </c>
      <c r="R79" s="62">
        <v>3.9681000000000001E-2</v>
      </c>
      <c r="S79" s="62">
        <v>4.0418000000000003E-2</v>
      </c>
      <c r="T79" s="62">
        <v>4.1197999999999999E-2</v>
      </c>
      <c r="U79" s="62">
        <v>4.1976000000000006E-2</v>
      </c>
      <c r="V79" s="62">
        <v>4.2705E-2</v>
      </c>
      <c r="W79" s="62">
        <v>4.3307000000000005E-2</v>
      </c>
      <c r="X79" s="62">
        <v>4.3753E-2</v>
      </c>
      <c r="Y79" s="62">
        <v>4.4065E-2</v>
      </c>
      <c r="Z79" s="62">
        <v>4.4267000000000001E-2</v>
      </c>
      <c r="AA79" s="62">
        <v>4.4385000000000001E-2</v>
      </c>
      <c r="AB79" s="62">
        <v>4.4448999999999995E-2</v>
      </c>
      <c r="AC79" s="62">
        <v>4.4490999999999996E-2</v>
      </c>
      <c r="AD79" s="62">
        <v>4.4544E-2</v>
      </c>
      <c r="AE79" s="62">
        <v>4.4642999999999995E-2</v>
      </c>
      <c r="AF79" s="62">
        <v>4.4829000000000001E-2</v>
      </c>
    </row>
    <row r="80" spans="1:32">
      <c r="A80" s="1">
        <v>41026</v>
      </c>
      <c r="B80" s="62">
        <v>2.4329999999999997E-2</v>
      </c>
      <c r="C80" s="62">
        <v>2.8540999999999997E-2</v>
      </c>
      <c r="D80" s="62">
        <v>2.9272999999999997E-2</v>
      </c>
      <c r="E80" s="62">
        <v>2.9772E-2</v>
      </c>
      <c r="F80" s="62">
        <v>3.1486E-2</v>
      </c>
      <c r="G80" s="62">
        <v>3.1892999999999998E-2</v>
      </c>
      <c r="H80" s="62">
        <v>3.4034000000000002E-2</v>
      </c>
      <c r="I80" s="62">
        <v>3.4765999999999998E-2</v>
      </c>
      <c r="J80" s="62">
        <v>3.5632999999999998E-2</v>
      </c>
      <c r="K80" s="62">
        <v>3.5964000000000003E-2</v>
      </c>
      <c r="L80" s="62">
        <v>3.6087000000000001E-2</v>
      </c>
      <c r="M80" s="62">
        <v>3.6457000000000003E-2</v>
      </c>
      <c r="N80" s="62">
        <v>3.7007999999999999E-2</v>
      </c>
      <c r="O80" s="62">
        <v>3.7668E-2</v>
      </c>
      <c r="P80" s="62">
        <v>3.8363999999999995E-2</v>
      </c>
      <c r="Q80" s="62">
        <v>3.9016000000000002E-2</v>
      </c>
      <c r="R80" s="62">
        <v>3.9671999999999999E-2</v>
      </c>
      <c r="S80" s="62">
        <v>4.0409E-2</v>
      </c>
      <c r="T80" s="62">
        <v>4.1189000000000003E-2</v>
      </c>
      <c r="U80" s="62">
        <v>4.1967999999999998E-2</v>
      </c>
      <c r="V80" s="62">
        <v>4.2697000000000006E-2</v>
      </c>
      <c r="W80" s="62">
        <v>4.3299000000000004E-2</v>
      </c>
      <c r="X80" s="62">
        <v>4.3745000000000006E-2</v>
      </c>
      <c r="Y80" s="62">
        <v>4.4058E-2</v>
      </c>
      <c r="Z80" s="62">
        <v>4.4260000000000001E-2</v>
      </c>
      <c r="AA80" s="62">
        <v>4.4378000000000001E-2</v>
      </c>
      <c r="AB80" s="62">
        <v>4.4443000000000003E-2</v>
      </c>
      <c r="AC80" s="62">
        <v>4.4485000000000004E-2</v>
      </c>
      <c r="AD80" s="62">
        <v>4.4537000000000007E-2</v>
      </c>
      <c r="AE80" s="62">
        <v>4.4637000000000003E-2</v>
      </c>
      <c r="AF80" s="62">
        <v>4.4823000000000002E-2</v>
      </c>
    </row>
    <row r="81" spans="1:32">
      <c r="A81" s="1">
        <v>41027</v>
      </c>
      <c r="B81" s="62">
        <v>1.9447000000000002E-2</v>
      </c>
      <c r="C81" s="62">
        <v>2.8561999999999997E-2</v>
      </c>
      <c r="D81" s="62">
        <v>2.9304E-2</v>
      </c>
      <c r="E81" s="62">
        <v>2.9826000000000002E-2</v>
      </c>
      <c r="F81" s="62">
        <v>3.1579000000000003E-2</v>
      </c>
      <c r="G81" s="62">
        <v>3.1857000000000003E-2</v>
      </c>
      <c r="H81" s="62">
        <v>3.4098000000000003E-2</v>
      </c>
      <c r="I81" s="62">
        <v>3.4721000000000002E-2</v>
      </c>
      <c r="J81" s="62">
        <v>3.5615000000000001E-2</v>
      </c>
      <c r="K81" s="62">
        <v>3.5958000000000004E-2</v>
      </c>
      <c r="L81" s="62">
        <v>3.6088000000000002E-2</v>
      </c>
      <c r="M81" s="62">
        <v>3.6464999999999997E-2</v>
      </c>
      <c r="N81" s="62">
        <v>3.7014999999999999E-2</v>
      </c>
      <c r="O81" s="62">
        <v>3.7671999999999997E-2</v>
      </c>
      <c r="P81" s="62">
        <v>3.8363999999999995E-2</v>
      </c>
      <c r="Q81" s="62">
        <v>3.9014E-2</v>
      </c>
      <c r="R81" s="62">
        <v>3.9670000000000004E-2</v>
      </c>
      <c r="S81" s="62">
        <v>4.0406999999999998E-2</v>
      </c>
      <c r="T81" s="62">
        <v>4.1186999999999994E-2</v>
      </c>
      <c r="U81" s="62">
        <v>4.1966000000000003E-2</v>
      </c>
      <c r="V81" s="62">
        <v>4.2694999999999997E-2</v>
      </c>
      <c r="W81" s="62">
        <v>4.3297000000000002E-2</v>
      </c>
      <c r="X81" s="62">
        <v>4.3743999999999998E-2</v>
      </c>
      <c r="Y81" s="62">
        <v>4.4055999999999998E-2</v>
      </c>
      <c r="Z81" s="62">
        <v>4.4257999999999999E-2</v>
      </c>
      <c r="AA81" s="62">
        <v>4.4377000000000007E-2</v>
      </c>
      <c r="AB81" s="62">
        <v>4.4440999999999994E-2</v>
      </c>
      <c r="AC81" s="62">
        <v>4.4482999999999995E-2</v>
      </c>
      <c r="AD81" s="62">
        <v>4.4535999999999999E-2</v>
      </c>
      <c r="AE81" s="62">
        <v>4.4635999999999995E-2</v>
      </c>
      <c r="AF81" s="62">
        <v>4.4822000000000001E-2</v>
      </c>
    </row>
    <row r="82" spans="1:32">
      <c r="A82" s="1">
        <v>41031</v>
      </c>
      <c r="B82" s="62">
        <v>1.9847E-2</v>
      </c>
      <c r="C82" s="62">
        <v>2.8450000000000003E-2</v>
      </c>
      <c r="D82" s="62">
        <v>2.9275000000000002E-2</v>
      </c>
      <c r="E82" s="62">
        <v>2.9922000000000001E-2</v>
      </c>
      <c r="F82" s="62">
        <v>3.1521E-2</v>
      </c>
      <c r="G82" s="62">
        <v>3.1946000000000002E-2</v>
      </c>
      <c r="H82" s="62">
        <v>3.4014000000000003E-2</v>
      </c>
      <c r="I82" s="62">
        <v>3.4849999999999999E-2</v>
      </c>
      <c r="J82" s="62">
        <v>3.5657999999999995E-2</v>
      </c>
      <c r="K82" s="62">
        <v>3.6000000000000004E-2</v>
      </c>
      <c r="L82" s="62">
        <v>3.6152000000000004E-2</v>
      </c>
      <c r="M82" s="62">
        <v>3.6545999999999995E-2</v>
      </c>
      <c r="N82" s="62">
        <v>3.7094999999999996E-2</v>
      </c>
      <c r="O82" s="62">
        <v>3.7738999999999995E-2</v>
      </c>
      <c r="P82" s="62">
        <v>3.8415999999999999E-2</v>
      </c>
      <c r="Q82" s="62">
        <v>3.9057000000000001E-2</v>
      </c>
      <c r="R82" s="62">
        <v>3.9711999999999997E-2</v>
      </c>
      <c r="S82" s="62">
        <v>4.0453999999999997E-2</v>
      </c>
      <c r="T82" s="62">
        <v>4.1238000000000004E-2</v>
      </c>
      <c r="U82" s="62">
        <v>4.2018000000000007E-2</v>
      </c>
      <c r="V82" s="62">
        <v>4.2738999999999999E-2</v>
      </c>
      <c r="W82" s="62">
        <v>4.3329000000000006E-2</v>
      </c>
      <c r="X82" s="62">
        <v>4.3765999999999999E-2</v>
      </c>
      <c r="Y82" s="62">
        <v>4.4071999999999993E-2</v>
      </c>
      <c r="Z82" s="62">
        <v>4.4269999999999997E-2</v>
      </c>
      <c r="AA82" s="62">
        <v>4.4386000000000002E-2</v>
      </c>
      <c r="AB82" s="62">
        <v>4.4448999999999995E-2</v>
      </c>
      <c r="AC82" s="62">
        <v>4.4489000000000001E-2</v>
      </c>
      <c r="AD82" s="62">
        <v>4.4539999999999996E-2</v>
      </c>
      <c r="AE82" s="62">
        <v>4.4635999999999995E-2</v>
      </c>
      <c r="AF82" s="62">
        <v>4.4814999999999994E-2</v>
      </c>
    </row>
    <row r="83" spans="1:32">
      <c r="A83" s="1">
        <v>41032</v>
      </c>
      <c r="B83" s="62">
        <v>2.1030000000000004E-2</v>
      </c>
      <c r="C83" s="62">
        <v>2.8496E-2</v>
      </c>
      <c r="D83" s="62">
        <v>2.9347999999999999E-2</v>
      </c>
      <c r="E83" s="62">
        <v>3.0148000000000001E-2</v>
      </c>
      <c r="F83" s="62">
        <v>3.1482000000000003E-2</v>
      </c>
      <c r="G83" s="62">
        <v>3.1962000000000004E-2</v>
      </c>
      <c r="H83" s="62">
        <v>3.4237000000000004E-2</v>
      </c>
      <c r="I83" s="62">
        <v>3.4741000000000001E-2</v>
      </c>
      <c r="J83" s="62">
        <v>3.5595000000000002E-2</v>
      </c>
      <c r="K83" s="62">
        <v>3.5969000000000001E-2</v>
      </c>
      <c r="L83" s="62">
        <v>3.6156000000000001E-2</v>
      </c>
      <c r="M83" s="62">
        <v>3.6568999999999997E-2</v>
      </c>
      <c r="N83" s="62">
        <v>3.7118000000000005E-2</v>
      </c>
      <c r="O83" s="62">
        <v>3.7753000000000002E-2</v>
      </c>
      <c r="P83" s="62">
        <v>3.8418000000000001E-2</v>
      </c>
      <c r="Q83" s="62">
        <v>3.9052999999999997E-2</v>
      </c>
      <c r="R83" s="62">
        <v>3.9705999999999998E-2</v>
      </c>
      <c r="S83" s="62">
        <v>4.0441999999999999E-2</v>
      </c>
      <c r="T83" s="62">
        <v>4.122E-2</v>
      </c>
      <c r="U83" s="62">
        <v>4.1996000000000006E-2</v>
      </c>
      <c r="V83" s="62">
        <v>4.2718999999999993E-2</v>
      </c>
      <c r="W83" s="62">
        <v>4.3314000000000005E-2</v>
      </c>
      <c r="X83" s="62">
        <v>4.3754999999999995E-2</v>
      </c>
      <c r="Y83" s="62">
        <v>4.4063999999999999E-2</v>
      </c>
      <c r="Z83" s="62">
        <v>4.4263999999999998E-2</v>
      </c>
      <c r="AA83" s="62">
        <v>4.4381000000000004E-2</v>
      </c>
      <c r="AB83" s="62">
        <v>4.4443999999999997E-2</v>
      </c>
      <c r="AC83" s="62">
        <v>4.4485000000000004E-2</v>
      </c>
      <c r="AD83" s="62">
        <v>4.4535999999999999E-2</v>
      </c>
      <c r="AE83" s="62">
        <v>4.4634E-2</v>
      </c>
      <c r="AF83" s="62">
        <v>4.4814999999999994E-2</v>
      </c>
    </row>
    <row r="84" spans="1:32">
      <c r="A84" s="1">
        <v>41033</v>
      </c>
      <c r="B84" s="62">
        <v>2.1054E-2</v>
      </c>
      <c r="C84" s="62">
        <v>2.8618000000000001E-2</v>
      </c>
      <c r="D84" s="62">
        <v>2.9388000000000001E-2</v>
      </c>
      <c r="E84" s="62">
        <v>3.0308000000000002E-2</v>
      </c>
      <c r="F84" s="62">
        <v>3.1519999999999999E-2</v>
      </c>
      <c r="G84" s="62">
        <v>3.2002999999999997E-2</v>
      </c>
      <c r="H84" s="62">
        <v>3.4082000000000001E-2</v>
      </c>
      <c r="I84" s="62">
        <v>3.4891999999999999E-2</v>
      </c>
      <c r="J84" s="62">
        <v>3.5564999999999999E-2</v>
      </c>
      <c r="K84" s="62">
        <v>3.5948000000000001E-2</v>
      </c>
      <c r="L84" s="62">
        <v>3.6222999999999998E-2</v>
      </c>
      <c r="M84" s="62">
        <v>3.6651999999999997E-2</v>
      </c>
      <c r="N84" s="62">
        <v>3.7184000000000002E-2</v>
      </c>
      <c r="O84" s="62">
        <v>3.7782000000000003E-2</v>
      </c>
      <c r="P84" s="62">
        <v>3.8404000000000001E-2</v>
      </c>
      <c r="Q84" s="62">
        <v>3.9008000000000001E-2</v>
      </c>
      <c r="R84" s="62">
        <v>3.9647999999999996E-2</v>
      </c>
      <c r="S84" s="62">
        <v>4.0382999999999995E-2</v>
      </c>
      <c r="T84" s="62">
        <v>4.1167999999999996E-2</v>
      </c>
      <c r="U84" s="62">
        <v>4.1951000000000002E-2</v>
      </c>
      <c r="V84" s="62">
        <v>4.2676999999999993E-2</v>
      </c>
      <c r="W84" s="62">
        <v>4.3272999999999999E-2</v>
      </c>
      <c r="X84" s="62">
        <v>4.3714000000000003E-2</v>
      </c>
      <c r="Y84" s="62">
        <v>4.4023000000000007E-2</v>
      </c>
      <c r="Z84" s="62">
        <v>4.4223999999999999E-2</v>
      </c>
      <c r="AA84" s="62">
        <v>4.4340999999999998E-2</v>
      </c>
      <c r="AB84" s="62">
        <v>4.4405E-2</v>
      </c>
      <c r="AC84" s="62">
        <v>4.4446000000000006E-2</v>
      </c>
      <c r="AD84" s="62">
        <v>4.4497999999999996E-2</v>
      </c>
      <c r="AE84" s="62">
        <v>4.4595999999999997E-2</v>
      </c>
      <c r="AF84" s="62">
        <v>4.4776999999999997E-2</v>
      </c>
    </row>
    <row r="85" spans="1:32">
      <c r="A85" s="1">
        <v>41036</v>
      </c>
      <c r="B85" s="62">
        <v>2.1104999999999999E-2</v>
      </c>
      <c r="C85" s="62">
        <v>2.8612000000000002E-2</v>
      </c>
      <c r="D85" s="62">
        <v>2.9331999999999997E-2</v>
      </c>
      <c r="E85" s="62">
        <v>3.0232999999999999E-2</v>
      </c>
      <c r="F85" s="62">
        <v>3.1490999999999998E-2</v>
      </c>
      <c r="G85" s="62">
        <v>3.1987999999999996E-2</v>
      </c>
      <c r="H85" s="62">
        <v>3.3959000000000003E-2</v>
      </c>
      <c r="I85" s="62">
        <v>3.4826999999999997E-2</v>
      </c>
      <c r="J85" s="62">
        <v>3.5539999999999995E-2</v>
      </c>
      <c r="K85" s="62">
        <v>3.5947E-2</v>
      </c>
      <c r="L85" s="62">
        <v>3.6237999999999999E-2</v>
      </c>
      <c r="M85" s="62">
        <v>3.6678000000000002E-2</v>
      </c>
      <c r="N85" s="62">
        <v>3.721E-2</v>
      </c>
      <c r="O85" s="62">
        <v>3.78E-2</v>
      </c>
      <c r="P85" s="62">
        <v>3.8414000000000004E-2</v>
      </c>
      <c r="Q85" s="62">
        <v>3.9012999999999999E-2</v>
      </c>
      <c r="R85" s="62">
        <v>3.9653999999999995E-2</v>
      </c>
      <c r="S85" s="62">
        <v>4.0389000000000001E-2</v>
      </c>
      <c r="T85" s="62">
        <v>4.1173000000000001E-2</v>
      </c>
      <c r="U85" s="62">
        <v>4.1956E-2</v>
      </c>
      <c r="V85" s="62">
        <v>4.2682999999999999E-2</v>
      </c>
      <c r="W85" s="62">
        <v>4.3277999999999997E-2</v>
      </c>
      <c r="X85" s="62">
        <v>4.3720000000000002E-2</v>
      </c>
      <c r="Y85" s="62">
        <v>4.4027999999999998E-2</v>
      </c>
      <c r="Z85" s="62">
        <v>4.4227999999999996E-2</v>
      </c>
      <c r="AA85" s="62">
        <v>4.4345999999999997E-2</v>
      </c>
      <c r="AB85" s="62">
        <v>4.4409999999999998E-2</v>
      </c>
      <c r="AC85" s="62">
        <v>4.4450999999999997E-2</v>
      </c>
      <c r="AD85" s="62">
        <v>4.4503000000000001E-2</v>
      </c>
      <c r="AE85" s="62">
        <v>4.4600000000000001E-2</v>
      </c>
      <c r="AF85" s="62">
        <v>4.4782000000000002E-2</v>
      </c>
    </row>
    <row r="86" spans="1:32">
      <c r="A86" s="1">
        <v>41037</v>
      </c>
      <c r="B86" s="62">
        <v>1.6163E-2</v>
      </c>
      <c r="C86" s="62">
        <v>2.8572E-2</v>
      </c>
      <c r="D86" s="62">
        <v>2.9336999999999998E-2</v>
      </c>
      <c r="E86" s="62">
        <v>3.0243000000000003E-2</v>
      </c>
      <c r="F86" s="62">
        <v>3.1383000000000001E-2</v>
      </c>
      <c r="G86" s="62">
        <v>3.1946000000000002E-2</v>
      </c>
      <c r="H86" s="62">
        <v>3.4102E-2</v>
      </c>
      <c r="I86" s="62">
        <v>3.4811000000000002E-2</v>
      </c>
      <c r="J86" s="62">
        <v>3.5521999999999998E-2</v>
      </c>
      <c r="K86" s="62">
        <v>3.5934000000000001E-2</v>
      </c>
      <c r="L86" s="62">
        <v>3.6242000000000003E-2</v>
      </c>
      <c r="M86" s="62">
        <v>3.6688999999999999E-2</v>
      </c>
      <c r="N86" s="62">
        <v>3.7221000000000004E-2</v>
      </c>
      <c r="O86" s="62">
        <v>3.7808000000000001E-2</v>
      </c>
      <c r="P86" s="62">
        <v>3.8417E-2</v>
      </c>
      <c r="Q86" s="62">
        <v>3.9014E-2</v>
      </c>
      <c r="R86" s="62">
        <v>3.9653999999999995E-2</v>
      </c>
      <c r="S86" s="62">
        <v>4.0389000000000001E-2</v>
      </c>
      <c r="T86" s="62">
        <v>4.1173000000000001E-2</v>
      </c>
      <c r="U86" s="62">
        <v>4.1956E-2</v>
      </c>
      <c r="V86" s="62">
        <v>4.2682999999999999E-2</v>
      </c>
      <c r="W86" s="62">
        <v>4.3278999999999998E-2</v>
      </c>
      <c r="X86" s="62">
        <v>4.3720000000000002E-2</v>
      </c>
      <c r="Y86" s="62">
        <v>4.4028999999999999E-2</v>
      </c>
      <c r="Z86" s="62">
        <v>4.4229000000000004E-2</v>
      </c>
      <c r="AA86" s="62">
        <v>4.4347000000000004E-2</v>
      </c>
      <c r="AB86" s="62">
        <v>4.4409999999999998E-2</v>
      </c>
      <c r="AC86" s="62">
        <v>4.4451999999999998E-2</v>
      </c>
      <c r="AD86" s="62">
        <v>4.4503000000000001E-2</v>
      </c>
      <c r="AE86" s="62">
        <v>4.4600999999999995E-2</v>
      </c>
      <c r="AF86" s="62">
        <v>4.4782000000000002E-2</v>
      </c>
    </row>
    <row r="87" spans="1:32">
      <c r="A87" s="1">
        <v>41038</v>
      </c>
      <c r="B87" s="62">
        <v>1.5429999999999999E-2</v>
      </c>
      <c r="C87" s="62">
        <v>2.8399000000000001E-2</v>
      </c>
      <c r="D87" s="62">
        <v>2.9258000000000003E-2</v>
      </c>
      <c r="E87" s="62">
        <v>3.0034000000000002E-2</v>
      </c>
      <c r="F87" s="62">
        <v>3.1153E-2</v>
      </c>
      <c r="G87" s="62">
        <v>3.1953999999999996E-2</v>
      </c>
      <c r="H87" s="62">
        <v>3.4251000000000004E-2</v>
      </c>
      <c r="I87" s="62">
        <v>3.4699000000000001E-2</v>
      </c>
      <c r="J87" s="62">
        <v>3.5504000000000001E-2</v>
      </c>
      <c r="K87" s="62">
        <v>3.5889000000000004E-2</v>
      </c>
      <c r="L87" s="62">
        <v>3.6122999999999995E-2</v>
      </c>
      <c r="M87" s="62">
        <v>3.6547999999999997E-2</v>
      </c>
      <c r="N87" s="62">
        <v>3.7092E-2</v>
      </c>
      <c r="O87" s="62">
        <v>3.7708999999999999E-2</v>
      </c>
      <c r="P87" s="62">
        <v>3.8352999999999998E-2</v>
      </c>
      <c r="Q87" s="62">
        <v>3.8973000000000001E-2</v>
      </c>
      <c r="R87" s="62">
        <v>3.9613000000000002E-2</v>
      </c>
      <c r="S87" s="62">
        <v>4.0330000000000005E-2</v>
      </c>
      <c r="T87" s="62">
        <v>4.1097000000000002E-2</v>
      </c>
      <c r="U87" s="62">
        <v>4.1880000000000001E-2</v>
      </c>
      <c r="V87" s="62">
        <v>4.2643000000000007E-2</v>
      </c>
      <c r="W87" s="62">
        <v>4.3274999999999994E-2</v>
      </c>
      <c r="X87" s="62">
        <v>4.3714000000000003E-2</v>
      </c>
      <c r="Y87" s="62">
        <v>4.3993000000000004E-2</v>
      </c>
      <c r="Z87" s="62">
        <v>4.4151999999999997E-2</v>
      </c>
      <c r="AA87" s="62">
        <v>4.4233000000000001E-2</v>
      </c>
      <c r="AB87" s="62">
        <v>4.4282000000000002E-2</v>
      </c>
      <c r="AC87" s="62">
        <v>4.4347999999999999E-2</v>
      </c>
      <c r="AD87" s="62">
        <v>4.4485000000000004E-2</v>
      </c>
      <c r="AE87" s="62">
        <v>4.4728000000000004E-2</v>
      </c>
      <c r="AF87" s="62">
        <v>4.4947000000000001E-2</v>
      </c>
    </row>
    <row r="88" spans="1:32">
      <c r="A88" s="1">
        <v>41039</v>
      </c>
      <c r="B88" s="62">
        <v>1.5146E-2</v>
      </c>
      <c r="C88" s="62">
        <v>2.7977999999999999E-2</v>
      </c>
      <c r="D88" s="62">
        <v>2.8782000000000002E-2</v>
      </c>
      <c r="E88" s="62">
        <v>2.9907E-2</v>
      </c>
      <c r="F88" s="62">
        <v>3.0718000000000002E-2</v>
      </c>
      <c r="G88" s="62">
        <v>3.1602999999999999E-2</v>
      </c>
      <c r="H88" s="62">
        <v>3.4190999999999999E-2</v>
      </c>
      <c r="I88" s="62">
        <v>3.4603999999999996E-2</v>
      </c>
      <c r="J88" s="62">
        <v>3.5421999999999995E-2</v>
      </c>
      <c r="K88" s="62">
        <v>3.5796000000000001E-2</v>
      </c>
      <c r="L88" s="62">
        <v>3.6001999999999999E-2</v>
      </c>
      <c r="M88" s="62">
        <v>3.6423000000000004E-2</v>
      </c>
      <c r="N88" s="62">
        <v>3.6977000000000003E-2</v>
      </c>
      <c r="O88" s="62">
        <v>3.7614000000000002E-2</v>
      </c>
      <c r="P88" s="62">
        <v>3.8280000000000002E-2</v>
      </c>
      <c r="Q88" s="62">
        <v>3.8917E-2</v>
      </c>
      <c r="R88" s="62">
        <v>3.9574999999999999E-2</v>
      </c>
      <c r="S88" s="62">
        <v>4.0320000000000002E-2</v>
      </c>
      <c r="T88" s="62">
        <v>4.1116E-2</v>
      </c>
      <c r="U88" s="62">
        <v>4.1921999999999994E-2</v>
      </c>
      <c r="V88" s="62">
        <v>4.2693000000000002E-2</v>
      </c>
      <c r="W88" s="62">
        <v>4.3324000000000001E-2</v>
      </c>
      <c r="X88" s="62">
        <v>4.3762999999999996E-2</v>
      </c>
      <c r="Y88" s="62">
        <v>4.4042000000000005E-2</v>
      </c>
      <c r="Z88" s="62">
        <v>4.4199999999999996E-2</v>
      </c>
      <c r="AA88" s="62">
        <v>4.428E-2</v>
      </c>
      <c r="AB88" s="62">
        <v>4.4325999999999997E-2</v>
      </c>
      <c r="AC88" s="62">
        <v>4.4387999999999997E-2</v>
      </c>
      <c r="AD88" s="62">
        <v>4.4517000000000001E-2</v>
      </c>
      <c r="AE88" s="62">
        <v>4.4748999999999997E-2</v>
      </c>
      <c r="AF88" s="62">
        <v>4.4958999999999999E-2</v>
      </c>
    </row>
    <row r="89" spans="1:32">
      <c r="A89" s="1">
        <v>41040</v>
      </c>
      <c r="B89" s="62">
        <v>1.5128999999999998E-2</v>
      </c>
      <c r="C89" s="62">
        <v>2.7531E-2</v>
      </c>
      <c r="D89" s="62">
        <v>2.8312E-2</v>
      </c>
      <c r="E89" s="62">
        <v>2.9508999999999997E-2</v>
      </c>
      <c r="F89" s="62">
        <v>2.9950999999999998E-2</v>
      </c>
      <c r="G89" s="62">
        <v>3.1268999999999998E-2</v>
      </c>
      <c r="H89" s="62">
        <v>3.3562000000000002E-2</v>
      </c>
      <c r="I89" s="62">
        <v>3.4311000000000001E-2</v>
      </c>
      <c r="J89" s="62">
        <v>3.5110999999999996E-2</v>
      </c>
      <c r="K89" s="62">
        <v>3.5458999999999997E-2</v>
      </c>
      <c r="L89" s="62">
        <v>3.5617000000000003E-2</v>
      </c>
      <c r="M89" s="62">
        <v>3.6033000000000003E-2</v>
      </c>
      <c r="N89" s="62">
        <v>3.6618999999999999E-2</v>
      </c>
      <c r="O89" s="62">
        <v>3.7307E-2</v>
      </c>
      <c r="P89" s="62">
        <v>3.8029E-2</v>
      </c>
      <c r="Q89" s="62">
        <v>3.8711999999999996E-2</v>
      </c>
      <c r="R89" s="62">
        <v>3.9399999999999998E-2</v>
      </c>
      <c r="S89" s="62">
        <v>4.0166000000000007E-2</v>
      </c>
      <c r="T89" s="62">
        <v>4.0971E-2</v>
      </c>
      <c r="U89" s="62">
        <v>4.1775E-2</v>
      </c>
      <c r="V89" s="62">
        <v>4.2529999999999998E-2</v>
      </c>
      <c r="W89" s="62">
        <v>4.3156E-2</v>
      </c>
      <c r="X89" s="62">
        <v>4.3621E-2</v>
      </c>
      <c r="Y89" s="62">
        <v>4.3944999999999998E-2</v>
      </c>
      <c r="Z89" s="62">
        <v>4.4156000000000001E-2</v>
      </c>
      <c r="AA89" s="62">
        <v>4.4278999999999999E-2</v>
      </c>
      <c r="AB89" s="62">
        <v>4.4345999999999997E-2</v>
      </c>
      <c r="AC89" s="62">
        <v>4.4389999999999999E-2</v>
      </c>
      <c r="AD89" s="62">
        <v>4.4444999999999998E-2</v>
      </c>
      <c r="AE89" s="62">
        <v>4.4549000000000005E-2</v>
      </c>
      <c r="AF89" s="62">
        <v>4.4741999999999997E-2</v>
      </c>
    </row>
    <row r="90" spans="1:32">
      <c r="A90" s="1">
        <v>41043</v>
      </c>
      <c r="B90" s="62">
        <v>1.1600999999999998E-2</v>
      </c>
      <c r="C90" s="62">
        <v>2.5488E-2</v>
      </c>
      <c r="D90" s="62">
        <v>2.7068999999999999E-2</v>
      </c>
      <c r="E90" s="62">
        <v>2.8292999999999999E-2</v>
      </c>
      <c r="F90" s="62">
        <v>2.8591999999999999E-2</v>
      </c>
      <c r="G90" s="62">
        <v>3.0640999999999998E-2</v>
      </c>
      <c r="H90" s="62">
        <v>3.2896999999999996E-2</v>
      </c>
      <c r="I90" s="62">
        <v>3.4218999999999999E-2</v>
      </c>
      <c r="J90" s="62">
        <v>3.4661999999999998E-2</v>
      </c>
      <c r="K90" s="62">
        <v>3.4979000000000003E-2</v>
      </c>
      <c r="L90" s="62">
        <v>3.5194000000000003E-2</v>
      </c>
      <c r="M90" s="62">
        <v>3.5632999999999998E-2</v>
      </c>
      <c r="N90" s="62">
        <v>3.6261999999999996E-2</v>
      </c>
      <c r="O90" s="62">
        <v>3.7007999999999999E-2</v>
      </c>
      <c r="P90" s="62">
        <v>3.7791999999999999E-2</v>
      </c>
      <c r="Q90" s="62">
        <v>3.8530000000000002E-2</v>
      </c>
      <c r="R90" s="62">
        <v>3.9247000000000004E-2</v>
      </c>
      <c r="S90" s="62">
        <v>4.0014000000000001E-2</v>
      </c>
      <c r="T90" s="62">
        <v>4.0801999999999998E-2</v>
      </c>
      <c r="U90" s="62">
        <v>4.1582999999999995E-2</v>
      </c>
      <c r="V90" s="62">
        <v>4.2325000000000002E-2</v>
      </c>
      <c r="W90" s="62">
        <v>4.2949000000000001E-2</v>
      </c>
      <c r="X90" s="62">
        <v>4.3410000000000004E-2</v>
      </c>
      <c r="Y90" s="62">
        <v>4.3733000000000001E-2</v>
      </c>
      <c r="Z90" s="62">
        <v>4.3941000000000001E-2</v>
      </c>
      <c r="AA90" s="62">
        <v>4.4062000000000004E-2</v>
      </c>
      <c r="AB90" s="62">
        <v>4.4127E-2</v>
      </c>
      <c r="AC90" s="62">
        <v>4.4169E-2</v>
      </c>
      <c r="AD90" s="62">
        <v>4.4222999999999998E-2</v>
      </c>
      <c r="AE90" s="62">
        <v>4.4325000000000003E-2</v>
      </c>
      <c r="AF90" s="62">
        <v>4.4517000000000001E-2</v>
      </c>
    </row>
    <row r="91" spans="1:32">
      <c r="A91" s="1">
        <v>41044</v>
      </c>
      <c r="B91" s="62">
        <v>1.1105E-2</v>
      </c>
      <c r="C91" s="62">
        <v>2.4766E-2</v>
      </c>
      <c r="D91" s="62">
        <v>2.5873E-2</v>
      </c>
      <c r="E91" s="62">
        <v>2.6651999999999999E-2</v>
      </c>
      <c r="F91" s="62">
        <v>2.7694E-2</v>
      </c>
      <c r="G91" s="62">
        <v>2.8690000000000004E-2</v>
      </c>
      <c r="H91" s="62">
        <v>3.2277E-2</v>
      </c>
      <c r="I91" s="62">
        <v>3.3279999999999997E-2</v>
      </c>
      <c r="J91" s="62">
        <v>3.4373999999999995E-2</v>
      </c>
      <c r="K91" s="62">
        <v>3.4730999999999998E-2</v>
      </c>
      <c r="L91" s="62">
        <v>3.4844E-2</v>
      </c>
      <c r="M91" s="62">
        <v>3.5257999999999998E-2</v>
      </c>
      <c r="N91" s="62">
        <v>3.5916000000000003E-2</v>
      </c>
      <c r="O91" s="62">
        <v>3.6724E-2</v>
      </c>
      <c r="P91" s="62">
        <v>3.7579000000000001E-2</v>
      </c>
      <c r="Q91" s="62">
        <v>3.8370000000000001E-2</v>
      </c>
      <c r="R91" s="62">
        <v>3.9118E-2</v>
      </c>
      <c r="S91" s="62">
        <v>3.9902E-2</v>
      </c>
      <c r="T91" s="62">
        <v>4.0689999999999997E-2</v>
      </c>
      <c r="U91" s="62">
        <v>4.1447000000000005E-2</v>
      </c>
      <c r="V91" s="62">
        <v>4.2135999999999993E-2</v>
      </c>
      <c r="W91" s="62">
        <v>4.2698E-2</v>
      </c>
      <c r="X91" s="62">
        <v>4.3114E-2</v>
      </c>
      <c r="Y91" s="62">
        <v>4.3403999999999998E-2</v>
      </c>
      <c r="Z91" s="62">
        <v>4.3589999999999997E-2</v>
      </c>
      <c r="AA91" s="62">
        <v>4.3695999999999999E-2</v>
      </c>
      <c r="AB91" s="62">
        <v>4.3749000000000003E-2</v>
      </c>
      <c r="AC91" s="62">
        <v>4.3777999999999997E-2</v>
      </c>
      <c r="AD91" s="62">
        <v>4.3813000000000005E-2</v>
      </c>
      <c r="AE91" s="62">
        <v>4.3886000000000001E-2</v>
      </c>
      <c r="AF91" s="62">
        <v>4.4032999999999996E-2</v>
      </c>
    </row>
    <row r="92" spans="1:32">
      <c r="A92" s="1">
        <v>41045</v>
      </c>
      <c r="B92" s="62">
        <v>1.0653999999999999E-2</v>
      </c>
      <c r="C92" s="62">
        <v>2.4041999999999997E-2</v>
      </c>
      <c r="D92" s="62">
        <v>2.5253000000000001E-2</v>
      </c>
      <c r="E92" s="62">
        <v>2.6046E-2</v>
      </c>
      <c r="F92" s="62">
        <v>2.7161000000000001E-2</v>
      </c>
      <c r="G92" s="62">
        <v>2.8393999999999999E-2</v>
      </c>
      <c r="H92" s="62">
        <v>3.1803999999999999E-2</v>
      </c>
      <c r="I92" s="62">
        <v>3.2736000000000001E-2</v>
      </c>
      <c r="J92" s="62">
        <v>3.4249000000000002E-2</v>
      </c>
      <c r="K92" s="62">
        <v>3.4394000000000001E-2</v>
      </c>
      <c r="L92" s="62">
        <v>3.4391999999999999E-2</v>
      </c>
      <c r="M92" s="62">
        <v>3.4730999999999998E-2</v>
      </c>
      <c r="N92" s="62">
        <v>3.5438999999999998E-2</v>
      </c>
      <c r="O92" s="62">
        <v>3.6367999999999998E-2</v>
      </c>
      <c r="P92" s="62">
        <v>3.7360999999999998E-2</v>
      </c>
      <c r="Q92" s="62">
        <v>3.8249999999999999E-2</v>
      </c>
      <c r="R92" s="62">
        <v>3.9031999999999997E-2</v>
      </c>
      <c r="S92" s="62">
        <v>3.9817999999999999E-2</v>
      </c>
      <c r="T92" s="62">
        <v>4.0587999999999999E-2</v>
      </c>
      <c r="U92" s="62">
        <v>4.1321000000000004E-2</v>
      </c>
      <c r="V92" s="62">
        <v>4.1997E-2</v>
      </c>
      <c r="W92" s="62">
        <v>4.2556000000000004E-2</v>
      </c>
      <c r="X92" s="62">
        <v>4.2969999999999994E-2</v>
      </c>
      <c r="Y92" s="62">
        <v>4.3257999999999998E-2</v>
      </c>
      <c r="Z92" s="62">
        <v>4.3442000000000001E-2</v>
      </c>
      <c r="AA92" s="62">
        <v>4.3545999999999994E-2</v>
      </c>
      <c r="AB92" s="62">
        <v>4.3597999999999998E-2</v>
      </c>
      <c r="AC92" s="62">
        <v>4.3624999999999997E-2</v>
      </c>
      <c r="AD92" s="62">
        <v>4.3658999999999996E-2</v>
      </c>
      <c r="AE92" s="62">
        <v>4.3730999999999999E-2</v>
      </c>
      <c r="AF92" s="62">
        <v>4.3876999999999999E-2</v>
      </c>
    </row>
    <row r="93" spans="1:32">
      <c r="A93" s="1">
        <v>41046</v>
      </c>
      <c r="B93" s="62">
        <v>1.0494000000000002E-2</v>
      </c>
      <c r="C93" s="62">
        <v>2.4266999999999997E-2</v>
      </c>
      <c r="D93" s="62">
        <v>2.5708999999999999E-2</v>
      </c>
      <c r="E93" s="62">
        <v>2.7080000000000003E-2</v>
      </c>
      <c r="F93" s="62">
        <v>2.7696000000000002E-2</v>
      </c>
      <c r="G93" s="62">
        <v>2.9266E-2</v>
      </c>
      <c r="H93" s="62">
        <v>3.2709000000000002E-2</v>
      </c>
      <c r="I93" s="62">
        <v>3.3016999999999998E-2</v>
      </c>
      <c r="J93" s="62">
        <v>3.4548999999999996E-2</v>
      </c>
      <c r="K93" s="62">
        <v>3.4862000000000004E-2</v>
      </c>
      <c r="L93" s="62">
        <v>3.4897999999999998E-2</v>
      </c>
      <c r="M93" s="62">
        <v>3.524E-2</v>
      </c>
      <c r="N93" s="62">
        <v>3.5892E-2</v>
      </c>
      <c r="O93" s="62">
        <v>3.6731E-2</v>
      </c>
      <c r="P93" s="62">
        <v>3.7626E-2</v>
      </c>
      <c r="Q93" s="62">
        <v>3.8433000000000002E-2</v>
      </c>
      <c r="R93" s="62">
        <v>3.9176999999999997E-2</v>
      </c>
      <c r="S93" s="62">
        <v>3.9960000000000002E-2</v>
      </c>
      <c r="T93" s="62">
        <v>4.0751000000000002E-2</v>
      </c>
      <c r="U93" s="62">
        <v>4.1512E-2</v>
      </c>
      <c r="V93" s="62">
        <v>4.2202000000000003E-2</v>
      </c>
      <c r="W93" s="62">
        <v>4.2765000000000004E-2</v>
      </c>
      <c r="X93" s="62">
        <v>4.3181000000000004E-2</v>
      </c>
      <c r="Y93" s="62">
        <v>4.3471000000000003E-2</v>
      </c>
      <c r="Z93" s="62">
        <v>4.3657000000000001E-2</v>
      </c>
      <c r="AA93" s="62">
        <v>4.3762999999999996E-2</v>
      </c>
      <c r="AB93" s="62">
        <v>4.3817000000000002E-2</v>
      </c>
      <c r="AC93" s="62">
        <v>4.3845000000000002E-2</v>
      </c>
      <c r="AD93" s="62">
        <v>4.3880000000000002E-2</v>
      </c>
      <c r="AE93" s="62">
        <v>4.3954000000000007E-2</v>
      </c>
      <c r="AF93" s="62">
        <v>4.4101000000000001E-2</v>
      </c>
    </row>
    <row r="94" spans="1:32">
      <c r="A94" s="1">
        <v>41047</v>
      </c>
      <c r="B94" s="62">
        <v>1.0653999999999999E-2</v>
      </c>
      <c r="C94" s="62">
        <v>2.4195999999999999E-2</v>
      </c>
      <c r="D94" s="62">
        <v>2.5476000000000002E-2</v>
      </c>
      <c r="E94" s="62">
        <v>2.6587999999999997E-2</v>
      </c>
      <c r="F94" s="62">
        <v>2.7315999999999997E-2</v>
      </c>
      <c r="G94" s="62">
        <v>2.8513E-2</v>
      </c>
      <c r="H94" s="62">
        <v>3.2365999999999999E-2</v>
      </c>
      <c r="I94" s="62">
        <v>3.2722000000000001E-2</v>
      </c>
      <c r="J94" s="62">
        <v>3.4373000000000001E-2</v>
      </c>
      <c r="K94" s="62">
        <v>3.4383999999999998E-2</v>
      </c>
      <c r="L94" s="62">
        <v>3.4358E-2</v>
      </c>
      <c r="M94" s="62">
        <v>3.4689999999999999E-2</v>
      </c>
      <c r="N94" s="62">
        <v>3.5410999999999998E-2</v>
      </c>
      <c r="O94" s="62">
        <v>3.6365000000000001E-2</v>
      </c>
      <c r="P94" s="62">
        <v>3.7386000000000003E-2</v>
      </c>
      <c r="Q94" s="62">
        <v>3.8294999999999996E-2</v>
      </c>
      <c r="R94" s="62">
        <v>3.9078000000000002E-2</v>
      </c>
      <c r="S94" s="62">
        <v>3.9847E-2</v>
      </c>
      <c r="T94" s="62">
        <v>4.0599999999999997E-2</v>
      </c>
      <c r="U94" s="62">
        <v>4.1334000000000003E-2</v>
      </c>
      <c r="V94" s="62">
        <v>4.2047999999999995E-2</v>
      </c>
      <c r="W94" s="62">
        <v>4.2655000000000005E-2</v>
      </c>
      <c r="X94" s="62">
        <v>4.3085999999999999E-2</v>
      </c>
      <c r="Y94" s="62">
        <v>4.3369999999999999E-2</v>
      </c>
      <c r="Z94" s="62">
        <v>4.3536999999999999E-2</v>
      </c>
      <c r="AA94" s="62">
        <v>4.3623000000000002E-2</v>
      </c>
      <c r="AB94" s="62">
        <v>4.3665000000000002E-2</v>
      </c>
      <c r="AC94" s="62">
        <v>4.3704E-2</v>
      </c>
      <c r="AD94" s="62">
        <v>4.3781999999999995E-2</v>
      </c>
      <c r="AE94" s="62">
        <v>4.3944999999999998E-2</v>
      </c>
      <c r="AF94" s="62">
        <v>4.4160999999999999E-2</v>
      </c>
    </row>
    <row r="95" spans="1:32">
      <c r="A95" s="1">
        <v>41050</v>
      </c>
      <c r="B95" s="62">
        <v>1.0522E-2</v>
      </c>
      <c r="C95" s="62">
        <v>2.4317000000000002E-2</v>
      </c>
      <c r="D95" s="62">
        <v>2.5716000000000003E-2</v>
      </c>
      <c r="E95" s="62">
        <v>2.6897000000000001E-2</v>
      </c>
      <c r="F95" s="62">
        <v>2.7469999999999998E-2</v>
      </c>
      <c r="G95" s="62">
        <v>2.8691000000000001E-2</v>
      </c>
      <c r="H95" s="62">
        <v>3.2566999999999999E-2</v>
      </c>
      <c r="I95" s="62">
        <v>3.2715000000000001E-2</v>
      </c>
      <c r="J95" s="62">
        <v>3.4549999999999997E-2</v>
      </c>
      <c r="K95" s="62">
        <v>3.4647000000000004E-2</v>
      </c>
      <c r="L95" s="62">
        <v>3.4632999999999997E-2</v>
      </c>
      <c r="M95" s="62">
        <v>3.4958000000000003E-2</v>
      </c>
      <c r="N95" s="62">
        <v>3.5647000000000005E-2</v>
      </c>
      <c r="O95" s="62">
        <v>3.6554000000000003E-2</v>
      </c>
      <c r="P95" s="62">
        <v>3.7523000000000001E-2</v>
      </c>
      <c r="Q95" s="62">
        <v>3.8387999999999999E-2</v>
      </c>
      <c r="R95" s="62">
        <v>3.9148999999999996E-2</v>
      </c>
      <c r="S95" s="62">
        <v>3.9919999999999997E-2</v>
      </c>
      <c r="T95" s="62">
        <v>4.0687000000000001E-2</v>
      </c>
      <c r="U95" s="62">
        <v>4.1436000000000001E-2</v>
      </c>
      <c r="V95" s="62">
        <v>4.215E-2</v>
      </c>
      <c r="W95" s="62">
        <v>4.2755999999999995E-2</v>
      </c>
      <c r="X95" s="62">
        <v>4.3203999999999999E-2</v>
      </c>
      <c r="Y95" s="62">
        <v>4.3516000000000006E-2</v>
      </c>
      <c r="Z95" s="62">
        <v>4.3715999999999998E-2</v>
      </c>
      <c r="AA95" s="62">
        <v>4.3830999999999995E-2</v>
      </c>
      <c r="AB95" s="62">
        <v>4.3890999999999999E-2</v>
      </c>
      <c r="AC95" s="62">
        <v>4.3926999999999994E-2</v>
      </c>
      <c r="AD95" s="62">
        <v>4.3973999999999999E-2</v>
      </c>
      <c r="AE95" s="62">
        <v>4.4066999999999995E-2</v>
      </c>
      <c r="AF95" s="62">
        <v>4.4246000000000001E-2</v>
      </c>
    </row>
    <row r="96" spans="1:32">
      <c r="A96" s="1">
        <v>41051</v>
      </c>
      <c r="B96" s="62">
        <v>1.0588E-2</v>
      </c>
      <c r="C96" s="62">
        <v>2.3816999999999998E-2</v>
      </c>
      <c r="D96" s="62">
        <v>2.5798999999999999E-2</v>
      </c>
      <c r="E96" s="62">
        <v>2.6596999999999999E-2</v>
      </c>
      <c r="F96" s="62">
        <v>2.7614999999999997E-2</v>
      </c>
      <c r="G96" s="62">
        <v>2.8774999999999998E-2</v>
      </c>
      <c r="H96" s="62">
        <v>3.2675999999999997E-2</v>
      </c>
      <c r="I96" s="62">
        <v>3.2904000000000003E-2</v>
      </c>
      <c r="J96" s="62">
        <v>3.4481999999999999E-2</v>
      </c>
      <c r="K96" s="62">
        <v>3.4712E-2</v>
      </c>
      <c r="L96" s="62">
        <v>3.4724999999999999E-2</v>
      </c>
      <c r="M96" s="62">
        <v>3.5064000000000005E-2</v>
      </c>
      <c r="N96" s="62">
        <v>3.5741000000000002E-2</v>
      </c>
      <c r="O96" s="62">
        <v>3.6622000000000002E-2</v>
      </c>
      <c r="P96" s="62">
        <v>3.7560999999999997E-2</v>
      </c>
      <c r="Q96" s="62">
        <v>3.8404000000000001E-2</v>
      </c>
      <c r="R96" s="62">
        <v>3.9155999999999996E-2</v>
      </c>
      <c r="S96" s="62">
        <v>3.9925999999999996E-2</v>
      </c>
      <c r="T96" s="62">
        <v>4.0697999999999998E-2</v>
      </c>
      <c r="U96" s="62">
        <v>4.1452000000000003E-2</v>
      </c>
      <c r="V96" s="62">
        <v>4.2168999999999998E-2</v>
      </c>
      <c r="W96" s="62">
        <v>4.2775000000000001E-2</v>
      </c>
      <c r="X96" s="62">
        <v>4.3223999999999999E-2</v>
      </c>
      <c r="Y96" s="62">
        <v>4.3535999999999998E-2</v>
      </c>
      <c r="Z96" s="62">
        <v>4.3735999999999997E-2</v>
      </c>
      <c r="AA96" s="62">
        <v>4.3851000000000001E-2</v>
      </c>
      <c r="AB96" s="62">
        <v>4.3910999999999999E-2</v>
      </c>
      <c r="AC96" s="62">
        <v>4.3948000000000001E-2</v>
      </c>
      <c r="AD96" s="62">
        <v>4.3994999999999999E-2</v>
      </c>
      <c r="AE96" s="62">
        <v>4.4089000000000003E-2</v>
      </c>
      <c r="AF96" s="62">
        <v>4.4268000000000002E-2</v>
      </c>
    </row>
    <row r="97" spans="1:32">
      <c r="A97" s="1">
        <v>41052</v>
      </c>
      <c r="B97" s="62">
        <v>1.0829999999999999E-2</v>
      </c>
      <c r="C97" s="62">
        <v>2.3517E-2</v>
      </c>
      <c r="D97" s="62">
        <v>2.5800999999999998E-2</v>
      </c>
      <c r="E97" s="62">
        <v>2.6631999999999999E-2</v>
      </c>
      <c r="F97" s="62">
        <v>2.7726000000000001E-2</v>
      </c>
      <c r="G97" s="62">
        <v>2.8732999999999998E-2</v>
      </c>
      <c r="H97" s="62">
        <v>3.2648999999999997E-2</v>
      </c>
      <c r="I97" s="62">
        <v>3.2799000000000002E-2</v>
      </c>
      <c r="J97" s="62">
        <v>3.4366000000000001E-2</v>
      </c>
      <c r="K97" s="62">
        <v>3.4569000000000003E-2</v>
      </c>
      <c r="L97" s="62">
        <v>3.4588000000000001E-2</v>
      </c>
      <c r="M97" s="62">
        <v>3.4937999999999997E-2</v>
      </c>
      <c r="N97" s="62">
        <v>3.5630999999999996E-2</v>
      </c>
      <c r="O97" s="62">
        <v>3.6527999999999998E-2</v>
      </c>
      <c r="P97" s="62">
        <v>3.7484999999999997E-2</v>
      </c>
      <c r="Q97" s="62">
        <v>3.8344999999999997E-2</v>
      </c>
      <c r="R97" s="62">
        <v>3.9108000000000004E-2</v>
      </c>
      <c r="S97" s="62">
        <v>3.9877999999999997E-2</v>
      </c>
      <c r="T97" s="62">
        <v>4.0645000000000001E-2</v>
      </c>
      <c r="U97" s="62">
        <v>4.1391999999999998E-2</v>
      </c>
      <c r="V97" s="62">
        <v>4.2106000000000005E-2</v>
      </c>
      <c r="W97" s="62">
        <v>4.2712E-2</v>
      </c>
      <c r="X97" s="62">
        <v>4.3159999999999997E-2</v>
      </c>
      <c r="Y97" s="62">
        <v>4.3471000000000003E-2</v>
      </c>
      <c r="Z97" s="62">
        <v>4.3670999999999995E-2</v>
      </c>
      <c r="AA97" s="62">
        <v>4.3787E-2</v>
      </c>
      <c r="AB97" s="62">
        <v>4.3846999999999997E-2</v>
      </c>
      <c r="AC97" s="62">
        <v>4.3882999999999998E-2</v>
      </c>
      <c r="AD97" s="62">
        <v>4.3929999999999997E-2</v>
      </c>
      <c r="AE97" s="62">
        <v>4.4024000000000001E-2</v>
      </c>
      <c r="AF97" s="62">
        <v>4.4202000000000005E-2</v>
      </c>
    </row>
    <row r="98" spans="1:32">
      <c r="A98" s="1">
        <v>41053</v>
      </c>
      <c r="B98" s="62">
        <v>1.1212999999999999E-2</v>
      </c>
      <c r="C98" s="62">
        <v>2.2610000000000002E-2</v>
      </c>
      <c r="D98" s="62">
        <v>2.4931000000000002E-2</v>
      </c>
      <c r="E98" s="62">
        <v>2.511E-2</v>
      </c>
      <c r="F98" s="62">
        <v>2.6997E-2</v>
      </c>
      <c r="G98" s="62">
        <v>2.7651999999999999E-2</v>
      </c>
      <c r="H98" s="62">
        <v>3.2046999999999999E-2</v>
      </c>
      <c r="I98" s="62">
        <v>3.2403000000000001E-2</v>
      </c>
      <c r="J98" s="62">
        <v>3.4328999999999998E-2</v>
      </c>
      <c r="K98" s="62">
        <v>3.4445999999999997E-2</v>
      </c>
      <c r="L98" s="62">
        <v>3.4432999999999998E-2</v>
      </c>
      <c r="M98" s="62">
        <v>3.4771999999999997E-2</v>
      </c>
      <c r="N98" s="62">
        <v>3.5484000000000002E-2</v>
      </c>
      <c r="O98" s="62">
        <v>3.6420000000000001E-2</v>
      </c>
      <c r="P98" s="62">
        <v>3.7421000000000003E-2</v>
      </c>
      <c r="Q98" s="62">
        <v>3.8314000000000001E-2</v>
      </c>
      <c r="R98" s="62">
        <v>3.909E-2</v>
      </c>
      <c r="S98" s="62">
        <v>3.986E-2</v>
      </c>
      <c r="T98" s="62">
        <v>4.0617E-2</v>
      </c>
      <c r="U98" s="62">
        <v>4.1353000000000001E-2</v>
      </c>
      <c r="V98" s="62">
        <v>4.2060000000000007E-2</v>
      </c>
      <c r="W98" s="62">
        <v>4.2663E-2</v>
      </c>
      <c r="X98" s="62">
        <v>4.3109000000000001E-2</v>
      </c>
      <c r="Y98" s="62">
        <v>4.3418999999999999E-2</v>
      </c>
      <c r="Z98" s="62">
        <v>4.3616999999999996E-2</v>
      </c>
      <c r="AA98" s="62">
        <v>4.3730000000000005E-2</v>
      </c>
      <c r="AB98" s="62">
        <v>4.3788000000000001E-2</v>
      </c>
      <c r="AC98" s="62">
        <v>4.3823000000000001E-2</v>
      </c>
      <c r="AD98" s="62">
        <v>4.3868999999999998E-2</v>
      </c>
      <c r="AE98" s="62">
        <v>4.3959999999999999E-2</v>
      </c>
      <c r="AF98" s="62">
        <v>4.4138000000000004E-2</v>
      </c>
    </row>
    <row r="99" spans="1:32">
      <c r="A99" s="1">
        <v>41054</v>
      </c>
      <c r="B99" s="62">
        <v>1.1396E-2</v>
      </c>
      <c r="C99" s="62">
        <v>2.2347000000000002E-2</v>
      </c>
      <c r="D99" s="62">
        <v>2.4357000000000004E-2</v>
      </c>
      <c r="E99" s="62">
        <v>2.4722000000000001E-2</v>
      </c>
      <c r="F99" s="62">
        <v>2.6164E-2</v>
      </c>
      <c r="G99" s="62">
        <v>2.6726E-2</v>
      </c>
      <c r="H99" s="62">
        <v>3.1005999999999999E-2</v>
      </c>
      <c r="I99" s="62">
        <v>3.1879999999999999E-2</v>
      </c>
      <c r="J99" s="62">
        <v>3.3799000000000003E-2</v>
      </c>
      <c r="K99" s="62">
        <v>3.3841999999999997E-2</v>
      </c>
      <c r="L99" s="62">
        <v>3.3819000000000002E-2</v>
      </c>
      <c r="M99" s="62">
        <v>3.4188000000000003E-2</v>
      </c>
      <c r="N99" s="62">
        <v>3.4971999999999996E-2</v>
      </c>
      <c r="O99" s="62">
        <v>3.6004999999999995E-2</v>
      </c>
      <c r="P99" s="62">
        <v>3.7109999999999997E-2</v>
      </c>
      <c r="Q99" s="62">
        <v>3.8095999999999998E-2</v>
      </c>
      <c r="R99" s="62">
        <v>3.8921999999999998E-2</v>
      </c>
      <c r="S99" s="62">
        <v>3.9694E-2</v>
      </c>
      <c r="T99" s="62">
        <v>4.0425000000000003E-2</v>
      </c>
      <c r="U99" s="62">
        <v>4.1127999999999998E-2</v>
      </c>
      <c r="V99" s="62">
        <v>4.1814999999999998E-2</v>
      </c>
      <c r="W99" s="62">
        <v>4.2416000000000002E-2</v>
      </c>
      <c r="X99" s="62">
        <v>4.2858E-2</v>
      </c>
      <c r="Y99" s="62">
        <v>4.3164999999999995E-2</v>
      </c>
      <c r="Z99" s="62">
        <v>4.3361000000000004E-2</v>
      </c>
      <c r="AA99" s="62">
        <v>4.3472999999999998E-2</v>
      </c>
      <c r="AB99" s="62">
        <v>4.3528999999999998E-2</v>
      </c>
      <c r="AC99" s="62">
        <v>4.3562000000000003E-2</v>
      </c>
      <c r="AD99" s="62">
        <v>4.3605999999999999E-2</v>
      </c>
      <c r="AE99" s="62">
        <v>4.3695999999999999E-2</v>
      </c>
      <c r="AF99" s="62">
        <v>4.3872000000000001E-2</v>
      </c>
    </row>
    <row r="100" spans="1:32">
      <c r="A100" s="1">
        <v>41057</v>
      </c>
      <c r="B100" s="62">
        <v>1.1497E-2</v>
      </c>
      <c r="C100" s="62">
        <v>2.2499999999999999E-2</v>
      </c>
      <c r="D100" s="62">
        <v>2.4304000000000003E-2</v>
      </c>
      <c r="E100" s="62">
        <v>2.4676999999999998E-2</v>
      </c>
      <c r="F100" s="62">
        <v>2.6661000000000001E-2</v>
      </c>
      <c r="G100" s="62">
        <v>2.717E-2</v>
      </c>
      <c r="H100" s="62">
        <v>3.1333E-2</v>
      </c>
      <c r="I100" s="62">
        <v>3.2412999999999997E-2</v>
      </c>
      <c r="J100" s="62">
        <v>3.4224999999999998E-2</v>
      </c>
      <c r="K100" s="62">
        <v>3.4266999999999999E-2</v>
      </c>
      <c r="L100" s="62">
        <v>3.424E-2</v>
      </c>
      <c r="M100" s="62">
        <v>3.4587E-2</v>
      </c>
      <c r="N100" s="62">
        <v>3.5324000000000001E-2</v>
      </c>
      <c r="O100" s="62">
        <v>3.6294E-2</v>
      </c>
      <c r="P100" s="62">
        <v>3.7330999999999996E-2</v>
      </c>
      <c r="Q100" s="62">
        <v>3.8254999999999997E-2</v>
      </c>
      <c r="R100" s="62">
        <v>3.9046999999999998E-2</v>
      </c>
      <c r="S100" s="62">
        <v>3.9817999999999999E-2</v>
      </c>
      <c r="T100" s="62">
        <v>4.0566000000000005E-2</v>
      </c>
      <c r="U100" s="62">
        <v>4.1291000000000001E-2</v>
      </c>
      <c r="V100" s="62">
        <v>4.1990999999999994E-2</v>
      </c>
      <c r="W100" s="62">
        <v>4.2592999999999999E-2</v>
      </c>
      <c r="X100" s="62">
        <v>4.3038E-2</v>
      </c>
      <c r="Y100" s="62">
        <v>4.3346000000000003E-2</v>
      </c>
      <c r="Z100" s="62">
        <v>4.3543000000000005E-2</v>
      </c>
      <c r="AA100" s="62">
        <v>4.3656E-2</v>
      </c>
      <c r="AB100" s="62">
        <v>4.3712999999999995E-2</v>
      </c>
      <c r="AC100" s="62">
        <v>4.3747000000000001E-2</v>
      </c>
      <c r="AD100" s="62">
        <v>4.3791999999999998E-2</v>
      </c>
      <c r="AE100" s="62">
        <v>4.3882999999999998E-2</v>
      </c>
      <c r="AF100" s="62">
        <v>4.4059999999999995E-2</v>
      </c>
    </row>
    <row r="101" spans="1:32">
      <c r="A101" s="1">
        <v>41058</v>
      </c>
      <c r="B101" s="62">
        <v>1.1422000000000002E-2</v>
      </c>
      <c r="C101" s="62">
        <v>2.2499999999999999E-2</v>
      </c>
      <c r="D101" s="62">
        <v>2.4426E-2</v>
      </c>
      <c r="E101" s="62">
        <v>2.4670999999999998E-2</v>
      </c>
      <c r="F101" s="62">
        <v>2.7049E-2</v>
      </c>
      <c r="G101" s="62">
        <v>2.7651999999999999E-2</v>
      </c>
      <c r="H101" s="62">
        <v>3.1615000000000004E-2</v>
      </c>
      <c r="I101" s="62">
        <v>3.2548000000000001E-2</v>
      </c>
      <c r="J101" s="62">
        <v>3.4520000000000002E-2</v>
      </c>
      <c r="K101" s="62">
        <v>3.4583000000000003E-2</v>
      </c>
      <c r="L101" s="62">
        <v>3.4558999999999999E-2</v>
      </c>
      <c r="M101" s="62">
        <v>3.4889000000000003E-2</v>
      </c>
      <c r="N101" s="62">
        <v>3.5590999999999998E-2</v>
      </c>
      <c r="O101" s="62">
        <v>3.6514000000000005E-2</v>
      </c>
      <c r="P101" s="62">
        <v>3.7501E-2</v>
      </c>
      <c r="Q101" s="62">
        <v>3.8380999999999998E-2</v>
      </c>
      <c r="R101" s="62">
        <v>3.9148000000000002E-2</v>
      </c>
      <c r="S101" s="62">
        <v>3.9917000000000001E-2</v>
      </c>
      <c r="T101" s="62">
        <v>4.0677999999999999E-2</v>
      </c>
      <c r="U101" s="62">
        <v>4.1418999999999997E-2</v>
      </c>
      <c r="V101" s="62">
        <v>4.2129E-2</v>
      </c>
      <c r="W101" s="62">
        <v>4.2731999999999999E-2</v>
      </c>
      <c r="X101" s="62">
        <v>4.3178000000000001E-2</v>
      </c>
      <c r="Y101" s="62">
        <v>4.3487999999999999E-2</v>
      </c>
      <c r="Z101" s="62">
        <v>4.3685999999999996E-2</v>
      </c>
      <c r="AA101" s="62">
        <v>4.3799000000000005E-2</v>
      </c>
      <c r="AB101" s="62">
        <v>4.3857E-2</v>
      </c>
      <c r="AC101" s="62">
        <v>4.3892E-2</v>
      </c>
      <c r="AD101" s="62">
        <v>4.3936999999999997E-2</v>
      </c>
      <c r="AE101" s="62">
        <v>4.4027999999999998E-2</v>
      </c>
      <c r="AF101" s="62">
        <v>4.4206000000000002E-2</v>
      </c>
    </row>
    <row r="102" spans="1:32">
      <c r="A102" s="1">
        <v>41059</v>
      </c>
      <c r="B102" s="62">
        <v>1.1437999999999999E-2</v>
      </c>
      <c r="C102" s="62">
        <v>2.2534000000000002E-2</v>
      </c>
      <c r="D102" s="62">
        <v>2.4521000000000001E-2</v>
      </c>
      <c r="E102" s="62">
        <v>2.5285000000000002E-2</v>
      </c>
      <c r="F102" s="62">
        <v>2.7434E-2</v>
      </c>
      <c r="G102" s="62">
        <v>2.8130000000000002E-2</v>
      </c>
      <c r="H102" s="62">
        <v>3.1829999999999997E-2</v>
      </c>
      <c r="I102" s="62">
        <v>3.2714E-2</v>
      </c>
      <c r="J102" s="62">
        <v>3.4608E-2</v>
      </c>
      <c r="K102" s="62">
        <v>3.4613999999999999E-2</v>
      </c>
      <c r="L102" s="62">
        <v>3.4581000000000001E-2</v>
      </c>
      <c r="M102" s="62">
        <v>3.4908999999999996E-2</v>
      </c>
      <c r="N102" s="62">
        <v>3.5612999999999999E-2</v>
      </c>
      <c r="O102" s="62">
        <v>3.6539999999999996E-2</v>
      </c>
      <c r="P102" s="62">
        <v>3.7531000000000002E-2</v>
      </c>
      <c r="Q102" s="62">
        <v>3.8413000000000003E-2</v>
      </c>
      <c r="R102" s="62">
        <v>3.9191999999999998E-2</v>
      </c>
      <c r="S102" s="62">
        <v>3.9985E-2</v>
      </c>
      <c r="T102" s="62">
        <v>4.0763999999999995E-2</v>
      </c>
      <c r="U102" s="62">
        <v>4.1500000000000002E-2</v>
      </c>
      <c r="V102" s="62">
        <v>4.2160000000000003E-2</v>
      </c>
      <c r="W102" s="62">
        <v>4.2694000000000003E-2</v>
      </c>
      <c r="X102" s="62">
        <v>4.3089000000000002E-2</v>
      </c>
      <c r="Y102" s="62">
        <v>4.3364E-2</v>
      </c>
      <c r="Z102" s="62">
        <v>4.3539000000000001E-2</v>
      </c>
      <c r="AA102" s="62">
        <v>4.3638000000000003E-2</v>
      </c>
      <c r="AB102" s="62">
        <v>4.3684000000000001E-2</v>
      </c>
      <c r="AC102" s="62">
        <v>4.3707000000000003E-2</v>
      </c>
      <c r="AD102" s="62">
        <v>4.3733000000000001E-2</v>
      </c>
      <c r="AE102" s="62">
        <v>4.3794000000000007E-2</v>
      </c>
      <c r="AF102" s="62">
        <v>4.3921999999999996E-2</v>
      </c>
    </row>
    <row r="103" spans="1:32">
      <c r="A103" s="1">
        <v>41060</v>
      </c>
      <c r="B103" s="62">
        <v>1.1168000000000001E-2</v>
      </c>
      <c r="C103" s="62">
        <v>2.2307E-2</v>
      </c>
      <c r="D103" s="62">
        <v>2.4304000000000003E-2</v>
      </c>
      <c r="E103" s="62">
        <v>2.4629999999999999E-2</v>
      </c>
      <c r="F103" s="62">
        <v>2.7265999999999999E-2</v>
      </c>
      <c r="G103" s="62">
        <v>2.8325999999999997E-2</v>
      </c>
      <c r="H103" s="62">
        <v>3.1690000000000003E-2</v>
      </c>
      <c r="I103" s="62">
        <v>3.2183999999999997E-2</v>
      </c>
      <c r="J103" s="62">
        <v>3.4270000000000002E-2</v>
      </c>
      <c r="K103" s="62">
        <v>3.4264999999999997E-2</v>
      </c>
      <c r="L103" s="62">
        <v>3.4236000000000003E-2</v>
      </c>
      <c r="M103" s="62">
        <v>3.4588000000000001E-2</v>
      </c>
      <c r="N103" s="62">
        <v>3.5335999999999999E-2</v>
      </c>
      <c r="O103" s="62">
        <v>3.6319999999999998E-2</v>
      </c>
      <c r="P103" s="62">
        <v>3.7372000000000002E-2</v>
      </c>
      <c r="Q103" s="62">
        <v>3.8308000000000002E-2</v>
      </c>
      <c r="R103" s="62">
        <v>3.9106999999999996E-2</v>
      </c>
      <c r="S103" s="62">
        <v>3.9882000000000001E-2</v>
      </c>
      <c r="T103" s="62">
        <v>4.0631E-2</v>
      </c>
      <c r="U103" s="62">
        <v>4.1352E-2</v>
      </c>
      <c r="V103" s="62">
        <v>4.2046E-2</v>
      </c>
      <c r="W103" s="62">
        <v>4.2632000000000003E-2</v>
      </c>
      <c r="X103" s="62">
        <v>4.3047000000000002E-2</v>
      </c>
      <c r="Y103" s="62">
        <v>4.3319000000000003E-2</v>
      </c>
      <c r="Z103" s="62">
        <v>4.3476999999999995E-2</v>
      </c>
      <c r="AA103" s="62">
        <v>4.3556999999999998E-2</v>
      </c>
      <c r="AB103" s="62">
        <v>4.3594000000000001E-2</v>
      </c>
      <c r="AC103" s="62">
        <v>4.3625999999999998E-2</v>
      </c>
      <c r="AD103" s="62">
        <v>4.3697E-2</v>
      </c>
      <c r="AE103" s="62">
        <v>4.3848999999999999E-2</v>
      </c>
      <c r="AF103" s="62">
        <v>4.4047000000000003E-2</v>
      </c>
    </row>
    <row r="104" spans="1:32">
      <c r="A104" s="1">
        <v>41061</v>
      </c>
      <c r="B104" s="62">
        <v>1.133E-2</v>
      </c>
      <c r="C104" s="62">
        <v>2.2042000000000003E-2</v>
      </c>
      <c r="D104" s="62">
        <v>2.3872000000000001E-2</v>
      </c>
      <c r="E104" s="62">
        <v>2.4351999999999999E-2</v>
      </c>
      <c r="F104" s="62">
        <v>2.6665000000000001E-2</v>
      </c>
      <c r="G104" s="62">
        <v>2.8610000000000003E-2</v>
      </c>
      <c r="H104" s="62">
        <v>3.1587000000000004E-2</v>
      </c>
      <c r="I104" s="62">
        <v>3.2170000000000004E-2</v>
      </c>
      <c r="J104" s="62">
        <v>3.4186000000000001E-2</v>
      </c>
      <c r="K104" s="62">
        <v>3.4245999999999999E-2</v>
      </c>
      <c r="L104" s="62">
        <v>3.4222000000000002E-2</v>
      </c>
      <c r="M104" s="62">
        <v>3.4578999999999999E-2</v>
      </c>
      <c r="N104" s="62">
        <v>3.533E-2</v>
      </c>
      <c r="O104" s="62">
        <v>3.6317000000000002E-2</v>
      </c>
      <c r="P104" s="62">
        <v>3.7371000000000001E-2</v>
      </c>
      <c r="Q104" s="62">
        <v>3.8309999999999997E-2</v>
      </c>
      <c r="R104" s="62">
        <v>3.9115999999999998E-2</v>
      </c>
      <c r="S104" s="62">
        <v>3.9900000000000005E-2</v>
      </c>
      <c r="T104" s="62">
        <v>4.0655000000000004E-2</v>
      </c>
      <c r="U104" s="62">
        <v>4.1371999999999999E-2</v>
      </c>
      <c r="V104" s="62">
        <v>4.2042999999999997E-2</v>
      </c>
      <c r="W104" s="62">
        <v>4.2606999999999999E-2</v>
      </c>
      <c r="X104" s="62">
        <v>4.3025000000000001E-2</v>
      </c>
      <c r="Y104" s="62">
        <v>4.3314000000000005E-2</v>
      </c>
      <c r="Z104" s="62">
        <v>4.3498000000000002E-2</v>
      </c>
      <c r="AA104" s="62">
        <v>4.3602999999999996E-2</v>
      </c>
      <c r="AB104" s="62">
        <v>4.3653999999999998E-2</v>
      </c>
      <c r="AC104" s="62">
        <v>4.3680999999999998E-2</v>
      </c>
      <c r="AD104" s="62">
        <v>4.3714000000000003E-2</v>
      </c>
      <c r="AE104" s="62">
        <v>4.3788000000000001E-2</v>
      </c>
      <c r="AF104" s="62">
        <v>4.3936999999999997E-2</v>
      </c>
    </row>
    <row r="105" spans="1:32">
      <c r="A105" s="1">
        <v>41064</v>
      </c>
      <c r="B105" s="62">
        <v>1.1563E-2</v>
      </c>
      <c r="C105" s="62">
        <v>2.2000000000000002E-2</v>
      </c>
      <c r="D105" s="62">
        <v>2.3733000000000001E-2</v>
      </c>
      <c r="E105" s="62">
        <v>2.4399999999999998E-2</v>
      </c>
      <c r="F105" s="62">
        <v>2.6434000000000003E-2</v>
      </c>
      <c r="G105" s="62">
        <v>2.8694999999999998E-2</v>
      </c>
      <c r="H105" s="62">
        <v>3.1451E-2</v>
      </c>
      <c r="I105" s="62">
        <v>3.2246000000000004E-2</v>
      </c>
      <c r="J105" s="62">
        <v>3.4317E-2</v>
      </c>
      <c r="K105" s="62">
        <v>3.4315999999999999E-2</v>
      </c>
      <c r="L105" s="62">
        <v>3.4285000000000003E-2</v>
      </c>
      <c r="M105" s="62">
        <v>3.4638000000000002E-2</v>
      </c>
      <c r="N105" s="62">
        <v>3.5382999999999998E-2</v>
      </c>
      <c r="O105" s="62">
        <v>3.6361999999999998E-2</v>
      </c>
      <c r="P105" s="62">
        <v>3.7406999999999996E-2</v>
      </c>
      <c r="Q105" s="62">
        <v>3.8336999999999996E-2</v>
      </c>
      <c r="R105" s="62">
        <v>3.9142999999999997E-2</v>
      </c>
      <c r="S105" s="62">
        <v>3.9935999999999999E-2</v>
      </c>
      <c r="T105" s="62">
        <v>4.0701000000000001E-2</v>
      </c>
      <c r="U105" s="62">
        <v>4.1418999999999997E-2</v>
      </c>
      <c r="V105" s="62">
        <v>4.2069999999999996E-2</v>
      </c>
      <c r="W105" s="62">
        <v>4.2603999999999996E-2</v>
      </c>
      <c r="X105" s="62">
        <v>4.2999000000000002E-2</v>
      </c>
      <c r="Y105" s="62">
        <v>4.3272999999999999E-2</v>
      </c>
      <c r="Z105" s="62">
        <v>4.3446999999999993E-2</v>
      </c>
      <c r="AA105" s="62">
        <v>4.3545E-2</v>
      </c>
      <c r="AB105" s="62">
        <v>4.3590999999999998E-2</v>
      </c>
      <c r="AC105" s="62">
        <v>4.3612000000000005E-2</v>
      </c>
      <c r="AD105" s="62">
        <v>4.3638000000000003E-2</v>
      </c>
      <c r="AE105" s="62">
        <v>4.3699000000000002E-2</v>
      </c>
      <c r="AF105" s="62">
        <v>4.3827999999999999E-2</v>
      </c>
    </row>
    <row r="106" spans="1:32">
      <c r="A106" s="1">
        <v>41065</v>
      </c>
      <c r="B106" s="62">
        <v>1.2362999999999999E-2</v>
      </c>
      <c r="C106" s="62">
        <v>2.2103999999999999E-2</v>
      </c>
      <c r="D106" s="62">
        <v>2.3788E-2</v>
      </c>
      <c r="E106" s="62">
        <v>2.4708999999999998E-2</v>
      </c>
      <c r="F106" s="62">
        <v>2.6619E-2</v>
      </c>
      <c r="G106" s="62">
        <v>2.9071E-2</v>
      </c>
      <c r="H106" s="62">
        <v>3.1657999999999999E-2</v>
      </c>
      <c r="I106" s="62">
        <v>3.2475999999999998E-2</v>
      </c>
      <c r="J106" s="62">
        <v>3.4467999999999999E-2</v>
      </c>
      <c r="K106" s="62">
        <v>3.4407E-2</v>
      </c>
      <c r="L106" s="62">
        <v>3.4370999999999999E-2</v>
      </c>
      <c r="M106" s="62">
        <v>3.4720000000000001E-2</v>
      </c>
      <c r="N106" s="62">
        <v>3.5453999999999999E-2</v>
      </c>
      <c r="O106" s="62">
        <v>3.6419E-2</v>
      </c>
      <c r="P106" s="62">
        <v>3.7448999999999996E-2</v>
      </c>
      <c r="Q106" s="62">
        <v>3.8365999999999997E-2</v>
      </c>
      <c r="R106" s="62">
        <v>3.9167E-2</v>
      </c>
      <c r="S106" s="62">
        <v>3.9967000000000003E-2</v>
      </c>
      <c r="T106" s="62">
        <v>4.0740999999999999E-2</v>
      </c>
      <c r="U106" s="62">
        <v>4.1463E-2</v>
      </c>
      <c r="V106" s="62">
        <v>4.2102000000000001E-2</v>
      </c>
      <c r="W106" s="62">
        <v>4.2618000000000003E-2</v>
      </c>
      <c r="X106" s="62">
        <v>4.2999000000000002E-2</v>
      </c>
      <c r="Y106" s="62">
        <v>4.3262999999999996E-2</v>
      </c>
      <c r="Z106" s="62">
        <v>4.3430999999999997E-2</v>
      </c>
      <c r="AA106" s="62">
        <v>4.3525000000000001E-2</v>
      </c>
      <c r="AB106" s="62">
        <v>4.3567999999999996E-2</v>
      </c>
      <c r="AC106" s="62">
        <v>4.3587000000000001E-2</v>
      </c>
      <c r="AD106" s="62">
        <v>4.3608000000000001E-2</v>
      </c>
      <c r="AE106" s="62">
        <v>4.3661000000000005E-2</v>
      </c>
      <c r="AF106" s="62">
        <v>4.3777999999999997E-2</v>
      </c>
    </row>
    <row r="107" spans="1:32">
      <c r="A107" s="1">
        <v>41066</v>
      </c>
      <c r="B107" s="62">
        <v>1.4397E-2</v>
      </c>
      <c r="C107" s="62">
        <v>2.2214999999999999E-2</v>
      </c>
      <c r="D107" s="62">
        <v>2.3944999999999998E-2</v>
      </c>
      <c r="E107" s="62">
        <v>2.4750000000000001E-2</v>
      </c>
      <c r="F107" s="62">
        <v>2.6751999999999998E-2</v>
      </c>
      <c r="G107" s="62">
        <v>2.9478000000000001E-2</v>
      </c>
      <c r="H107" s="62">
        <v>3.1968000000000003E-2</v>
      </c>
      <c r="I107" s="62">
        <v>3.2534E-2</v>
      </c>
      <c r="J107" s="62">
        <v>3.4377999999999999E-2</v>
      </c>
      <c r="K107" s="62">
        <v>3.4429000000000001E-2</v>
      </c>
      <c r="L107" s="62">
        <v>3.4390000000000004E-2</v>
      </c>
      <c r="M107" s="62">
        <v>3.4651000000000001E-2</v>
      </c>
      <c r="N107" s="62">
        <v>3.5363000000000006E-2</v>
      </c>
      <c r="O107" s="62">
        <v>3.6347999999999998E-2</v>
      </c>
      <c r="P107" s="62">
        <v>3.7421999999999997E-2</v>
      </c>
      <c r="Q107" s="62">
        <v>3.8380999999999998E-2</v>
      </c>
      <c r="R107" s="62">
        <v>3.9205999999999998E-2</v>
      </c>
      <c r="S107" s="62">
        <v>4.0010999999999998E-2</v>
      </c>
      <c r="T107" s="62">
        <v>4.0778000000000002E-2</v>
      </c>
      <c r="U107" s="62">
        <v>4.1486999999999996E-2</v>
      </c>
      <c r="V107" s="62">
        <v>4.2115E-2</v>
      </c>
      <c r="W107" s="62">
        <v>4.2622999999999994E-2</v>
      </c>
      <c r="X107" s="62">
        <v>4.2999000000000002E-2</v>
      </c>
      <c r="Y107" s="62">
        <v>4.3259999999999993E-2</v>
      </c>
      <c r="Z107" s="62">
        <v>4.3425999999999999E-2</v>
      </c>
      <c r="AA107" s="62">
        <v>4.3518000000000001E-2</v>
      </c>
      <c r="AB107" s="62">
        <v>4.3560999999999996E-2</v>
      </c>
      <c r="AC107" s="62">
        <v>4.3577999999999999E-2</v>
      </c>
      <c r="AD107" s="62">
        <v>4.3597999999999998E-2</v>
      </c>
      <c r="AE107" s="62">
        <v>4.3647999999999999E-2</v>
      </c>
      <c r="AF107" s="62">
        <v>4.376E-2</v>
      </c>
    </row>
    <row r="108" spans="1:32">
      <c r="A108" s="1">
        <v>41067</v>
      </c>
      <c r="B108" s="62">
        <v>1.6388E-2</v>
      </c>
      <c r="C108" s="62">
        <v>2.2513999999999999E-2</v>
      </c>
      <c r="D108" s="62">
        <v>2.4253E-2</v>
      </c>
      <c r="E108" s="62">
        <v>2.4826000000000001E-2</v>
      </c>
      <c r="F108" s="62">
        <v>2.6776000000000001E-2</v>
      </c>
      <c r="G108" s="62">
        <v>2.9440000000000001E-2</v>
      </c>
      <c r="H108" s="62">
        <v>3.1788999999999998E-2</v>
      </c>
      <c r="I108" s="62">
        <v>3.2620000000000003E-2</v>
      </c>
      <c r="J108" s="62">
        <v>3.449E-2</v>
      </c>
      <c r="K108" s="62">
        <v>3.4591999999999998E-2</v>
      </c>
      <c r="L108" s="62">
        <v>3.4561000000000001E-2</v>
      </c>
      <c r="M108" s="62">
        <v>3.4820000000000004E-2</v>
      </c>
      <c r="N108" s="62">
        <v>3.5512999999999996E-2</v>
      </c>
      <c r="O108" s="62">
        <v>3.6469999999999995E-2</v>
      </c>
      <c r="P108" s="62">
        <v>3.7512999999999998E-2</v>
      </c>
      <c r="Q108" s="62">
        <v>3.8445E-2</v>
      </c>
      <c r="R108" s="62">
        <v>3.9255999999999999E-2</v>
      </c>
      <c r="S108" s="62">
        <v>4.0060000000000005E-2</v>
      </c>
      <c r="T108" s="62">
        <v>4.0834000000000002E-2</v>
      </c>
      <c r="U108" s="62">
        <v>4.1550999999999998E-2</v>
      </c>
      <c r="V108" s="62">
        <v>4.2185E-2</v>
      </c>
      <c r="W108" s="62">
        <v>4.2693000000000002E-2</v>
      </c>
      <c r="X108" s="62">
        <v>4.3070000000000004E-2</v>
      </c>
      <c r="Y108" s="62">
        <v>4.3331000000000001E-2</v>
      </c>
      <c r="Z108" s="62">
        <v>4.3497000000000001E-2</v>
      </c>
      <c r="AA108" s="62">
        <v>4.3589999999999997E-2</v>
      </c>
      <c r="AB108" s="62">
        <v>4.3631999999999997E-2</v>
      </c>
      <c r="AC108" s="62">
        <v>4.3650000000000001E-2</v>
      </c>
      <c r="AD108" s="62">
        <v>4.367E-2</v>
      </c>
      <c r="AE108" s="62">
        <v>4.3720000000000002E-2</v>
      </c>
      <c r="AF108" s="62">
        <v>4.3832000000000003E-2</v>
      </c>
    </row>
    <row r="109" spans="1:32">
      <c r="A109" s="1">
        <v>41068</v>
      </c>
      <c r="B109" s="62">
        <v>1.6413000000000001E-2</v>
      </c>
      <c r="C109" s="62">
        <v>2.1587000000000002E-2</v>
      </c>
      <c r="D109" s="62">
        <v>2.3353000000000002E-2</v>
      </c>
      <c r="E109" s="62">
        <v>2.4107E-2</v>
      </c>
      <c r="F109" s="62">
        <v>2.6296E-2</v>
      </c>
      <c r="G109" s="62">
        <v>2.8827999999999999E-2</v>
      </c>
      <c r="H109" s="62">
        <v>3.1183000000000002E-2</v>
      </c>
      <c r="I109" s="62">
        <v>3.2155999999999997E-2</v>
      </c>
      <c r="J109" s="62">
        <v>3.3873E-2</v>
      </c>
      <c r="K109" s="62">
        <v>3.3921E-2</v>
      </c>
      <c r="L109" s="62">
        <v>3.3881999999999995E-2</v>
      </c>
      <c r="M109" s="62">
        <v>3.4151000000000001E-2</v>
      </c>
      <c r="N109" s="62">
        <v>3.4876999999999998E-2</v>
      </c>
      <c r="O109" s="62">
        <v>3.5880999999999996E-2</v>
      </c>
      <c r="P109" s="62">
        <v>3.6974E-2</v>
      </c>
      <c r="Q109" s="62">
        <v>3.7949999999999998E-2</v>
      </c>
      <c r="R109" s="62">
        <v>3.8771E-2</v>
      </c>
      <c r="S109" s="62">
        <v>3.9549000000000001E-2</v>
      </c>
      <c r="T109" s="62">
        <v>4.0288999999999998E-2</v>
      </c>
      <c r="U109" s="62">
        <v>4.0994999999999997E-2</v>
      </c>
      <c r="V109" s="62">
        <v>4.1673000000000002E-2</v>
      </c>
      <c r="W109" s="62">
        <v>4.2256999999999996E-2</v>
      </c>
      <c r="X109" s="62">
        <v>4.2687999999999997E-2</v>
      </c>
      <c r="Y109" s="62">
        <v>4.2987999999999998E-2</v>
      </c>
      <c r="Z109" s="62">
        <v>4.3178999999999995E-2</v>
      </c>
      <c r="AA109" s="62">
        <v>4.3288E-2</v>
      </c>
      <c r="AB109" s="62">
        <v>4.3343E-2</v>
      </c>
      <c r="AC109" s="62">
        <v>4.3373999999999996E-2</v>
      </c>
      <c r="AD109" s="62">
        <v>4.3414000000000001E-2</v>
      </c>
      <c r="AE109" s="62">
        <v>4.3498000000000002E-2</v>
      </c>
      <c r="AF109" s="62">
        <v>4.3661000000000005E-2</v>
      </c>
    </row>
    <row r="110" spans="1:32">
      <c r="A110" s="1">
        <v>41071</v>
      </c>
      <c r="B110" s="62">
        <v>1.5576000000000001E-2</v>
      </c>
      <c r="C110" s="62">
        <v>2.1779000000000003E-2</v>
      </c>
      <c r="D110" s="62">
        <v>2.3618E-2</v>
      </c>
      <c r="E110" s="62">
        <v>2.4418000000000002E-2</v>
      </c>
      <c r="F110" s="62">
        <v>2.6581999999999998E-2</v>
      </c>
      <c r="G110" s="62">
        <v>2.9687000000000002E-2</v>
      </c>
      <c r="H110" s="62">
        <v>3.1836999999999997E-2</v>
      </c>
      <c r="I110" s="62">
        <v>3.2386999999999999E-2</v>
      </c>
      <c r="J110" s="62">
        <v>3.4162999999999999E-2</v>
      </c>
      <c r="K110" s="62">
        <v>3.4303E-2</v>
      </c>
      <c r="L110" s="62">
        <v>3.4283000000000001E-2</v>
      </c>
      <c r="M110" s="62">
        <v>3.4548999999999996E-2</v>
      </c>
      <c r="N110" s="62">
        <v>3.5234000000000001E-2</v>
      </c>
      <c r="O110" s="62">
        <v>3.6173999999999998E-2</v>
      </c>
      <c r="P110" s="62">
        <v>3.7194999999999999E-2</v>
      </c>
      <c r="Q110" s="62">
        <v>3.8109000000000004E-2</v>
      </c>
      <c r="R110" s="62">
        <v>3.8898000000000002E-2</v>
      </c>
      <c r="S110" s="62">
        <v>3.9674000000000001E-2</v>
      </c>
      <c r="T110" s="62">
        <v>4.0431000000000002E-2</v>
      </c>
      <c r="U110" s="62">
        <v>4.1159000000000001E-2</v>
      </c>
      <c r="V110" s="62">
        <v>4.1849999999999998E-2</v>
      </c>
      <c r="W110" s="62">
        <v>4.2435E-2</v>
      </c>
      <c r="X110" s="62">
        <v>4.2869000000000004E-2</v>
      </c>
      <c r="Y110" s="62">
        <v>4.317E-2</v>
      </c>
      <c r="Z110" s="62">
        <v>4.3362999999999999E-2</v>
      </c>
      <c r="AA110" s="62">
        <v>4.3472999999999998E-2</v>
      </c>
      <c r="AB110" s="62">
        <v>4.3528999999999998E-2</v>
      </c>
      <c r="AC110" s="62">
        <v>4.3560999999999996E-2</v>
      </c>
      <c r="AD110" s="62">
        <v>4.3602000000000002E-2</v>
      </c>
      <c r="AE110" s="62">
        <v>4.3685999999999996E-2</v>
      </c>
      <c r="AF110" s="62">
        <v>4.3851000000000001E-2</v>
      </c>
    </row>
    <row r="111" spans="1:32">
      <c r="A111" s="1">
        <v>41072</v>
      </c>
      <c r="B111" s="62">
        <v>1.6247000000000001E-2</v>
      </c>
      <c r="C111" s="62">
        <v>2.1888999999999999E-2</v>
      </c>
      <c r="D111" s="62">
        <v>2.3802E-2</v>
      </c>
      <c r="E111" s="62">
        <v>2.5024000000000001E-2</v>
      </c>
      <c r="F111" s="62">
        <v>2.6755000000000001E-2</v>
      </c>
      <c r="G111" s="62">
        <v>2.9708000000000002E-2</v>
      </c>
      <c r="H111" s="62">
        <v>3.1953999999999996E-2</v>
      </c>
      <c r="I111" s="62">
        <v>3.2680000000000001E-2</v>
      </c>
      <c r="J111" s="62">
        <v>3.4136E-2</v>
      </c>
      <c r="K111" s="62">
        <v>3.4474999999999999E-2</v>
      </c>
      <c r="L111" s="62">
        <v>3.4564999999999999E-2</v>
      </c>
      <c r="M111" s="62">
        <v>3.4963000000000001E-2</v>
      </c>
      <c r="N111" s="62">
        <v>3.5626000000000005E-2</v>
      </c>
      <c r="O111" s="62">
        <v>3.6448000000000001E-2</v>
      </c>
      <c r="P111" s="62">
        <v>3.7317000000000003E-2</v>
      </c>
      <c r="Q111" s="62">
        <v>3.8112E-2</v>
      </c>
      <c r="R111" s="62">
        <v>3.8852000000000005E-2</v>
      </c>
      <c r="S111" s="62">
        <v>3.9622999999999998E-2</v>
      </c>
      <c r="T111" s="62">
        <v>4.0403000000000001E-2</v>
      </c>
      <c r="U111" s="62">
        <v>4.1161000000000003E-2</v>
      </c>
      <c r="V111" s="62">
        <v>4.1867999999999995E-2</v>
      </c>
      <c r="W111" s="62">
        <v>4.2455E-2</v>
      </c>
      <c r="X111" s="62">
        <v>4.2889999999999998E-2</v>
      </c>
      <c r="Y111" s="62">
        <v>4.3192000000000001E-2</v>
      </c>
      <c r="Z111" s="62">
        <v>4.3385999999999994E-2</v>
      </c>
      <c r="AA111" s="62">
        <v>4.3498000000000002E-2</v>
      </c>
      <c r="AB111" s="62">
        <v>4.3555000000000003E-2</v>
      </c>
      <c r="AC111" s="62">
        <v>4.3587999999999995E-2</v>
      </c>
      <c r="AD111" s="62">
        <v>4.3630000000000002E-2</v>
      </c>
      <c r="AE111" s="62">
        <v>4.3715000000000004E-2</v>
      </c>
      <c r="AF111" s="62">
        <v>4.3880999999999996E-2</v>
      </c>
    </row>
    <row r="112" spans="1:32">
      <c r="A112" s="1">
        <v>41073</v>
      </c>
      <c r="B112" s="62">
        <v>1.7318E-2</v>
      </c>
      <c r="C112" s="62">
        <v>2.2090000000000002E-2</v>
      </c>
      <c r="D112" s="62">
        <v>2.4037000000000003E-2</v>
      </c>
      <c r="E112" s="62">
        <v>2.5562999999999999E-2</v>
      </c>
      <c r="F112" s="62">
        <v>2.7113999999999999E-2</v>
      </c>
      <c r="G112" s="62">
        <v>3.0244E-2</v>
      </c>
      <c r="H112" s="62">
        <v>3.202E-2</v>
      </c>
      <c r="I112" s="62">
        <v>3.2797E-2</v>
      </c>
      <c r="J112" s="62">
        <v>3.4249999999999996E-2</v>
      </c>
      <c r="K112" s="62">
        <v>3.4653000000000003E-2</v>
      </c>
      <c r="L112" s="62">
        <v>3.4721000000000002E-2</v>
      </c>
      <c r="M112" s="62">
        <v>3.5049999999999998E-2</v>
      </c>
      <c r="N112" s="62">
        <v>3.5675999999999999E-2</v>
      </c>
      <c r="O112" s="62">
        <v>3.6483000000000002E-2</v>
      </c>
      <c r="P112" s="62">
        <v>3.7350000000000001E-2</v>
      </c>
      <c r="Q112" s="62">
        <v>3.8144999999999998E-2</v>
      </c>
      <c r="R112" s="62">
        <v>3.8883000000000001E-2</v>
      </c>
      <c r="S112" s="62">
        <v>3.9655999999999997E-2</v>
      </c>
      <c r="T112" s="62">
        <v>4.0437000000000001E-2</v>
      </c>
      <c r="U112" s="62">
        <v>4.1197999999999999E-2</v>
      </c>
      <c r="V112" s="62">
        <v>4.1907E-2</v>
      </c>
      <c r="W112" s="62">
        <v>4.2495000000000005E-2</v>
      </c>
      <c r="X112" s="62">
        <v>4.2930000000000003E-2</v>
      </c>
      <c r="Y112" s="62">
        <v>4.3232999999999994E-2</v>
      </c>
      <c r="Z112" s="62">
        <v>4.3428000000000001E-2</v>
      </c>
      <c r="AA112" s="62">
        <v>4.3540000000000002E-2</v>
      </c>
      <c r="AB112" s="62">
        <v>4.3597999999999998E-2</v>
      </c>
      <c r="AC112" s="62">
        <v>4.3631999999999997E-2</v>
      </c>
      <c r="AD112" s="62">
        <v>4.3674999999999999E-2</v>
      </c>
      <c r="AE112" s="62">
        <v>4.376E-2</v>
      </c>
      <c r="AF112" s="62">
        <v>4.3926999999999994E-2</v>
      </c>
    </row>
    <row r="113" spans="1:32">
      <c r="A113" s="1">
        <v>41074</v>
      </c>
      <c r="B113" s="62">
        <v>1.7863E-2</v>
      </c>
      <c r="C113" s="62">
        <v>2.2508E-2</v>
      </c>
      <c r="D113" s="62">
        <v>2.4180999999999998E-2</v>
      </c>
      <c r="E113" s="62">
        <v>2.5950000000000001E-2</v>
      </c>
      <c r="F113" s="62">
        <v>2.7208E-2</v>
      </c>
      <c r="G113" s="62">
        <v>3.0417E-2</v>
      </c>
      <c r="H113" s="62">
        <v>3.2002999999999997E-2</v>
      </c>
      <c r="I113" s="62">
        <v>3.2857999999999998E-2</v>
      </c>
      <c r="J113" s="62">
        <v>3.4331E-2</v>
      </c>
      <c r="K113" s="62">
        <v>3.4748000000000001E-2</v>
      </c>
      <c r="L113" s="62">
        <v>3.4821999999999999E-2</v>
      </c>
      <c r="M113" s="62">
        <v>3.5152999999999997E-2</v>
      </c>
      <c r="N113" s="62">
        <v>3.5769000000000002E-2</v>
      </c>
      <c r="O113" s="62">
        <v>3.6558E-2</v>
      </c>
      <c r="P113" s="62">
        <v>3.7404E-2</v>
      </c>
      <c r="Q113" s="62">
        <v>3.8182000000000001E-2</v>
      </c>
      <c r="R113" s="62">
        <v>3.8912000000000002E-2</v>
      </c>
      <c r="S113" s="62">
        <v>3.9683999999999997E-2</v>
      </c>
      <c r="T113" s="62">
        <v>4.0469999999999999E-2</v>
      </c>
      <c r="U113" s="62">
        <v>4.1235999999999995E-2</v>
      </c>
      <c r="V113" s="62">
        <v>4.1947999999999999E-2</v>
      </c>
      <c r="W113" s="62">
        <v>4.2537000000000005E-2</v>
      </c>
      <c r="X113" s="62">
        <v>4.2972999999999997E-2</v>
      </c>
      <c r="Y113" s="62">
        <v>4.3277000000000003E-2</v>
      </c>
      <c r="Z113" s="62">
        <v>4.3471999999999997E-2</v>
      </c>
      <c r="AA113" s="62">
        <v>4.3583999999999998E-2</v>
      </c>
      <c r="AB113" s="62">
        <v>4.3642E-2</v>
      </c>
      <c r="AC113" s="62">
        <v>4.3677000000000001E-2</v>
      </c>
      <c r="AD113" s="62">
        <v>4.3720000000000002E-2</v>
      </c>
      <c r="AE113" s="62">
        <v>4.3806000000000005E-2</v>
      </c>
      <c r="AF113" s="62">
        <v>4.3971999999999997E-2</v>
      </c>
    </row>
    <row r="114" spans="1:32">
      <c r="A114" s="1">
        <v>41075</v>
      </c>
      <c r="B114" s="62">
        <v>1.7971999999999998E-2</v>
      </c>
      <c r="C114" s="62">
        <v>2.2460000000000001E-2</v>
      </c>
      <c r="D114" s="62">
        <v>2.4030999999999997E-2</v>
      </c>
      <c r="E114" s="62">
        <v>2.5838E-2</v>
      </c>
      <c r="F114" s="62">
        <v>2.7014E-2</v>
      </c>
      <c r="G114" s="62">
        <v>3.0355E-2</v>
      </c>
      <c r="H114" s="62">
        <v>3.1871000000000003E-2</v>
      </c>
      <c r="I114" s="62">
        <v>3.2714E-2</v>
      </c>
      <c r="J114" s="62">
        <v>3.4342000000000004E-2</v>
      </c>
      <c r="K114" s="62">
        <v>3.4701000000000003E-2</v>
      </c>
      <c r="L114" s="62">
        <v>3.4744999999999998E-2</v>
      </c>
      <c r="M114" s="62">
        <v>3.5041999999999997E-2</v>
      </c>
      <c r="N114" s="62">
        <v>3.5653000000000004E-2</v>
      </c>
      <c r="O114" s="62">
        <v>3.6457000000000003E-2</v>
      </c>
      <c r="P114" s="62">
        <v>3.7322000000000001E-2</v>
      </c>
      <c r="Q114" s="62">
        <v>3.8109999999999998E-2</v>
      </c>
      <c r="R114" s="62">
        <v>3.8838999999999999E-2</v>
      </c>
      <c r="S114" s="62">
        <v>3.9609999999999999E-2</v>
      </c>
      <c r="T114" s="62">
        <v>4.0395E-2</v>
      </c>
      <c r="U114" s="62">
        <v>4.1161000000000003E-2</v>
      </c>
      <c r="V114" s="62">
        <v>4.1872999999999994E-2</v>
      </c>
      <c r="W114" s="62">
        <v>4.2460999999999999E-2</v>
      </c>
      <c r="X114" s="62">
        <v>4.2896000000000004E-2</v>
      </c>
      <c r="Y114" s="62">
        <v>4.3200000000000002E-2</v>
      </c>
      <c r="Z114" s="62">
        <v>4.3395000000000003E-2</v>
      </c>
      <c r="AA114" s="62">
        <v>4.3506999999999997E-2</v>
      </c>
      <c r="AB114" s="62">
        <v>4.3564999999999993E-2</v>
      </c>
      <c r="AC114" s="62">
        <v>4.3598999999999999E-2</v>
      </c>
      <c r="AD114" s="62">
        <v>4.3642E-2</v>
      </c>
      <c r="AE114" s="62">
        <v>4.3727999999999996E-2</v>
      </c>
      <c r="AF114" s="62">
        <v>4.3894000000000002E-2</v>
      </c>
    </row>
    <row r="115" spans="1:32">
      <c r="A115" s="1">
        <v>41078</v>
      </c>
      <c r="B115" s="62">
        <v>1.7767999999999999E-2</v>
      </c>
      <c r="C115" s="62">
        <v>2.2609000000000001E-2</v>
      </c>
      <c r="D115" s="62">
        <v>2.4462999999999999E-2</v>
      </c>
      <c r="E115" s="62">
        <v>2.6234E-2</v>
      </c>
      <c r="F115" s="62">
        <v>2.7831999999999999E-2</v>
      </c>
      <c r="G115" s="62">
        <v>3.1175999999999999E-2</v>
      </c>
      <c r="H115" s="62">
        <v>3.211E-2</v>
      </c>
      <c r="I115" s="62">
        <v>3.3161000000000003E-2</v>
      </c>
      <c r="J115" s="62">
        <v>3.4581000000000001E-2</v>
      </c>
      <c r="K115" s="62">
        <v>3.4853999999999996E-2</v>
      </c>
      <c r="L115" s="62">
        <v>3.4887000000000001E-2</v>
      </c>
      <c r="M115" s="62">
        <v>3.517E-2</v>
      </c>
      <c r="N115" s="62">
        <v>3.5762999999999996E-2</v>
      </c>
      <c r="O115" s="62">
        <v>3.6545000000000001E-2</v>
      </c>
      <c r="P115" s="62">
        <v>3.7387000000000004E-2</v>
      </c>
      <c r="Q115" s="62">
        <v>3.8151000000000004E-2</v>
      </c>
      <c r="R115" s="62">
        <v>3.8865999999999998E-2</v>
      </c>
      <c r="S115" s="62">
        <v>3.9638E-2</v>
      </c>
      <c r="T115" s="62">
        <v>4.0431000000000002E-2</v>
      </c>
      <c r="U115" s="62">
        <v>4.1208000000000002E-2</v>
      </c>
      <c r="V115" s="62">
        <v>4.1925999999999998E-2</v>
      </c>
      <c r="W115" s="62">
        <v>4.2514999999999997E-2</v>
      </c>
      <c r="X115" s="62">
        <v>4.2952000000000004E-2</v>
      </c>
      <c r="Y115" s="62">
        <v>4.3257000000000004E-2</v>
      </c>
      <c r="Z115" s="62">
        <v>4.3452999999999999E-2</v>
      </c>
      <c r="AA115" s="62">
        <v>4.3567000000000002E-2</v>
      </c>
      <c r="AB115" s="62">
        <v>4.3625999999999998E-2</v>
      </c>
      <c r="AC115" s="62">
        <v>4.3661000000000005E-2</v>
      </c>
      <c r="AD115" s="62">
        <v>4.3705000000000001E-2</v>
      </c>
      <c r="AE115" s="62">
        <v>4.3791999999999998E-2</v>
      </c>
      <c r="AF115" s="62">
        <v>4.3958999999999998E-2</v>
      </c>
    </row>
    <row r="116" spans="1:32">
      <c r="A116" s="1">
        <v>41079</v>
      </c>
      <c r="B116" s="62">
        <v>1.9288E-2</v>
      </c>
      <c r="C116" s="62">
        <v>2.3307999999999999E-2</v>
      </c>
      <c r="D116" s="62">
        <v>2.4643000000000002E-2</v>
      </c>
      <c r="E116" s="62">
        <v>2.6610000000000002E-2</v>
      </c>
      <c r="F116" s="62">
        <v>2.8055E-2</v>
      </c>
      <c r="G116" s="62">
        <v>3.1106999999999999E-2</v>
      </c>
      <c r="H116" s="62">
        <v>3.2038000000000004E-2</v>
      </c>
      <c r="I116" s="62">
        <v>3.2861000000000001E-2</v>
      </c>
      <c r="J116" s="62">
        <v>3.4678E-2</v>
      </c>
      <c r="K116" s="62">
        <v>3.4867000000000002E-2</v>
      </c>
      <c r="L116" s="62">
        <v>3.4863999999999999E-2</v>
      </c>
      <c r="M116" s="62">
        <v>3.5109000000000001E-2</v>
      </c>
      <c r="N116" s="62">
        <v>3.5699000000000002E-2</v>
      </c>
      <c r="O116" s="62">
        <v>3.6497000000000002E-2</v>
      </c>
      <c r="P116" s="62">
        <v>3.7360000000000004E-2</v>
      </c>
      <c r="Q116" s="62">
        <v>3.8134000000000001E-2</v>
      </c>
      <c r="R116" s="62">
        <v>3.8849000000000002E-2</v>
      </c>
      <c r="S116" s="62">
        <v>3.9620000000000002E-2</v>
      </c>
      <c r="T116" s="62">
        <v>4.0414000000000005E-2</v>
      </c>
      <c r="U116" s="62">
        <v>4.1191000000000005E-2</v>
      </c>
      <c r="V116" s="62">
        <v>4.1909000000000002E-2</v>
      </c>
      <c r="W116" s="62">
        <v>4.2499000000000002E-2</v>
      </c>
      <c r="X116" s="62">
        <v>4.2935999999999995E-2</v>
      </c>
      <c r="Y116" s="62">
        <v>4.3240000000000001E-2</v>
      </c>
      <c r="Z116" s="62">
        <v>4.3437000000000003E-2</v>
      </c>
      <c r="AA116" s="62">
        <v>4.3550000000000005E-2</v>
      </c>
      <c r="AB116" s="62">
        <v>4.3609999999999996E-2</v>
      </c>
      <c r="AC116" s="62">
        <v>4.3644999999999996E-2</v>
      </c>
      <c r="AD116" s="62">
        <v>4.3688999999999999E-2</v>
      </c>
      <c r="AE116" s="62">
        <v>4.3776000000000002E-2</v>
      </c>
      <c r="AF116" s="62">
        <v>4.3943000000000003E-2</v>
      </c>
    </row>
    <row r="117" spans="1:32">
      <c r="A117" s="1">
        <v>41080</v>
      </c>
      <c r="B117" s="62">
        <v>2.2221999999999999E-2</v>
      </c>
      <c r="C117" s="62">
        <v>2.3708E-2</v>
      </c>
      <c r="D117" s="62">
        <v>2.4808E-2</v>
      </c>
      <c r="E117" s="62">
        <v>2.6876999999999998E-2</v>
      </c>
      <c r="F117" s="62">
        <v>2.8232E-2</v>
      </c>
      <c r="G117" s="62">
        <v>3.1084999999999998E-2</v>
      </c>
      <c r="H117" s="62">
        <v>3.2129999999999999E-2</v>
      </c>
      <c r="I117" s="62">
        <v>3.2834000000000002E-2</v>
      </c>
      <c r="J117" s="62">
        <v>3.4849999999999999E-2</v>
      </c>
      <c r="K117" s="62">
        <v>3.4894000000000001E-2</v>
      </c>
      <c r="L117" s="62">
        <v>3.4859000000000001E-2</v>
      </c>
      <c r="M117" s="62">
        <v>3.5083999999999997E-2</v>
      </c>
      <c r="N117" s="62">
        <v>3.5672999999999996E-2</v>
      </c>
      <c r="O117" s="62">
        <v>3.6481E-2</v>
      </c>
      <c r="P117" s="62">
        <v>3.7357000000000001E-2</v>
      </c>
      <c r="Q117" s="62">
        <v>3.8137999999999998E-2</v>
      </c>
      <c r="R117" s="62">
        <v>3.8852999999999999E-2</v>
      </c>
      <c r="S117" s="62">
        <v>3.9623999999999999E-2</v>
      </c>
      <c r="T117" s="62">
        <v>4.0419000000000004E-2</v>
      </c>
      <c r="U117" s="62">
        <v>4.1196000000000003E-2</v>
      </c>
      <c r="V117" s="62">
        <v>4.1914E-2</v>
      </c>
      <c r="W117" s="62">
        <v>4.2504E-2</v>
      </c>
      <c r="X117" s="62">
        <v>4.2941E-2</v>
      </c>
      <c r="Y117" s="62">
        <v>4.3246E-2</v>
      </c>
      <c r="Z117" s="62">
        <v>4.3442999999999996E-2</v>
      </c>
      <c r="AA117" s="62">
        <v>4.3556999999999998E-2</v>
      </c>
      <c r="AB117" s="62">
        <v>4.3616000000000002E-2</v>
      </c>
      <c r="AC117" s="62">
        <v>4.3651999999999996E-2</v>
      </c>
      <c r="AD117" s="62">
        <v>4.3695999999999999E-2</v>
      </c>
      <c r="AE117" s="62">
        <v>4.3783000000000002E-2</v>
      </c>
      <c r="AF117" s="62">
        <v>4.3949999999999996E-2</v>
      </c>
    </row>
    <row r="118" spans="1:32">
      <c r="A118" s="1">
        <v>41081</v>
      </c>
      <c r="B118" s="62">
        <v>2.5346999999999998E-2</v>
      </c>
      <c r="C118" s="62">
        <v>2.3654999999999999E-2</v>
      </c>
      <c r="D118" s="62">
        <v>2.4504999999999999E-2</v>
      </c>
      <c r="E118" s="62">
        <v>2.6482000000000002E-2</v>
      </c>
      <c r="F118" s="62">
        <v>2.7974000000000002E-2</v>
      </c>
      <c r="G118" s="62">
        <v>3.0807999999999999E-2</v>
      </c>
      <c r="H118" s="62">
        <v>3.1990999999999999E-2</v>
      </c>
      <c r="I118" s="62">
        <v>3.2624E-2</v>
      </c>
      <c r="J118" s="62">
        <v>3.4766999999999999E-2</v>
      </c>
      <c r="K118" s="62">
        <v>3.4807999999999999E-2</v>
      </c>
      <c r="L118" s="62">
        <v>3.4771000000000003E-2</v>
      </c>
      <c r="M118" s="62">
        <v>3.5000000000000003E-2</v>
      </c>
      <c r="N118" s="62">
        <v>3.56E-2</v>
      </c>
      <c r="O118" s="62">
        <v>3.6423000000000004E-2</v>
      </c>
      <c r="P118" s="62">
        <v>3.7315000000000001E-2</v>
      </c>
      <c r="Q118" s="62">
        <v>3.8109999999999998E-2</v>
      </c>
      <c r="R118" s="62">
        <v>3.8831999999999998E-2</v>
      </c>
      <c r="S118" s="62">
        <v>3.9604E-2</v>
      </c>
      <c r="T118" s="62">
        <v>4.0393999999999999E-2</v>
      </c>
      <c r="U118" s="62">
        <v>4.1165E-2</v>
      </c>
      <c r="V118" s="62">
        <v>4.1880000000000001E-2</v>
      </c>
      <c r="W118" s="62">
        <v>4.2469E-2</v>
      </c>
      <c r="X118" s="62">
        <v>4.2906000000000007E-2</v>
      </c>
      <c r="Y118" s="62">
        <v>4.3209999999999998E-2</v>
      </c>
      <c r="Z118" s="62">
        <v>4.3406E-2</v>
      </c>
      <c r="AA118" s="62">
        <v>4.3518999999999995E-2</v>
      </c>
      <c r="AB118" s="62">
        <v>4.3577999999999999E-2</v>
      </c>
      <c r="AC118" s="62">
        <v>4.3612999999999999E-2</v>
      </c>
      <c r="AD118" s="62">
        <v>4.3657000000000001E-2</v>
      </c>
      <c r="AE118" s="62">
        <v>4.3742999999999997E-2</v>
      </c>
      <c r="AF118" s="62">
        <v>4.3909999999999998E-2</v>
      </c>
    </row>
    <row r="119" spans="1:32">
      <c r="A119" s="1">
        <v>41085</v>
      </c>
      <c r="B119" s="62">
        <v>2.5954000000000001E-2</v>
      </c>
      <c r="C119" s="62">
        <v>2.3666E-2</v>
      </c>
      <c r="D119" s="62">
        <v>2.4373999999999996E-2</v>
      </c>
      <c r="E119" s="62">
        <v>2.6631999999999999E-2</v>
      </c>
      <c r="F119" s="62">
        <v>2.7864E-2</v>
      </c>
      <c r="G119" s="62">
        <v>3.0438E-2</v>
      </c>
      <c r="H119" s="62">
        <v>3.1941000000000004E-2</v>
      </c>
      <c r="I119" s="62">
        <v>3.2507000000000001E-2</v>
      </c>
      <c r="J119" s="62">
        <v>3.4431999999999997E-2</v>
      </c>
      <c r="K119" s="62">
        <v>3.4449E-2</v>
      </c>
      <c r="L119" s="62">
        <v>3.4411999999999998E-2</v>
      </c>
      <c r="M119" s="62">
        <v>3.4668000000000004E-2</v>
      </c>
      <c r="N119" s="62">
        <v>3.5320999999999998E-2</v>
      </c>
      <c r="O119" s="62">
        <v>3.6213999999999996E-2</v>
      </c>
      <c r="P119" s="62">
        <v>3.7180999999999999E-2</v>
      </c>
      <c r="Q119" s="62">
        <v>3.8043E-2</v>
      </c>
      <c r="R119" s="62">
        <v>3.8803000000000004E-2</v>
      </c>
      <c r="S119" s="62">
        <v>3.9578000000000002E-2</v>
      </c>
      <c r="T119" s="62">
        <v>4.0350000000000004E-2</v>
      </c>
      <c r="U119" s="62">
        <v>4.1098999999999997E-2</v>
      </c>
      <c r="V119" s="62">
        <v>4.1801000000000005E-2</v>
      </c>
      <c r="W119" s="62">
        <v>4.2389000000000003E-2</v>
      </c>
      <c r="X119" s="62">
        <v>4.2824000000000001E-2</v>
      </c>
      <c r="Y119" s="62">
        <v>4.3127000000000006E-2</v>
      </c>
      <c r="Z119" s="62">
        <v>4.3321999999999999E-2</v>
      </c>
      <c r="AA119" s="62">
        <v>4.3434E-2</v>
      </c>
      <c r="AB119" s="62">
        <v>4.3493000000000004E-2</v>
      </c>
      <c r="AC119" s="62">
        <v>4.3526999999999996E-2</v>
      </c>
      <c r="AD119" s="62">
        <v>4.3570000000000005E-2</v>
      </c>
      <c r="AE119" s="62">
        <v>4.3654999999999999E-2</v>
      </c>
      <c r="AF119" s="62">
        <v>4.3822E-2</v>
      </c>
    </row>
    <row r="120" spans="1:32">
      <c r="A120" s="1">
        <v>41086</v>
      </c>
      <c r="B120" s="62">
        <v>2.8221E-2</v>
      </c>
      <c r="C120" s="62">
        <v>2.3616000000000002E-2</v>
      </c>
      <c r="D120" s="62">
        <v>2.4237999999999999E-2</v>
      </c>
      <c r="E120" s="62">
        <v>2.6255999999999998E-2</v>
      </c>
      <c r="F120" s="62">
        <v>2.7504000000000001E-2</v>
      </c>
      <c r="G120" s="62">
        <v>3.0096999999999999E-2</v>
      </c>
      <c r="H120" s="62">
        <v>3.1753999999999998E-2</v>
      </c>
      <c r="I120" s="62">
        <v>3.2195999999999995E-2</v>
      </c>
      <c r="J120" s="62">
        <v>3.4352999999999995E-2</v>
      </c>
      <c r="K120" s="62">
        <v>3.4444000000000002E-2</v>
      </c>
      <c r="L120" s="62">
        <v>3.4417000000000003E-2</v>
      </c>
      <c r="M120" s="62">
        <v>3.4675999999999998E-2</v>
      </c>
      <c r="N120" s="62">
        <v>3.5327999999999998E-2</v>
      </c>
      <c r="O120" s="62">
        <v>3.6218E-2</v>
      </c>
      <c r="P120" s="62">
        <v>3.7179999999999998E-2</v>
      </c>
      <c r="Q120" s="62">
        <v>3.8039000000000003E-2</v>
      </c>
      <c r="R120" s="62">
        <v>3.8789999999999998E-2</v>
      </c>
      <c r="S120" s="62">
        <v>3.9548E-2</v>
      </c>
      <c r="T120" s="62">
        <v>4.0308000000000004E-2</v>
      </c>
      <c r="U120" s="62">
        <v>4.1060999999999993E-2</v>
      </c>
      <c r="V120" s="62">
        <v>4.1797000000000001E-2</v>
      </c>
      <c r="W120" s="62">
        <v>4.2431000000000003E-2</v>
      </c>
      <c r="X120" s="62">
        <v>4.2900999999999995E-2</v>
      </c>
      <c r="Y120" s="62">
        <v>4.3227000000000002E-2</v>
      </c>
      <c r="Z120" s="62">
        <v>4.3437000000000003E-2</v>
      </c>
      <c r="AA120" s="62">
        <v>4.3559E-2</v>
      </c>
      <c r="AB120" s="62">
        <v>4.3624999999999997E-2</v>
      </c>
      <c r="AC120" s="62">
        <v>4.3667999999999998E-2</v>
      </c>
      <c r="AD120" s="62">
        <v>4.3723999999999999E-2</v>
      </c>
      <c r="AE120" s="62">
        <v>4.3833000000000004E-2</v>
      </c>
      <c r="AF120" s="62">
        <v>4.4035000000000005E-2</v>
      </c>
    </row>
    <row r="121" spans="1:32">
      <c r="A121" s="1">
        <v>41087</v>
      </c>
      <c r="B121" s="62">
        <v>2.4413000000000001E-2</v>
      </c>
      <c r="C121" s="62">
        <v>2.3716000000000001E-2</v>
      </c>
      <c r="D121" s="62">
        <v>2.3978000000000003E-2</v>
      </c>
      <c r="E121" s="62">
        <v>2.5739999999999999E-2</v>
      </c>
      <c r="F121" s="62">
        <v>2.7378E-2</v>
      </c>
      <c r="G121" s="62">
        <v>2.9643000000000003E-2</v>
      </c>
      <c r="H121" s="62">
        <v>3.1516000000000002E-2</v>
      </c>
      <c r="I121" s="62">
        <v>3.1794999999999997E-2</v>
      </c>
      <c r="J121" s="62">
        <v>3.4041999999999996E-2</v>
      </c>
      <c r="K121" s="62">
        <v>3.4030999999999999E-2</v>
      </c>
      <c r="L121" s="62">
        <v>3.3988999999999998E-2</v>
      </c>
      <c r="M121" s="62">
        <v>3.4264999999999997E-2</v>
      </c>
      <c r="N121" s="62">
        <v>3.4962E-2</v>
      </c>
      <c r="O121" s="62">
        <v>3.5916000000000003E-2</v>
      </c>
      <c r="P121" s="62">
        <v>3.6949000000000003E-2</v>
      </c>
      <c r="Q121" s="62">
        <v>3.7870000000000001E-2</v>
      </c>
      <c r="R121" s="62">
        <v>3.8653E-2</v>
      </c>
      <c r="S121" s="62">
        <v>3.9413999999999998E-2</v>
      </c>
      <c r="T121" s="62">
        <v>4.0156999999999998E-2</v>
      </c>
      <c r="U121" s="62">
        <v>4.0888000000000001E-2</v>
      </c>
      <c r="V121" s="62">
        <v>4.1611000000000002E-2</v>
      </c>
      <c r="W121" s="62">
        <v>4.2244000000000004E-2</v>
      </c>
      <c r="X121" s="62">
        <v>4.2712E-2</v>
      </c>
      <c r="Y121" s="62">
        <v>4.3036999999999999E-2</v>
      </c>
      <c r="Z121" s="62">
        <v>4.3244999999999999E-2</v>
      </c>
      <c r="AA121" s="62">
        <v>4.3365999999999995E-2</v>
      </c>
      <c r="AB121" s="62">
        <v>4.3430999999999997E-2</v>
      </c>
      <c r="AC121" s="62">
        <v>4.3474000000000006E-2</v>
      </c>
      <c r="AD121" s="62">
        <v>4.3528999999999998E-2</v>
      </c>
      <c r="AE121" s="62">
        <v>4.3636999999999995E-2</v>
      </c>
      <c r="AF121" s="62">
        <v>4.3838000000000002E-2</v>
      </c>
    </row>
    <row r="122" spans="1:32">
      <c r="A122" s="1">
        <v>41088</v>
      </c>
      <c r="B122" s="62">
        <v>2.4929E-2</v>
      </c>
      <c r="C122" s="62">
        <v>2.3565999999999997E-2</v>
      </c>
      <c r="D122" s="62">
        <v>2.3727000000000002E-2</v>
      </c>
      <c r="E122" s="62">
        <v>2.5488E-2</v>
      </c>
      <c r="F122" s="62">
        <v>2.7071999999999999E-2</v>
      </c>
      <c r="G122" s="62">
        <v>2.9420000000000002E-2</v>
      </c>
      <c r="H122" s="62">
        <v>3.1476999999999998E-2</v>
      </c>
      <c r="I122" s="62">
        <v>3.1812E-2</v>
      </c>
      <c r="J122" s="62">
        <v>3.4002999999999999E-2</v>
      </c>
      <c r="K122" s="62">
        <v>3.4041999999999996E-2</v>
      </c>
      <c r="L122" s="62">
        <v>3.4006000000000002E-2</v>
      </c>
      <c r="M122" s="62">
        <v>3.4284000000000002E-2</v>
      </c>
      <c r="N122" s="62">
        <v>3.4980999999999998E-2</v>
      </c>
      <c r="O122" s="62">
        <v>3.5933E-2</v>
      </c>
      <c r="P122" s="62">
        <v>3.6962999999999996E-2</v>
      </c>
      <c r="Q122" s="62">
        <v>3.7881999999999999E-2</v>
      </c>
      <c r="R122" s="62">
        <v>3.8662000000000002E-2</v>
      </c>
      <c r="S122" s="62">
        <v>3.9418000000000002E-2</v>
      </c>
      <c r="T122" s="62">
        <v>4.0156999999999998E-2</v>
      </c>
      <c r="U122" s="62">
        <v>4.0891000000000004E-2</v>
      </c>
      <c r="V122" s="62">
        <v>4.1624999999999995E-2</v>
      </c>
      <c r="W122" s="62">
        <v>4.2244999999999998E-2</v>
      </c>
      <c r="X122" s="62">
        <v>4.2701000000000003E-2</v>
      </c>
      <c r="Y122" s="62">
        <v>4.3018000000000001E-2</v>
      </c>
      <c r="Z122" s="62">
        <v>4.3220999999999996E-2</v>
      </c>
      <c r="AA122" s="62">
        <v>4.3338999999999996E-2</v>
      </c>
      <c r="AB122" s="62">
        <v>4.3404999999999999E-2</v>
      </c>
      <c r="AC122" s="62">
        <v>4.3451000000000004E-2</v>
      </c>
      <c r="AD122" s="62">
        <v>4.3514999999999998E-2</v>
      </c>
      <c r="AE122" s="62">
        <v>4.3635E-2</v>
      </c>
      <c r="AF122" s="62">
        <v>4.3853000000000003E-2</v>
      </c>
    </row>
    <row r="123" spans="1:32">
      <c r="A123" s="1">
        <v>41089</v>
      </c>
      <c r="B123" s="62">
        <v>2.5453999999999997E-2</v>
      </c>
      <c r="C123" s="62">
        <v>2.342E-2</v>
      </c>
      <c r="D123" s="62">
        <v>2.3653E-2</v>
      </c>
      <c r="E123" s="62">
        <v>2.5446E-2</v>
      </c>
      <c r="F123" s="62">
        <v>2.6983999999999998E-2</v>
      </c>
      <c r="G123" s="62">
        <v>2.9601000000000002E-2</v>
      </c>
      <c r="H123" s="62">
        <v>3.1379999999999998E-2</v>
      </c>
      <c r="I123" s="62">
        <v>3.1608999999999998E-2</v>
      </c>
      <c r="J123" s="62">
        <v>3.4014000000000003E-2</v>
      </c>
      <c r="K123" s="62">
        <v>3.4049999999999997E-2</v>
      </c>
      <c r="L123" s="62">
        <v>3.4013000000000002E-2</v>
      </c>
      <c r="M123" s="62">
        <v>3.4291000000000002E-2</v>
      </c>
      <c r="N123" s="62">
        <v>3.4987999999999998E-2</v>
      </c>
      <c r="O123" s="62">
        <v>3.5938999999999999E-2</v>
      </c>
      <c r="P123" s="62">
        <v>3.6969000000000002E-2</v>
      </c>
      <c r="Q123" s="62">
        <v>3.7886999999999997E-2</v>
      </c>
      <c r="R123" s="62">
        <v>3.8664999999999998E-2</v>
      </c>
      <c r="S123" s="62">
        <v>3.9419000000000003E-2</v>
      </c>
      <c r="T123" s="62">
        <v>4.0155999999999997E-2</v>
      </c>
      <c r="U123" s="62">
        <v>4.0888999999999995E-2</v>
      </c>
      <c r="V123" s="62">
        <v>4.163E-2</v>
      </c>
      <c r="W123" s="62">
        <v>4.2274000000000006E-2</v>
      </c>
      <c r="X123" s="62">
        <v>4.2728999999999996E-2</v>
      </c>
      <c r="Y123" s="62">
        <v>4.3025000000000001E-2</v>
      </c>
      <c r="Z123" s="62">
        <v>4.3198E-2</v>
      </c>
      <c r="AA123" s="62">
        <v>4.3288E-2</v>
      </c>
      <c r="AB123" s="62">
        <v>4.3336E-2</v>
      </c>
      <c r="AC123" s="62">
        <v>4.3387000000000002E-2</v>
      </c>
      <c r="AD123" s="62">
        <v>4.3490000000000001E-2</v>
      </c>
      <c r="AE123" s="62">
        <v>4.3697E-2</v>
      </c>
      <c r="AF123" s="62">
        <v>4.394E-2</v>
      </c>
    </row>
    <row r="124" spans="1:32">
      <c r="A124" s="1">
        <v>41092</v>
      </c>
      <c r="B124" s="62">
        <v>2.5537999999999998E-2</v>
      </c>
      <c r="C124" s="62">
        <v>2.3470000000000001E-2</v>
      </c>
      <c r="D124" s="62">
        <v>2.3637999999999999E-2</v>
      </c>
      <c r="E124" s="62">
        <v>2.5695000000000003E-2</v>
      </c>
      <c r="F124" s="62">
        <v>2.7139000000000003E-2</v>
      </c>
      <c r="G124" s="62">
        <v>2.9864000000000002E-2</v>
      </c>
      <c r="H124" s="62">
        <v>3.1477999999999999E-2</v>
      </c>
      <c r="I124" s="62">
        <v>3.1718000000000003E-2</v>
      </c>
      <c r="J124" s="62">
        <v>3.4097000000000002E-2</v>
      </c>
      <c r="K124" s="62">
        <v>3.4146999999999997E-2</v>
      </c>
      <c r="L124" s="62">
        <v>3.4113000000000004E-2</v>
      </c>
      <c r="M124" s="62">
        <v>3.4388999999999996E-2</v>
      </c>
      <c r="N124" s="62">
        <v>3.5076000000000003E-2</v>
      </c>
      <c r="O124" s="62">
        <v>3.6011000000000001E-2</v>
      </c>
      <c r="P124" s="62">
        <v>3.7021999999999999E-2</v>
      </c>
      <c r="Q124" s="62">
        <v>3.7922999999999998E-2</v>
      </c>
      <c r="R124" s="62">
        <v>3.8695E-2</v>
      </c>
      <c r="S124" s="62">
        <v>3.9453000000000002E-2</v>
      </c>
      <c r="T124" s="62">
        <v>4.0198999999999999E-2</v>
      </c>
      <c r="U124" s="62">
        <v>4.0936E-2</v>
      </c>
      <c r="V124" s="62">
        <v>4.1669999999999999E-2</v>
      </c>
      <c r="W124" s="62">
        <v>4.2300000000000004E-2</v>
      </c>
      <c r="X124" s="62">
        <v>4.2744999999999998E-2</v>
      </c>
      <c r="Y124" s="62">
        <v>4.3034999999999997E-2</v>
      </c>
      <c r="Z124" s="62">
        <v>4.3205E-2</v>
      </c>
      <c r="AA124" s="62">
        <v>4.3292000000000004E-2</v>
      </c>
      <c r="AB124" s="62">
        <v>4.3338000000000002E-2</v>
      </c>
      <c r="AC124" s="62">
        <v>4.3385E-2</v>
      </c>
      <c r="AD124" s="62">
        <v>4.3482E-2</v>
      </c>
      <c r="AE124" s="62">
        <v>4.3678000000000002E-2</v>
      </c>
      <c r="AF124" s="62">
        <v>4.3909000000000004E-2</v>
      </c>
    </row>
    <row r="125" spans="1:32">
      <c r="A125" s="1">
        <v>41093</v>
      </c>
      <c r="B125" s="62">
        <v>2.1922000000000001E-2</v>
      </c>
      <c r="C125" s="62">
        <v>2.3452000000000001E-2</v>
      </c>
      <c r="D125" s="62">
        <v>2.3607999999999997E-2</v>
      </c>
      <c r="E125" s="62">
        <v>2.5963E-2</v>
      </c>
      <c r="F125" s="62">
        <v>2.7084999999999998E-2</v>
      </c>
      <c r="G125" s="62">
        <v>2.9622000000000002E-2</v>
      </c>
      <c r="H125" s="62">
        <v>3.1434000000000004E-2</v>
      </c>
      <c r="I125" s="62">
        <v>3.1681000000000001E-2</v>
      </c>
      <c r="J125" s="62">
        <v>3.3850999999999999E-2</v>
      </c>
      <c r="K125" s="62">
        <v>3.3971000000000001E-2</v>
      </c>
      <c r="L125" s="62">
        <v>3.3950999999999995E-2</v>
      </c>
      <c r="M125" s="62">
        <v>3.4244999999999998E-2</v>
      </c>
      <c r="N125" s="62">
        <v>3.4956000000000001E-2</v>
      </c>
      <c r="O125" s="62">
        <v>3.5919E-2</v>
      </c>
      <c r="P125" s="62">
        <v>3.6958999999999999E-2</v>
      </c>
      <c r="Q125" s="62">
        <v>3.7888999999999999E-2</v>
      </c>
      <c r="R125" s="62">
        <v>3.8683000000000002E-2</v>
      </c>
      <c r="S125" s="62">
        <v>3.9453999999999996E-2</v>
      </c>
      <c r="T125" s="62">
        <v>4.0205999999999999E-2</v>
      </c>
      <c r="U125" s="62">
        <v>4.0941999999999999E-2</v>
      </c>
      <c r="V125" s="62">
        <v>4.1666000000000002E-2</v>
      </c>
      <c r="W125" s="62">
        <v>4.2295999999999993E-2</v>
      </c>
      <c r="X125" s="62">
        <v>4.2760999999999993E-2</v>
      </c>
      <c r="Y125" s="62">
        <v>4.3085000000000005E-2</v>
      </c>
      <c r="Z125" s="62">
        <v>4.3292999999999998E-2</v>
      </c>
      <c r="AA125" s="62">
        <v>4.3413000000000007E-2</v>
      </c>
      <c r="AB125" s="62">
        <v>4.3476999999999995E-2</v>
      </c>
      <c r="AC125" s="62">
        <v>4.3518000000000001E-2</v>
      </c>
      <c r="AD125" s="62">
        <v>4.3570999999999999E-2</v>
      </c>
      <c r="AE125" s="62">
        <v>4.3674999999999999E-2</v>
      </c>
      <c r="AF125" s="62">
        <v>4.3871E-2</v>
      </c>
    </row>
    <row r="126" spans="1:32">
      <c r="A126" s="1">
        <v>41094</v>
      </c>
      <c r="B126" s="62">
        <v>1.5653999999999998E-2</v>
      </c>
      <c r="C126" s="62">
        <v>2.3252000000000002E-2</v>
      </c>
      <c r="D126" s="62">
        <v>2.3567999999999999E-2</v>
      </c>
      <c r="E126" s="62">
        <v>2.5716000000000003E-2</v>
      </c>
      <c r="F126" s="62">
        <v>2.7092000000000001E-2</v>
      </c>
      <c r="G126" s="62">
        <v>2.9661E-2</v>
      </c>
      <c r="H126" s="62">
        <v>3.1434999999999998E-2</v>
      </c>
      <c r="I126" s="62">
        <v>3.1563000000000001E-2</v>
      </c>
      <c r="J126" s="62">
        <v>3.3762E-2</v>
      </c>
      <c r="K126" s="62">
        <v>3.3949E-2</v>
      </c>
      <c r="L126" s="62">
        <v>3.3946000000000004E-2</v>
      </c>
      <c r="M126" s="62">
        <v>3.4249999999999996E-2</v>
      </c>
      <c r="N126" s="62">
        <v>3.4955E-2</v>
      </c>
      <c r="O126" s="62">
        <v>3.5903999999999998E-2</v>
      </c>
      <c r="P126" s="62">
        <v>3.6928000000000002E-2</v>
      </c>
      <c r="Q126" s="62">
        <v>3.7844999999999997E-2</v>
      </c>
      <c r="R126" s="62">
        <v>3.8629999999999998E-2</v>
      </c>
      <c r="S126" s="62">
        <v>3.9393999999999998E-2</v>
      </c>
      <c r="T126" s="62">
        <v>4.0138999999999994E-2</v>
      </c>
      <c r="U126" s="62">
        <v>4.0873999999999994E-2</v>
      </c>
      <c r="V126" s="62">
        <v>4.1603000000000001E-2</v>
      </c>
      <c r="W126" s="62">
        <v>4.2241999999999995E-2</v>
      </c>
      <c r="X126" s="62">
        <v>4.2714000000000002E-2</v>
      </c>
      <c r="Y126" s="62">
        <v>4.3041999999999997E-2</v>
      </c>
      <c r="Z126" s="62">
        <v>4.3253000000000007E-2</v>
      </c>
      <c r="AA126" s="62">
        <v>4.3375000000000004E-2</v>
      </c>
      <c r="AB126" s="62">
        <v>4.3440000000000006E-2</v>
      </c>
      <c r="AC126" s="62">
        <v>4.3483000000000001E-2</v>
      </c>
      <c r="AD126" s="62">
        <v>4.3540000000000002E-2</v>
      </c>
      <c r="AE126" s="62">
        <v>4.3650000000000001E-2</v>
      </c>
      <c r="AF126" s="62">
        <v>4.3855000000000005E-2</v>
      </c>
    </row>
    <row r="127" spans="1:32">
      <c r="A127" s="1">
        <v>41095</v>
      </c>
      <c r="B127" s="62">
        <v>1.5472E-2</v>
      </c>
      <c r="C127" s="62">
        <v>2.3129E-2</v>
      </c>
      <c r="D127" s="62">
        <v>2.3497000000000001E-2</v>
      </c>
      <c r="E127" s="62">
        <v>2.5522999999999997E-2</v>
      </c>
      <c r="F127" s="62">
        <v>2.6972999999999997E-2</v>
      </c>
      <c r="G127" s="62">
        <v>2.9485000000000001E-2</v>
      </c>
      <c r="H127" s="62">
        <v>3.1394999999999999E-2</v>
      </c>
      <c r="I127" s="62">
        <v>3.1528E-2</v>
      </c>
      <c r="J127" s="62">
        <v>3.3702999999999997E-2</v>
      </c>
      <c r="K127" s="62">
        <v>3.3953000000000004E-2</v>
      </c>
      <c r="L127" s="62">
        <v>3.3958000000000002E-2</v>
      </c>
      <c r="M127" s="62">
        <v>3.4224999999999998E-2</v>
      </c>
      <c r="N127" s="62">
        <v>3.4921000000000001E-2</v>
      </c>
      <c r="O127" s="62">
        <v>3.5878E-2</v>
      </c>
      <c r="P127" s="62">
        <v>3.6921000000000002E-2</v>
      </c>
      <c r="Q127" s="62">
        <v>3.7858999999999997E-2</v>
      </c>
      <c r="R127" s="62">
        <v>3.8656000000000003E-2</v>
      </c>
      <c r="S127" s="62">
        <v>3.9421999999999999E-2</v>
      </c>
      <c r="T127" s="62">
        <v>4.0163999999999998E-2</v>
      </c>
      <c r="U127" s="62">
        <v>4.0891000000000004E-2</v>
      </c>
      <c r="V127" s="62">
        <v>4.1612999999999997E-2</v>
      </c>
      <c r="W127" s="62">
        <v>4.2247000000000007E-2</v>
      </c>
      <c r="X127" s="62">
        <v>4.2714000000000002E-2</v>
      </c>
      <c r="Y127" s="62">
        <v>4.3038999999999994E-2</v>
      </c>
      <c r="Z127" s="62">
        <v>4.3247000000000001E-2</v>
      </c>
      <c r="AA127" s="62">
        <v>4.3367000000000003E-2</v>
      </c>
      <c r="AB127" s="62">
        <v>4.3430999999999997E-2</v>
      </c>
      <c r="AC127" s="62">
        <v>4.3471999999999997E-2</v>
      </c>
      <c r="AD127" s="62">
        <v>4.3528000000000004E-2</v>
      </c>
      <c r="AE127" s="62">
        <v>4.3635E-2</v>
      </c>
      <c r="AF127" s="62">
        <v>4.3838000000000002E-2</v>
      </c>
    </row>
    <row r="128" spans="1:32">
      <c r="A128" s="1">
        <v>41096</v>
      </c>
      <c r="B128" s="62">
        <v>1.2947E-2</v>
      </c>
      <c r="C128" s="62">
        <v>2.2525E-2</v>
      </c>
      <c r="D128" s="62">
        <v>2.2816999999999997E-2</v>
      </c>
      <c r="E128" s="62">
        <v>2.5097000000000001E-2</v>
      </c>
      <c r="F128" s="62">
        <v>2.6509000000000001E-2</v>
      </c>
      <c r="G128" s="62">
        <v>2.8934999999999999E-2</v>
      </c>
      <c r="H128" s="62">
        <v>3.0945E-2</v>
      </c>
      <c r="I128" s="62">
        <v>3.1238999999999999E-2</v>
      </c>
      <c r="J128" s="62">
        <v>3.3431999999999996E-2</v>
      </c>
      <c r="K128" s="62">
        <v>3.3724999999999998E-2</v>
      </c>
      <c r="L128" s="62">
        <v>3.3742000000000001E-2</v>
      </c>
      <c r="M128" s="62">
        <v>3.4070999999999997E-2</v>
      </c>
      <c r="N128" s="62">
        <v>3.4798000000000003E-2</v>
      </c>
      <c r="O128" s="62">
        <v>3.5765999999999999E-2</v>
      </c>
      <c r="P128" s="62">
        <v>3.6809000000000001E-2</v>
      </c>
      <c r="Q128" s="62">
        <v>3.7747000000000003E-2</v>
      </c>
      <c r="R128" s="62">
        <v>3.8553999999999998E-2</v>
      </c>
      <c r="S128" s="62">
        <v>3.9336999999999997E-2</v>
      </c>
      <c r="T128" s="62">
        <v>4.0101000000000005E-2</v>
      </c>
      <c r="U128" s="62">
        <v>4.0853E-2</v>
      </c>
      <c r="V128" s="62">
        <v>4.1599999999999998E-2</v>
      </c>
      <c r="W128" s="62">
        <v>4.2253999999999993E-2</v>
      </c>
      <c r="X128" s="62">
        <v>4.2736999999999997E-2</v>
      </c>
      <c r="Y128" s="62">
        <v>4.3071999999999999E-2</v>
      </c>
      <c r="Z128" s="62">
        <v>4.3287000000000006E-2</v>
      </c>
      <c r="AA128" s="62">
        <v>4.3410999999999998E-2</v>
      </c>
      <c r="AB128" s="62">
        <v>4.3476999999999995E-2</v>
      </c>
      <c r="AC128" s="62">
        <v>4.3521000000000004E-2</v>
      </c>
      <c r="AD128" s="62">
        <v>4.3579E-2</v>
      </c>
      <c r="AE128" s="62">
        <v>4.3692000000000002E-2</v>
      </c>
      <c r="AF128" s="62">
        <v>4.3902999999999998E-2</v>
      </c>
    </row>
    <row r="129" spans="1:32">
      <c r="A129" s="1">
        <v>41099</v>
      </c>
      <c r="B129" s="62">
        <v>1.2883E-2</v>
      </c>
      <c r="C129" s="62">
        <v>2.1979000000000002E-2</v>
      </c>
      <c r="D129" s="62">
        <v>2.2689000000000001E-2</v>
      </c>
      <c r="E129" s="62">
        <v>2.4967000000000003E-2</v>
      </c>
      <c r="F129" s="62">
        <v>2.6162000000000001E-2</v>
      </c>
      <c r="G129" s="62">
        <v>2.8686E-2</v>
      </c>
      <c r="H129" s="62">
        <v>3.0634000000000002E-2</v>
      </c>
      <c r="I129" s="62">
        <v>3.0922999999999999E-2</v>
      </c>
      <c r="J129" s="62">
        <v>3.3232999999999999E-2</v>
      </c>
      <c r="K129" s="62">
        <v>3.3478000000000001E-2</v>
      </c>
      <c r="L129" s="62">
        <v>3.3481999999999998E-2</v>
      </c>
      <c r="M129" s="62">
        <v>3.3815999999999999E-2</v>
      </c>
      <c r="N129" s="62">
        <v>3.4570999999999998E-2</v>
      </c>
      <c r="O129" s="62">
        <v>3.5581000000000002E-2</v>
      </c>
      <c r="P129" s="62">
        <v>3.6670000000000001E-2</v>
      </c>
      <c r="Q129" s="62">
        <v>3.7648000000000001E-2</v>
      </c>
      <c r="R129" s="62">
        <v>3.8468000000000002E-2</v>
      </c>
      <c r="S129" s="62">
        <v>3.9238000000000002E-2</v>
      </c>
      <c r="T129" s="62">
        <v>3.9981000000000003E-2</v>
      </c>
      <c r="U129" s="62">
        <v>4.0724000000000003E-2</v>
      </c>
      <c r="V129" s="62">
        <v>4.1493000000000002E-2</v>
      </c>
      <c r="W129" s="62">
        <v>4.2187999999999996E-2</v>
      </c>
      <c r="X129" s="62">
        <v>4.2699000000000001E-2</v>
      </c>
      <c r="Y129" s="62">
        <v>4.3053999999999995E-2</v>
      </c>
      <c r="Z129" s="62">
        <v>4.3281E-2</v>
      </c>
      <c r="AA129" s="62">
        <v>4.3413000000000007E-2</v>
      </c>
      <c r="AB129" s="62">
        <v>4.3484999999999996E-2</v>
      </c>
      <c r="AC129" s="62">
        <v>4.3536999999999999E-2</v>
      </c>
      <c r="AD129" s="62">
        <v>4.3608000000000001E-2</v>
      </c>
      <c r="AE129" s="62">
        <v>4.3743999999999998E-2</v>
      </c>
      <c r="AF129" s="62">
        <v>4.3990999999999995E-2</v>
      </c>
    </row>
    <row r="130" spans="1:32">
      <c r="A130" s="1">
        <v>41100</v>
      </c>
      <c r="B130" s="62">
        <v>1.2723E-2</v>
      </c>
      <c r="C130" s="62">
        <v>2.2161E-2</v>
      </c>
      <c r="D130" s="62">
        <v>2.2652000000000002E-2</v>
      </c>
      <c r="E130" s="62">
        <v>2.4718E-2</v>
      </c>
      <c r="F130" s="62">
        <v>2.6157E-2</v>
      </c>
      <c r="G130" s="62">
        <v>2.8471000000000003E-2</v>
      </c>
      <c r="H130" s="62">
        <v>3.0426000000000002E-2</v>
      </c>
      <c r="I130" s="62">
        <v>3.0800999999999999E-2</v>
      </c>
      <c r="J130" s="62">
        <v>3.3038999999999999E-2</v>
      </c>
      <c r="K130" s="62">
        <v>3.3302999999999999E-2</v>
      </c>
      <c r="L130" s="62">
        <v>3.3315000000000004E-2</v>
      </c>
      <c r="M130" s="62">
        <v>3.3656999999999999E-2</v>
      </c>
      <c r="N130" s="62">
        <v>3.4411999999999998E-2</v>
      </c>
      <c r="O130" s="62">
        <v>3.5417999999999998E-2</v>
      </c>
      <c r="P130" s="62">
        <v>3.6502E-2</v>
      </c>
      <c r="Q130" s="62">
        <v>3.7475000000000001E-2</v>
      </c>
      <c r="R130" s="62">
        <v>3.8290000000000005E-2</v>
      </c>
      <c r="S130" s="62">
        <v>3.9051000000000002E-2</v>
      </c>
      <c r="T130" s="62">
        <v>3.9786000000000002E-2</v>
      </c>
      <c r="U130" s="62">
        <v>4.0529999999999997E-2</v>
      </c>
      <c r="V130" s="62">
        <v>4.1319000000000002E-2</v>
      </c>
      <c r="W130" s="62">
        <v>4.2039999999999994E-2</v>
      </c>
      <c r="X130" s="62">
        <v>4.2571000000000005E-2</v>
      </c>
      <c r="Y130" s="62">
        <v>4.2939999999999999E-2</v>
      </c>
      <c r="Z130" s="62">
        <v>4.3175999999999999E-2</v>
      </c>
      <c r="AA130" s="62">
        <v>4.3314999999999999E-2</v>
      </c>
      <c r="AB130" s="62">
        <v>4.3392999999999994E-2</v>
      </c>
      <c r="AC130" s="62">
        <v>4.3451000000000004E-2</v>
      </c>
      <c r="AD130" s="62">
        <v>4.3532000000000001E-2</v>
      </c>
      <c r="AE130" s="62">
        <v>4.3680000000000004E-2</v>
      </c>
      <c r="AF130" s="62">
        <v>4.3948000000000001E-2</v>
      </c>
    </row>
    <row r="131" spans="1:32">
      <c r="A131" s="1">
        <v>41101</v>
      </c>
      <c r="B131" s="62">
        <v>1.2914000000000002E-2</v>
      </c>
      <c r="C131" s="62">
        <v>2.2235999999999999E-2</v>
      </c>
      <c r="D131" s="62">
        <v>2.2589999999999999E-2</v>
      </c>
      <c r="E131" s="62">
        <v>2.4468E-2</v>
      </c>
      <c r="F131" s="62">
        <v>2.6124999999999999E-2</v>
      </c>
      <c r="G131" s="62">
        <v>2.8247000000000001E-2</v>
      </c>
      <c r="H131" s="62">
        <v>3.0381000000000002E-2</v>
      </c>
      <c r="I131" s="62">
        <v>3.0623000000000001E-2</v>
      </c>
      <c r="J131" s="62">
        <v>3.2924000000000002E-2</v>
      </c>
      <c r="K131" s="62">
        <v>3.3152000000000001E-2</v>
      </c>
      <c r="L131" s="62">
        <v>3.3153999999999996E-2</v>
      </c>
      <c r="M131" s="62">
        <v>3.3488999999999998E-2</v>
      </c>
      <c r="N131" s="62">
        <v>3.4243999999999997E-2</v>
      </c>
      <c r="O131" s="62">
        <v>3.5253E-2</v>
      </c>
      <c r="P131" s="62">
        <v>3.6339999999999997E-2</v>
      </c>
      <c r="Q131" s="62">
        <v>3.7315000000000001E-2</v>
      </c>
      <c r="R131" s="62">
        <v>3.8163999999999997E-2</v>
      </c>
      <c r="S131" s="62">
        <v>3.9011999999999998E-2</v>
      </c>
      <c r="T131" s="62">
        <v>3.9857000000000004E-2</v>
      </c>
      <c r="U131" s="62">
        <v>4.0697999999999998E-2</v>
      </c>
      <c r="V131" s="62">
        <v>4.1533E-2</v>
      </c>
      <c r="W131" s="62">
        <v>4.2263000000000002E-2</v>
      </c>
      <c r="X131" s="62">
        <v>4.2803000000000008E-2</v>
      </c>
      <c r="Y131" s="62">
        <v>4.3178000000000001E-2</v>
      </c>
      <c r="Z131" s="62">
        <v>4.3418999999999999E-2</v>
      </c>
      <c r="AA131" s="62">
        <v>4.3560000000000001E-2</v>
      </c>
      <c r="AB131" s="62">
        <v>4.3636000000000001E-2</v>
      </c>
      <c r="AC131" s="62">
        <v>4.3688999999999999E-2</v>
      </c>
      <c r="AD131" s="62">
        <v>4.3758999999999999E-2</v>
      </c>
      <c r="AE131" s="62">
        <v>4.3892E-2</v>
      </c>
      <c r="AF131" s="62">
        <v>4.4138000000000004E-2</v>
      </c>
    </row>
    <row r="132" spans="1:32">
      <c r="A132" s="1">
        <v>41102</v>
      </c>
      <c r="B132" s="62">
        <v>1.3335999999999999E-2</v>
      </c>
      <c r="C132" s="62">
        <v>2.2286999999999998E-2</v>
      </c>
      <c r="D132" s="62">
        <v>2.2480000000000003E-2</v>
      </c>
      <c r="E132" s="62">
        <v>2.4403000000000001E-2</v>
      </c>
      <c r="F132" s="62">
        <v>2.5992999999999999E-2</v>
      </c>
      <c r="G132" s="62">
        <v>2.8052999999999998E-2</v>
      </c>
      <c r="H132" s="62">
        <v>3.0377999999999999E-2</v>
      </c>
      <c r="I132" s="62">
        <v>3.0724000000000001E-2</v>
      </c>
      <c r="J132" s="62">
        <v>3.2958000000000001E-2</v>
      </c>
      <c r="K132" s="62">
        <v>3.3258999999999997E-2</v>
      </c>
      <c r="L132" s="62">
        <v>3.3279999999999997E-2</v>
      </c>
      <c r="M132" s="62">
        <v>3.3631000000000001E-2</v>
      </c>
      <c r="N132" s="62">
        <v>3.4387000000000001E-2</v>
      </c>
      <c r="O132" s="62">
        <v>3.5387000000000002E-2</v>
      </c>
      <c r="P132" s="62">
        <v>3.6463000000000002E-2</v>
      </c>
      <c r="Q132" s="62">
        <v>3.7433000000000001E-2</v>
      </c>
      <c r="R132" s="62">
        <v>3.8275000000000003E-2</v>
      </c>
      <c r="S132" s="62">
        <v>3.9105000000000001E-2</v>
      </c>
      <c r="T132" s="62">
        <v>3.9927999999999998E-2</v>
      </c>
      <c r="U132" s="62">
        <v>4.0750000000000001E-2</v>
      </c>
      <c r="V132" s="62">
        <v>4.1577000000000003E-2</v>
      </c>
      <c r="W132" s="62">
        <v>4.2306999999999997E-2</v>
      </c>
      <c r="X132" s="62">
        <v>4.2846000000000002E-2</v>
      </c>
      <c r="Y132" s="62">
        <v>4.3223000000000004E-2</v>
      </c>
      <c r="Z132" s="62">
        <v>4.3464999999999997E-2</v>
      </c>
      <c r="AA132" s="62">
        <v>4.3606999999999993E-2</v>
      </c>
      <c r="AB132" s="62">
        <v>4.3685000000000002E-2</v>
      </c>
      <c r="AC132" s="62">
        <v>4.3737999999999999E-2</v>
      </c>
      <c r="AD132" s="62">
        <v>4.3808999999999994E-2</v>
      </c>
      <c r="AE132" s="62">
        <v>4.3941000000000001E-2</v>
      </c>
      <c r="AF132" s="62">
        <v>4.4185000000000002E-2</v>
      </c>
    </row>
    <row r="133" spans="1:32">
      <c r="A133" s="1">
        <v>41103</v>
      </c>
      <c r="B133" s="62">
        <v>1.4239E-2</v>
      </c>
      <c r="C133" s="62">
        <v>2.2171E-2</v>
      </c>
      <c r="D133" s="62">
        <v>2.2602999999999998E-2</v>
      </c>
      <c r="E133" s="62">
        <v>2.4601999999999999E-2</v>
      </c>
      <c r="F133" s="62">
        <v>2.6135000000000002E-2</v>
      </c>
      <c r="G133" s="62">
        <v>2.8098999999999999E-2</v>
      </c>
      <c r="H133" s="62">
        <v>3.0453999999999998E-2</v>
      </c>
      <c r="I133" s="62">
        <v>3.0895000000000002E-2</v>
      </c>
      <c r="J133" s="62">
        <v>3.3041000000000001E-2</v>
      </c>
      <c r="K133" s="62">
        <v>3.3347000000000002E-2</v>
      </c>
      <c r="L133" s="62">
        <v>3.3370999999999998E-2</v>
      </c>
      <c r="M133" s="62">
        <v>3.3725999999999999E-2</v>
      </c>
      <c r="N133" s="62">
        <v>3.4481999999999999E-2</v>
      </c>
      <c r="O133" s="62">
        <v>3.5480999999999999E-2</v>
      </c>
      <c r="P133" s="62">
        <v>3.6556000000000005E-2</v>
      </c>
      <c r="Q133" s="62">
        <v>3.7524000000000002E-2</v>
      </c>
      <c r="R133" s="62">
        <v>3.8363999999999995E-2</v>
      </c>
      <c r="S133" s="62">
        <v>3.9185999999999999E-2</v>
      </c>
      <c r="T133" s="62">
        <v>3.9997999999999999E-2</v>
      </c>
      <c r="U133" s="62">
        <v>4.0808999999999998E-2</v>
      </c>
      <c r="V133" s="62">
        <v>4.1627999999999998E-2</v>
      </c>
      <c r="W133" s="62">
        <v>4.2351E-2</v>
      </c>
      <c r="X133" s="62">
        <v>4.2886000000000001E-2</v>
      </c>
      <c r="Y133" s="62">
        <v>4.3257999999999998E-2</v>
      </c>
      <c r="Z133" s="62">
        <v>4.3498000000000002E-2</v>
      </c>
      <c r="AA133" s="62">
        <v>4.3638000000000003E-2</v>
      </c>
      <c r="AB133" s="62">
        <v>4.3715000000000004E-2</v>
      </c>
      <c r="AC133" s="62">
        <v>4.3768000000000001E-2</v>
      </c>
      <c r="AD133" s="62">
        <v>4.3838000000000002E-2</v>
      </c>
      <c r="AE133" s="62">
        <v>4.3971000000000003E-2</v>
      </c>
      <c r="AF133" s="62">
        <v>4.4214000000000003E-2</v>
      </c>
    </row>
    <row r="134" spans="1:32">
      <c r="A134" s="1">
        <v>41106</v>
      </c>
      <c r="B134" s="62">
        <v>1.4019999999999999E-2</v>
      </c>
      <c r="C134" s="62">
        <v>2.2353000000000001E-2</v>
      </c>
      <c r="D134" s="62">
        <v>2.2591999999999998E-2</v>
      </c>
      <c r="E134" s="62">
        <v>2.4660000000000001E-2</v>
      </c>
      <c r="F134" s="62">
        <v>2.6126999999999997E-2</v>
      </c>
      <c r="G134" s="62">
        <v>2.8287E-2</v>
      </c>
      <c r="H134" s="62">
        <v>3.0470000000000001E-2</v>
      </c>
      <c r="I134" s="62">
        <v>3.1042999999999998E-2</v>
      </c>
      <c r="J134" s="62">
        <v>3.3231000000000004E-2</v>
      </c>
      <c r="K134" s="62">
        <v>3.3527999999999995E-2</v>
      </c>
      <c r="L134" s="62">
        <v>3.3545999999999999E-2</v>
      </c>
      <c r="M134" s="62">
        <v>3.3896999999999997E-2</v>
      </c>
      <c r="N134" s="62">
        <v>3.4651000000000001E-2</v>
      </c>
      <c r="O134" s="62">
        <v>3.5649E-2</v>
      </c>
      <c r="P134" s="62">
        <v>3.6722000000000005E-2</v>
      </c>
      <c r="Q134" s="62">
        <v>3.7686999999999998E-2</v>
      </c>
      <c r="R134" s="62">
        <v>3.8517000000000003E-2</v>
      </c>
      <c r="S134" s="62">
        <v>3.9323000000000004E-2</v>
      </c>
      <c r="T134" s="62">
        <v>4.0122999999999999E-2</v>
      </c>
      <c r="U134" s="62">
        <v>4.0934999999999999E-2</v>
      </c>
      <c r="V134" s="62">
        <v>4.1771000000000003E-2</v>
      </c>
      <c r="W134" s="62">
        <v>4.2483000000000007E-2</v>
      </c>
      <c r="X134" s="62">
        <v>4.3015999999999999E-2</v>
      </c>
      <c r="Y134" s="62">
        <v>4.3394000000000002E-2</v>
      </c>
      <c r="Z134" s="62">
        <v>4.3643999999999995E-2</v>
      </c>
      <c r="AA134" s="62">
        <v>4.3796000000000002E-2</v>
      </c>
      <c r="AB134" s="62">
        <v>4.3883999999999999E-2</v>
      </c>
      <c r="AC134" s="62">
        <v>4.3944999999999998E-2</v>
      </c>
      <c r="AD134" s="62">
        <v>4.4016E-2</v>
      </c>
      <c r="AE134" s="62">
        <v>4.4138999999999998E-2</v>
      </c>
      <c r="AF134" s="62">
        <v>4.4359000000000003E-2</v>
      </c>
    </row>
    <row r="135" spans="1:32">
      <c r="A135" s="1">
        <v>41107</v>
      </c>
      <c r="B135" s="62">
        <v>1.5771E-2</v>
      </c>
      <c r="C135" s="62">
        <v>2.2452999999999997E-2</v>
      </c>
      <c r="D135" s="62">
        <v>2.2616999999999998E-2</v>
      </c>
      <c r="E135" s="62">
        <v>2.4135E-2</v>
      </c>
      <c r="F135" s="62">
        <v>2.6312000000000002E-2</v>
      </c>
      <c r="G135" s="62">
        <v>2.8517999999999998E-2</v>
      </c>
      <c r="H135" s="62">
        <v>3.0533000000000001E-2</v>
      </c>
      <c r="I135" s="62">
        <v>3.1223000000000001E-2</v>
      </c>
      <c r="J135" s="62">
        <v>3.3425999999999997E-2</v>
      </c>
      <c r="K135" s="62">
        <v>3.3647000000000003E-2</v>
      </c>
      <c r="L135" s="62">
        <v>3.3647000000000003E-2</v>
      </c>
      <c r="M135" s="62">
        <v>3.3980000000000003E-2</v>
      </c>
      <c r="N135" s="62">
        <v>3.4722000000000003E-2</v>
      </c>
      <c r="O135" s="62">
        <v>3.5711E-2</v>
      </c>
      <c r="P135" s="62">
        <v>3.6775000000000002E-2</v>
      </c>
      <c r="Q135" s="62">
        <v>3.7728999999999999E-2</v>
      </c>
      <c r="R135" s="62">
        <v>3.8532000000000004E-2</v>
      </c>
      <c r="S135" s="62">
        <v>3.9289999999999999E-2</v>
      </c>
      <c r="T135" s="62">
        <v>4.0031999999999998E-2</v>
      </c>
      <c r="U135" s="62">
        <v>4.0787000000000004E-2</v>
      </c>
      <c r="V135" s="62">
        <v>4.1588E-2</v>
      </c>
      <c r="W135" s="62">
        <v>4.2325000000000002E-2</v>
      </c>
      <c r="X135" s="62">
        <v>4.2878999999999994E-2</v>
      </c>
      <c r="Y135" s="62">
        <v>4.3274E-2</v>
      </c>
      <c r="Z135" s="62">
        <v>4.3535999999999998E-2</v>
      </c>
      <c r="AA135" s="62">
        <v>4.3697999999999994E-2</v>
      </c>
      <c r="AB135" s="62">
        <v>4.3792999999999999E-2</v>
      </c>
      <c r="AC135" s="62">
        <v>4.3857E-2</v>
      </c>
      <c r="AD135" s="62">
        <v>4.3929999999999997E-2</v>
      </c>
      <c r="AE135" s="62">
        <v>4.4054000000000003E-2</v>
      </c>
      <c r="AF135" s="62">
        <v>4.4275000000000002E-2</v>
      </c>
    </row>
    <row r="136" spans="1:32">
      <c r="A136" s="1">
        <v>41108</v>
      </c>
      <c r="B136" s="62">
        <v>1.8787999999999999E-2</v>
      </c>
      <c r="C136" s="62">
        <v>2.2513000000000002E-2</v>
      </c>
      <c r="D136" s="62">
        <v>2.2799999999999997E-2</v>
      </c>
      <c r="E136" s="62">
        <v>2.4161999999999999E-2</v>
      </c>
      <c r="F136" s="62">
        <v>2.6444000000000002E-2</v>
      </c>
      <c r="G136" s="62">
        <v>2.8595000000000002E-2</v>
      </c>
      <c r="H136" s="62">
        <v>3.0586000000000002E-2</v>
      </c>
      <c r="I136" s="62">
        <v>3.134E-2</v>
      </c>
      <c r="J136" s="62">
        <v>3.3530000000000004E-2</v>
      </c>
      <c r="K136" s="62">
        <v>3.3662999999999998E-2</v>
      </c>
      <c r="L136" s="62">
        <v>3.3642999999999999E-2</v>
      </c>
      <c r="M136" s="62">
        <v>3.3965000000000002E-2</v>
      </c>
      <c r="N136" s="62">
        <v>3.4707000000000002E-2</v>
      </c>
      <c r="O136" s="62">
        <v>3.5701999999999998E-2</v>
      </c>
      <c r="P136" s="62">
        <v>3.6775000000000002E-2</v>
      </c>
      <c r="Q136" s="62">
        <v>3.7734000000000004E-2</v>
      </c>
      <c r="R136" s="62">
        <v>3.8536000000000001E-2</v>
      </c>
      <c r="S136" s="62">
        <v>3.9294999999999997E-2</v>
      </c>
      <c r="T136" s="62">
        <v>4.0037000000000003E-2</v>
      </c>
      <c r="U136" s="62">
        <v>4.0792000000000002E-2</v>
      </c>
      <c r="V136" s="62">
        <v>4.1592999999999998E-2</v>
      </c>
      <c r="W136" s="62">
        <v>4.2331000000000001E-2</v>
      </c>
      <c r="X136" s="62">
        <v>4.2885E-2</v>
      </c>
      <c r="Y136" s="62">
        <v>4.3280000000000006E-2</v>
      </c>
      <c r="Z136" s="62">
        <v>4.3543000000000005E-2</v>
      </c>
      <c r="AA136" s="62">
        <v>4.3705000000000001E-2</v>
      </c>
      <c r="AB136" s="62">
        <v>4.3799000000000005E-2</v>
      </c>
      <c r="AC136" s="62">
        <v>4.3864E-2</v>
      </c>
      <c r="AD136" s="62">
        <v>4.3936999999999997E-2</v>
      </c>
      <c r="AE136" s="62">
        <v>4.4061000000000003E-2</v>
      </c>
      <c r="AF136" s="62">
        <v>4.4282000000000002E-2</v>
      </c>
    </row>
    <row r="137" spans="1:32">
      <c r="A137" s="1">
        <v>41109</v>
      </c>
      <c r="B137" s="62">
        <v>1.9303999999999998E-2</v>
      </c>
      <c r="C137" s="62">
        <v>2.2591E-2</v>
      </c>
      <c r="D137" s="62">
        <v>2.3113000000000002E-2</v>
      </c>
      <c r="E137" s="62">
        <v>2.4319999999999998E-2</v>
      </c>
      <c r="F137" s="62">
        <v>2.6564000000000001E-2</v>
      </c>
      <c r="G137" s="62">
        <v>2.8551000000000003E-2</v>
      </c>
      <c r="H137" s="62">
        <v>3.0689000000000001E-2</v>
      </c>
      <c r="I137" s="62">
        <v>3.1257E-2</v>
      </c>
      <c r="J137" s="62">
        <v>3.3439999999999998E-2</v>
      </c>
      <c r="K137" s="62">
        <v>3.3647000000000003E-2</v>
      </c>
      <c r="L137" s="62">
        <v>3.3642999999999999E-2</v>
      </c>
      <c r="M137" s="62">
        <v>3.3975999999999999E-2</v>
      </c>
      <c r="N137" s="62">
        <v>3.4720000000000001E-2</v>
      </c>
      <c r="O137" s="62">
        <v>3.5711E-2</v>
      </c>
      <c r="P137" s="62">
        <v>3.6777999999999998E-2</v>
      </c>
      <c r="Q137" s="62">
        <v>3.7734000000000004E-2</v>
      </c>
      <c r="R137" s="62">
        <v>3.8537000000000002E-2</v>
      </c>
      <c r="S137" s="62">
        <v>3.9294999999999997E-2</v>
      </c>
      <c r="T137" s="62">
        <v>4.0037999999999997E-2</v>
      </c>
      <c r="U137" s="62">
        <v>4.0792999999999996E-2</v>
      </c>
      <c r="V137" s="62">
        <v>4.1593999999999999E-2</v>
      </c>
      <c r="W137" s="62">
        <v>4.2332000000000002E-2</v>
      </c>
      <c r="X137" s="62">
        <v>4.2887000000000002E-2</v>
      </c>
      <c r="Y137" s="62">
        <v>4.3281E-2</v>
      </c>
      <c r="Z137" s="62">
        <v>4.3543999999999999E-2</v>
      </c>
      <c r="AA137" s="62">
        <v>4.3705999999999995E-2</v>
      </c>
      <c r="AB137" s="62">
        <v>4.3801E-2</v>
      </c>
      <c r="AC137" s="62">
        <v>4.3865000000000001E-2</v>
      </c>
      <c r="AD137" s="62">
        <v>4.3937999999999998E-2</v>
      </c>
      <c r="AE137" s="62">
        <v>4.4062000000000004E-2</v>
      </c>
      <c r="AF137" s="62">
        <v>4.4283000000000003E-2</v>
      </c>
    </row>
    <row r="138" spans="1:32">
      <c r="A138" s="1">
        <v>41110</v>
      </c>
      <c r="B138" s="62">
        <v>2.0716999999999999E-2</v>
      </c>
      <c r="C138" s="62">
        <v>2.2698999999999997E-2</v>
      </c>
      <c r="D138" s="62">
        <v>2.3073E-2</v>
      </c>
      <c r="E138" s="62">
        <v>2.402E-2</v>
      </c>
      <c r="F138" s="62">
        <v>2.6456E-2</v>
      </c>
      <c r="G138" s="62">
        <v>2.8458999999999998E-2</v>
      </c>
      <c r="H138" s="62">
        <v>3.0594E-2</v>
      </c>
      <c r="I138" s="62">
        <v>3.1173000000000003E-2</v>
      </c>
      <c r="J138" s="62">
        <v>3.3452999999999997E-2</v>
      </c>
      <c r="K138" s="62">
        <v>3.3609E-2</v>
      </c>
      <c r="L138" s="62">
        <v>3.3593999999999999E-2</v>
      </c>
      <c r="M138" s="62">
        <v>3.3919999999999999E-2</v>
      </c>
      <c r="N138" s="62">
        <v>3.4662999999999999E-2</v>
      </c>
      <c r="O138" s="62">
        <v>3.5657000000000001E-2</v>
      </c>
      <c r="P138" s="62">
        <v>3.6728000000000004E-2</v>
      </c>
      <c r="Q138" s="62">
        <v>3.7686000000000004E-2</v>
      </c>
      <c r="R138" s="62">
        <v>3.8484999999999998E-2</v>
      </c>
      <c r="S138" s="62">
        <v>3.9234999999999999E-2</v>
      </c>
      <c r="T138" s="62">
        <v>3.9966000000000002E-2</v>
      </c>
      <c r="U138" s="62">
        <v>4.0708000000000001E-2</v>
      </c>
      <c r="V138" s="62">
        <v>4.1498E-2</v>
      </c>
      <c r="W138" s="62">
        <v>4.2226E-2</v>
      </c>
      <c r="X138" s="62">
        <v>4.2771999999999998E-2</v>
      </c>
      <c r="Y138" s="62">
        <v>4.3159999999999997E-2</v>
      </c>
      <c r="Z138" s="62">
        <v>4.3418999999999999E-2</v>
      </c>
      <c r="AA138" s="62">
        <v>4.3579E-2</v>
      </c>
      <c r="AB138" s="62">
        <v>4.3674999999999999E-2</v>
      </c>
      <c r="AC138" s="62">
        <v>4.3742999999999997E-2</v>
      </c>
      <c r="AD138" s="62">
        <v>4.3823999999999995E-2</v>
      </c>
      <c r="AE138" s="62">
        <v>4.3958999999999998E-2</v>
      </c>
      <c r="AF138" s="62">
        <v>4.4195000000000005E-2</v>
      </c>
    </row>
    <row r="139" spans="1:32">
      <c r="A139" s="1">
        <v>41113</v>
      </c>
      <c r="B139" s="62">
        <v>2.2722000000000003E-2</v>
      </c>
      <c r="C139" s="62">
        <v>2.2848999999999998E-2</v>
      </c>
      <c r="D139" s="62">
        <v>2.3136999999999998E-2</v>
      </c>
      <c r="E139" s="62">
        <v>2.4262000000000002E-2</v>
      </c>
      <c r="F139" s="62">
        <v>2.6457000000000001E-2</v>
      </c>
      <c r="G139" s="62">
        <v>2.8538999999999998E-2</v>
      </c>
      <c r="H139" s="62">
        <v>3.0436000000000001E-2</v>
      </c>
      <c r="I139" s="62">
        <v>3.1093000000000003E-2</v>
      </c>
      <c r="J139" s="62">
        <v>3.3392999999999999E-2</v>
      </c>
      <c r="K139" s="62">
        <v>3.3551999999999998E-2</v>
      </c>
      <c r="L139" s="62">
        <v>3.3537999999999998E-2</v>
      </c>
      <c r="M139" s="62">
        <v>3.3868000000000002E-2</v>
      </c>
      <c r="N139" s="62">
        <v>3.4611000000000003E-2</v>
      </c>
      <c r="O139" s="62">
        <v>3.5603999999999997E-2</v>
      </c>
      <c r="P139" s="62">
        <v>3.6672999999999997E-2</v>
      </c>
      <c r="Q139" s="62">
        <v>3.7629000000000003E-2</v>
      </c>
      <c r="R139" s="62">
        <v>3.8426999999999996E-2</v>
      </c>
      <c r="S139" s="62">
        <v>3.9176999999999997E-2</v>
      </c>
      <c r="T139" s="62">
        <v>3.9907999999999999E-2</v>
      </c>
      <c r="U139" s="62">
        <v>4.0650000000000006E-2</v>
      </c>
      <c r="V139" s="62">
        <v>4.1440000000000005E-2</v>
      </c>
      <c r="W139" s="62">
        <v>4.2172000000000001E-2</v>
      </c>
      <c r="X139" s="62">
        <v>4.2728999999999996E-2</v>
      </c>
      <c r="Y139" s="62">
        <v>4.3135000000000007E-2</v>
      </c>
      <c r="Z139" s="62">
        <v>4.3414000000000001E-2</v>
      </c>
      <c r="AA139" s="62">
        <v>4.3597000000000004E-2</v>
      </c>
      <c r="AB139" s="62">
        <v>4.3714000000000003E-2</v>
      </c>
      <c r="AC139" s="62">
        <v>4.3802000000000001E-2</v>
      </c>
      <c r="AD139" s="62">
        <v>4.3895999999999998E-2</v>
      </c>
      <c r="AE139" s="62">
        <v>4.4037E-2</v>
      </c>
      <c r="AF139" s="62">
        <v>4.4268000000000002E-2</v>
      </c>
    </row>
    <row r="140" spans="1:32">
      <c r="A140" s="1">
        <v>41114</v>
      </c>
      <c r="B140" s="62">
        <v>1.8964000000000002E-2</v>
      </c>
      <c r="C140" s="62">
        <v>2.2890999999999998E-2</v>
      </c>
      <c r="D140" s="62">
        <v>2.3134000000000002E-2</v>
      </c>
      <c r="E140" s="62">
        <v>2.4184000000000001E-2</v>
      </c>
      <c r="F140" s="62">
        <v>2.6455000000000003E-2</v>
      </c>
      <c r="G140" s="62">
        <v>2.8521000000000001E-2</v>
      </c>
      <c r="H140" s="62">
        <v>3.0331E-2</v>
      </c>
      <c r="I140" s="62">
        <v>3.1258000000000001E-2</v>
      </c>
      <c r="J140" s="62">
        <v>3.3436E-2</v>
      </c>
      <c r="K140" s="62">
        <v>3.3555000000000001E-2</v>
      </c>
      <c r="L140" s="62">
        <v>3.3535000000000002E-2</v>
      </c>
      <c r="M140" s="62">
        <v>3.3862000000000003E-2</v>
      </c>
      <c r="N140" s="62">
        <v>3.4605000000000004E-2</v>
      </c>
      <c r="O140" s="62">
        <v>3.56E-2</v>
      </c>
      <c r="P140" s="62">
        <v>3.6671000000000002E-2</v>
      </c>
      <c r="Q140" s="62">
        <v>3.7627000000000001E-2</v>
      </c>
      <c r="R140" s="62">
        <v>3.8425000000000001E-2</v>
      </c>
      <c r="S140" s="62">
        <v>3.9175000000000001E-2</v>
      </c>
      <c r="T140" s="62">
        <v>3.9906000000000004E-2</v>
      </c>
      <c r="U140" s="62">
        <v>4.0648999999999998E-2</v>
      </c>
      <c r="V140" s="62">
        <v>4.1439000000000004E-2</v>
      </c>
      <c r="W140" s="62">
        <v>4.2172999999999995E-2</v>
      </c>
      <c r="X140" s="62">
        <v>4.2737999999999998E-2</v>
      </c>
      <c r="Y140" s="62">
        <v>4.3154999999999999E-2</v>
      </c>
      <c r="Z140" s="62">
        <v>4.3448000000000001E-2</v>
      </c>
      <c r="AA140" s="62">
        <v>4.3644999999999996E-2</v>
      </c>
      <c r="AB140" s="62">
        <v>4.3776999999999996E-2</v>
      </c>
      <c r="AC140" s="62">
        <v>4.3875999999999998E-2</v>
      </c>
      <c r="AD140" s="62">
        <v>4.3978999999999997E-2</v>
      </c>
      <c r="AE140" s="62">
        <v>4.4123000000000002E-2</v>
      </c>
      <c r="AF140" s="62">
        <v>4.4349999999999994E-2</v>
      </c>
    </row>
    <row r="141" spans="1:32">
      <c r="A141" s="1">
        <v>41115</v>
      </c>
      <c r="B141" s="62">
        <v>1.6258999999999999E-2</v>
      </c>
      <c r="C141" s="62">
        <v>2.2818999999999999E-2</v>
      </c>
      <c r="D141" s="62">
        <v>2.3593000000000003E-2</v>
      </c>
      <c r="E141" s="62">
        <v>2.5107000000000001E-2</v>
      </c>
      <c r="F141" s="62">
        <v>2.6617000000000002E-2</v>
      </c>
      <c r="G141" s="62">
        <v>2.8527999999999998E-2</v>
      </c>
      <c r="H141" s="62">
        <v>3.0421999999999998E-2</v>
      </c>
      <c r="I141" s="62">
        <v>3.1301999999999996E-2</v>
      </c>
      <c r="J141" s="62">
        <v>3.3410999999999996E-2</v>
      </c>
      <c r="K141" s="62">
        <v>3.3531999999999999E-2</v>
      </c>
      <c r="L141" s="62">
        <v>3.3515000000000003E-2</v>
      </c>
      <c r="M141" s="62">
        <v>3.3843999999999999E-2</v>
      </c>
      <c r="N141" s="62">
        <v>3.4589000000000002E-2</v>
      </c>
      <c r="O141" s="62">
        <v>3.5583999999999998E-2</v>
      </c>
      <c r="P141" s="62">
        <v>3.6655E-2</v>
      </c>
      <c r="Q141" s="62">
        <v>3.7610999999999999E-2</v>
      </c>
      <c r="R141" s="62">
        <v>3.8408999999999999E-2</v>
      </c>
      <c r="S141" s="62">
        <v>3.9158999999999999E-2</v>
      </c>
      <c r="T141" s="62">
        <v>3.9891000000000003E-2</v>
      </c>
      <c r="U141" s="62">
        <v>4.0633999999999997E-2</v>
      </c>
      <c r="V141" s="62">
        <v>4.1425000000000003E-2</v>
      </c>
      <c r="W141" s="62">
        <v>4.2159000000000002E-2</v>
      </c>
      <c r="X141" s="62">
        <v>4.2724999999999999E-2</v>
      </c>
      <c r="Y141" s="62">
        <v>4.3141999999999993E-2</v>
      </c>
      <c r="Z141" s="62">
        <v>4.3436000000000002E-2</v>
      </c>
      <c r="AA141" s="62">
        <v>4.3632999999999998E-2</v>
      </c>
      <c r="AB141" s="62">
        <v>4.3765999999999999E-2</v>
      </c>
      <c r="AC141" s="62">
        <v>4.3865999999999995E-2</v>
      </c>
      <c r="AD141" s="62">
        <v>4.3968999999999994E-2</v>
      </c>
      <c r="AE141" s="62">
        <v>4.4114000000000007E-2</v>
      </c>
      <c r="AF141" s="62">
        <v>4.4340999999999998E-2</v>
      </c>
    </row>
    <row r="142" spans="1:32">
      <c r="A142" s="1">
        <v>41116</v>
      </c>
      <c r="B142" s="62">
        <v>1.6046999999999999E-2</v>
      </c>
      <c r="C142" s="62">
        <v>2.2780000000000002E-2</v>
      </c>
      <c r="D142" s="62">
        <v>2.3626000000000001E-2</v>
      </c>
      <c r="E142" s="62">
        <v>2.6019999999999998E-2</v>
      </c>
      <c r="F142" s="62">
        <v>2.6549E-2</v>
      </c>
      <c r="G142" s="62">
        <v>2.8502999999999997E-2</v>
      </c>
      <c r="H142" s="62">
        <v>3.0415999999999999E-2</v>
      </c>
      <c r="I142" s="62">
        <v>3.1300000000000001E-2</v>
      </c>
      <c r="J142" s="62">
        <v>3.3312000000000001E-2</v>
      </c>
      <c r="K142" s="62">
        <v>3.3512E-2</v>
      </c>
      <c r="L142" s="62">
        <v>3.3513000000000001E-2</v>
      </c>
      <c r="M142" s="62">
        <v>3.3854999999999996E-2</v>
      </c>
      <c r="N142" s="62">
        <v>3.4601E-2</v>
      </c>
      <c r="O142" s="62">
        <v>3.5590000000000004E-2</v>
      </c>
      <c r="P142" s="62">
        <v>3.6652999999999998E-2</v>
      </c>
      <c r="Q142" s="62">
        <v>3.7605E-2</v>
      </c>
      <c r="R142" s="62">
        <v>3.8403E-2</v>
      </c>
      <c r="S142" s="62">
        <v>3.9154000000000001E-2</v>
      </c>
      <c r="T142" s="62">
        <v>3.9885000000000004E-2</v>
      </c>
      <c r="U142" s="62">
        <v>4.0628999999999998E-2</v>
      </c>
      <c r="V142" s="62">
        <v>4.1420000000000005E-2</v>
      </c>
      <c r="W142" s="62">
        <v>4.2161999999999998E-2</v>
      </c>
      <c r="X142" s="62">
        <v>4.2748000000000001E-2</v>
      </c>
      <c r="Y142" s="62">
        <v>4.3196000000000005E-2</v>
      </c>
      <c r="Z142" s="62">
        <v>4.3525999999999995E-2</v>
      </c>
      <c r="AA142" s="62">
        <v>4.3761999999999995E-2</v>
      </c>
      <c r="AB142" s="62">
        <v>4.3929000000000003E-2</v>
      </c>
      <c r="AC142" s="62">
        <v>4.4055999999999998E-2</v>
      </c>
      <c r="AD142" s="62">
        <v>4.4172999999999997E-2</v>
      </c>
      <c r="AE142" s="62">
        <v>4.4313000000000005E-2</v>
      </c>
      <c r="AF142" s="62">
        <v>4.4512000000000003E-2</v>
      </c>
    </row>
    <row r="143" spans="1:32">
      <c r="A143" s="1">
        <v>41117</v>
      </c>
      <c r="B143" s="62">
        <v>1.5446E-2</v>
      </c>
      <c r="C143" s="62">
        <v>2.2976999999999997E-2</v>
      </c>
      <c r="D143" s="62">
        <v>2.3698999999999998E-2</v>
      </c>
      <c r="E143" s="62">
        <v>2.6291999999999999E-2</v>
      </c>
      <c r="F143" s="62">
        <v>2.6683999999999999E-2</v>
      </c>
      <c r="G143" s="62">
        <v>2.8714E-2</v>
      </c>
      <c r="H143" s="62">
        <v>3.0457999999999999E-2</v>
      </c>
      <c r="I143" s="62">
        <v>3.1331999999999999E-2</v>
      </c>
      <c r="J143" s="62">
        <v>3.3300000000000003E-2</v>
      </c>
      <c r="K143" s="62">
        <v>3.3498E-2</v>
      </c>
      <c r="L143" s="62">
        <v>3.3500000000000002E-2</v>
      </c>
      <c r="M143" s="62">
        <v>3.3845E-2</v>
      </c>
      <c r="N143" s="62">
        <v>3.4591999999999998E-2</v>
      </c>
      <c r="O143" s="62">
        <v>3.5581000000000002E-2</v>
      </c>
      <c r="P143" s="62">
        <v>3.6644000000000003E-2</v>
      </c>
      <c r="Q143" s="62">
        <v>3.7595000000000003E-2</v>
      </c>
      <c r="R143" s="62">
        <v>3.8393000000000004E-2</v>
      </c>
      <c r="S143" s="62">
        <v>3.9143999999999998E-2</v>
      </c>
      <c r="T143" s="62">
        <v>3.9876000000000002E-2</v>
      </c>
      <c r="U143" s="62">
        <v>4.0620999999999997E-2</v>
      </c>
      <c r="V143" s="62">
        <v>4.1410999999999996E-2</v>
      </c>
      <c r="W143" s="62">
        <v>4.2153999999999997E-2</v>
      </c>
      <c r="X143" s="62">
        <v>4.274E-2</v>
      </c>
      <c r="Y143" s="62">
        <v>4.3188000000000004E-2</v>
      </c>
      <c r="Z143" s="62">
        <v>4.3518999999999995E-2</v>
      </c>
      <c r="AA143" s="62">
        <v>4.3754999999999995E-2</v>
      </c>
      <c r="AB143" s="62">
        <v>4.3921999999999996E-2</v>
      </c>
      <c r="AC143" s="62">
        <v>4.4048999999999998E-2</v>
      </c>
      <c r="AD143" s="62">
        <v>4.4166999999999998E-2</v>
      </c>
      <c r="AE143" s="62">
        <v>4.4306999999999999E-2</v>
      </c>
      <c r="AF143" s="62">
        <v>4.4505999999999997E-2</v>
      </c>
    </row>
    <row r="144" spans="1:32">
      <c r="A144" s="1">
        <v>41120</v>
      </c>
      <c r="B144" s="62">
        <v>1.4729000000000001E-2</v>
      </c>
      <c r="C144" s="62">
        <v>2.2952E-2</v>
      </c>
      <c r="D144" s="62">
        <v>2.3689000000000002E-2</v>
      </c>
      <c r="E144" s="62">
        <v>2.6269999999999998E-2</v>
      </c>
      <c r="F144" s="62">
        <v>2.6627000000000001E-2</v>
      </c>
      <c r="G144" s="62">
        <v>2.8820000000000002E-2</v>
      </c>
      <c r="H144" s="62">
        <v>3.0630999999999999E-2</v>
      </c>
      <c r="I144" s="62">
        <v>3.1347E-2</v>
      </c>
      <c r="J144" s="62">
        <v>3.3271000000000002E-2</v>
      </c>
      <c r="K144" s="62">
        <v>3.3479000000000002E-2</v>
      </c>
      <c r="L144" s="62">
        <v>3.3485999999999995E-2</v>
      </c>
      <c r="M144" s="62">
        <v>3.3836999999999999E-2</v>
      </c>
      <c r="N144" s="62">
        <v>3.4584999999999998E-2</v>
      </c>
      <c r="O144" s="62">
        <v>3.5571999999999999E-2</v>
      </c>
      <c r="P144" s="62">
        <v>3.6630999999999997E-2</v>
      </c>
      <c r="Q144" s="62">
        <v>3.7580000000000002E-2</v>
      </c>
      <c r="R144" s="62">
        <v>3.8377000000000001E-2</v>
      </c>
      <c r="S144" s="62">
        <v>3.9127999999999996E-2</v>
      </c>
      <c r="T144" s="62">
        <v>3.9861000000000001E-2</v>
      </c>
      <c r="U144" s="62">
        <v>4.0606000000000003E-2</v>
      </c>
      <c r="V144" s="62">
        <v>4.1395999999999995E-2</v>
      </c>
      <c r="W144" s="62">
        <v>4.2138999999999996E-2</v>
      </c>
      <c r="X144" s="62">
        <v>4.2726E-2</v>
      </c>
      <c r="Y144" s="62">
        <v>4.3174000000000004E-2</v>
      </c>
      <c r="Z144" s="62">
        <v>4.3503999999999994E-2</v>
      </c>
      <c r="AA144" s="62">
        <v>4.3739999999999994E-2</v>
      </c>
      <c r="AB144" s="62">
        <v>4.3907999999999996E-2</v>
      </c>
      <c r="AC144" s="62">
        <v>4.4035000000000005E-2</v>
      </c>
      <c r="AD144" s="62">
        <v>4.4151999999999997E-2</v>
      </c>
      <c r="AE144" s="62">
        <v>4.4292999999999999E-2</v>
      </c>
      <c r="AF144" s="62">
        <v>4.4490999999999996E-2</v>
      </c>
    </row>
    <row r="145" spans="1:32">
      <c r="A145" s="1">
        <v>41121</v>
      </c>
      <c r="B145" s="62">
        <v>1.5429999999999999E-2</v>
      </c>
      <c r="C145" s="62">
        <v>2.3077E-2</v>
      </c>
      <c r="D145" s="62">
        <v>2.3861E-2</v>
      </c>
      <c r="E145" s="62">
        <v>2.6507999999999997E-2</v>
      </c>
      <c r="F145" s="62">
        <v>2.6744E-2</v>
      </c>
      <c r="G145" s="62">
        <v>2.9009999999999998E-2</v>
      </c>
      <c r="H145" s="62">
        <v>3.0788000000000003E-2</v>
      </c>
      <c r="I145" s="62">
        <v>3.1579000000000003E-2</v>
      </c>
      <c r="J145" s="62">
        <v>3.3249000000000001E-2</v>
      </c>
      <c r="K145" s="62">
        <v>3.3599000000000004E-2</v>
      </c>
      <c r="L145" s="62">
        <v>3.3655999999999998E-2</v>
      </c>
      <c r="M145" s="62">
        <v>3.4041000000000002E-2</v>
      </c>
      <c r="N145" s="62">
        <v>3.4772999999999998E-2</v>
      </c>
      <c r="O145" s="62">
        <v>3.5715999999999998E-2</v>
      </c>
      <c r="P145" s="62">
        <v>3.6722999999999999E-2</v>
      </c>
      <c r="Q145" s="62">
        <v>3.7635999999999996E-2</v>
      </c>
      <c r="R145" s="62">
        <v>3.8420999999999997E-2</v>
      </c>
      <c r="S145" s="62">
        <v>3.9171999999999998E-2</v>
      </c>
      <c r="T145" s="62">
        <v>3.9911000000000002E-2</v>
      </c>
      <c r="U145" s="62">
        <v>4.0663999999999999E-2</v>
      </c>
      <c r="V145" s="62">
        <v>4.1459000000000003E-2</v>
      </c>
      <c r="W145" s="62">
        <v>4.2205000000000006E-2</v>
      </c>
      <c r="X145" s="62">
        <v>4.2796000000000001E-2</v>
      </c>
      <c r="Y145" s="62">
        <v>4.3250999999999998E-2</v>
      </c>
      <c r="Z145" s="62">
        <v>4.3587999999999995E-2</v>
      </c>
      <c r="AA145" s="62">
        <v>4.3830000000000001E-2</v>
      </c>
      <c r="AB145" s="62">
        <v>4.4001999999999999E-2</v>
      </c>
      <c r="AC145" s="62">
        <v>4.4130000000000003E-2</v>
      </c>
      <c r="AD145" s="62">
        <v>4.4244000000000006E-2</v>
      </c>
      <c r="AE145" s="62">
        <v>4.4374000000000004E-2</v>
      </c>
      <c r="AF145" s="62">
        <v>4.4554000000000003E-2</v>
      </c>
    </row>
    <row r="146" spans="1:32">
      <c r="A146" s="1">
        <v>41122</v>
      </c>
      <c r="B146" s="62">
        <v>1.5639E-2</v>
      </c>
      <c r="C146" s="62">
        <v>2.3277000000000003E-2</v>
      </c>
      <c r="D146" s="62">
        <v>2.3762999999999999E-2</v>
      </c>
      <c r="E146" s="62">
        <v>2.6404E-2</v>
      </c>
      <c r="F146" s="62">
        <v>2.6758999999999998E-2</v>
      </c>
      <c r="G146" s="62">
        <v>2.9047999999999997E-2</v>
      </c>
      <c r="H146" s="62">
        <v>3.0934E-2</v>
      </c>
      <c r="I146" s="62">
        <v>3.1653000000000001E-2</v>
      </c>
      <c r="J146" s="62">
        <v>3.3197999999999998E-2</v>
      </c>
      <c r="K146" s="62">
        <v>3.3579999999999999E-2</v>
      </c>
      <c r="L146" s="62">
        <v>3.3660999999999996E-2</v>
      </c>
      <c r="M146" s="62">
        <v>3.4068999999999995E-2</v>
      </c>
      <c r="N146" s="62">
        <v>3.4803000000000001E-2</v>
      </c>
      <c r="O146" s="62">
        <v>3.5734000000000002E-2</v>
      </c>
      <c r="P146" s="62">
        <v>3.6725000000000001E-2</v>
      </c>
      <c r="Q146" s="62">
        <v>3.7630999999999998E-2</v>
      </c>
      <c r="R146" s="62">
        <v>3.8415999999999999E-2</v>
      </c>
      <c r="S146" s="62">
        <v>3.9165999999999999E-2</v>
      </c>
      <c r="T146" s="62">
        <v>3.9906000000000004E-2</v>
      </c>
      <c r="U146" s="62">
        <v>4.0659000000000001E-2</v>
      </c>
      <c r="V146" s="62">
        <v>4.1454999999999999E-2</v>
      </c>
      <c r="W146" s="62">
        <v>4.2199999999999994E-2</v>
      </c>
      <c r="X146" s="62">
        <v>4.2792000000000004E-2</v>
      </c>
      <c r="Y146" s="62">
        <v>4.3246E-2</v>
      </c>
      <c r="Z146" s="62">
        <v>4.3583999999999998E-2</v>
      </c>
      <c r="AA146" s="62">
        <v>4.3826000000000004E-2</v>
      </c>
      <c r="AB146" s="62">
        <v>4.3998000000000002E-2</v>
      </c>
      <c r="AC146" s="62">
        <v>4.4126000000000005E-2</v>
      </c>
      <c r="AD146" s="62">
        <v>4.4240000000000002E-2</v>
      </c>
      <c r="AE146" s="62">
        <v>4.437E-2</v>
      </c>
      <c r="AF146" s="62">
        <v>4.4551E-2</v>
      </c>
    </row>
    <row r="147" spans="1:32">
      <c r="A147" s="1">
        <v>41123</v>
      </c>
      <c r="B147" s="62">
        <v>1.4820999999999999E-2</v>
      </c>
      <c r="C147" s="62">
        <v>2.3306E-2</v>
      </c>
      <c r="D147" s="62">
        <v>2.3733000000000001E-2</v>
      </c>
      <c r="E147" s="62">
        <v>2.6461000000000002E-2</v>
      </c>
      <c r="F147" s="62">
        <v>2.6779999999999998E-2</v>
      </c>
      <c r="G147" s="62">
        <v>2.8938999999999999E-2</v>
      </c>
      <c r="H147" s="62">
        <v>3.0861E-2</v>
      </c>
      <c r="I147" s="62">
        <v>3.1629999999999998E-2</v>
      </c>
      <c r="J147" s="62">
        <v>3.3216000000000002E-2</v>
      </c>
      <c r="K147" s="62">
        <v>3.3538999999999999E-2</v>
      </c>
      <c r="L147" s="62">
        <v>3.3591999999999997E-2</v>
      </c>
      <c r="M147" s="62">
        <v>3.3980999999999997E-2</v>
      </c>
      <c r="N147" s="62">
        <v>3.4722000000000003E-2</v>
      </c>
      <c r="O147" s="62">
        <v>3.5675999999999999E-2</v>
      </c>
      <c r="P147" s="62">
        <v>3.6695000000000005E-2</v>
      </c>
      <c r="Q147" s="62">
        <v>3.7617999999999999E-2</v>
      </c>
      <c r="R147" s="62">
        <v>3.8408999999999999E-2</v>
      </c>
      <c r="S147" s="62">
        <v>3.9158999999999999E-2</v>
      </c>
      <c r="T147" s="62">
        <v>3.9896000000000001E-2</v>
      </c>
      <c r="U147" s="62">
        <v>4.0646000000000002E-2</v>
      </c>
      <c r="V147" s="62">
        <v>4.1440000000000005E-2</v>
      </c>
      <c r="W147" s="62">
        <v>4.2185E-2</v>
      </c>
      <c r="X147" s="62">
        <v>4.2775000000000001E-2</v>
      </c>
      <c r="Y147" s="62">
        <v>4.3228000000000003E-2</v>
      </c>
      <c r="Z147" s="62">
        <v>4.3562999999999998E-2</v>
      </c>
      <c r="AA147" s="62">
        <v>4.3803999999999996E-2</v>
      </c>
      <c r="AB147" s="62">
        <v>4.3975E-2</v>
      </c>
      <c r="AC147" s="62">
        <v>4.4103000000000003E-2</v>
      </c>
      <c r="AD147" s="62">
        <v>4.4217000000000006E-2</v>
      </c>
      <c r="AE147" s="62">
        <v>4.4349999999999994E-2</v>
      </c>
      <c r="AF147" s="62">
        <v>4.4534999999999998E-2</v>
      </c>
    </row>
    <row r="148" spans="1:32">
      <c r="A148" s="1">
        <v>41124</v>
      </c>
      <c r="B148" s="62">
        <v>1.448E-2</v>
      </c>
      <c r="C148" s="62">
        <v>2.3553000000000001E-2</v>
      </c>
      <c r="D148" s="62">
        <v>2.3856000000000002E-2</v>
      </c>
      <c r="E148" s="62">
        <v>2.6568000000000001E-2</v>
      </c>
      <c r="F148" s="62">
        <v>2.6782E-2</v>
      </c>
      <c r="G148" s="62">
        <v>2.9019E-2</v>
      </c>
      <c r="H148" s="62">
        <v>3.0935999999999998E-2</v>
      </c>
      <c r="I148" s="62">
        <v>3.1690000000000003E-2</v>
      </c>
      <c r="J148" s="62">
        <v>3.3250000000000002E-2</v>
      </c>
      <c r="K148" s="62">
        <v>3.3575000000000001E-2</v>
      </c>
      <c r="L148" s="62">
        <v>3.3631000000000001E-2</v>
      </c>
      <c r="M148" s="62">
        <v>3.4020000000000002E-2</v>
      </c>
      <c r="N148" s="62">
        <v>3.4756999999999996E-2</v>
      </c>
      <c r="O148" s="62">
        <v>3.5704E-2</v>
      </c>
      <c r="P148" s="62">
        <v>3.6714999999999998E-2</v>
      </c>
      <c r="Q148" s="62">
        <v>3.7630999999999998E-2</v>
      </c>
      <c r="R148" s="62">
        <v>3.8418000000000001E-2</v>
      </c>
      <c r="S148" s="62">
        <v>3.9169000000000002E-2</v>
      </c>
      <c r="T148" s="62">
        <v>3.9906999999999998E-2</v>
      </c>
      <c r="U148" s="62">
        <v>4.0660000000000002E-2</v>
      </c>
      <c r="V148" s="62">
        <v>4.1454999999999999E-2</v>
      </c>
      <c r="W148" s="62">
        <v>4.2199999999999994E-2</v>
      </c>
      <c r="X148" s="62">
        <v>4.2792000000000004E-2</v>
      </c>
      <c r="Y148" s="62">
        <v>4.3247000000000001E-2</v>
      </c>
      <c r="Z148" s="62">
        <v>4.3583999999999998E-2</v>
      </c>
      <c r="AA148" s="62">
        <v>4.3826999999999998E-2</v>
      </c>
      <c r="AB148" s="62">
        <v>4.3998999999999996E-2</v>
      </c>
      <c r="AC148" s="62">
        <v>4.4127E-2</v>
      </c>
      <c r="AD148" s="62">
        <v>4.4241000000000003E-2</v>
      </c>
      <c r="AE148" s="62">
        <v>4.4371000000000001E-2</v>
      </c>
      <c r="AF148" s="62">
        <v>4.4551E-2</v>
      </c>
    </row>
    <row r="149" spans="1:32">
      <c r="A149" s="1">
        <v>41127</v>
      </c>
      <c r="B149" s="62">
        <v>1.423E-2</v>
      </c>
      <c r="C149" s="62">
        <v>2.3727999999999999E-2</v>
      </c>
      <c r="D149" s="62">
        <v>2.4296999999999999E-2</v>
      </c>
      <c r="E149" s="62">
        <v>2.6852000000000001E-2</v>
      </c>
      <c r="F149" s="62">
        <v>2.7078999999999999E-2</v>
      </c>
      <c r="G149" s="62">
        <v>2.9314E-2</v>
      </c>
      <c r="H149" s="62">
        <v>3.1174E-2</v>
      </c>
      <c r="I149" s="62">
        <v>3.1878999999999998E-2</v>
      </c>
      <c r="J149" s="62">
        <v>3.3242000000000001E-2</v>
      </c>
      <c r="K149" s="62">
        <v>3.3694000000000002E-2</v>
      </c>
      <c r="L149" s="62">
        <v>3.3835999999999998E-2</v>
      </c>
      <c r="M149" s="62">
        <v>3.4294999999999999E-2</v>
      </c>
      <c r="N149" s="62">
        <v>3.5014999999999998E-2</v>
      </c>
      <c r="O149" s="62">
        <v>3.5893000000000001E-2</v>
      </c>
      <c r="P149" s="62">
        <v>3.6823000000000002E-2</v>
      </c>
      <c r="Q149" s="62">
        <v>3.7687999999999999E-2</v>
      </c>
      <c r="R149" s="62">
        <v>3.8460000000000001E-2</v>
      </c>
      <c r="S149" s="62">
        <v>3.9209999999999995E-2</v>
      </c>
      <c r="T149" s="62">
        <v>3.9956999999999999E-2</v>
      </c>
      <c r="U149" s="62">
        <v>4.0719999999999999E-2</v>
      </c>
      <c r="V149" s="62">
        <v>4.1521000000000002E-2</v>
      </c>
      <c r="W149" s="62">
        <v>4.2268999999999994E-2</v>
      </c>
      <c r="X149" s="62">
        <v>4.2866999999999995E-2</v>
      </c>
      <c r="Y149" s="62">
        <v>4.333E-2</v>
      </c>
      <c r="Z149" s="62">
        <v>4.3676000000000006E-2</v>
      </c>
      <c r="AA149" s="62">
        <v>4.3926E-2</v>
      </c>
      <c r="AB149" s="62">
        <v>4.4103000000000003E-2</v>
      </c>
      <c r="AC149" s="62">
        <v>4.4231999999999994E-2</v>
      </c>
      <c r="AD149" s="62">
        <v>4.4340999999999998E-2</v>
      </c>
      <c r="AE149" s="62">
        <v>4.446E-2</v>
      </c>
      <c r="AF149" s="62">
        <v>4.4618000000000005E-2</v>
      </c>
    </row>
    <row r="150" spans="1:32">
      <c r="A150" s="1">
        <v>41128</v>
      </c>
      <c r="B150" s="62">
        <v>1.4791E-2</v>
      </c>
      <c r="C150" s="62">
        <v>2.4077999999999999E-2</v>
      </c>
      <c r="D150" s="62">
        <v>2.5832999999999998E-2</v>
      </c>
      <c r="E150" s="62">
        <v>2.7134000000000002E-2</v>
      </c>
      <c r="F150" s="62">
        <v>2.7288999999999997E-2</v>
      </c>
      <c r="G150" s="62">
        <v>2.9557000000000003E-2</v>
      </c>
      <c r="H150" s="62">
        <v>3.1244999999999998E-2</v>
      </c>
      <c r="I150" s="62">
        <v>3.2163999999999998E-2</v>
      </c>
      <c r="J150" s="62">
        <v>3.3319999999999995E-2</v>
      </c>
      <c r="K150" s="62">
        <v>3.3861000000000002E-2</v>
      </c>
      <c r="L150" s="62">
        <v>3.4034000000000002E-2</v>
      </c>
      <c r="M150" s="62">
        <v>3.4522999999999998E-2</v>
      </c>
      <c r="N150" s="62">
        <v>3.5220000000000001E-2</v>
      </c>
      <c r="O150" s="62">
        <v>3.6046999999999996E-2</v>
      </c>
      <c r="P150" s="62">
        <v>3.6922999999999997E-2</v>
      </c>
      <c r="Q150" s="62">
        <v>3.7758E-2</v>
      </c>
      <c r="R150" s="62">
        <v>3.8528E-2</v>
      </c>
      <c r="S150" s="62">
        <v>3.9279000000000001E-2</v>
      </c>
      <c r="T150" s="62">
        <v>4.0029000000000002E-2</v>
      </c>
      <c r="U150" s="62">
        <v>4.0795999999999999E-2</v>
      </c>
      <c r="V150" s="62">
        <v>4.1599999999999998E-2</v>
      </c>
      <c r="W150" s="62">
        <v>4.2352000000000001E-2</v>
      </c>
      <c r="X150" s="62">
        <v>4.2956000000000001E-2</v>
      </c>
      <c r="Y150" s="62">
        <v>4.3428000000000001E-2</v>
      </c>
      <c r="Z150" s="62">
        <v>4.3784000000000003E-2</v>
      </c>
      <c r="AA150" s="62">
        <v>4.4042999999999999E-2</v>
      </c>
      <c r="AB150" s="62">
        <v>4.4226000000000001E-2</v>
      </c>
      <c r="AC150" s="62">
        <v>4.4357000000000001E-2</v>
      </c>
      <c r="AD150" s="62">
        <v>4.446E-2</v>
      </c>
      <c r="AE150" s="62">
        <v>4.4564000000000006E-2</v>
      </c>
      <c r="AF150" s="62">
        <v>4.4698000000000002E-2</v>
      </c>
    </row>
    <row r="151" spans="1:32">
      <c r="A151" s="1">
        <v>41129</v>
      </c>
      <c r="B151" s="62">
        <v>1.4929E-2</v>
      </c>
      <c r="C151" s="62">
        <v>2.4378E-2</v>
      </c>
      <c r="D151" s="62">
        <v>2.6148999999999999E-2</v>
      </c>
      <c r="E151" s="62">
        <v>2.7389E-2</v>
      </c>
      <c r="F151" s="62">
        <v>2.7595000000000001E-2</v>
      </c>
      <c r="G151" s="62">
        <v>2.9996999999999999E-2</v>
      </c>
      <c r="H151" s="62">
        <v>3.1718000000000003E-2</v>
      </c>
      <c r="I151" s="62">
        <v>3.2400000000000005E-2</v>
      </c>
      <c r="J151" s="62">
        <v>3.3464999999999995E-2</v>
      </c>
      <c r="K151" s="62">
        <v>3.4028999999999997E-2</v>
      </c>
      <c r="L151" s="62">
        <v>3.4283000000000001E-2</v>
      </c>
      <c r="M151" s="62">
        <v>3.4803000000000001E-2</v>
      </c>
      <c r="N151" s="62">
        <v>3.5478000000000003E-2</v>
      </c>
      <c r="O151" s="62">
        <v>3.6251000000000005E-2</v>
      </c>
      <c r="P151" s="62">
        <v>3.7062999999999999E-2</v>
      </c>
      <c r="Q151" s="62">
        <v>3.7850000000000002E-2</v>
      </c>
      <c r="R151" s="62">
        <v>3.8599000000000001E-2</v>
      </c>
      <c r="S151" s="62">
        <v>3.9348999999999995E-2</v>
      </c>
      <c r="T151" s="62">
        <v>4.011E-2</v>
      </c>
      <c r="U151" s="62">
        <v>4.0891000000000004E-2</v>
      </c>
      <c r="V151" s="62">
        <v>4.1702000000000003E-2</v>
      </c>
      <c r="W151" s="62">
        <v>4.2458000000000003E-2</v>
      </c>
      <c r="X151" s="62">
        <v>4.3071999999999999E-2</v>
      </c>
      <c r="Y151" s="62">
        <v>4.3555000000000003E-2</v>
      </c>
      <c r="Z151" s="62">
        <v>4.3922999999999997E-2</v>
      </c>
      <c r="AA151" s="62">
        <v>4.4192000000000002E-2</v>
      </c>
      <c r="AB151" s="62">
        <v>4.4382000000000005E-2</v>
      </c>
      <c r="AC151" s="62">
        <v>4.4513999999999998E-2</v>
      </c>
      <c r="AD151" s="62">
        <v>4.4610999999999998E-2</v>
      </c>
      <c r="AE151" s="62">
        <v>4.4698000000000002E-2</v>
      </c>
      <c r="AF151" s="62">
        <v>4.4800000000000006E-2</v>
      </c>
    </row>
    <row r="152" spans="1:32">
      <c r="A152" s="1">
        <v>41130</v>
      </c>
      <c r="B152" s="62">
        <v>1.5438E-2</v>
      </c>
      <c r="C152" s="62">
        <v>2.4381E-2</v>
      </c>
      <c r="D152" s="62">
        <v>2.6053000000000003E-2</v>
      </c>
      <c r="E152" s="62">
        <v>2.6998000000000001E-2</v>
      </c>
      <c r="F152" s="62">
        <v>2.7564999999999999E-2</v>
      </c>
      <c r="G152" s="62">
        <v>2.9910000000000003E-2</v>
      </c>
      <c r="H152" s="62">
        <v>3.1567999999999999E-2</v>
      </c>
      <c r="I152" s="62">
        <v>3.2294000000000003E-2</v>
      </c>
      <c r="J152" s="62">
        <v>3.3430000000000001E-2</v>
      </c>
      <c r="K152" s="62">
        <v>3.3645999999999995E-2</v>
      </c>
      <c r="L152" s="62">
        <v>3.3681000000000003E-2</v>
      </c>
      <c r="M152" s="62">
        <v>3.4055000000000002E-2</v>
      </c>
      <c r="N152" s="62">
        <v>3.4787999999999999E-2</v>
      </c>
      <c r="O152" s="62">
        <v>3.5736999999999998E-2</v>
      </c>
      <c r="P152" s="62">
        <v>3.6749999999999998E-2</v>
      </c>
      <c r="Q152" s="62">
        <v>3.7662000000000001E-2</v>
      </c>
      <c r="R152" s="62">
        <v>3.8443999999999999E-2</v>
      </c>
      <c r="S152" s="62">
        <v>3.9197000000000003E-2</v>
      </c>
      <c r="T152" s="62">
        <v>3.9940000000000003E-2</v>
      </c>
      <c r="U152" s="62">
        <v>4.0698999999999999E-2</v>
      </c>
      <c r="V152" s="62">
        <v>4.1498E-2</v>
      </c>
      <c r="W152" s="62">
        <v>4.2247000000000007E-2</v>
      </c>
      <c r="X152" s="62">
        <v>4.2846000000000002E-2</v>
      </c>
      <c r="Y152" s="62">
        <v>4.3309E-2</v>
      </c>
      <c r="Z152" s="62">
        <v>4.3656E-2</v>
      </c>
      <c r="AA152" s="62">
        <v>4.3907000000000002E-2</v>
      </c>
      <c r="AB152" s="62">
        <v>4.4084999999999999E-2</v>
      </c>
      <c r="AC152" s="62">
        <v>4.4214999999999997E-2</v>
      </c>
      <c r="AD152" s="62">
        <v>4.4325000000000003E-2</v>
      </c>
      <c r="AE152" s="62">
        <v>4.4443000000000003E-2</v>
      </c>
      <c r="AF152" s="62">
        <v>4.4602000000000003E-2</v>
      </c>
    </row>
    <row r="153" spans="1:32">
      <c r="A153" s="1">
        <v>41131</v>
      </c>
      <c r="B153" s="62">
        <v>1.6039000000000001E-2</v>
      </c>
      <c r="C153" s="62">
        <v>2.3959000000000001E-2</v>
      </c>
      <c r="D153" s="62">
        <v>2.5932E-2</v>
      </c>
      <c r="E153" s="62">
        <v>2.6785999999999997E-2</v>
      </c>
      <c r="F153" s="62">
        <v>2.7494000000000001E-2</v>
      </c>
      <c r="G153" s="62">
        <v>2.9892999999999999E-2</v>
      </c>
      <c r="H153" s="62">
        <v>3.1224999999999999E-2</v>
      </c>
      <c r="I153" s="62">
        <v>3.2273999999999997E-2</v>
      </c>
      <c r="J153" s="62">
        <v>3.3361999999999996E-2</v>
      </c>
      <c r="K153" s="62">
        <v>3.3467999999999998E-2</v>
      </c>
      <c r="L153" s="62">
        <v>3.3466999999999997E-2</v>
      </c>
      <c r="M153" s="62">
        <v>3.3820999999999997E-2</v>
      </c>
      <c r="N153" s="62">
        <v>3.4568000000000002E-2</v>
      </c>
      <c r="O153" s="62">
        <v>3.5552E-2</v>
      </c>
      <c r="P153" s="62">
        <v>3.6603999999999998E-2</v>
      </c>
      <c r="Q153" s="62">
        <v>3.7545000000000002E-2</v>
      </c>
      <c r="R153" s="62">
        <v>3.8336000000000002E-2</v>
      </c>
      <c r="S153" s="62">
        <v>3.9088999999999999E-2</v>
      </c>
      <c r="T153" s="62">
        <v>3.9827000000000001E-2</v>
      </c>
      <c r="U153" s="62">
        <v>4.0579000000000004E-2</v>
      </c>
      <c r="V153" s="62">
        <v>4.1373E-2</v>
      </c>
      <c r="W153" s="62">
        <v>4.2138000000000002E-2</v>
      </c>
      <c r="X153" s="62">
        <v>4.2779999999999999E-2</v>
      </c>
      <c r="Y153" s="62">
        <v>4.3310000000000001E-2</v>
      </c>
      <c r="Z153" s="62">
        <v>4.3737999999999999E-2</v>
      </c>
      <c r="AA153" s="62">
        <v>4.4077000000000005E-2</v>
      </c>
      <c r="AB153" s="62">
        <v>4.4340000000000004E-2</v>
      </c>
      <c r="AC153" s="62">
        <v>4.4542999999999999E-2</v>
      </c>
      <c r="AD153" s="62">
        <v>4.4703E-2</v>
      </c>
      <c r="AE153" s="62">
        <v>4.4839000000000004E-2</v>
      </c>
      <c r="AF153" s="62">
        <v>4.4972000000000005E-2</v>
      </c>
    </row>
    <row r="154" spans="1:32">
      <c r="A154" s="1">
        <v>41134</v>
      </c>
      <c r="B154" s="62">
        <v>1.3788E-2</v>
      </c>
      <c r="C154" s="62">
        <v>2.4134000000000003E-2</v>
      </c>
      <c r="D154" s="62">
        <v>2.6113000000000001E-2</v>
      </c>
      <c r="E154" s="62">
        <v>2.7067000000000001E-2</v>
      </c>
      <c r="F154" s="62">
        <v>2.7467000000000002E-2</v>
      </c>
      <c r="G154" s="62">
        <v>3.0194000000000002E-2</v>
      </c>
      <c r="H154" s="62">
        <v>3.1630999999999999E-2</v>
      </c>
      <c r="I154" s="62">
        <v>3.2507000000000001E-2</v>
      </c>
      <c r="J154" s="62">
        <v>3.3399999999999999E-2</v>
      </c>
      <c r="K154" s="62">
        <v>3.3628999999999999E-2</v>
      </c>
      <c r="L154" s="62">
        <v>3.3680000000000002E-2</v>
      </c>
      <c r="M154" s="62">
        <v>3.4068999999999995E-2</v>
      </c>
      <c r="N154" s="62">
        <v>3.4795E-2</v>
      </c>
      <c r="O154" s="62">
        <v>3.5723999999999999E-2</v>
      </c>
      <c r="P154" s="62">
        <v>3.6713000000000003E-2</v>
      </c>
      <c r="Q154" s="62">
        <v>3.7608000000000003E-2</v>
      </c>
      <c r="R154" s="62">
        <v>3.8383E-2</v>
      </c>
      <c r="S154" s="62">
        <v>3.9135000000000003E-2</v>
      </c>
      <c r="T154" s="62">
        <v>3.9882000000000001E-2</v>
      </c>
      <c r="U154" s="62">
        <v>4.0645000000000001E-2</v>
      </c>
      <c r="V154" s="62">
        <v>4.1445999999999997E-2</v>
      </c>
      <c r="W154" s="62">
        <v>4.2203999999999998E-2</v>
      </c>
      <c r="X154" s="62">
        <v>4.2827000000000004E-2</v>
      </c>
      <c r="Y154" s="62">
        <v>4.3327999999999998E-2</v>
      </c>
      <c r="Z154" s="62">
        <v>4.3719000000000001E-2</v>
      </c>
      <c r="AA154" s="62">
        <v>4.4017999999999995E-2</v>
      </c>
      <c r="AB154" s="62">
        <v>4.4241999999999997E-2</v>
      </c>
      <c r="AC154" s="62">
        <v>4.4409999999999998E-2</v>
      </c>
      <c r="AD154" s="62">
        <v>4.4544E-2</v>
      </c>
      <c r="AE154" s="62">
        <v>4.4667999999999999E-2</v>
      </c>
      <c r="AF154" s="62">
        <v>4.4805999999999999E-2</v>
      </c>
    </row>
    <row r="155" spans="1:32">
      <c r="A155" s="1">
        <v>41135</v>
      </c>
      <c r="B155" s="62">
        <v>1.6197E-2</v>
      </c>
      <c r="C155" s="62">
        <v>2.4183E-2</v>
      </c>
      <c r="D155" s="62">
        <v>2.6364000000000002E-2</v>
      </c>
      <c r="E155" s="62">
        <v>2.7439000000000002E-2</v>
      </c>
      <c r="F155" s="62">
        <v>2.7778000000000001E-2</v>
      </c>
      <c r="G155" s="62">
        <v>3.0447999999999999E-2</v>
      </c>
      <c r="H155" s="62">
        <v>3.1877000000000003E-2</v>
      </c>
      <c r="I155" s="62">
        <v>3.2665E-2</v>
      </c>
      <c r="J155" s="62">
        <v>3.3369000000000003E-2</v>
      </c>
      <c r="K155" s="62">
        <v>3.3641000000000004E-2</v>
      </c>
      <c r="L155" s="62">
        <v>3.3744999999999997E-2</v>
      </c>
      <c r="M155" s="62">
        <v>3.4182999999999998E-2</v>
      </c>
      <c r="N155" s="62">
        <v>3.4915000000000002E-2</v>
      </c>
      <c r="O155" s="62">
        <v>3.5823999999999995E-2</v>
      </c>
      <c r="P155" s="62">
        <v>3.6788000000000001E-2</v>
      </c>
      <c r="Q155" s="62">
        <v>3.7672999999999998E-2</v>
      </c>
      <c r="R155" s="62">
        <v>3.8448000000000003E-2</v>
      </c>
      <c r="S155" s="62">
        <v>3.9190000000000003E-2</v>
      </c>
      <c r="T155" s="62">
        <v>3.9923E-2</v>
      </c>
      <c r="U155" s="62">
        <v>4.0669000000000004E-2</v>
      </c>
      <c r="V155" s="62">
        <v>4.1456999999999994E-2</v>
      </c>
      <c r="W155" s="62">
        <v>4.2202999999999997E-2</v>
      </c>
      <c r="X155" s="62">
        <v>4.2817000000000001E-2</v>
      </c>
      <c r="Y155" s="62">
        <v>4.3309E-2</v>
      </c>
      <c r="Z155" s="62">
        <v>4.3693000000000003E-2</v>
      </c>
      <c r="AA155" s="62">
        <v>4.3985000000000003E-2</v>
      </c>
      <c r="AB155" s="62">
        <v>4.4204E-2</v>
      </c>
      <c r="AC155" s="62">
        <v>4.4368999999999999E-2</v>
      </c>
      <c r="AD155" s="62">
        <v>4.4500999999999999E-2</v>
      </c>
      <c r="AE155" s="62">
        <v>4.4623999999999997E-2</v>
      </c>
      <c r="AF155" s="62">
        <v>4.4763000000000004E-2</v>
      </c>
    </row>
    <row r="156" spans="1:32">
      <c r="A156" s="1">
        <v>41136</v>
      </c>
      <c r="B156" s="62">
        <v>2.0562999999999998E-2</v>
      </c>
      <c r="C156" s="62">
        <v>2.4571999999999997E-2</v>
      </c>
      <c r="D156" s="62">
        <v>2.7014E-2</v>
      </c>
      <c r="E156" s="62">
        <v>2.7892E-2</v>
      </c>
      <c r="F156" s="62">
        <v>2.8285999999999999E-2</v>
      </c>
      <c r="G156" s="62">
        <v>3.0889000000000003E-2</v>
      </c>
      <c r="H156" s="62">
        <v>3.2170000000000004E-2</v>
      </c>
      <c r="I156" s="62">
        <v>3.279E-2</v>
      </c>
      <c r="J156" s="62">
        <v>3.3530999999999998E-2</v>
      </c>
      <c r="K156" s="62">
        <v>3.3877000000000004E-2</v>
      </c>
      <c r="L156" s="62">
        <v>3.4047999999999995E-2</v>
      </c>
      <c r="M156" s="62">
        <v>3.4525E-2</v>
      </c>
      <c r="N156" s="62">
        <v>3.5228000000000002E-2</v>
      </c>
      <c r="O156" s="62">
        <v>3.6067999999999996E-2</v>
      </c>
      <c r="P156" s="62">
        <v>3.6953E-2</v>
      </c>
      <c r="Q156" s="62">
        <v>3.7780000000000001E-2</v>
      </c>
      <c r="R156" s="62">
        <v>3.8525999999999998E-2</v>
      </c>
      <c r="S156" s="62">
        <v>3.9248999999999999E-2</v>
      </c>
      <c r="T156" s="62">
        <v>3.9966000000000002E-2</v>
      </c>
      <c r="U156" s="62">
        <v>4.0697999999999998E-2</v>
      </c>
      <c r="V156" s="62">
        <v>4.1466000000000003E-2</v>
      </c>
      <c r="W156" s="62">
        <v>4.2194000000000002E-2</v>
      </c>
      <c r="X156" s="62">
        <v>4.2795E-2</v>
      </c>
      <c r="Y156" s="62">
        <v>4.3280000000000006E-2</v>
      </c>
      <c r="Z156" s="62">
        <v>4.3661000000000005E-2</v>
      </c>
      <c r="AA156" s="62">
        <v>4.3954000000000007E-2</v>
      </c>
      <c r="AB156" s="62">
        <v>4.4173999999999998E-2</v>
      </c>
      <c r="AC156" s="62">
        <v>4.4340999999999998E-2</v>
      </c>
      <c r="AD156" s="62">
        <v>4.4474E-2</v>
      </c>
      <c r="AE156" s="62">
        <v>4.4595000000000003E-2</v>
      </c>
      <c r="AF156" s="62">
        <v>4.4726999999999996E-2</v>
      </c>
    </row>
    <row r="157" spans="1:32">
      <c r="A157" s="1">
        <v>41137</v>
      </c>
      <c r="B157" s="62">
        <v>2.0389000000000001E-2</v>
      </c>
      <c r="C157" s="62">
        <v>2.4622000000000002E-2</v>
      </c>
      <c r="D157" s="62">
        <v>2.7136999999999998E-2</v>
      </c>
      <c r="E157" s="62">
        <v>2.8087000000000001E-2</v>
      </c>
      <c r="F157" s="62">
        <v>2.8386000000000002E-2</v>
      </c>
      <c r="G157" s="62">
        <v>3.0997E-2</v>
      </c>
      <c r="H157" s="62">
        <v>3.2214E-2</v>
      </c>
      <c r="I157" s="62">
        <v>3.2939999999999997E-2</v>
      </c>
      <c r="J157" s="62">
        <v>3.3547E-2</v>
      </c>
      <c r="K157" s="62">
        <v>3.3889000000000002E-2</v>
      </c>
      <c r="L157" s="62">
        <v>3.4114999999999999E-2</v>
      </c>
      <c r="M157" s="62">
        <v>3.4603000000000002E-2</v>
      </c>
      <c r="N157" s="62">
        <v>3.5298999999999997E-2</v>
      </c>
      <c r="O157" s="62">
        <v>3.6122999999999995E-2</v>
      </c>
      <c r="P157" s="62">
        <v>3.6988E-2</v>
      </c>
      <c r="Q157" s="62">
        <v>3.7803000000000003E-2</v>
      </c>
      <c r="R157" s="62">
        <v>3.8542E-2</v>
      </c>
      <c r="S157" s="62">
        <v>3.9260000000000003E-2</v>
      </c>
      <c r="T157" s="62">
        <v>3.9973999999999996E-2</v>
      </c>
      <c r="U157" s="62">
        <v>4.0702999999999996E-2</v>
      </c>
      <c r="V157" s="62">
        <v>4.1467999999999998E-2</v>
      </c>
      <c r="W157" s="62">
        <v>4.2192E-2</v>
      </c>
      <c r="X157" s="62">
        <v>4.2790000000000002E-2</v>
      </c>
      <c r="Y157" s="62">
        <v>4.3272999999999999E-2</v>
      </c>
      <c r="Z157" s="62">
        <v>4.3653000000000004E-2</v>
      </c>
      <c r="AA157" s="62">
        <v>4.3945999999999999E-2</v>
      </c>
      <c r="AB157" s="62">
        <v>4.4168000000000006E-2</v>
      </c>
      <c r="AC157" s="62">
        <v>4.4335000000000006E-2</v>
      </c>
      <c r="AD157" s="62">
        <v>4.4467999999999994E-2</v>
      </c>
      <c r="AE157" s="62">
        <v>4.4588999999999997E-2</v>
      </c>
      <c r="AF157" s="62">
        <v>4.4718999999999995E-2</v>
      </c>
    </row>
    <row r="158" spans="1:32">
      <c r="A158" s="63">
        <v>41138</v>
      </c>
      <c r="B158" s="62">
        <v>2.1196000000000003E-2</v>
      </c>
      <c r="C158" s="62">
        <v>2.4745E-2</v>
      </c>
      <c r="D158" s="62">
        <v>2.7250999999999997E-2</v>
      </c>
      <c r="E158" s="62">
        <v>2.8081999999999999E-2</v>
      </c>
      <c r="F158" s="62">
        <v>2.8553000000000002E-2</v>
      </c>
      <c r="G158" s="62">
        <v>3.1156000000000003E-2</v>
      </c>
      <c r="H158" s="62">
        <v>3.2167000000000001E-2</v>
      </c>
      <c r="I158" s="62">
        <v>3.2780000000000004E-2</v>
      </c>
      <c r="J158" s="62">
        <v>3.3597000000000002E-2</v>
      </c>
      <c r="K158" s="62">
        <v>3.3871000000000005E-2</v>
      </c>
      <c r="L158" s="62">
        <v>3.3963E-2</v>
      </c>
      <c r="M158" s="62">
        <v>3.4381000000000002E-2</v>
      </c>
      <c r="N158" s="62">
        <v>3.5089999999999996E-2</v>
      </c>
      <c r="O158" s="62">
        <v>3.5977000000000002E-2</v>
      </c>
      <c r="P158" s="62">
        <v>3.6916999999999998E-2</v>
      </c>
      <c r="Q158" s="62">
        <v>3.7776999999999998E-2</v>
      </c>
      <c r="R158" s="62">
        <v>3.8528E-2</v>
      </c>
      <c r="S158" s="62">
        <v>3.9251999999999995E-2</v>
      </c>
      <c r="T158" s="62">
        <v>3.9967999999999997E-2</v>
      </c>
      <c r="U158" s="62">
        <v>4.0697999999999998E-2</v>
      </c>
      <c r="V158" s="62">
        <v>4.1466000000000003E-2</v>
      </c>
      <c r="W158" s="62">
        <v>4.2194000000000002E-2</v>
      </c>
      <c r="X158" s="62">
        <v>4.2793999999999999E-2</v>
      </c>
      <c r="Y158" s="62">
        <v>4.3276000000000002E-2</v>
      </c>
      <c r="Z158" s="62">
        <v>4.3653999999999998E-2</v>
      </c>
      <c r="AA158" s="62">
        <v>4.3944000000000004E-2</v>
      </c>
      <c r="AB158" s="62">
        <v>4.4160999999999999E-2</v>
      </c>
      <c r="AC158" s="62">
        <v>4.4325999999999997E-2</v>
      </c>
      <c r="AD158" s="62">
        <v>4.4457000000000003E-2</v>
      </c>
      <c r="AE158" s="62">
        <v>4.4578E-2</v>
      </c>
      <c r="AF158" s="62">
        <v>4.4711999999999995E-2</v>
      </c>
    </row>
    <row r="159" spans="1:32">
      <c r="A159" s="63">
        <v>41141</v>
      </c>
      <c r="B159" s="62">
        <v>2.2970999999999998E-2</v>
      </c>
      <c r="C159" s="62">
        <v>2.5215999999999999E-2</v>
      </c>
      <c r="D159" s="62">
        <v>2.7595000000000001E-2</v>
      </c>
      <c r="E159" s="62">
        <v>2.8879999999999999E-2</v>
      </c>
      <c r="F159" s="62">
        <v>2.9443E-2</v>
      </c>
      <c r="G159" s="62">
        <v>3.1221000000000002E-2</v>
      </c>
      <c r="H159" s="62">
        <v>3.2252000000000003E-2</v>
      </c>
      <c r="I159" s="62">
        <v>3.3224999999999998E-2</v>
      </c>
      <c r="J159" s="62">
        <v>3.3675999999999998E-2</v>
      </c>
      <c r="K159" s="62">
        <v>3.3973000000000003E-2</v>
      </c>
      <c r="L159" s="62">
        <v>3.4176999999999999E-2</v>
      </c>
      <c r="M159" s="62">
        <v>3.4645000000000002E-2</v>
      </c>
      <c r="N159" s="62">
        <v>3.5333999999999997E-2</v>
      </c>
      <c r="O159" s="62">
        <v>3.6158000000000003E-2</v>
      </c>
      <c r="P159" s="62">
        <v>3.7024000000000001E-2</v>
      </c>
      <c r="Q159" s="62">
        <v>3.7834E-2</v>
      </c>
      <c r="R159" s="62">
        <v>3.8565000000000002E-2</v>
      </c>
      <c r="S159" s="62">
        <v>3.9275000000000004E-2</v>
      </c>
      <c r="T159" s="62">
        <v>3.9981000000000003E-2</v>
      </c>
      <c r="U159" s="62">
        <v>4.0701999999999995E-2</v>
      </c>
      <c r="V159" s="62">
        <v>4.1458000000000002E-2</v>
      </c>
      <c r="W159" s="62">
        <v>4.2175999999999998E-2</v>
      </c>
      <c r="X159" s="62">
        <v>4.2770999999999997E-2</v>
      </c>
      <c r="Y159" s="62">
        <v>4.3255999999999996E-2</v>
      </c>
      <c r="Z159" s="62">
        <v>4.3640999999999999E-2</v>
      </c>
      <c r="AA159" s="62">
        <v>4.394E-2</v>
      </c>
      <c r="AB159" s="62">
        <v>4.4168000000000006E-2</v>
      </c>
      <c r="AC159" s="62">
        <v>4.4340999999999998E-2</v>
      </c>
      <c r="AD159" s="62">
        <v>4.4477000000000003E-2</v>
      </c>
      <c r="AE159" s="62">
        <v>4.4596999999999998E-2</v>
      </c>
      <c r="AF159" s="62">
        <v>4.4721000000000004E-2</v>
      </c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089"/>
  <sheetViews>
    <sheetView workbookViewId="0">
      <selection activeCell="I36" sqref="I36"/>
    </sheetView>
  </sheetViews>
  <sheetFormatPr defaultRowHeight="13.5"/>
  <cols>
    <col min="1" max="1" width="37.125" style="51" bestFit="1" customWidth="1"/>
    <col min="2" max="3" width="17.25" style="51" bestFit="1" customWidth="1"/>
    <col min="4" max="4" width="31.625" style="51" bestFit="1" customWidth="1"/>
    <col min="5" max="5" width="26.125" style="51" bestFit="1" customWidth="1"/>
    <col min="6" max="7" width="15" style="51" bestFit="1" customWidth="1"/>
    <col min="8" max="8" width="10.5" style="51" bestFit="1" customWidth="1"/>
    <col min="9" max="9" width="27.25" style="51" bestFit="1" customWidth="1"/>
    <col min="10" max="10" width="12.75" style="51" bestFit="1" customWidth="1"/>
    <col min="11" max="16384" width="9" style="51"/>
  </cols>
  <sheetData>
    <row r="1" spans="1:9">
      <c r="A1" s="58" t="s">
        <v>104</v>
      </c>
      <c r="B1" s="55">
        <v>41137</v>
      </c>
      <c r="C1" s="58" t="s">
        <v>105</v>
      </c>
      <c r="D1" s="56">
        <f ca="1">_xll.qlCalendarAdvance("China",B1,"1D")</f>
        <v>41138</v>
      </c>
    </row>
    <row r="3" spans="1:9">
      <c r="A3" s="59" t="s">
        <v>106</v>
      </c>
      <c r="B3" s="57" t="str">
        <f ca="1">_xll.qlFlatForward(A3,,"China",0.05,"Bond Basis",,,,,TRUE)</f>
        <v>Flat curve#0013</v>
      </c>
    </row>
    <row r="5" spans="1:9" ht="15">
      <c r="A5" s="35"/>
    </row>
    <row r="7" spans="1:9">
      <c r="D7" s="52">
        <v>39480</v>
      </c>
    </row>
    <row r="8" spans="1:9">
      <c r="D8" s="52"/>
    </row>
    <row r="9" spans="1:9">
      <c r="B9" s="51" t="e">
        <f ca="1">_xll.qlBondCleanPriceFromYieldTermStructure(E13,B3,D1)</f>
        <v>#NUM!</v>
      </c>
      <c r="C9" s="51" t="e">
        <f ca="1">_xll.qlBondAtmRateFromYieldTermStructure(E13,B3,D1,B8)</f>
        <v>#NUM!</v>
      </c>
      <c r="D9" s="52"/>
    </row>
    <row r="10" spans="1:9">
      <c r="D10" s="52"/>
    </row>
    <row r="11" spans="1:9">
      <c r="D11" s="52"/>
    </row>
    <row r="12" spans="1:9">
      <c r="A12" s="51" t="s">
        <v>107</v>
      </c>
      <c r="B12" s="51" t="s">
        <v>50</v>
      </c>
      <c r="C12" s="51" t="s">
        <v>101</v>
      </c>
      <c r="D12" s="51" t="s">
        <v>102</v>
      </c>
      <c r="E12" s="51" t="s">
        <v>103</v>
      </c>
      <c r="F12" s="51" t="s">
        <v>109</v>
      </c>
      <c r="G12" s="51" t="s">
        <v>110</v>
      </c>
    </row>
    <row r="13" spans="1:9">
      <c r="A13" s="51" t="s">
        <v>51</v>
      </c>
      <c r="B13" s="52">
        <f t="shared" ref="B13:B44" ca="1" si="0">$B$1</f>
        <v>41137</v>
      </c>
      <c r="C13" s="52">
        <f ca="1">_xll.qlCalendarAdvance("China",_xll.qlCalendarAdvance("China",$B$1,A13),"-6M")</f>
        <v>41323</v>
      </c>
      <c r="D13" s="51" t="str">
        <f ca="1">_xll.qlSchedule("Dummy_Bond_"&amp;A13&amp;"_schedule",$D$1,C13,"1Y","China","Following","Following",,,,,,,TRUE)</f>
        <v>Dummy_Bond_1Y_schedule#0057</v>
      </c>
      <c r="E13" s="51" t="str">
        <f ca="1">_xll.qlFixedRateBond("Fixed_Rate_Bond_"&amp;A13,,"CNY",1,100,D13,0,"Bond Basis","Following",100,B13,"China",,,TRUE)</f>
        <v>Fixed_Rate_Bond_1Y#0059</v>
      </c>
      <c r="F13" s="51">
        <f ca="1">_xll.qlBondCleanPriceFromYieldTermStructure(E13,$B$3,$D$1)</f>
        <v>97.517446172481755</v>
      </c>
      <c r="G13" s="51">
        <f ca="1">_xll.qlBondCleanPriceFromYieldTermStructure(E13,$E$66,$D$1)</f>
        <v>97.517446172481797</v>
      </c>
      <c r="H13" s="53"/>
      <c r="I13" s="52"/>
    </row>
    <row r="14" spans="1:9">
      <c r="A14" s="51" t="s">
        <v>52</v>
      </c>
      <c r="B14" s="52">
        <f t="shared" ca="1" si="0"/>
        <v>41137</v>
      </c>
      <c r="C14" s="52">
        <f ca="1">_xll.qlCalendarAdvance("China",_xll.qlCalendarAdvance("China",$B$1,A14),"-6M")</f>
        <v>41688</v>
      </c>
      <c r="D14" s="51" t="str">
        <f ca="1">_xll.qlSchedule("Dummy_Bond_"&amp;A14&amp;"_schedule",$D$1,C14,"1Y","China","Following","Following",,,,,,,TRUE)</f>
        <v>Dummy_Bond_2Y_schedule#0058</v>
      </c>
      <c r="E14" s="51" t="str">
        <f ca="1">_xll.qlFixedRateBond("Fixed_Rate_Bond_"&amp;A14,,"CNY",1,100,D14,0,"Bond Basis","Following",100,B14,"China",,,TRUE)</f>
        <v>Fixed_Rate_Bond_2Y#0058</v>
      </c>
      <c r="F14" s="51">
        <f ca="1">_xll.qlBondCleanPriceFromYieldTermStructure(E14,$B$3,$D$1)</f>
        <v>92.761464201429177</v>
      </c>
      <c r="G14" s="51">
        <f ca="1">_xll.qlBondCleanPriceFromYieldTermStructure(E14,$E$66,$D$1)</f>
        <v>92.761464201429206</v>
      </c>
      <c r="H14" s="53"/>
      <c r="I14" s="52"/>
    </row>
    <row r="15" spans="1:9">
      <c r="A15" s="51" t="s">
        <v>53</v>
      </c>
      <c r="B15" s="52">
        <f t="shared" ca="1" si="0"/>
        <v>41137</v>
      </c>
      <c r="C15" s="52">
        <f ca="1">_xll.qlCalendarAdvance("China",_xll.qlCalendarAdvance("China",$B$1,A15),"-6M")</f>
        <v>42052</v>
      </c>
      <c r="D15" s="51" t="str">
        <f ca="1">_xll.qlSchedule("Dummy_Bond_"&amp;A15&amp;"_schedule",$D$1,C15,"1Y","China","Following","Following",,,,,,,TRUE)</f>
        <v>Dummy_Bond_3Y_schedule#0058</v>
      </c>
      <c r="E15" s="51" t="str">
        <f ca="1">_xll.qlFixedRateBond("Fixed_Rate_Bond_"&amp;A15,,"CNY",1,100,D15,0,"Bond Basis","Following",100,B15,"China",,,TRUE)</f>
        <v>Fixed_Rate_Bond_3Y#0058</v>
      </c>
      <c r="F15" s="51">
        <f ca="1">_xll.qlBondCleanPriceFromYieldTermStructure(E15,$B$3,$D$1)</f>
        <v>88.249690258459523</v>
      </c>
      <c r="G15" s="51">
        <f ca="1">_xll.qlBondCleanPriceFromYieldTermStructure(E15,$E$66,$D$1)</f>
        <v>88.24969025845958</v>
      </c>
      <c r="H15" s="53"/>
      <c r="I15" s="52"/>
    </row>
    <row r="16" spans="1:9">
      <c r="A16" s="51" t="s">
        <v>59</v>
      </c>
      <c r="B16" s="52">
        <f t="shared" ca="1" si="0"/>
        <v>41137</v>
      </c>
      <c r="C16" s="52">
        <f ca="1">_xll.qlCalendarAdvance("China",_xll.qlCalendarAdvance("China",$B$1,A16),"-6M")</f>
        <v>42416</v>
      </c>
      <c r="D16" s="51" t="str">
        <f ca="1">_xll.qlSchedule("Dummy_Bond_"&amp;A16&amp;"_schedule",$D$1,C16,"1Y","China","Following","Following",,,,,,,TRUE)</f>
        <v>Dummy_Bond_4Y_schedule#0058</v>
      </c>
      <c r="E16" s="51" t="str">
        <f ca="1">_xll.qlFixedRateBond("Fixed_Rate_Bond_"&amp;A16,,"CNY",1,100,D16,0,"Bond Basis","Following",100,B16,"China",,,TRUE)</f>
        <v>Fixed_Rate_Bond_4Y#0058</v>
      </c>
      <c r="F16" s="51">
        <f ca="1">_xll.qlBondCleanPriceFromYieldTermStructure(E16,$B$3,$D$1)</f>
        <v>83.95736201190816</v>
      </c>
      <c r="G16" s="51">
        <f ca="1">_xll.qlBondCleanPriceFromYieldTermStructure(E16,$E$66,$D$1)</f>
        <v>83.957362011908188</v>
      </c>
      <c r="H16" s="53"/>
      <c r="I16" s="52"/>
    </row>
    <row r="17" spans="1:9">
      <c r="A17" s="51" t="s">
        <v>54</v>
      </c>
      <c r="B17" s="52">
        <f t="shared" ca="1" si="0"/>
        <v>41137</v>
      </c>
      <c r="C17" s="52">
        <f ca="1">_xll.qlCalendarAdvance("China",_xll.qlCalendarAdvance("China",$B$1,A17),"-6M")</f>
        <v>42782</v>
      </c>
      <c r="D17" s="51" t="str">
        <f ca="1">_xll.qlSchedule("Dummy_Bond_"&amp;A17&amp;"_schedule",$D$1,C17,"1Y","China","Following","Following",,,,,,,TRUE)</f>
        <v>Dummy_Bond_5Y_schedule#0058</v>
      </c>
      <c r="E17" s="51" t="str">
        <f ca="1">_xll.qlFixedRateBond("Fixed_Rate_Bond_"&amp;A17,,"CNY",1,100,D17,0,"Bond Basis","Following",100,B17,"China",,,TRUE)</f>
        <v>Fixed_Rate_Bond_5Y#0058</v>
      </c>
      <c r="F17" s="51">
        <f ca="1">_xll.qlBondCleanPriceFromYieldTermStructure(E17,$B$3,$D$1)</f>
        <v>79.862713149185495</v>
      </c>
      <c r="G17" s="51">
        <f ca="1">_xll.qlBondCleanPriceFromYieldTermStructure(E17,$E$66,$D$1)</f>
        <v>79.862713149185524</v>
      </c>
      <c r="H17" s="53"/>
      <c r="I17" s="52"/>
    </row>
    <row r="18" spans="1:9">
      <c r="A18" s="51" t="s">
        <v>60</v>
      </c>
      <c r="B18" s="52">
        <f t="shared" ca="1" si="0"/>
        <v>41137</v>
      </c>
      <c r="C18" s="52">
        <f ca="1">_xll.qlCalendarAdvance("China",_xll.qlCalendarAdvance("China",$B$1,A18),"-6M")</f>
        <v>43147</v>
      </c>
      <c r="D18" s="51" t="str">
        <f ca="1">_xll.qlSchedule("Dummy_Bond_"&amp;A18&amp;"_schedule",$D$1,C18,"1Y","China","Following","Following",,,,,,,TRUE)</f>
        <v>Dummy_Bond_6Y_schedule#0058</v>
      </c>
      <c r="E18" s="51" t="str">
        <f ca="1">_xll.qlFixedRateBond("Fixed_Rate_Bond_"&amp;A18,,"CNY",1,100,D18,0,"Bond Basis","Following",100,B18,"China",,,TRUE)</f>
        <v>Fixed_Rate_Bond_6Y#0058</v>
      </c>
      <c r="F18" s="51">
        <f ca="1">_xll.qlBondCleanPriceFromYieldTermStructure(E18,$B$3,$D$1)</f>
        <v>75.967762667965332</v>
      </c>
      <c r="G18" s="51">
        <f ca="1">_xll.qlBondCleanPriceFromYieldTermStructure(E18,$E$66,$D$1)</f>
        <v>75.96776266796536</v>
      </c>
      <c r="H18" s="53"/>
      <c r="I18" s="52"/>
    </row>
    <row r="19" spans="1:9">
      <c r="A19" s="51" t="s">
        <v>55</v>
      </c>
      <c r="B19" s="52">
        <f t="shared" ca="1" si="0"/>
        <v>41137</v>
      </c>
      <c r="C19" s="52">
        <f ca="1">_xll.qlCalendarAdvance("China",_xll.qlCalendarAdvance("China",$B$1,A19),"-6M")</f>
        <v>43514</v>
      </c>
      <c r="D19" s="51" t="str">
        <f ca="1">_xll.qlSchedule("Dummy_Bond_"&amp;A19&amp;"_schedule",$D$1,C19,"1Y","China","Following","Following",,,,,,,TRUE)</f>
        <v>Dummy_Bond_7Y_schedule#0058</v>
      </c>
      <c r="E19" s="51" t="str">
        <f ca="1">_xll.qlFixedRateBond("Fixed_Rate_Bond_"&amp;A19,,"CNY",1,100,D19,0,"Bond Basis","Following",100,B19,"China",,,TRUE)</f>
        <v>Fixed_Rate_Bond_7Y#0058</v>
      </c>
      <c r="F19" s="51">
        <f ca="1">_xll.qlBondCleanPriceFromYieldTermStructure(E19,$B$3,$D$1)</f>
        <v>72.242700958923137</v>
      </c>
      <c r="G19" s="51">
        <f ca="1">_xll.qlBondCleanPriceFromYieldTermStructure(E19,$E$66,$D$1)</f>
        <v>72.242700958923166</v>
      </c>
      <c r="H19" s="53"/>
      <c r="I19" s="52"/>
    </row>
    <row r="20" spans="1:9">
      <c r="A20" s="51" t="s">
        <v>61</v>
      </c>
      <c r="B20" s="52">
        <f t="shared" ca="1" si="0"/>
        <v>41137</v>
      </c>
      <c r="C20" s="52">
        <f ca="1">_xll.qlCalendarAdvance("China",_xll.qlCalendarAdvance("China",$B$1,A20),"-6M")</f>
        <v>43878</v>
      </c>
      <c r="D20" s="51" t="str">
        <f ca="1">_xll.qlSchedule("Dummy_Bond_"&amp;A20&amp;"_schedule",$D$1,C20,"1Y","China","Following","Following",,,,,,,TRUE)</f>
        <v>Dummy_Bond_8Y_schedule#0058</v>
      </c>
      <c r="E20" s="51" t="str">
        <f ca="1">_xll.qlFixedRateBond("Fixed_Rate_Bond_"&amp;A20,,"CNY",1,100,D20,0,"Bond Basis","Following",100,B20,"China",,,TRUE)</f>
        <v>Fixed_Rate_Bond_8Y#0058</v>
      </c>
      <c r="F20" s="51">
        <f ca="1">_xll.qlBondCleanPriceFromYieldTermStructure(E20,$B$3,$D$1)</f>
        <v>68.728927879097213</v>
      </c>
      <c r="G20" s="51">
        <f ca="1">_xll.qlBondCleanPriceFromYieldTermStructure(E20,$E$66,$D$1)</f>
        <v>68.728927879097242</v>
      </c>
      <c r="H20" s="53"/>
      <c r="I20" s="52"/>
    </row>
    <row r="21" spans="1:9">
      <c r="A21" s="51" t="s">
        <v>62</v>
      </c>
      <c r="B21" s="52">
        <f t="shared" ca="1" si="0"/>
        <v>41137</v>
      </c>
      <c r="C21" s="52">
        <f ca="1">_xll.qlCalendarAdvance("China",_xll.qlCalendarAdvance("China",$B$1,A21),"-6M")</f>
        <v>44243</v>
      </c>
      <c r="D21" s="51" t="str">
        <f ca="1">_xll.qlSchedule("Dummy_Bond_"&amp;A21&amp;"_schedule",$D$1,C21,"1Y","China","Following","Following",,,,,,,TRUE)</f>
        <v>Dummy_Bond_9Y_schedule#0058</v>
      </c>
      <c r="E21" s="51" t="str">
        <f ca="1">_xll.qlFixedRateBond("Fixed_Rate_Bond_"&amp;A21,,"CNY",1,100,D21,0,"Bond Basis","Following",100,B21,"China",,,TRUE)</f>
        <v>Fixed_Rate_Bond_9Y#0058</v>
      </c>
      <c r="F21" s="51">
        <f ca="1">_xll.qlBondCleanPriceFromYieldTermStructure(E21,$B$3,$D$1)</f>
        <v>65.386059279483504</v>
      </c>
      <c r="G21" s="51">
        <f ca="1">_xll.qlBondCleanPriceFromYieldTermStructure(E21,$E$66,$D$1)</f>
        <v>65.386059279483533</v>
      </c>
      <c r="H21" s="53"/>
      <c r="I21" s="52"/>
    </row>
    <row r="22" spans="1:9">
      <c r="A22" s="51" t="s">
        <v>56</v>
      </c>
      <c r="B22" s="52">
        <f t="shared" ca="1" si="0"/>
        <v>41137</v>
      </c>
      <c r="C22" s="52">
        <f ca="1">_xll.qlCalendarAdvance("China",_xll.qlCalendarAdvance("China",$B$1,A22),"-6M")</f>
        <v>44608</v>
      </c>
      <c r="D22" s="51" t="str">
        <f ca="1">_xll.qlSchedule("Dummy_Bond_"&amp;A22&amp;"_schedule",$D$1,C22,"1Y","China","Following","Following",,,,,,,TRUE)</f>
        <v>Dummy_Bond_10Y_schedule#0058</v>
      </c>
      <c r="E22" s="51" t="str">
        <f ca="1">_xll.qlFixedRateBond("Fixed_Rate_Bond_"&amp;A22,,"CNY",1,100,D22,0,"Bond Basis","Following",100,B22,"China",,,TRUE)</f>
        <v>Fixed_Rate_Bond_10Y#0058</v>
      </c>
      <c r="F22" s="51">
        <f ca="1">_xll.qlBondCleanPriceFromYieldTermStructure(E22,$B$3,$D$1)</f>
        <v>62.197143538792645</v>
      </c>
      <c r="G22" s="51">
        <f ca="1">_xll.qlBondCleanPriceFromYieldTermStructure(E22,$E$66,$D$1)</f>
        <v>62.197143538792673</v>
      </c>
      <c r="H22" s="53"/>
      <c r="I22" s="52"/>
    </row>
    <row r="23" spans="1:9">
      <c r="A23" s="51" t="s">
        <v>63</v>
      </c>
      <c r="B23" s="52">
        <f t="shared" ca="1" si="0"/>
        <v>41137</v>
      </c>
      <c r="C23" s="52">
        <f ca="1">_xll.qlCalendarAdvance("China",_xll.qlCalendarAdvance("China",$B$1,A23),"-6M")</f>
        <v>44973</v>
      </c>
      <c r="D23" s="51" t="str">
        <f ca="1">_xll.qlSchedule("Dummy_Bond_"&amp;A23&amp;"_schedule",$D$1,C23,"1Y","China","Following","Following",,,,,,,TRUE)</f>
        <v>Dummy_Bond_11Y_schedule#0058</v>
      </c>
      <c r="E23" s="51" t="str">
        <f ca="1">_xll.qlFixedRateBond("Fixed_Rate_Bond_"&amp;A23,,"CNY",1,100,D23,0,"Bond Basis","Following",100,B23,"China",,,TRUE)</f>
        <v>Fixed_Rate_Bond_11Y#0058</v>
      </c>
      <c r="F23" s="51">
        <f ca="1">_xll.qlBondCleanPriceFromYieldTermStructure(E23,$B$3,$D$1)</f>
        <v>59.163753053994036</v>
      </c>
      <c r="G23" s="51">
        <f ca="1">_xll.qlBondCleanPriceFromYieldTermStructure(E23,$E$66,$D$1)</f>
        <v>59.163753053994057</v>
      </c>
      <c r="H23" s="53"/>
      <c r="I23" s="52"/>
    </row>
    <row r="24" spans="1:9">
      <c r="A24" s="51" t="s">
        <v>64</v>
      </c>
      <c r="B24" s="52">
        <f t="shared" ca="1" si="0"/>
        <v>41137</v>
      </c>
      <c r="C24" s="52">
        <f ca="1">_xll.qlCalendarAdvance("China",_xll.qlCalendarAdvance("China",$B$1,A24),"-6M")</f>
        <v>45338</v>
      </c>
      <c r="D24" s="51" t="str">
        <f ca="1">_xll.qlSchedule("Dummy_Bond_"&amp;A24&amp;"_schedule",$D$1,C24,"1Y","China","Following","Following",,,,,,,TRUE)</f>
        <v>Dummy_Bond_12Y_schedule#0058</v>
      </c>
      <c r="E24" s="51" t="str">
        <f ca="1">_xll.qlFixedRateBond("Fixed_Rate_Bond_"&amp;A24,,"CNY",1,100,D24,0,"Bond Basis","Following",100,B24,"China",,,TRUE)</f>
        <v>Fixed_Rate_Bond_12Y#0058</v>
      </c>
      <c r="F24" s="51">
        <f ca="1">_xll.qlBondCleanPriceFromYieldTermStructure(E24,$B$3,$D$1)</f>
        <v>56.278302768853109</v>
      </c>
      <c r="G24" s="51">
        <f ca="1">_xll.qlBondCleanPriceFromYieldTermStructure(E24,$E$66,$D$1)</f>
        <v>56.278302768853138</v>
      </c>
      <c r="H24" s="53"/>
      <c r="I24" s="52"/>
    </row>
    <row r="25" spans="1:9">
      <c r="A25" s="51" t="s">
        <v>65</v>
      </c>
      <c r="B25" s="52">
        <f t="shared" ca="1" si="0"/>
        <v>41137</v>
      </c>
      <c r="C25" s="52">
        <f ca="1">_xll.qlCalendarAdvance("China",_xll.qlCalendarAdvance("China",$B$1,A25),"-6M")</f>
        <v>45706</v>
      </c>
      <c r="D25" s="51" t="str">
        <f ca="1">_xll.qlSchedule("Dummy_Bond_"&amp;A25&amp;"_schedule",$D$1,C25,"1Y","China","Following","Following",,,,,,,TRUE)</f>
        <v>Dummy_Bond_13Y_schedule#0058</v>
      </c>
      <c r="E25" s="51" t="str">
        <f ca="1">_xll.qlFixedRateBond("Fixed_Rate_Bond_"&amp;A25,,"CNY",1,100,D25,0,"Bond Basis","Following",100,B25,"China",,,TRUE)</f>
        <v>Fixed_Rate_Bond_13Y#0058</v>
      </c>
      <c r="F25" s="51">
        <f ca="1">_xll.qlBondCleanPriceFromYieldTermStructure(E25,$B$3,$D$1)</f>
        <v>53.518709181630868</v>
      </c>
      <c r="G25" s="51">
        <f ca="1">_xll.qlBondCleanPriceFromYieldTermStructure(E25,$E$66,$D$1)</f>
        <v>53.518709181630896</v>
      </c>
      <c r="H25" s="53"/>
      <c r="I25" s="52"/>
    </row>
    <row r="26" spans="1:9">
      <c r="A26" s="51" t="s">
        <v>66</v>
      </c>
      <c r="B26" s="52">
        <f t="shared" ca="1" si="0"/>
        <v>41137</v>
      </c>
      <c r="C26" s="52">
        <f ca="1">_xll.qlCalendarAdvance("China",_xll.qlCalendarAdvance("China",$B$1,A26),"-6M")</f>
        <v>46070</v>
      </c>
      <c r="D26" s="51" t="str">
        <f ca="1">_xll.qlSchedule("Dummy_Bond_"&amp;A26&amp;"_schedule",$D$1,C26,"1Y","China","Following","Following",,,,,,,TRUE)</f>
        <v>Dummy_Bond_14Y_schedule#0058</v>
      </c>
      <c r="E26" s="51" t="str">
        <f ca="1">_xll.qlFixedRateBond("Fixed_Rate_Bond_"&amp;A26,,"CNY",1,100,D26,0,"Bond Basis","Following",100,B26,"China",,,TRUE)</f>
        <v>Fixed_Rate_Bond_14Y#0058</v>
      </c>
      <c r="F26" s="51">
        <f ca="1">_xll.qlBondCleanPriceFromYieldTermStructure(E26,$B$3,$D$1)</f>
        <v>50.915642060754905</v>
      </c>
      <c r="G26" s="51">
        <f ca="1">_xll.qlBondCleanPriceFromYieldTermStructure(E26,$E$66,$D$1)</f>
        <v>50.915642060754919</v>
      </c>
      <c r="H26" s="53"/>
      <c r="I26" s="52"/>
    </row>
    <row r="27" spans="1:9">
      <c r="A27" s="51" t="s">
        <v>57</v>
      </c>
      <c r="B27" s="52">
        <f t="shared" ca="1" si="0"/>
        <v>41137</v>
      </c>
      <c r="C27" s="52">
        <f ca="1">_xll.qlCalendarAdvance("China",_xll.qlCalendarAdvance("China",$B$1,A27),"-6M")</f>
        <v>46434</v>
      </c>
      <c r="D27" s="51" t="str">
        <f ca="1">_xll.qlSchedule("Dummy_Bond_"&amp;A27&amp;"_schedule",$D$1,C27,"1Y","China","Following","Following",,,,,,,TRUE)</f>
        <v>Dummy_Bond_15Y_schedule#0058</v>
      </c>
      <c r="E27" s="51" t="str">
        <f ca="1">_xll.qlFixedRateBond("Fixed_Rate_Bond_"&amp;A27,,"CNY",1,100,D27,0,"Bond Basis","Following",100,B27,"China",,,TRUE)</f>
        <v>Fixed_Rate_Bond_15Y#0058</v>
      </c>
      <c r="F27" s="51">
        <f ca="1">_xll.qlBondCleanPriceFromYieldTermStructure(E27,$B$3,$D$1)</f>
        <v>48.439184092816284</v>
      </c>
      <c r="G27" s="51">
        <f ca="1">_xll.qlBondCleanPriceFromYieldTermStructure(E27,$E$66,$D$1)</f>
        <v>48.439184092816305</v>
      </c>
      <c r="H27" s="53"/>
      <c r="I27" s="52"/>
    </row>
    <row r="28" spans="1:9">
      <c r="A28" s="51" t="s">
        <v>67</v>
      </c>
      <c r="B28" s="52">
        <f t="shared" ca="1" si="0"/>
        <v>41137</v>
      </c>
      <c r="C28" s="52">
        <f ca="1">_xll.qlCalendarAdvance("China",_xll.qlCalendarAdvance("China",$B$1,A28),"-6M")</f>
        <v>46799</v>
      </c>
      <c r="D28" s="51" t="str">
        <f ca="1">_xll.qlSchedule("Dummy_Bond_"&amp;A28&amp;"_schedule",$D$1,C28,"1Y","China","Following","Following",,,,,,,TRUE)</f>
        <v>Dummy_Bond_16Y_schedule#0058</v>
      </c>
      <c r="E28" s="51" t="str">
        <f ca="1">_xll.qlFixedRateBond("Fixed_Rate_Bond_"&amp;A28,,"CNY",1,100,D28,0,"Bond Basis","Following",100,B28,"China",,,TRUE)</f>
        <v>Fixed_Rate_Bond_16Y#0058</v>
      </c>
      <c r="F28" s="51">
        <f ca="1">_xll.qlBondCleanPriceFromYieldTermStructure(E28,$B$3,$D$1)</f>
        <v>46.076777207893777</v>
      </c>
      <c r="G28" s="51">
        <f ca="1">_xll.qlBondCleanPriceFromYieldTermStructure(E28,$E$66,$D$1)</f>
        <v>46.076777207893798</v>
      </c>
      <c r="H28" s="53"/>
      <c r="I28" s="52"/>
    </row>
    <row r="29" spans="1:9">
      <c r="A29" s="51" t="s">
        <v>68</v>
      </c>
      <c r="B29" s="52">
        <f t="shared" ca="1" si="0"/>
        <v>41137</v>
      </c>
      <c r="C29" s="52">
        <f ca="1">_xll.qlCalendarAdvance("China",_xll.qlCalendarAdvance("China",$B$1,A29),"-6M")</f>
        <v>47165</v>
      </c>
      <c r="D29" s="51" t="str">
        <f ca="1">_xll.qlSchedule("Dummy_Bond_"&amp;A29&amp;"_schedule",$D$1,C29,"1Y","China","Following","Following",,,,,,,TRUE)</f>
        <v>Dummy_Bond_17Y_schedule#0058</v>
      </c>
      <c r="E29" s="51" t="str">
        <f ca="1">_xll.qlFixedRateBond("Fixed_Rate_Bond_"&amp;A29,,"CNY",1,100,D29,0,"Bond Basis","Following",100,B29,"China",,,TRUE)</f>
        <v>Fixed_Rate_Bond_17Y#0058</v>
      </c>
      <c r="F29" s="51">
        <f ca="1">_xll.qlBondCleanPriceFromYieldTermStructure(E29,$B$3,$D$1)</f>
        <v>43.829586266312411</v>
      </c>
      <c r="G29" s="51">
        <f ca="1">_xll.qlBondCleanPriceFromYieldTermStructure(E29,$E$66,$D$1)</f>
        <v>43.829586266312425</v>
      </c>
      <c r="H29" s="53"/>
      <c r="I29" s="52"/>
    </row>
    <row r="30" spans="1:9">
      <c r="A30" s="51" t="s">
        <v>69</v>
      </c>
      <c r="B30" s="52">
        <f t="shared" ca="1" si="0"/>
        <v>41137</v>
      </c>
      <c r="C30" s="52">
        <f ca="1">_xll.qlCalendarAdvance("China",_xll.qlCalendarAdvance("China",$B$1,A30),"-6M")</f>
        <v>47532</v>
      </c>
      <c r="D30" s="51" t="str">
        <f ca="1">_xll.qlSchedule("Dummy_Bond_"&amp;A30&amp;"_schedule",$D$1,C30,"1Y","China","Following","Following",,,,,,,TRUE)</f>
        <v>Dummy_Bond_18Y_schedule#0058</v>
      </c>
      <c r="E30" s="51" t="str">
        <f ca="1">_xll.qlFixedRateBond("Fixed_Rate_Bond_"&amp;A30,,"CNY",1,100,D30,0,"Bond Basis","Following",100,B30,"China",,,TRUE)</f>
        <v>Fixed_Rate_Bond_18Y#0058</v>
      </c>
      <c r="F30" s="51">
        <f ca="1">_xll.qlBondCleanPriceFromYieldTermStructure(E30,$B$3,$D$1)</f>
        <v>41.680412619624896</v>
      </c>
      <c r="G30" s="51">
        <f ca="1">_xll.qlBondCleanPriceFromYieldTermStructure(E30,$E$66,$D$1)</f>
        <v>41.68041261962491</v>
      </c>
      <c r="H30" s="53"/>
      <c r="I30" s="52"/>
    </row>
    <row r="31" spans="1:9">
      <c r="A31" s="51" t="s">
        <v>70</v>
      </c>
      <c r="B31" s="52">
        <f t="shared" ca="1" si="0"/>
        <v>41137</v>
      </c>
      <c r="C31" s="52">
        <f ca="1">_xll.qlCalendarAdvance("China",_xll.qlCalendarAdvance("China",$B$1,A31),"-6M")</f>
        <v>47897</v>
      </c>
      <c r="D31" s="51" t="str">
        <f ca="1">_xll.qlSchedule("Dummy_Bond_"&amp;A31&amp;"_schedule",$D$1,C31,"1Y","China","Following","Following",,,,,,,TRUE)</f>
        <v>Dummy_Bond_19Y_schedule#0058</v>
      </c>
      <c r="E31" s="51" t="str">
        <f ca="1">_xll.qlFixedRateBond("Fixed_Rate_Bond_"&amp;A31,,"CNY",1,100,D31,0,"Bond Basis","Following",100,B31,"China",,,TRUE)</f>
        <v>Fixed_Rate_Bond_19Y#0058</v>
      </c>
      <c r="F31" s="51">
        <f ca="1">_xll.qlBondCleanPriceFromYieldTermStructure(E31,$B$3,$D$1)</f>
        <v>39.647634909118089</v>
      </c>
      <c r="G31" s="51">
        <f ca="1">_xll.qlBondCleanPriceFromYieldTermStructure(E31,$E$66,$D$1)</f>
        <v>39.647634909118111</v>
      </c>
      <c r="H31" s="53"/>
      <c r="I31" s="52"/>
    </row>
    <row r="32" spans="1:9">
      <c r="A32" s="51" t="s">
        <v>58</v>
      </c>
      <c r="B32" s="52">
        <f t="shared" ca="1" si="0"/>
        <v>41137</v>
      </c>
      <c r="C32" s="52">
        <f ca="1">_xll.qlCalendarAdvance("China",_xll.qlCalendarAdvance("China",$B$1,A32),"-6M")</f>
        <v>48260</v>
      </c>
      <c r="D32" s="51" t="str">
        <f ca="1">_xll.qlSchedule("Dummy_Bond_"&amp;A32&amp;"_schedule",$D$1,C32,"1Y","China","Following","Following",,,,,,,TRUE)</f>
        <v>Dummy_Bond_20Y_schedule#0058</v>
      </c>
      <c r="E32" s="51" t="str">
        <f ca="1">_xll.qlFixedRateBond("Fixed_Rate_Bond_"&amp;A32,,"CNY",1,100,D32,0,"Bond Basis","Following",100,B32,"China",,,TRUE)</f>
        <v>Fixed_Rate_Bond_20Y#0058</v>
      </c>
      <c r="F32" s="51">
        <f ca="1">_xll.qlBondCleanPriceFromYieldTermStructure(E32,$B$3,$D$1)</f>
        <v>37.724474502825259</v>
      </c>
      <c r="G32" s="51">
        <f ca="1">_xll.qlBondCleanPriceFromYieldTermStructure(E32,$E$66,$D$1)</f>
        <v>37.724474502825274</v>
      </c>
      <c r="H32" s="53"/>
      <c r="I32" s="52"/>
    </row>
    <row r="33" spans="1:9">
      <c r="A33" s="51" t="s">
        <v>71</v>
      </c>
      <c r="B33" s="52">
        <f t="shared" ca="1" si="0"/>
        <v>41137</v>
      </c>
      <c r="C33" s="52">
        <f ca="1">_xll.qlCalendarAdvance("China",_xll.qlCalendarAdvance("China",$B$1,A33),"-6M")</f>
        <v>48626</v>
      </c>
      <c r="D33" s="51" t="str">
        <f ca="1">_xll.qlSchedule("Dummy_Bond_"&amp;A33&amp;"_schedule",$D$1,C33,"1Y","China","Following","Following",,,,,,,TRUE)</f>
        <v>Dummy_Bond_21Y_schedule#0058</v>
      </c>
      <c r="E33" s="51" t="str">
        <f ca="1">_xll.qlFixedRateBond("Fixed_Rate_Bond_"&amp;A33,,"CNY",1,100,D33,0,"Bond Basis","Following",100,B33,"China",,,TRUE)</f>
        <v>Fixed_Rate_Bond_21Y#0058</v>
      </c>
      <c r="F33" s="51">
        <f ca="1">_xll.qlBondCleanPriceFromYieldTermStructure(E33,$B$3,$D$1)</f>
        <v>35.884630170914328</v>
      </c>
      <c r="G33" s="51">
        <f ca="1">_xll.qlBondCleanPriceFromYieldTermStructure(E33,$E$66,$D$1)</f>
        <v>35.884630170914342</v>
      </c>
      <c r="H33" s="53"/>
      <c r="I33" s="52"/>
    </row>
    <row r="34" spans="1:9">
      <c r="A34" s="51" t="s">
        <v>72</v>
      </c>
      <c r="B34" s="52">
        <f t="shared" ca="1" si="0"/>
        <v>41137</v>
      </c>
      <c r="C34" s="52">
        <f ca="1">_xll.qlCalendarAdvance("China",_xll.qlCalendarAdvance("China",$B$1,A34),"-6M")</f>
        <v>48991</v>
      </c>
      <c r="D34" s="51" t="str">
        <f ca="1">_xll.qlSchedule("Dummy_Bond_"&amp;A34&amp;"_schedule",$D$1,C34,"1Y","China","Following","Following",,,,,,,TRUE)</f>
        <v>Dummy_Bond_22Y_schedule#0058</v>
      </c>
      <c r="E34" s="51" t="str">
        <f ca="1">_xll.qlFixedRateBond("Fixed_Rate_Bond_"&amp;A34,,"CNY",1,100,D34,0,"Bond Basis","Following",100,B34,"China",,,TRUE)</f>
        <v>Fixed_Rate_Bond_22Y#0058</v>
      </c>
      <c r="F34" s="51">
        <f ca="1">_xll.qlBondCleanPriceFromYieldTermStructure(E34,$B$3,$D$1)</f>
        <v>34.134516105899806</v>
      </c>
      <c r="G34" s="51">
        <f ca="1">_xll.qlBondCleanPriceFromYieldTermStructure(E34,$E$66,$D$1)</f>
        <v>34.13451610589982</v>
      </c>
      <c r="H34" s="53"/>
      <c r="I34" s="52"/>
    </row>
    <row r="35" spans="1:9">
      <c r="A35" s="51" t="s">
        <v>73</v>
      </c>
      <c r="B35" s="52">
        <f t="shared" ca="1" si="0"/>
        <v>41137</v>
      </c>
      <c r="C35" s="52">
        <f ca="1">_xll.qlCalendarAdvance("China",_xll.qlCalendarAdvance("China",$B$1,A35),"-6M")</f>
        <v>49356</v>
      </c>
      <c r="D35" s="51" t="str">
        <f ca="1">_xll.qlSchedule("Dummy_Bond_"&amp;A35&amp;"_schedule",$D$1,C35,"1Y","China","Following","Following",,,,,,,TRUE)</f>
        <v>Dummy_Bond_23Y_schedule#0058</v>
      </c>
      <c r="E35" s="51" t="str">
        <f ca="1">_xll.qlFixedRateBond("Fixed_Rate_Bond_"&amp;A35,,"CNY",1,100,D35,0,"Bond Basis","Following",100,B35,"China",,,TRUE)</f>
        <v>Fixed_Rate_Bond_23Y#0058</v>
      </c>
      <c r="F35" s="51">
        <f ca="1">_xll.qlBondCleanPriceFromYieldTermStructure(E35,$B$3,$D$1)</f>
        <v>32.469756111025418</v>
      </c>
      <c r="G35" s="51">
        <f ca="1">_xll.qlBondCleanPriceFromYieldTermStructure(E35,$E$66,$D$1)</f>
        <v>32.469756111025433</v>
      </c>
      <c r="H35" s="53"/>
      <c r="I35" s="52"/>
    </row>
    <row r="36" spans="1:9">
      <c r="A36" s="51" t="s">
        <v>74</v>
      </c>
      <c r="B36" s="52">
        <f t="shared" ca="1" si="0"/>
        <v>41137</v>
      </c>
      <c r="C36" s="52">
        <f ca="1">_xll.qlCalendarAdvance("China",_xll.qlCalendarAdvance("China",$B$1,A36),"-6M")</f>
        <v>49723</v>
      </c>
      <c r="D36" s="51" t="str">
        <f ca="1">_xll.qlSchedule("Dummy_Bond_"&amp;A36&amp;"_schedule",$D$1,C36,"1Y","China","Following","Following",,,,,,,TRUE)</f>
        <v>Dummy_Bond_24Y_schedule#0058</v>
      </c>
      <c r="E36" s="51" t="str">
        <f ca="1">_xll.qlFixedRateBond("Fixed_Rate_Bond_"&amp;A36,,"CNY",1,100,D36,0,"Bond Basis","Following",100,B36,"China",,,TRUE)</f>
        <v>Fixed_Rate_Bond_24Y#0058</v>
      </c>
      <c r="F36" s="51">
        <f ca="1">_xll.qlBondCleanPriceFromYieldTermStructure(E36,$B$3,$D$1)</f>
        <v>30.877609114150331</v>
      </c>
      <c r="G36" s="51">
        <f ca="1">_xll.qlBondCleanPriceFromYieldTermStructure(E36,$E$66,$D$1)</f>
        <v>30.877609114150342</v>
      </c>
      <c r="H36" s="53"/>
      <c r="I36" s="52"/>
    </row>
    <row r="37" spans="1:9">
      <c r="A37" s="51" t="s">
        <v>75</v>
      </c>
      <c r="B37" s="52">
        <f t="shared" ca="1" si="0"/>
        <v>41137</v>
      </c>
      <c r="C37" s="52">
        <f ca="1">_xll.qlCalendarAdvance("China",_xll.qlCalendarAdvance("China",$B$1,A37),"-6M")</f>
        <v>50088</v>
      </c>
      <c r="D37" s="51" t="str">
        <f ca="1">_xll.qlSchedule("Dummy_Bond_"&amp;A37&amp;"_schedule",$D$1,C37,"1Y","China","Following","Following",,,,,,,TRUE)</f>
        <v>Dummy_Bond_25Y_schedule#0058</v>
      </c>
      <c r="E37" s="51" t="str">
        <f ca="1">_xll.qlFixedRateBond("Fixed_Rate_Bond_"&amp;A37,,"CNY",1,100,D37,0,"Bond Basis","Following",100,B37,"China",,,TRUE)</f>
        <v>Fixed_Rate_Bond_25Y#0058</v>
      </c>
      <c r="F37" s="51">
        <f ca="1">_xll.qlBondCleanPriceFromYieldTermStructure(E37,$B$3,$D$1)</f>
        <v>29.375770032353277</v>
      </c>
      <c r="G37" s="51">
        <f ca="1">_xll.qlBondCleanPriceFromYieldTermStructure(E37,$E$66,$D$1)</f>
        <v>29.375770032353287</v>
      </c>
      <c r="H37" s="53"/>
      <c r="I37" s="52"/>
    </row>
    <row r="38" spans="1:9">
      <c r="A38" s="51" t="s">
        <v>76</v>
      </c>
      <c r="B38" s="52">
        <f t="shared" ca="1" si="0"/>
        <v>41137</v>
      </c>
      <c r="C38" s="52">
        <f ca="1">_xll.qlCalendarAdvance("China",_xll.qlCalendarAdvance("China",$B$1,A38),"-6M")</f>
        <v>50452</v>
      </c>
      <c r="D38" s="51" t="str">
        <f ca="1">_xll.qlSchedule("Dummy_Bond_"&amp;A38&amp;"_schedule",$D$1,C38,"1Y","China","Following","Following",,,,,,,TRUE)</f>
        <v>Dummy_Bond_26Y_schedule#0058</v>
      </c>
      <c r="E38" s="51" t="str">
        <f ca="1">_xll.qlFixedRateBond("Fixed_Rate_Bond_"&amp;A38,,"CNY",1,100,D38,0,"Bond Basis","Following",100,B38,"China",,,TRUE)</f>
        <v>Fixed_Rate_Bond_26Y#0058</v>
      </c>
      <c r="F38" s="51">
        <f ca="1">_xll.qlBondCleanPriceFromYieldTermStructure(E38,$B$3,$D$1)</f>
        <v>27.946978077335839</v>
      </c>
      <c r="G38" s="51">
        <f ca="1">_xll.qlBondCleanPriceFromYieldTermStructure(E38,$E$66,$D$1)</f>
        <v>27.946978077335849</v>
      </c>
      <c r="H38" s="53"/>
      <c r="I38" s="52"/>
    </row>
    <row r="39" spans="1:9">
      <c r="A39" s="51" t="s">
        <v>77</v>
      </c>
      <c r="B39" s="52">
        <f t="shared" ca="1" si="0"/>
        <v>41137</v>
      </c>
      <c r="C39" s="52">
        <f ca="1">_xll.qlCalendarAdvance("China",_xll.qlCalendarAdvance("China",$B$1,A39),"-6M")</f>
        <v>50817</v>
      </c>
      <c r="D39" s="51" t="str">
        <f ca="1">_xll.qlSchedule("Dummy_Bond_"&amp;A39&amp;"_schedule",$D$1,C39,"1Y","China","Following","Following",,,,,,,TRUE)</f>
        <v>Dummy_Bond_27Y_schedule#0058</v>
      </c>
      <c r="E39" s="51" t="str">
        <f ca="1">_xll.qlFixedRateBond("Fixed_Rate_Bond_"&amp;A39,,"CNY",1,100,D39,0,"Bond Basis","Following",100,B39,"China",,,TRUE)</f>
        <v>Fixed_Rate_Bond_27Y#0058</v>
      </c>
      <c r="F39" s="51">
        <f ca="1">_xll.qlBondCleanPriceFromYieldTermStructure(E39,$B$3,$D$1)</f>
        <v>26.58398787303824</v>
      </c>
      <c r="G39" s="51">
        <f ca="1">_xll.qlBondCleanPriceFromYieldTermStructure(E39,$E$66,$D$1)</f>
        <v>26.583987873038254</v>
      </c>
      <c r="H39" s="53"/>
      <c r="I39" s="52"/>
    </row>
    <row r="40" spans="1:9">
      <c r="A40" s="51" t="s">
        <v>78</v>
      </c>
      <c r="B40" s="52">
        <f t="shared" ca="1" si="0"/>
        <v>41137</v>
      </c>
      <c r="C40" s="52">
        <f ca="1">_xll.qlCalendarAdvance("China",_xll.qlCalendarAdvance("China",$B$1,A40),"-6M")</f>
        <v>51182</v>
      </c>
      <c r="D40" s="51" t="str">
        <f ca="1">_xll.qlSchedule("Dummy_Bond_"&amp;A40&amp;"_schedule",$D$1,C40,"1Y","China","Following","Following",,,,,,,TRUE)</f>
        <v>Dummy_Bond_28Y_schedule#0058</v>
      </c>
      <c r="E40" s="51" t="str">
        <f ca="1">_xll.qlFixedRateBond("Fixed_Rate_Bond_"&amp;A40,,"CNY",1,100,D40,0,"Bond Basis","Following",100,B40,"China",,,TRUE)</f>
        <v>Fixed_Rate_Bond_28Y#0058</v>
      </c>
      <c r="F40" s="51">
        <f ca="1">_xll.qlBondCleanPriceFromYieldTermStructure(E40,$B$3,$D$1)</f>
        <v>25.287471485404129</v>
      </c>
      <c r="G40" s="51">
        <f ca="1">_xll.qlBondCleanPriceFromYieldTermStructure(E40,$E$66,$D$1)</f>
        <v>25.28747148540414</v>
      </c>
      <c r="H40" s="53"/>
      <c r="I40" s="52"/>
    </row>
    <row r="41" spans="1:9">
      <c r="A41" s="51" t="s">
        <v>79</v>
      </c>
      <c r="B41" s="52">
        <f t="shared" ca="1" si="0"/>
        <v>41137</v>
      </c>
      <c r="C41" s="52">
        <f ca="1">_xll.qlCalendarAdvance("China",_xll.qlCalendarAdvance("China",$B$1,A41),"-6M")</f>
        <v>51550</v>
      </c>
      <c r="D41" s="51" t="str">
        <f ca="1">_xll.qlSchedule("Dummy_Bond_"&amp;A41&amp;"_schedule",$D$1,C41,"1Y","China","Following","Following",,,,,,,TRUE)</f>
        <v>Dummy_Bond_29Y_schedule#0058</v>
      </c>
      <c r="E41" s="51" t="str">
        <f ca="1">_xll.qlFixedRateBond("Fixed_Rate_Bond_"&amp;A41,,"CNY",1,100,D41,0,"Bond Basis","Following",100,B41,"China",,,TRUE)</f>
        <v>Fixed_Rate_Bond_29Y#0058</v>
      </c>
      <c r="F41" s="51">
        <f ca="1">_xll.qlBondCleanPriceFromYieldTermStructure(E41,$B$3,$D$1)</f>
        <v>24.047506157473027</v>
      </c>
      <c r="G41" s="51">
        <f ca="1">_xll.qlBondCleanPriceFromYieldTermStructure(E41,$E$66,$D$1)</f>
        <v>24.047506157473034</v>
      </c>
      <c r="H41" s="53"/>
      <c r="I41" s="52"/>
    </row>
    <row r="42" spans="1:9">
      <c r="A42" s="51" t="s">
        <v>80</v>
      </c>
      <c r="B42" s="52">
        <f t="shared" ca="1" si="0"/>
        <v>41137</v>
      </c>
      <c r="C42" s="52">
        <f ca="1">_xll.qlCalendarAdvance("China",_xll.qlCalendarAdvance("China",$B$1,A42),"-6M")</f>
        <v>51915</v>
      </c>
      <c r="D42" s="51" t="str">
        <f ca="1">_xll.qlSchedule("Dummy_Bond_"&amp;A42&amp;"_schedule",$D$1,C42,"1Y","China","Following","Following",,,,,,,TRUE)</f>
        <v>Dummy_Bond_30Y_schedule#0058</v>
      </c>
      <c r="E42" s="51" t="str">
        <f ca="1">_xll.qlFixedRateBond("Fixed_Rate_Bond_"&amp;A42,,"CNY",1,100,D42,0,"Bond Basis","Following",100,B42,"China",,,TRUE)</f>
        <v>Fixed_Rate_Bond_30Y#0058</v>
      </c>
      <c r="F42" s="51">
        <f ca="1">_xll.qlBondCleanPriceFromYieldTermStructure(E42,$B$3,$D$1)</f>
        <v>22.874695442850442</v>
      </c>
      <c r="G42" s="51">
        <f ca="1">_xll.qlBondCleanPriceFromYieldTermStructure(E42,$E$66,$D$1)</f>
        <v>22.874695442850456</v>
      </c>
      <c r="H42" s="53"/>
      <c r="I42" s="52"/>
    </row>
    <row r="43" spans="1:9">
      <c r="A43" s="51" t="s">
        <v>81</v>
      </c>
      <c r="B43" s="52">
        <f t="shared" ca="1" si="0"/>
        <v>41137</v>
      </c>
      <c r="C43" s="52">
        <f ca="1">_xll.qlCalendarAdvance("China",_xll.qlCalendarAdvance("China",$B$1,A43),"-6M")</f>
        <v>52279</v>
      </c>
      <c r="D43" s="51" t="str">
        <f ca="1">_xll.qlSchedule("Dummy_Bond_"&amp;A43&amp;"_schedule",$D$1,C43,"1Y","China","Following","Following",,,,,,,TRUE)</f>
        <v>Dummy_Bond_31Y_schedule#0058</v>
      </c>
      <c r="E43" s="51" t="str">
        <f ca="1">_xll.qlFixedRateBond("Fixed_Rate_Bond_"&amp;A43,,"CNY",1,100,D43,0,"Bond Basis","Following",100,B43,"China",,,TRUE)</f>
        <v>Fixed_Rate_Bond_31Y#0058</v>
      </c>
      <c r="F43" s="51">
        <f ca="1">_xll.qlBondCleanPriceFromYieldTermStructure(E43,$B$3,$D$1)</f>
        <v>21.762105686523288</v>
      </c>
      <c r="G43" s="51">
        <f ca="1">_xll.qlBondCleanPriceFromYieldTermStructure(E43,$E$66,$D$1)</f>
        <v>21.762105686523299</v>
      </c>
      <c r="H43" s="53"/>
      <c r="I43" s="52"/>
    </row>
    <row r="44" spans="1:9">
      <c r="A44" s="51" t="s">
        <v>82</v>
      </c>
      <c r="B44" s="52">
        <f t="shared" ca="1" si="0"/>
        <v>41137</v>
      </c>
      <c r="C44" s="52">
        <f ca="1">_xll.qlCalendarAdvance("China",_xll.qlCalendarAdvance("China",$B$1,A44),"-6M")</f>
        <v>52643</v>
      </c>
      <c r="D44" s="51" t="str">
        <f ca="1">_xll.qlSchedule("Dummy_Bond_"&amp;A44&amp;"_schedule",$D$1,C44,"1Y","China","Following","Following",,,,,,,TRUE)</f>
        <v>Dummy_Bond_32Y_schedule#0058</v>
      </c>
      <c r="E44" s="51" t="str">
        <f ca="1">_xll.qlFixedRateBond("Fixed_Rate_Bond_"&amp;A44,,"CNY",1,100,D44,0,"Bond Basis","Following",100,B44,"China",,,TRUE)</f>
        <v>Fixed_Rate_Bond_32Y#0058</v>
      </c>
      <c r="F44" s="51">
        <f ca="1">_xll.qlBondCleanPriceFromYieldTermStructure(E44,$B$3,$D$1)</f>
        <v>20.703630572682915</v>
      </c>
      <c r="G44" s="51">
        <f ca="1">_xll.qlBondCleanPriceFromYieldTermStructure(E44,$E$66,$D$1)</f>
        <v>20.703630572682922</v>
      </c>
      <c r="H44" s="53"/>
      <c r="I44" s="52"/>
    </row>
    <row r="45" spans="1:9">
      <c r="A45" s="51" t="s">
        <v>83</v>
      </c>
      <c r="B45" s="52">
        <f t="shared" ref="B45:B62" ca="1" si="1">$B$1</f>
        <v>41137</v>
      </c>
      <c r="C45" s="52">
        <f ca="1">_xll.qlCalendarAdvance("China",_xll.qlCalendarAdvance("China",$B$1,A45),"-6M")</f>
        <v>53009</v>
      </c>
      <c r="D45" s="51" t="str">
        <f ca="1">_xll.qlSchedule("Dummy_Bond_"&amp;A45&amp;"_schedule",$D$1,C45,"1Y","China","Following","Following",,,,,,,TRUE)</f>
        <v>Dummy_Bond_33Y_schedule#0058</v>
      </c>
      <c r="E45" s="51" t="str">
        <f ca="1">_xll.qlFixedRateBond("Fixed_Rate_Bond_"&amp;A45,,"CNY",1,100,D45,0,"Bond Basis","Following",100,B45,"China",,,TRUE)</f>
        <v>Fixed_Rate_Bond_33Y#0058</v>
      </c>
      <c r="F45" s="51">
        <f ca="1">_xll.qlBondCleanPriceFromYieldTermStructure(E45,$B$3,$D$1)</f>
        <v>19.693902594728556</v>
      </c>
      <c r="G45" s="51">
        <f ca="1">_xll.qlBondCleanPriceFromYieldTermStructure(E45,$E$66,$D$1)</f>
        <v>19.693902594728566</v>
      </c>
      <c r="H45" s="53"/>
      <c r="I45" s="52"/>
    </row>
    <row r="46" spans="1:9">
      <c r="A46" s="51" t="s">
        <v>84</v>
      </c>
      <c r="B46" s="52">
        <f t="shared" ca="1" si="1"/>
        <v>41137</v>
      </c>
      <c r="C46" s="52">
        <f ca="1">_xll.qlCalendarAdvance("China",_xll.qlCalendarAdvance("China",$B$1,A46),"-6M")</f>
        <v>53374</v>
      </c>
      <c r="D46" s="51" t="str">
        <f ca="1">_xll.qlSchedule("Dummy_Bond_"&amp;A46&amp;"_schedule",$D$1,C46,"1Y","China","Following","Following",,,,,,,TRUE)</f>
        <v>Dummy_Bond_34Y_schedule#0058</v>
      </c>
      <c r="E46" s="51" t="str">
        <f ca="1">_xll.qlFixedRateBond("Fixed_Rate_Bond_"&amp;A46,,"CNY",1,100,D46,0,"Bond Basis","Following",100,B46,"China",,,TRUE)</f>
        <v>Fixed_Rate_Bond_34Y#0058</v>
      </c>
      <c r="F46" s="51">
        <f ca="1">_xll.qlBondCleanPriceFromYieldTermStructure(E46,$B$3,$D$1)</f>
        <v>18.733419631356767</v>
      </c>
      <c r="G46" s="51">
        <f ca="1">_xll.qlBondCleanPriceFromYieldTermStructure(E46,$E$66,$D$1)</f>
        <v>18.733419631356774</v>
      </c>
      <c r="H46" s="53"/>
      <c r="I46" s="52"/>
    </row>
    <row r="47" spans="1:9">
      <c r="A47" s="51" t="s">
        <v>85</v>
      </c>
      <c r="B47" s="52">
        <f t="shared" ca="1" si="1"/>
        <v>41137</v>
      </c>
      <c r="C47" s="52">
        <f ca="1">_xll.qlCalendarAdvance("China",_xll.qlCalendarAdvance("China",$B$1,A47),"-6M")</f>
        <v>53741</v>
      </c>
      <c r="D47" s="51" t="str">
        <f ca="1">_xll.qlSchedule("Dummy_Bond_"&amp;A47&amp;"_schedule",$D$1,C47,"1Y","China","Following","Following",,,,,,,TRUE)</f>
        <v>Dummy_Bond_35Y_schedule#0058</v>
      </c>
      <c r="E47" s="51" t="str">
        <f ca="1">_xll.qlFixedRateBond("Fixed_Rate_Bond_"&amp;A47,,"CNY",1,100,D47,0,"Bond Basis","Following",100,B47,"China",,,TRUE)</f>
        <v>Fixed_Rate_Bond_35Y#0058</v>
      </c>
      <c r="F47" s="51">
        <f ca="1">_xll.qlBondCleanPriceFromYieldTermStructure(E47,$B$3,$D$1)</f>
        <v>17.814830723411827</v>
      </c>
      <c r="G47" s="51">
        <f ca="1">_xll.qlBondCleanPriceFromYieldTermStructure(E47,$E$66,$D$1)</f>
        <v>17.814830723411834</v>
      </c>
      <c r="H47" s="53"/>
      <c r="I47" s="52"/>
    </row>
    <row r="48" spans="1:9">
      <c r="A48" s="51" t="s">
        <v>86</v>
      </c>
      <c r="B48" s="52">
        <f t="shared" ca="1" si="1"/>
        <v>41137</v>
      </c>
      <c r="C48" s="52">
        <f ca="1">_xll.qlCalendarAdvance("China",_xll.qlCalendarAdvance("China",$B$1,A48),"-6M")</f>
        <v>54105</v>
      </c>
      <c r="D48" s="51" t="str">
        <f ca="1">_xll.qlSchedule("Dummy_Bond_"&amp;A48&amp;"_schedule",$D$1,C48,"1Y","China","Following","Following",,,,,,,TRUE)</f>
        <v>Dummy_Bond_36Y_schedule#0058</v>
      </c>
      <c r="E48" s="51" t="str">
        <f ca="1">_xll.qlFixedRateBond("Fixed_Rate_Bond_"&amp;A48,,"CNY",1,100,D48,0,"Bond Basis","Following",100,B48,"China",,,TRUE)</f>
        <v>Fixed_Rate_Bond_36Y#0058</v>
      </c>
      <c r="F48" s="51">
        <f ca="1">_xll.qlBondCleanPriceFromYieldTermStructure(E48,$B$3,$D$1)</f>
        <v>16.948344949947003</v>
      </c>
      <c r="G48" s="51">
        <f ca="1">_xll.qlBondCleanPriceFromYieldTermStructure(E48,$E$66,$D$1)</f>
        <v>16.948344949947014</v>
      </c>
      <c r="H48" s="53"/>
      <c r="I48" s="52"/>
    </row>
    <row r="49" spans="1:9">
      <c r="A49" s="51" t="s">
        <v>87</v>
      </c>
      <c r="B49" s="52">
        <f t="shared" ca="1" si="1"/>
        <v>41137</v>
      </c>
      <c r="C49" s="52">
        <f ca="1">_xll.qlCalendarAdvance("China",_xll.qlCalendarAdvance("China",$B$1,A49),"-6M")</f>
        <v>54470</v>
      </c>
      <c r="D49" s="51" t="str">
        <f ca="1">_xll.qlSchedule("Dummy_Bond_"&amp;A49&amp;"_schedule",$D$1,C49,"1Y","China","Following","Following",,,,,,,TRUE)</f>
        <v>Dummy_Bond_37Y_schedule#0058</v>
      </c>
      <c r="E49" s="51" t="str">
        <f ca="1">_xll.qlFixedRateBond("Fixed_Rate_Bond_"&amp;A49,,"CNY",1,100,D49,0,"Bond Basis","Following",100,B49,"China",,,TRUE)</f>
        <v>Fixed_Rate_Bond_37Y#0058</v>
      </c>
      <c r="F49" s="51">
        <f ca="1">_xll.qlBondCleanPriceFromYieldTermStructure(E49,$B$3,$D$1)</f>
        <v>16.124003702426531</v>
      </c>
      <c r="G49" s="51">
        <f ca="1">_xll.qlBondCleanPriceFromYieldTermStructure(E49,$E$66,$D$1)</f>
        <v>16.124003702426538</v>
      </c>
      <c r="H49" s="53"/>
      <c r="I49" s="52"/>
    </row>
    <row r="50" spans="1:9">
      <c r="A50" s="51" t="s">
        <v>88</v>
      </c>
      <c r="B50" s="52">
        <f t="shared" ca="1" si="1"/>
        <v>41137</v>
      </c>
      <c r="C50" s="52">
        <f ca="1">_xll.qlCalendarAdvance("China",_xll.qlCalendarAdvance("China",$B$1,A50),"-6M")</f>
        <v>54835</v>
      </c>
      <c r="D50" s="51" t="str">
        <f ca="1">_xll.qlSchedule("Dummy_Bond_"&amp;A50&amp;"_schedule",$D$1,C50,"1Y","China","Following","Following",,,,,,,TRUE)</f>
        <v>Dummy_Bond_38Y_schedule#0058</v>
      </c>
      <c r="E50" s="51" t="str">
        <f ca="1">_xll.qlFixedRateBond("Fixed_Rate_Bond_"&amp;A50,,"CNY",1,100,D50,0,"Bond Basis","Following",100,B50,"China",,,TRUE)</f>
        <v>Fixed_Rate_Bond_38Y#0058</v>
      </c>
      <c r="F50" s="51">
        <f ca="1">_xll.qlBondCleanPriceFromYieldTermStructure(E50,$B$3,$D$1)</f>
        <v>15.337626762506575</v>
      </c>
      <c r="G50" s="51">
        <f ca="1">_xll.qlBondCleanPriceFromYieldTermStructure(E50,$E$66,$D$1)</f>
        <v>15.337626762506581</v>
      </c>
      <c r="H50" s="53"/>
      <c r="I50" s="52"/>
    </row>
    <row r="51" spans="1:9">
      <c r="A51" s="51" t="s">
        <v>89</v>
      </c>
      <c r="B51" s="52">
        <f t="shared" ca="1" si="1"/>
        <v>41137</v>
      </c>
      <c r="C51" s="52">
        <f ca="1">_xll.qlCalendarAdvance("China",_xll.qlCalendarAdvance("China",$B$1,A51),"-6M")</f>
        <v>55200</v>
      </c>
      <c r="D51" s="51" t="str">
        <f ca="1">_xll.qlSchedule("Dummy_Bond_"&amp;A51&amp;"_schedule",$D$1,C51,"1Y","China","Following","Following",,,,,,,TRUE)</f>
        <v>Dummy_Bond_39Y_schedule#0058</v>
      </c>
      <c r="E51" s="51" t="str">
        <f ca="1">_xll.qlFixedRateBond("Fixed_Rate_Bond_"&amp;A51,,"CNY",1,100,D51,0,"Bond Basis","Following",100,B51,"China",,,TRUE)</f>
        <v>Fixed_Rate_Bond_39Y#0058</v>
      </c>
      <c r="F51" s="51">
        <f ca="1">_xll.qlBondCleanPriceFromYieldTermStructure(E51,$B$3,$D$1)</f>
        <v>14.589601878505876</v>
      </c>
      <c r="G51" s="51">
        <f ca="1">_xll.qlBondCleanPriceFromYieldTermStructure(E51,$E$66,$D$1)</f>
        <v>14.58960187850588</v>
      </c>
      <c r="H51" s="53"/>
      <c r="I51" s="52"/>
    </row>
    <row r="52" spans="1:9">
      <c r="A52" s="51" t="s">
        <v>90</v>
      </c>
      <c r="B52" s="52">
        <f t="shared" ca="1" si="1"/>
        <v>41137</v>
      </c>
      <c r="C52" s="52">
        <f ca="1">_xll.qlCalendarAdvance("China",_xll.qlCalendarAdvance("China",$B$1,A52),"-6M")</f>
        <v>55565</v>
      </c>
      <c r="D52" s="51" t="str">
        <f ca="1">_xll.qlSchedule("Dummy_Bond_"&amp;A52&amp;"_schedule",$D$1,C52,"1Y","China","Following","Following",,,,,,,TRUE)</f>
        <v>Dummy_Bond_40Y_schedule#0058</v>
      </c>
      <c r="E52" s="51" t="str">
        <f ca="1">_xll.qlFixedRateBond("Fixed_Rate_Bond_"&amp;A52,,"CNY",1,100,D52,0,"Bond Basis","Following",100,B52,"China",,,TRUE)</f>
        <v>Fixed_Rate_Bond_40Y#0058</v>
      </c>
      <c r="F52" s="51">
        <f ca="1">_xll.qlBondCleanPriceFromYieldTermStructure(E52,$B$3,$D$1)</f>
        <v>13.87805859858568</v>
      </c>
      <c r="G52" s="51">
        <f ca="1">_xll.qlBondCleanPriceFromYieldTermStructure(E52,$E$66,$D$1)</f>
        <v>13.878058598585685</v>
      </c>
      <c r="H52" s="53"/>
      <c r="I52" s="52"/>
    </row>
    <row r="53" spans="1:9">
      <c r="A53" s="51" t="s">
        <v>91</v>
      </c>
      <c r="B53" s="52">
        <f t="shared" ca="1" si="1"/>
        <v>41137</v>
      </c>
      <c r="C53" s="52">
        <f ca="1">_xll.qlCalendarAdvance("China",_xll.qlCalendarAdvance("China",$B$1,A53),"-6M")</f>
        <v>55933</v>
      </c>
      <c r="D53" s="51" t="str">
        <f ca="1">_xll.qlSchedule("Dummy_Bond_"&amp;A53&amp;"_schedule",$D$1,C53,"1Y","China","Following","Following",,,,,,,TRUE)</f>
        <v>Dummy_Bond_41Y_schedule#0058</v>
      </c>
      <c r="E53" s="51" t="str">
        <f ca="1">_xll.qlFixedRateBond("Fixed_Rate_Bond_"&amp;A53,,"CNY",1,100,D53,0,"Bond Basis","Following",100,B53,"China",,,TRUE)</f>
        <v>Fixed_Rate_Bond_41Y#0058</v>
      </c>
      <c r="F53" s="51">
        <f ca="1">_xll.qlBondCleanPriceFromYieldTermStructure(E53,$B$3,$D$1)</f>
        <v>13.19755119826395</v>
      </c>
      <c r="G53" s="51">
        <f ca="1">_xll.qlBondCleanPriceFromYieldTermStructure(E53,$E$66,$D$1)</f>
        <v>13.197551198263961</v>
      </c>
      <c r="H53" s="53"/>
      <c r="I53" s="52"/>
    </row>
    <row r="54" spans="1:9">
      <c r="A54" s="51" t="s">
        <v>92</v>
      </c>
      <c r="B54" s="52">
        <f t="shared" ca="1" si="1"/>
        <v>41137</v>
      </c>
      <c r="C54" s="52">
        <f ca="1">_xll.qlCalendarAdvance("China",_xll.qlCalendarAdvance("China",$B$1,A54),"-6M")</f>
        <v>56297</v>
      </c>
      <c r="D54" s="51" t="str">
        <f ca="1">_xll.qlSchedule("Dummy_Bond_"&amp;A54&amp;"_schedule",$D$1,C54,"1Y","China","Following","Following",,,,,,,TRUE)</f>
        <v>Dummy_Bond_42Y_schedule#0058</v>
      </c>
      <c r="E54" s="51" t="str">
        <f ca="1">_xll.qlFixedRateBond("Fixed_Rate_Bond_"&amp;A54,,"CNY",1,100,D54,0,"Bond Basis","Following",100,B54,"China",,,TRUE)</f>
        <v>Fixed_Rate_Bond_42Y#0058</v>
      </c>
      <c r="F54" s="51">
        <f ca="1">_xll.qlBondCleanPriceFromYieldTermStructure(E54,$B$3,$D$1)</f>
        <v>12.555642749319718</v>
      </c>
      <c r="G54" s="51">
        <f ca="1">_xll.qlBondCleanPriceFromYieldTermStructure(E54,$E$66,$D$1)</f>
        <v>12.555642749319723</v>
      </c>
      <c r="H54" s="53"/>
      <c r="I54" s="52"/>
    </row>
    <row r="55" spans="1:9">
      <c r="A55" s="51" t="s">
        <v>93</v>
      </c>
      <c r="B55" s="52">
        <f t="shared" ca="1" si="1"/>
        <v>41137</v>
      </c>
      <c r="C55" s="52">
        <f ca="1">_xll.qlCalendarAdvance("China",_xll.qlCalendarAdvance("China",$B$1,A55),"-6M")</f>
        <v>56661</v>
      </c>
      <c r="D55" s="51" t="str">
        <f ca="1">_xll.qlSchedule("Dummy_Bond_"&amp;A55&amp;"_schedule",$D$1,C55,"1Y","China","Following","Following",,,,,,,TRUE)</f>
        <v>Dummy_Bond_43Y_schedule#0058</v>
      </c>
      <c r="E55" s="51" t="str">
        <f ca="1">_xll.qlFixedRateBond("Fixed_Rate_Bond_"&amp;A55,,"CNY",1,100,D55,0,"Bond Basis","Following",100,B55,"China",,,TRUE)</f>
        <v>Fixed_Rate_Bond_43Y#0058</v>
      </c>
      <c r="F55" s="51">
        <f ca="1">_xll.qlBondCleanPriceFromYieldTermStructure(E55,$B$3,$D$1)</f>
        <v>11.944955733097055</v>
      </c>
      <c r="G55" s="51">
        <f ca="1">_xll.qlBondCleanPriceFromYieldTermStructure(E55,$E$66,$D$1)</f>
        <v>11.944955733097061</v>
      </c>
      <c r="H55" s="53"/>
      <c r="I55" s="52"/>
    </row>
    <row r="56" spans="1:9">
      <c r="A56" s="51" t="s">
        <v>94</v>
      </c>
      <c r="B56" s="52">
        <f t="shared" ca="1" si="1"/>
        <v>41137</v>
      </c>
      <c r="C56" s="52">
        <f ca="1">_xll.qlCalendarAdvance("China",_xll.qlCalendarAdvance("China",$B$1,A56),"-6M")</f>
        <v>57026</v>
      </c>
      <c r="D56" s="51" t="str">
        <f ca="1">_xll.qlSchedule("Dummy_Bond_"&amp;A56&amp;"_schedule",$D$1,C56,"1Y","China","Following","Following",,,,,,,TRUE)</f>
        <v>Dummy_Bond_44Y_schedule#0058</v>
      </c>
      <c r="E56" s="51" t="str">
        <f ca="1">_xll.qlFixedRateBond("Fixed_Rate_Bond_"&amp;A56,,"CNY",1,100,D56,0,"Bond Basis","Following",100,B56,"China",,,TRUE)</f>
        <v>Fixed_Rate_Bond_44Y#0058</v>
      </c>
      <c r="F56" s="51">
        <f ca="1">_xll.qlBondCleanPriceFromYieldTermStructure(E56,$B$3,$D$1)</f>
        <v>11.362393367680415</v>
      </c>
      <c r="G56" s="51">
        <f ca="1">_xll.qlBondCleanPriceFromYieldTermStructure(E56,$E$66,$D$1)</f>
        <v>11.362393367680419</v>
      </c>
      <c r="H56" s="53"/>
      <c r="I56" s="52"/>
    </row>
    <row r="57" spans="1:9">
      <c r="A57" s="51" t="s">
        <v>95</v>
      </c>
      <c r="B57" s="52">
        <f t="shared" ca="1" si="1"/>
        <v>41137</v>
      </c>
      <c r="C57" s="52">
        <f ca="1">_xll.qlCalendarAdvance("China",_xll.qlCalendarAdvance("China",$B$1,A57),"-6M")</f>
        <v>57392</v>
      </c>
      <c r="D57" s="51" t="str">
        <f ca="1">_xll.qlSchedule("Dummy_Bond_"&amp;A57&amp;"_schedule",$D$1,C57,"1Y","China","Following","Following",,,,,,,TRUE)</f>
        <v>Dummy_Bond_45Y_schedule#0058</v>
      </c>
      <c r="E57" s="51" t="str">
        <f ca="1">_xll.qlFixedRateBond("Fixed_Rate_Bond_"&amp;A57,,"CNY",1,100,D57,0,"Bond Basis","Following",100,B57,"China",,,TRUE)</f>
        <v>Fixed_Rate_Bond_45Y#0058</v>
      </c>
      <c r="F57" s="51">
        <f ca="1">_xll.qlBondCleanPriceFromYieldTermStructure(E57,$B$3,$D$1)</f>
        <v>10.808242904089372</v>
      </c>
      <c r="G57" s="51">
        <f ca="1">_xll.qlBondCleanPriceFromYieldTermStructure(E57,$E$66,$D$1)</f>
        <v>10.808242904089376</v>
      </c>
      <c r="H57" s="53"/>
      <c r="I57" s="52"/>
    </row>
    <row r="58" spans="1:9">
      <c r="A58" s="51" t="s">
        <v>96</v>
      </c>
      <c r="B58" s="52">
        <f t="shared" ca="1" si="1"/>
        <v>41137</v>
      </c>
      <c r="C58" s="52">
        <f ca="1">_xll.qlCalendarAdvance("China",_xll.qlCalendarAdvance("China",$B$1,A58),"-6M")</f>
        <v>57759</v>
      </c>
      <c r="D58" s="51" t="str">
        <f ca="1">_xll.qlSchedule("Dummy_Bond_"&amp;A58&amp;"_schedule",$D$1,C58,"1Y","China","Following","Following",,,,,,,TRUE)</f>
        <v>Dummy_Bond_46Y_schedule#0058</v>
      </c>
      <c r="E58" s="51" t="str">
        <f ca="1">_xll.qlFixedRateBond("Fixed_Rate_Bond_"&amp;A58,,"CNY",1,100,D58,0,"Bond Basis","Following",100,B58,"China",,,TRUE)</f>
        <v>Fixed_Rate_Bond_46Y#0058</v>
      </c>
      <c r="F58" s="51">
        <f ca="1">_xll.qlBondCleanPriceFromYieldTermStructure(E58,$B$3,$D$1)</f>
        <v>10.278263207832921</v>
      </c>
      <c r="G58" s="51">
        <f ca="1">_xll.qlBondCleanPriceFromYieldTermStructure(E58,$E$66,$D$1)</f>
        <v>10.27826320783293</v>
      </c>
      <c r="H58" s="53"/>
      <c r="I58" s="52"/>
    </row>
    <row r="59" spans="1:9">
      <c r="A59" s="51" t="s">
        <v>97</v>
      </c>
      <c r="B59" s="52">
        <f t="shared" ca="1" si="1"/>
        <v>41137</v>
      </c>
      <c r="C59" s="52">
        <f ca="1">_xll.qlCalendarAdvance("China",_xll.qlCalendarAdvance("China",$B$1,A59),"-6M")</f>
        <v>58124</v>
      </c>
      <c r="D59" s="51" t="str">
        <f ca="1">_xll.qlSchedule("Dummy_Bond_"&amp;A59&amp;"_schedule",$D$1,C59,"1Y","China","Following","Following",,,,,,,TRUE)</f>
        <v>Dummy_Bond_47Y_schedule#0058</v>
      </c>
      <c r="E59" s="51" t="str">
        <f ca="1">_xll.qlFixedRateBond("Fixed_Rate_Bond_"&amp;A59,,"CNY",1,100,D59,0,"Bond Basis","Following",100,B59,"China",,,TRUE)</f>
        <v>Fixed_Rate_Bond_47Y#0058</v>
      </c>
      <c r="F59" s="51">
        <f ca="1">_xll.qlBondCleanPriceFromYieldTermStructure(E59,$B$3,$D$1)</f>
        <v>9.7769863960537755</v>
      </c>
      <c r="G59" s="51">
        <f ca="1">_xll.qlBondCleanPriceFromYieldTermStructure(E59,$E$66,$D$1)</f>
        <v>9.7769863960537808</v>
      </c>
      <c r="H59" s="53"/>
      <c r="I59" s="52"/>
    </row>
    <row r="60" spans="1:9">
      <c r="A60" s="51" t="s">
        <v>98</v>
      </c>
      <c r="B60" s="52">
        <f t="shared" ca="1" si="1"/>
        <v>41137</v>
      </c>
      <c r="C60" s="52">
        <f ca="1">_xll.qlCalendarAdvance("China",_xll.qlCalendarAdvance("China",$B$1,A60),"-6M")</f>
        <v>58487</v>
      </c>
      <c r="D60" s="51" t="str">
        <f ca="1">_xll.qlSchedule("Dummy_Bond_"&amp;A60&amp;"_schedule",$D$1,C60,"1Y","China","Following","Following",,,,,,,TRUE)</f>
        <v>Dummy_Bond_48Y_schedule#0058</v>
      </c>
      <c r="E60" s="51" t="str">
        <f ca="1">_xll.qlFixedRateBond("Fixed_Rate_Bond_"&amp;A60,,"CNY",1,100,D60,0,"Bond Basis","Following",100,B60,"China",,,TRUE)</f>
        <v>Fixed_Rate_Bond_48Y#0058</v>
      </c>
      <c r="F60" s="51">
        <f ca="1">_xll.qlBondCleanPriceFromYieldTermStructure(E60,$B$3,$D$1)</f>
        <v>9.3027408786892547</v>
      </c>
      <c r="G60" s="51">
        <f ca="1">_xll.qlBondCleanPriceFromYieldTermStructure(E60,$E$66,$D$1)</f>
        <v>9.3027408786892583</v>
      </c>
      <c r="H60" s="53"/>
      <c r="I60" s="52"/>
    </row>
    <row r="61" spans="1:9">
      <c r="A61" s="51" t="s">
        <v>99</v>
      </c>
      <c r="B61" s="52">
        <f t="shared" ca="1" si="1"/>
        <v>41137</v>
      </c>
      <c r="C61" s="52">
        <f ca="1">_xll.qlCalendarAdvance("China",_xll.qlCalendarAdvance("China",$B$1,A61),"-6M")</f>
        <v>58853</v>
      </c>
      <c r="D61" s="51" t="str">
        <f ca="1">_xll.qlSchedule("Dummy_Bond_"&amp;A61&amp;"_schedule",$D$1,C61,"1Y","China","Following","Following",,,,,,,TRUE)</f>
        <v>Dummy_Bond_49Y_schedule#0058</v>
      </c>
      <c r="E61" s="51" t="str">
        <f ca="1">_xll.qlFixedRateBond("Fixed_Rate_Bond_"&amp;A61,,"CNY",1,100,D61,0,"Bond Basis","Following",100,B61,"China",,,TRUE)</f>
        <v>Fixed_Rate_Bond_49Y#0058</v>
      </c>
      <c r="F61" s="51">
        <f ca="1">_xll.qlBondCleanPriceFromYieldTermStructure(E61,$B$3,$D$1)</f>
        <v>8.8490408523148432</v>
      </c>
      <c r="G61" s="51">
        <f ca="1">_xll.qlBondCleanPriceFromYieldTermStructure(E61,$E$66,$D$1)</f>
        <v>8.8490408523148467</v>
      </c>
      <c r="H61" s="53"/>
      <c r="I61" s="52"/>
    </row>
    <row r="62" spans="1:9">
      <c r="A62" s="51" t="s">
        <v>100</v>
      </c>
      <c r="B62" s="52">
        <f t="shared" ca="1" si="1"/>
        <v>41137</v>
      </c>
      <c r="C62" s="52">
        <f ca="1">_xll.qlCalendarAdvance("China",_xll.qlCalendarAdvance("China",$B$1,A62),"-6M")</f>
        <v>59218</v>
      </c>
      <c r="D62" s="51" t="str">
        <f ca="1">_xll.qlSchedule("Dummy_Bond_"&amp;A62&amp;"_schedule",$D$1,C62,"1Y","China","Following","Following",,,,,,,TRUE)</f>
        <v>Dummy_Bond_50Y_schedule#0058</v>
      </c>
      <c r="E62" s="51" t="str">
        <f ca="1">_xll.qlFixedRateBond("Fixed_Rate_Bond_"&amp;A62,,"CNY",1,100,D62,0,"Bond Basis","Following",100,B62,"China",,,TRUE)</f>
        <v>Fixed_Rate_Bond_50Y#0058</v>
      </c>
      <c r="F62" s="51">
        <f ca="1">_xll.qlBondCleanPriceFromYieldTermStructure(E62,$B$3,$D$1)</f>
        <v>8.4174680373307567</v>
      </c>
      <c r="G62" s="51">
        <f ca="1">_xll.qlBondCleanPriceFromYieldTermStructure(E62,$E$66,$D$1)</f>
        <v>8.4174680373307602</v>
      </c>
      <c r="H62" s="53"/>
      <c r="I62" s="52"/>
    </row>
    <row r="64" spans="1:9">
      <c r="C64" s="52"/>
      <c r="D64" s="54"/>
    </row>
    <row r="65" spans="1:7">
      <c r="B65" s="51" t="s">
        <v>108</v>
      </c>
      <c r="C65" s="52" t="s">
        <v>112</v>
      </c>
      <c r="D65" s="54"/>
    </row>
    <row r="66" spans="1:7">
      <c r="A66" s="51" t="s">
        <v>111</v>
      </c>
      <c r="B66" s="52">
        <f ca="1">B13</f>
        <v>41137</v>
      </c>
      <c r="C66" s="54">
        <f t="array" aca="1" ref="C66:C1089" ca="1">_xll.qlYieldTSZeroRate($B$3,$B$66:$B$815,"Bond Basis")</f>
        <v>5.0000000000129566E-2</v>
      </c>
      <c r="D66" s="54">
        <v>4.9999999999999753E-2</v>
      </c>
      <c r="E66" s="51" t="str">
        <f ca="1">_xll.qlInterpolatedYieldCurve("interpCurve",B66:B815,C66:C815,"China","Bond Basis",,,"ZeroYield","Linear",,,TRUE)</f>
        <v>interpCurve#0085</v>
      </c>
      <c r="G66" s="51">
        <v>5.0000000000129566E-2</v>
      </c>
    </row>
    <row r="67" spans="1:7">
      <c r="B67" s="52">
        <f ca="1">_xll.qlCalendarAdvance("Null",B66,$A$66,"UnAdjusted")</f>
        <v>41229</v>
      </c>
      <c r="C67" s="54">
        <f ca="1"/>
        <v>5.0000000000000155E-2</v>
      </c>
      <c r="D67" s="54">
        <f t="array" aca="1" ref="D67:D116" ca="1">_xll.qlYieldTSZeroRate($E$66,$B$67:$B$116,"Bond Basis",,,TRUE)</f>
        <v>5.0000000000000155E-2</v>
      </c>
      <c r="G67" s="51">
        <v>7.5205479452054955E-2</v>
      </c>
    </row>
    <row r="68" spans="1:7">
      <c r="B68" s="52">
        <f ca="1">_xll.qlCalendarAdvance("Null",B67,$A$66,"UnAdjusted")</f>
        <v>41321</v>
      </c>
      <c r="C68" s="54">
        <f ca="1"/>
        <v>5.0000000000000031E-2</v>
      </c>
      <c r="D68" s="54">
        <f ca="1"/>
        <v>5.0000000000000031E-2</v>
      </c>
      <c r="G68" s="51">
        <v>0.10041095890410963</v>
      </c>
    </row>
    <row r="69" spans="1:7">
      <c r="B69" s="52">
        <f ca="1">_xll.qlCalendarAdvance("Null",B68,$A$66,"UnAdjusted")</f>
        <v>41410</v>
      </c>
      <c r="C69" s="54">
        <f ca="1"/>
        <v>5.0000000000000044E-2</v>
      </c>
      <c r="D69" s="54">
        <f ca="1"/>
        <v>5.0000000000000044E-2</v>
      </c>
      <c r="G69" s="51">
        <v>0.12479452054794526</v>
      </c>
    </row>
    <row r="70" spans="1:7">
      <c r="B70" s="52">
        <f ca="1">_xll.qlCalendarAdvance("Null",B69,$A$66,"UnAdjusted")</f>
        <v>41502</v>
      </c>
      <c r="C70" s="54">
        <f ca="1"/>
        <v>5.0000000000000072E-2</v>
      </c>
      <c r="D70" s="54">
        <f ca="1"/>
        <v>5.0000000000000072E-2</v>
      </c>
      <c r="E70" s="51" t="e">
        <f ca="1">interpHatJump(B66:B91,C66:C91,1,1,1)</f>
        <v>#VALUE!</v>
      </c>
      <c r="G70" s="51">
        <v>0.15000000000000008</v>
      </c>
    </row>
    <row r="71" spans="1:7">
      <c r="B71" s="52">
        <f ca="1">_xll.qlCalendarAdvance("Null",B70,$A$66,"UnAdjusted")</f>
        <v>41594</v>
      </c>
      <c r="C71" s="54">
        <f ca="1"/>
        <v>4.999999999999992E-2</v>
      </c>
      <c r="D71" s="54">
        <f ca="1"/>
        <v>4.999999999999992E-2</v>
      </c>
      <c r="G71" s="51">
        <v>0.14160583941605831</v>
      </c>
    </row>
    <row r="72" spans="1:7">
      <c r="B72" s="52">
        <f ca="1">_xll.qlCalendarAdvance("Null",B71,$A$66,"UnAdjusted")</f>
        <v>41686</v>
      </c>
      <c r="C72" s="54">
        <f ca="1"/>
        <v>4.9999999999999989E-2</v>
      </c>
      <c r="D72" s="54">
        <f ca="1"/>
        <v>4.9999999999999989E-2</v>
      </c>
      <c r="G72" s="51">
        <v>0.13321167883211676</v>
      </c>
    </row>
    <row r="73" spans="1:7">
      <c r="B73" s="52">
        <f ca="1">_xll.qlCalendarAdvance("Null",B72,$A$66,"UnAdjusted")</f>
        <v>41775</v>
      </c>
      <c r="C73" s="54">
        <f ca="1"/>
        <v>5.0000000000000037E-2</v>
      </c>
      <c r="D73" s="54">
        <f ca="1"/>
        <v>5.0000000000000037E-2</v>
      </c>
      <c r="G73" s="51">
        <v>0.12509124087591245</v>
      </c>
    </row>
    <row r="74" spans="1:7">
      <c r="B74" s="52">
        <f ca="1">_xll.qlCalendarAdvance("Null",B73,$A$66,"UnAdjusted")</f>
        <v>41867</v>
      </c>
      <c r="C74" s="54">
        <f ca="1"/>
        <v>5.0000000000000037E-2</v>
      </c>
      <c r="D74" s="54">
        <f ca="1"/>
        <v>5.0000000000000037E-2</v>
      </c>
      <c r="G74" s="51">
        <v>0.11669708029197084</v>
      </c>
    </row>
    <row r="75" spans="1:7">
      <c r="B75" s="52">
        <f ca="1">_xll.qlCalendarAdvance("Null",B74,$A$66,"UnAdjusted")</f>
        <v>41959</v>
      </c>
      <c r="C75" s="54">
        <f ca="1"/>
        <v>5.0000000000000044E-2</v>
      </c>
      <c r="D75" s="54">
        <f ca="1"/>
        <v>5.0000000000000044E-2</v>
      </c>
      <c r="G75" s="51">
        <v>0.10830291970802924</v>
      </c>
    </row>
    <row r="76" spans="1:7">
      <c r="B76" s="52">
        <f ca="1">_xll.qlCalendarAdvance("Null",B75,$A$66,"UnAdjusted")</f>
        <v>42051</v>
      </c>
      <c r="C76" s="54">
        <f ca="1"/>
        <v>0.05</v>
      </c>
      <c r="D76" s="54">
        <f ca="1"/>
        <v>0.05</v>
      </c>
      <c r="G76" s="51">
        <v>9.9908759124087587E-2</v>
      </c>
    </row>
    <row r="77" spans="1:7">
      <c r="B77" s="52">
        <f ca="1">_xll.qlCalendarAdvance("Null",B76,$A$66,"UnAdjusted")</f>
        <v>42140</v>
      </c>
      <c r="C77" s="54">
        <f ca="1"/>
        <v>5.0000000000000017E-2</v>
      </c>
      <c r="D77" s="54">
        <f ca="1"/>
        <v>5.0000000000000017E-2</v>
      </c>
      <c r="E77" s="51" t="e">
        <f ca="1">_xll.qlInterpolation(1,2,3,4,,,TRUE)</f>
        <v>#NUM!</v>
      </c>
      <c r="F77" s="51" t="e">
        <f ca="1">_xll.qlInterpolationInterpolate()</f>
        <v>#NUM!</v>
      </c>
      <c r="G77" s="51">
        <v>9.1788321167883227E-2</v>
      </c>
    </row>
    <row r="78" spans="1:7">
      <c r="B78" s="52">
        <f ca="1">_xll.qlCalendarAdvance("Null",B77,$A$66,"UnAdjusted")</f>
        <v>42232</v>
      </c>
      <c r="C78" s="54">
        <f ca="1"/>
        <v>4.9999999999999982E-2</v>
      </c>
      <c r="D78" s="54">
        <f ca="1"/>
        <v>4.9999999999999982E-2</v>
      </c>
      <c r="G78" s="51">
        <v>8.3394160583941584E-2</v>
      </c>
    </row>
    <row r="79" spans="1:7">
      <c r="B79" s="52">
        <f ca="1">_xll.qlCalendarAdvance("Null",B78,$A$66,"UnAdjusted")</f>
        <v>42324</v>
      </c>
      <c r="C79" s="54">
        <f ca="1"/>
        <v>0.05</v>
      </c>
      <c r="D79" s="54">
        <f ca="1"/>
        <v>0.05</v>
      </c>
      <c r="G79" s="51">
        <v>7.4999999999999997E-2</v>
      </c>
    </row>
    <row r="80" spans="1:7">
      <c r="B80" s="52">
        <f ca="1">_xll.qlCalendarAdvance("Null",B79,$A$66,"UnAdjusted")</f>
        <v>42416</v>
      </c>
      <c r="C80" s="54">
        <f ca="1"/>
        <v>4.9999999999999989E-2</v>
      </c>
      <c r="D80" s="54">
        <f ca="1"/>
        <v>4.9999999999999989E-2</v>
      </c>
      <c r="G80" s="51">
        <v>6.6605839416058382E-2</v>
      </c>
    </row>
    <row r="81" spans="2:7">
      <c r="B81" s="52">
        <f ca="1">_xll.qlCalendarAdvance("Null",B80,$A$66,"UnAdjusted")</f>
        <v>42506</v>
      </c>
      <c r="C81" s="54">
        <f ca="1"/>
        <v>4.9999999999999996E-2</v>
      </c>
      <c r="D81" s="54">
        <f ca="1"/>
        <v>4.9999999999999996E-2</v>
      </c>
      <c r="G81" s="51">
        <v>5.8394160583941597E-2</v>
      </c>
    </row>
    <row r="82" spans="2:7">
      <c r="B82" s="52">
        <f ca="1">_xll.qlCalendarAdvance("Null",B81,$A$66,"UnAdjusted")</f>
        <v>42598</v>
      </c>
      <c r="C82" s="54">
        <f ca="1"/>
        <v>0.05</v>
      </c>
      <c r="D82" s="54">
        <f ca="1"/>
        <v>0.05</v>
      </c>
      <c r="G82" s="51">
        <v>0.05</v>
      </c>
    </row>
    <row r="83" spans="2:7">
      <c r="B83" s="52">
        <f ca="1">_xll.qlCalendarAdvance("Null",B82,$A$66,"UnAdjusted")</f>
        <v>42690</v>
      </c>
      <c r="C83" s="54">
        <f ca="1"/>
        <v>5.000000000000001E-2</v>
      </c>
      <c r="D83" s="54">
        <f ca="1"/>
        <v>5.000000000000001E-2</v>
      </c>
      <c r="G83" s="51">
        <v>5.000000000000001E-2</v>
      </c>
    </row>
    <row r="84" spans="2:7">
      <c r="B84" s="52">
        <f ca="1">_xll.qlCalendarAdvance("Null",B83,$A$66,"UnAdjusted")</f>
        <v>42782</v>
      </c>
      <c r="C84" s="54">
        <f ca="1"/>
        <v>5.0000000000000017E-2</v>
      </c>
      <c r="D84" s="54">
        <f ca="1"/>
        <v>5.0000000000000017E-2</v>
      </c>
      <c r="G84" s="51">
        <v>5.0000000000000017E-2</v>
      </c>
    </row>
    <row r="85" spans="2:7">
      <c r="B85" s="52">
        <f ca="1">_xll.qlCalendarAdvance("Null",B84,$A$66,"UnAdjusted")</f>
        <v>42871</v>
      </c>
      <c r="C85" s="54">
        <f ca="1"/>
        <v>5.0000000000000024E-2</v>
      </c>
      <c r="D85" s="54">
        <f ca="1"/>
        <v>5.0000000000000024E-2</v>
      </c>
      <c r="G85" s="51">
        <v>5.0000000000000024E-2</v>
      </c>
    </row>
    <row r="86" spans="2:7">
      <c r="B86" s="52">
        <f ca="1">_xll.qlCalendarAdvance("Null",B85,$A$66,"UnAdjusted")</f>
        <v>42963</v>
      </c>
      <c r="C86" s="54">
        <f ca="1"/>
        <v>4.9999999999999982E-2</v>
      </c>
      <c r="D86" s="54">
        <f ca="1"/>
        <v>4.9999999999999982E-2</v>
      </c>
      <c r="G86" s="51">
        <v>4.9999999999999982E-2</v>
      </c>
    </row>
    <row r="87" spans="2:7">
      <c r="B87" s="52">
        <f ca="1">_xll.qlCalendarAdvance("Null",B86,$A$66,"UnAdjusted")</f>
        <v>43055</v>
      </c>
      <c r="C87" s="54">
        <f ca="1"/>
        <v>0.05</v>
      </c>
      <c r="D87" s="54">
        <f ca="1"/>
        <v>0.05</v>
      </c>
      <c r="G87" s="51">
        <v>0.05</v>
      </c>
    </row>
    <row r="88" spans="2:7">
      <c r="B88" s="52">
        <f ca="1">_xll.qlCalendarAdvance("Null",B87,$A$66,"UnAdjusted")</f>
        <v>43147</v>
      </c>
      <c r="C88" s="54">
        <f ca="1"/>
        <v>5.0000000000000024E-2</v>
      </c>
      <c r="D88" s="54">
        <f ca="1"/>
        <v>5.0000000000000024E-2</v>
      </c>
      <c r="G88" s="51">
        <v>5.0000000000000024E-2</v>
      </c>
    </row>
    <row r="89" spans="2:7">
      <c r="B89" s="52">
        <f ca="1">_xll.qlCalendarAdvance("Null",B88,$A$66,"UnAdjusted")</f>
        <v>43236</v>
      </c>
      <c r="C89" s="54">
        <f ca="1"/>
        <v>5.0000000000000017E-2</v>
      </c>
      <c r="D89" s="54">
        <f ca="1"/>
        <v>5.0000000000000017E-2</v>
      </c>
      <c r="G89" s="51">
        <v>5.0000000000000017E-2</v>
      </c>
    </row>
    <row r="90" spans="2:7">
      <c r="B90" s="52">
        <f ca="1">_xll.qlCalendarAdvance("Null",B89,$A$66,"UnAdjusted")</f>
        <v>43328</v>
      </c>
      <c r="C90" s="54">
        <f ca="1"/>
        <v>5.000000000000001E-2</v>
      </c>
      <c r="D90" s="54">
        <f ca="1"/>
        <v>5.000000000000001E-2</v>
      </c>
      <c r="G90" s="51">
        <v>5.000000000000001E-2</v>
      </c>
    </row>
    <row r="91" spans="2:7">
      <c r="B91" s="52">
        <f ca="1">_xll.qlCalendarAdvance("Null",B90,$A$66,"UnAdjusted")</f>
        <v>43420</v>
      </c>
      <c r="C91" s="54">
        <f ca="1"/>
        <v>4.9999999999999989E-2</v>
      </c>
      <c r="D91" s="54">
        <f ca="1"/>
        <v>4.9999999999999989E-2</v>
      </c>
      <c r="G91" s="51">
        <v>4.9999999999999989E-2</v>
      </c>
    </row>
    <row r="92" spans="2:7">
      <c r="B92" s="52">
        <f ca="1">_xll.qlCalendarAdvance("Null",B91,$A$66,"UnAdjusted")</f>
        <v>43512</v>
      </c>
      <c r="C92" s="54">
        <f ca="1"/>
        <v>0.05</v>
      </c>
      <c r="D92" s="54">
        <f ca="1"/>
        <v>0.05</v>
      </c>
      <c r="G92" s="51">
        <v>0.05</v>
      </c>
    </row>
    <row r="93" spans="2:7">
      <c r="B93" s="52">
        <f ca="1">_xll.qlCalendarAdvance("Null",B92,$A$66,"UnAdjusted")</f>
        <v>43601</v>
      </c>
      <c r="C93" s="54">
        <f ca="1"/>
        <v>4.9999999999999996E-2</v>
      </c>
      <c r="D93" s="54">
        <f ca="1"/>
        <v>4.9999999999999996E-2</v>
      </c>
      <c r="G93" s="51">
        <v>4.9999999999999996E-2</v>
      </c>
    </row>
    <row r="94" spans="2:7">
      <c r="B94" s="52">
        <f ca="1">_xll.qlCalendarAdvance("Null",B93,$A$66,"UnAdjusted")</f>
        <v>43693</v>
      </c>
      <c r="C94" s="54">
        <f ca="1"/>
        <v>5.000000000000001E-2</v>
      </c>
      <c r="D94" s="54">
        <f ca="1"/>
        <v>5.0000000000000031E-2</v>
      </c>
      <c r="G94" s="51">
        <v>5.000000000000001E-2</v>
      </c>
    </row>
    <row r="95" spans="2:7">
      <c r="B95" s="52">
        <f ca="1">_xll.qlCalendarAdvance("Null",B94,$A$66,"UnAdjusted")</f>
        <v>43785</v>
      </c>
      <c r="C95" s="54">
        <f ca="1"/>
        <v>5.0000000000000017E-2</v>
      </c>
      <c r="D95" s="54">
        <f ca="1"/>
        <v>5.0000000000000017E-2</v>
      </c>
      <c r="G95" s="51">
        <v>5.0000000000000017E-2</v>
      </c>
    </row>
    <row r="96" spans="2:7">
      <c r="B96" s="52">
        <f ca="1">_xll.qlCalendarAdvance("Null",B95,$A$66,"UnAdjusted")</f>
        <v>43877</v>
      </c>
      <c r="C96" s="54">
        <f ca="1"/>
        <v>4.9999999999999996E-2</v>
      </c>
      <c r="D96" s="54">
        <f ca="1"/>
        <v>4.9999999999999996E-2</v>
      </c>
      <c r="G96" s="51">
        <v>4.9999999999999996E-2</v>
      </c>
    </row>
    <row r="97" spans="2:7">
      <c r="B97" s="52">
        <f ca="1">_xll.qlCalendarAdvance("Null",B96,$A$66,"UnAdjusted")</f>
        <v>43967</v>
      </c>
      <c r="C97" s="54">
        <f ca="1"/>
        <v>5.000000000000001E-2</v>
      </c>
      <c r="D97" s="54">
        <f ca="1"/>
        <v>5.000000000000001E-2</v>
      </c>
      <c r="G97" s="51">
        <v>5.000000000000001E-2</v>
      </c>
    </row>
    <row r="98" spans="2:7">
      <c r="B98" s="52">
        <f ca="1">_xll.qlCalendarAdvance("Null",B97,$A$66,"UnAdjusted")</f>
        <v>44059</v>
      </c>
      <c r="C98" s="54">
        <f ca="1"/>
        <v>0.05</v>
      </c>
      <c r="D98" s="54">
        <f ca="1"/>
        <v>0.05</v>
      </c>
      <c r="G98" s="51">
        <v>0.05</v>
      </c>
    </row>
    <row r="99" spans="2:7">
      <c r="B99" s="52">
        <f ca="1">_xll.qlCalendarAdvance("Null",B98,$A$66,"UnAdjusted")</f>
        <v>44151</v>
      </c>
      <c r="C99" s="54">
        <f ca="1"/>
        <v>5.000000000000001E-2</v>
      </c>
      <c r="D99" s="54">
        <f ca="1"/>
        <v>5.000000000000001E-2</v>
      </c>
      <c r="G99" s="51">
        <v>5.000000000000001E-2</v>
      </c>
    </row>
    <row r="100" spans="2:7">
      <c r="B100" s="52">
        <f ca="1">_xll.qlCalendarAdvance("Null",B99,$A$66,"UnAdjusted")</f>
        <v>44243</v>
      </c>
      <c r="C100" s="54">
        <f ca="1"/>
        <v>0.05</v>
      </c>
      <c r="D100" s="54">
        <f ca="1"/>
        <v>0.05</v>
      </c>
      <c r="G100" s="51">
        <v>0.05</v>
      </c>
    </row>
    <row r="101" spans="2:7">
      <c r="B101" s="52">
        <f ca="1">_xll.qlCalendarAdvance("Null",B100,$A$66,"UnAdjusted")</f>
        <v>44332</v>
      </c>
      <c r="C101" s="54">
        <f ca="1"/>
        <v>0.05</v>
      </c>
      <c r="D101" s="54">
        <f ca="1"/>
        <v>0.05</v>
      </c>
      <c r="G101" s="51">
        <v>0.05</v>
      </c>
    </row>
    <row r="102" spans="2:7">
      <c r="B102" s="52">
        <f ca="1">_xll.qlCalendarAdvance("Null",B101,$A$66,"UnAdjusted")</f>
        <v>44424</v>
      </c>
      <c r="C102" s="54">
        <f ca="1"/>
        <v>5.000000000000001E-2</v>
      </c>
      <c r="D102" s="54">
        <f ca="1"/>
        <v>5.000000000000001E-2</v>
      </c>
      <c r="G102" s="51">
        <v>5.000000000000001E-2</v>
      </c>
    </row>
    <row r="103" spans="2:7">
      <c r="B103" s="52">
        <f ca="1">_xll.qlCalendarAdvance("Null",B102,$A$66,"UnAdjusted")</f>
        <v>44516</v>
      </c>
      <c r="C103" s="54">
        <f ca="1"/>
        <v>0.05</v>
      </c>
      <c r="D103" s="54">
        <f ca="1"/>
        <v>0.05</v>
      </c>
      <c r="G103" s="51">
        <v>0.05</v>
      </c>
    </row>
    <row r="104" spans="2:7">
      <c r="B104" s="52">
        <f ca="1">_xll.qlCalendarAdvance("Null",B103,$A$66,"UnAdjusted")</f>
        <v>44608</v>
      </c>
      <c r="C104" s="54">
        <f ca="1"/>
        <v>0.05</v>
      </c>
      <c r="D104" s="54">
        <f ca="1"/>
        <v>0.05</v>
      </c>
      <c r="G104" s="51">
        <v>0.05</v>
      </c>
    </row>
    <row r="105" spans="2:7">
      <c r="B105" s="52">
        <f ca="1">_xll.qlCalendarAdvance("Null",B104,$A$66,"UnAdjusted")</f>
        <v>44697</v>
      </c>
      <c r="C105" s="54">
        <f ca="1"/>
        <v>5.0000000000000024E-2</v>
      </c>
      <c r="D105" s="54">
        <f ca="1"/>
        <v>5.0000000000000024E-2</v>
      </c>
      <c r="G105" s="51">
        <v>5.0000000000000024E-2</v>
      </c>
    </row>
    <row r="106" spans="2:7">
      <c r="B106" s="52">
        <f ca="1">_xll.qlCalendarAdvance("Null",B105,$A$66,"UnAdjusted")</f>
        <v>44789</v>
      </c>
      <c r="C106" s="54">
        <f ca="1"/>
        <v>0.05</v>
      </c>
      <c r="D106" s="54">
        <f ca="1"/>
        <v>0.05</v>
      </c>
      <c r="G106" s="51">
        <v>0.05</v>
      </c>
    </row>
    <row r="107" spans="2:7">
      <c r="B107" s="52">
        <f ca="1">_xll.qlCalendarAdvance("Null",B106,$A$66,"UnAdjusted")</f>
        <v>44881</v>
      </c>
      <c r="C107" s="54">
        <f ca="1"/>
        <v>5.0000000000000017E-2</v>
      </c>
      <c r="D107" s="54">
        <f ca="1"/>
        <v>5.0000000000000017E-2</v>
      </c>
      <c r="G107" s="51">
        <v>5.0000000000000017E-2</v>
      </c>
    </row>
    <row r="108" spans="2:7">
      <c r="B108" s="52">
        <f ca="1">_xll.qlCalendarAdvance("Null",B107,$A$66,"UnAdjusted")</f>
        <v>44973</v>
      </c>
      <c r="C108" s="54">
        <f ca="1"/>
        <v>4.9999999999999989E-2</v>
      </c>
      <c r="D108" s="54">
        <f ca="1"/>
        <v>4.9999999999999989E-2</v>
      </c>
      <c r="G108" s="51">
        <v>4.9999999999999989E-2</v>
      </c>
    </row>
    <row r="109" spans="2:7">
      <c r="B109" s="52">
        <f ca="1">_xll.qlCalendarAdvance("Null",B108,$A$66,"UnAdjusted")</f>
        <v>45062</v>
      </c>
      <c r="C109" s="54">
        <f ca="1"/>
        <v>4.9999999999999996E-2</v>
      </c>
      <c r="D109" s="54">
        <f ca="1"/>
        <v>5.000000000000001E-2</v>
      </c>
      <c r="G109" s="51">
        <v>4.9999999999999996E-2</v>
      </c>
    </row>
    <row r="110" spans="2:7">
      <c r="B110" s="52">
        <f ca="1">_xll.qlCalendarAdvance("Null",B109,$A$66,"UnAdjusted")</f>
        <v>45154</v>
      </c>
      <c r="C110" s="54">
        <f ca="1"/>
        <v>0.05</v>
      </c>
      <c r="D110" s="54">
        <f ca="1"/>
        <v>0.05</v>
      </c>
      <c r="G110" s="51">
        <v>0.05</v>
      </c>
    </row>
    <row r="111" spans="2:7">
      <c r="B111" s="52">
        <f ca="1">_xll.qlCalendarAdvance("Null",B110,$A$66,"UnAdjusted")</f>
        <v>45246</v>
      </c>
      <c r="C111" s="54">
        <f ca="1"/>
        <v>0.05</v>
      </c>
      <c r="D111" s="54">
        <f ca="1"/>
        <v>0.05</v>
      </c>
      <c r="G111" s="51">
        <v>0.05</v>
      </c>
    </row>
    <row r="112" spans="2:7">
      <c r="B112" s="52">
        <f ca="1">_xll.qlCalendarAdvance("Null",B111,$A$66,"UnAdjusted")</f>
        <v>45338</v>
      </c>
      <c r="C112" s="54">
        <f ca="1"/>
        <v>4.9999999999999996E-2</v>
      </c>
      <c r="D112" s="54">
        <f ca="1"/>
        <v>4.9999999999999996E-2</v>
      </c>
      <c r="G112" s="51">
        <v>4.9999999999999996E-2</v>
      </c>
    </row>
    <row r="113" spans="2:7">
      <c r="B113" s="52">
        <f ca="1">_xll.qlCalendarAdvance("Null",B112,$A$66,"UnAdjusted")</f>
        <v>45428</v>
      </c>
      <c r="C113" s="54">
        <f ca="1"/>
        <v>4.9999999999999982E-2</v>
      </c>
      <c r="D113" s="54">
        <f ca="1"/>
        <v>4.9999999999999975E-2</v>
      </c>
      <c r="G113" s="51">
        <v>4.9999999999999982E-2</v>
      </c>
    </row>
    <row r="114" spans="2:7">
      <c r="B114" s="52">
        <f ca="1">_xll.qlCalendarAdvance("Null",B113,$A$66,"UnAdjusted")</f>
        <v>45520</v>
      </c>
      <c r="C114" s="54">
        <f ca="1"/>
        <v>5.000000000000001E-2</v>
      </c>
      <c r="D114" s="54">
        <f ca="1"/>
        <v>5.000000000000001E-2</v>
      </c>
      <c r="G114" s="51">
        <v>5.000000000000001E-2</v>
      </c>
    </row>
    <row r="115" spans="2:7">
      <c r="B115" s="52">
        <f ca="1">_xll.qlCalendarAdvance("Null",B114,$A$66,"UnAdjusted")</f>
        <v>45612</v>
      </c>
      <c r="C115" s="54">
        <f ca="1"/>
        <v>5.000000000000001E-2</v>
      </c>
      <c r="D115" s="51">
        <f ca="1"/>
        <v>5.000000000000001E-2</v>
      </c>
      <c r="G115" s="51">
        <v>5.000000000000001E-2</v>
      </c>
    </row>
    <row r="116" spans="2:7">
      <c r="B116" s="52">
        <f ca="1">_xll.qlCalendarAdvance("Null",B115,$A$66,"UnAdjusted")</f>
        <v>45704</v>
      </c>
      <c r="C116" s="54">
        <f ca="1"/>
        <v>0.05</v>
      </c>
      <c r="D116" s="51">
        <f ca="1"/>
        <v>0.05</v>
      </c>
    </row>
    <row r="117" spans="2:7">
      <c r="B117" s="52">
        <f ca="1">_xll.qlCalendarAdvance("Null",B116,$A$66,"UnAdjusted")</f>
        <v>45793</v>
      </c>
      <c r="C117" s="60">
        <f ca="1"/>
        <v>0.05</v>
      </c>
    </row>
    <row r="118" spans="2:7">
      <c r="B118" s="52">
        <f ca="1">_xll.qlCalendarAdvance("Null",B117,$A$66,"UnAdjusted")</f>
        <v>45885</v>
      </c>
      <c r="C118" s="60">
        <f ca="1"/>
        <v>4.9999999999999996E-2</v>
      </c>
    </row>
    <row r="119" spans="2:7">
      <c r="B119" s="52">
        <f ca="1">_xll.qlCalendarAdvance("Null",B118,$A$66,"UnAdjusted")</f>
        <v>45977</v>
      </c>
      <c r="C119" s="60">
        <f ca="1"/>
        <v>5.0000000000000017E-2</v>
      </c>
    </row>
    <row r="120" spans="2:7">
      <c r="B120" s="52">
        <f ca="1">_xll.qlCalendarAdvance("Null",B119,$A$66,"UnAdjusted")</f>
        <v>46069</v>
      </c>
      <c r="C120" s="60">
        <f ca="1"/>
        <v>5.0000000000000017E-2</v>
      </c>
    </row>
    <row r="121" spans="2:7">
      <c r="B121" s="52">
        <f ca="1">_xll.qlCalendarAdvance("Null",B120,$A$66,"UnAdjusted")</f>
        <v>46158</v>
      </c>
      <c r="C121" s="60">
        <f ca="1"/>
        <v>0.05</v>
      </c>
    </row>
    <row r="122" spans="2:7">
      <c r="B122" s="52">
        <f ca="1">_xll.qlCalendarAdvance("Null",B121,$A$66,"UnAdjusted")</f>
        <v>46250</v>
      </c>
      <c r="C122" s="60">
        <f ca="1"/>
        <v>0.05</v>
      </c>
    </row>
    <row r="123" spans="2:7">
      <c r="B123" s="52">
        <f ca="1">_xll.qlCalendarAdvance("Null",B122,$A$66,"UnAdjusted")</f>
        <v>46342</v>
      </c>
      <c r="C123" s="60">
        <f ca="1"/>
        <v>0.05</v>
      </c>
    </row>
    <row r="124" spans="2:7">
      <c r="B124" s="52">
        <f ca="1">_xll.qlCalendarAdvance("Null",B123,$A$66,"UnAdjusted")</f>
        <v>46434</v>
      </c>
      <c r="C124" s="60">
        <f ca="1"/>
        <v>0.05</v>
      </c>
    </row>
    <row r="125" spans="2:7">
      <c r="B125" s="52">
        <f ca="1">_xll.qlCalendarAdvance("Null",B124,$A$66,"UnAdjusted")</f>
        <v>46523</v>
      </c>
      <c r="C125" s="60">
        <f ca="1"/>
        <v>0.05</v>
      </c>
    </row>
    <row r="126" spans="2:7">
      <c r="B126" s="52">
        <f ca="1">_xll.qlCalendarAdvance("Null",B125,$A$66,"UnAdjusted")</f>
        <v>46615</v>
      </c>
      <c r="C126" s="60">
        <f ca="1"/>
        <v>0.05</v>
      </c>
    </row>
    <row r="127" spans="2:7">
      <c r="B127" s="52">
        <f ca="1">_xll.qlCalendarAdvance("Null",B126,$A$66,"UnAdjusted")</f>
        <v>46707</v>
      </c>
      <c r="C127" s="60">
        <f ca="1"/>
        <v>0.05</v>
      </c>
    </row>
    <row r="128" spans="2:7">
      <c r="B128" s="52">
        <f ca="1">_xll.qlCalendarAdvance("Null",B127,$A$66,"UnAdjusted")</f>
        <v>46799</v>
      </c>
      <c r="C128" s="60">
        <f ca="1"/>
        <v>0.05</v>
      </c>
    </row>
    <row r="129" spans="2:3">
      <c r="B129" s="52">
        <f ca="1">_xll.qlCalendarAdvance("Null",B128,$A$66,"UnAdjusted")</f>
        <v>46889</v>
      </c>
      <c r="C129" s="60">
        <f ca="1"/>
        <v>5.000000000000001E-2</v>
      </c>
    </row>
    <row r="130" spans="2:3">
      <c r="B130" s="52">
        <f ca="1">_xll.qlCalendarAdvance("Null",B129,$A$66,"UnAdjusted")</f>
        <v>46981</v>
      </c>
      <c r="C130" s="60">
        <f ca="1"/>
        <v>5.000000000000001E-2</v>
      </c>
    </row>
    <row r="131" spans="2:3">
      <c r="B131" s="52">
        <f ca="1">_xll.qlCalendarAdvance("Null",B130,$A$66,"UnAdjusted")</f>
        <v>47073</v>
      </c>
      <c r="C131" s="60">
        <f ca="1"/>
        <v>0.05</v>
      </c>
    </row>
    <row r="132" spans="2:3">
      <c r="B132" s="52">
        <f ca="1">_xll.qlCalendarAdvance("Null",B131,$A$66,"UnAdjusted")</f>
        <v>47165</v>
      </c>
      <c r="C132" s="60">
        <f ca="1"/>
        <v>5.000000000000001E-2</v>
      </c>
    </row>
    <row r="133" spans="2:3">
      <c r="B133" s="52">
        <f ca="1">_xll.qlCalendarAdvance("Null",B132,$A$66,"UnAdjusted")</f>
        <v>47254</v>
      </c>
      <c r="C133" s="60">
        <f ca="1"/>
        <v>5.000000000000001E-2</v>
      </c>
    </row>
    <row r="134" spans="2:3">
      <c r="B134" s="52">
        <f ca="1">_xll.qlCalendarAdvance("Null",B133,$A$66,"UnAdjusted")</f>
        <v>47346</v>
      </c>
      <c r="C134" s="60">
        <f ca="1"/>
        <v>0.05</v>
      </c>
    </row>
    <row r="135" spans="2:3">
      <c r="B135" s="52">
        <f ca="1">_xll.qlCalendarAdvance("Null",B134,$A$66,"UnAdjusted")</f>
        <v>47438</v>
      </c>
      <c r="C135" s="60">
        <f ca="1"/>
        <v>0.05</v>
      </c>
    </row>
    <row r="136" spans="2:3">
      <c r="B136" s="52">
        <f ca="1">_xll.qlCalendarAdvance("Null",B135,$A$66,"UnAdjusted")</f>
        <v>47530</v>
      </c>
      <c r="C136" s="60">
        <f ca="1"/>
        <v>5.000000000000001E-2</v>
      </c>
    </row>
    <row r="137" spans="2:3">
      <c r="B137" s="52">
        <f ca="1">_xll.qlCalendarAdvance("Null",B136,$A$66,"UnAdjusted")</f>
        <v>47619</v>
      </c>
      <c r="C137" s="60">
        <f ca="1"/>
        <v>0.05</v>
      </c>
    </row>
    <row r="138" spans="2:3">
      <c r="B138" s="52">
        <f ca="1">_xll.qlCalendarAdvance("Null",B137,$A$66,"UnAdjusted")</f>
        <v>47711</v>
      </c>
      <c r="C138" s="60">
        <f ca="1"/>
        <v>0.05</v>
      </c>
    </row>
    <row r="139" spans="2:3">
      <c r="B139" s="52">
        <f ca="1">_xll.qlCalendarAdvance("Null",B138,$A$66,"UnAdjusted")</f>
        <v>47803</v>
      </c>
      <c r="C139" s="60">
        <f ca="1"/>
        <v>5.000000000000001E-2</v>
      </c>
    </row>
    <row r="140" spans="2:3">
      <c r="B140" s="52">
        <f ca="1">_xll.qlCalendarAdvance("Null",B139,$A$66,"UnAdjusted")</f>
        <v>47895</v>
      </c>
      <c r="C140" s="60">
        <f ca="1"/>
        <v>4.9999999999999996E-2</v>
      </c>
    </row>
    <row r="141" spans="2:3">
      <c r="B141" s="52">
        <f ca="1">_xll.qlCalendarAdvance("Null",B140,$A$66,"UnAdjusted")</f>
        <v>47984</v>
      </c>
      <c r="C141" s="60">
        <f ca="1"/>
        <v>0.05</v>
      </c>
    </row>
    <row r="142" spans="2:3">
      <c r="B142" s="52">
        <f ca="1">_xll.qlCalendarAdvance("Null",B141,$A$66,"UnAdjusted")</f>
        <v>48076</v>
      </c>
      <c r="C142" s="60">
        <f ca="1"/>
        <v>0.05</v>
      </c>
    </row>
    <row r="143" spans="2:3">
      <c r="B143" s="52">
        <f ca="1">_xll.qlCalendarAdvance("Null",B142,$A$66,"UnAdjusted")</f>
        <v>48168</v>
      </c>
      <c r="C143" s="60">
        <f ca="1"/>
        <v>0.05</v>
      </c>
    </row>
    <row r="144" spans="2:3">
      <c r="B144" s="52">
        <f ca="1">_xll.qlCalendarAdvance("Null",B143,$A$66,"UnAdjusted")</f>
        <v>48260</v>
      </c>
      <c r="C144" s="60">
        <f ca="1"/>
        <v>0.05</v>
      </c>
    </row>
    <row r="145" spans="2:3">
      <c r="B145" s="52">
        <f ca="1">_xll.qlCalendarAdvance("Null",B144,$A$66,"UnAdjusted")</f>
        <v>48350</v>
      </c>
      <c r="C145" s="60">
        <f ca="1"/>
        <v>0.05</v>
      </c>
    </row>
    <row r="146" spans="2:3">
      <c r="B146" s="52">
        <f ca="1">_xll.qlCalendarAdvance("Null",B145,$A$66,"UnAdjusted")</f>
        <v>48442</v>
      </c>
      <c r="C146" s="60">
        <f ca="1"/>
        <v>0.05</v>
      </c>
    </row>
    <row r="147" spans="2:3">
      <c r="B147" s="52">
        <f ca="1">_xll.qlCalendarAdvance("Null",B146,$A$66,"UnAdjusted")</f>
        <v>48534</v>
      </c>
      <c r="C147" s="60">
        <f ca="1"/>
        <v>4.9999999999999996E-2</v>
      </c>
    </row>
    <row r="148" spans="2:3">
      <c r="B148" s="52">
        <f ca="1">_xll.qlCalendarAdvance("Null",B147,$A$66,"UnAdjusted")</f>
        <v>48626</v>
      </c>
      <c r="C148" s="60">
        <f ca="1"/>
        <v>5.000000000000001E-2</v>
      </c>
    </row>
    <row r="149" spans="2:3">
      <c r="B149" s="52">
        <f ca="1">_xll.qlCalendarAdvance("Null",B148,$A$66,"UnAdjusted")</f>
        <v>48715</v>
      </c>
      <c r="C149" s="60">
        <f ca="1"/>
        <v>0.05</v>
      </c>
    </row>
    <row r="150" spans="2:3">
      <c r="B150" s="52">
        <f ca="1">_xll.qlCalendarAdvance("Null",B149,$A$66,"UnAdjusted")</f>
        <v>48807</v>
      </c>
      <c r="C150" s="60">
        <f ca="1"/>
        <v>0.05</v>
      </c>
    </row>
    <row r="151" spans="2:3">
      <c r="B151" s="52">
        <f ca="1">_xll.qlCalendarAdvance("Null",B150,$A$66,"UnAdjusted")</f>
        <v>48899</v>
      </c>
      <c r="C151" s="60">
        <f ca="1"/>
        <v>0.05</v>
      </c>
    </row>
    <row r="152" spans="2:3">
      <c r="B152" s="52">
        <f ca="1">_xll.qlCalendarAdvance("Null",B151,$A$66,"UnAdjusted")</f>
        <v>48991</v>
      </c>
      <c r="C152" s="60">
        <f ca="1"/>
        <v>4.9999999999999996E-2</v>
      </c>
    </row>
    <row r="153" spans="2:3">
      <c r="B153" s="52">
        <f ca="1">_xll.qlCalendarAdvance("Null",B152,$A$66,"UnAdjusted")</f>
        <v>49080</v>
      </c>
      <c r="C153" s="60">
        <f ca="1"/>
        <v>5.0000000000000017E-2</v>
      </c>
    </row>
    <row r="154" spans="2:3">
      <c r="B154" s="52">
        <f ca="1">_xll.qlCalendarAdvance("Null",B153,$A$66,"UnAdjusted")</f>
        <v>49172</v>
      </c>
      <c r="C154" s="60">
        <f ca="1"/>
        <v>5.0000000000000017E-2</v>
      </c>
    </row>
    <row r="155" spans="2:3">
      <c r="B155" s="52">
        <f ca="1">_xll.qlCalendarAdvance("Null",B154,$A$66,"UnAdjusted")</f>
        <v>49264</v>
      </c>
      <c r="C155" s="60">
        <f ca="1"/>
        <v>0.05</v>
      </c>
    </row>
    <row r="156" spans="2:3">
      <c r="B156" s="52">
        <f ca="1">_xll.qlCalendarAdvance("Null",B155,$A$66,"UnAdjusted")</f>
        <v>49356</v>
      </c>
      <c r="C156" s="60">
        <f ca="1"/>
        <v>0.05</v>
      </c>
    </row>
    <row r="157" spans="2:3">
      <c r="B157" s="52">
        <f ca="1">_xll.qlCalendarAdvance("Null",B156,$A$66,"UnAdjusted")</f>
        <v>49445</v>
      </c>
      <c r="C157" s="60">
        <f ca="1"/>
        <v>4.9999999999999996E-2</v>
      </c>
    </row>
    <row r="158" spans="2:3">
      <c r="B158" s="52">
        <f ca="1">_xll.qlCalendarAdvance("Null",B157,$A$66,"UnAdjusted")</f>
        <v>49537</v>
      </c>
      <c r="C158" s="60">
        <f ca="1"/>
        <v>0.05</v>
      </c>
    </row>
    <row r="159" spans="2:3">
      <c r="B159" s="52">
        <f ca="1">_xll.qlCalendarAdvance("Null",B158,$A$66,"UnAdjusted")</f>
        <v>49629</v>
      </c>
      <c r="C159" s="60">
        <f ca="1"/>
        <v>0.05</v>
      </c>
    </row>
    <row r="160" spans="2:3">
      <c r="B160" s="52">
        <f ca="1">_xll.qlCalendarAdvance("Null",B159,$A$66,"UnAdjusted")</f>
        <v>49721</v>
      </c>
      <c r="C160" s="60">
        <f ca="1"/>
        <v>5.000000000000001E-2</v>
      </c>
    </row>
    <row r="161" spans="2:3">
      <c r="B161" s="52">
        <f ca="1">_xll.qlCalendarAdvance("Null",B160,$A$66,"UnAdjusted")</f>
        <v>49811</v>
      </c>
      <c r="C161" s="60">
        <f ca="1"/>
        <v>0.05</v>
      </c>
    </row>
    <row r="162" spans="2:3">
      <c r="B162" s="52">
        <f ca="1">_xll.qlCalendarAdvance("Null",B161,$A$66,"UnAdjusted")</f>
        <v>49903</v>
      </c>
      <c r="C162" s="60">
        <f ca="1"/>
        <v>5.000000000000001E-2</v>
      </c>
    </row>
    <row r="163" spans="2:3">
      <c r="B163" s="52">
        <f ca="1">_xll.qlCalendarAdvance("Null",B162,$A$66,"UnAdjusted")</f>
        <v>49995</v>
      </c>
      <c r="C163" s="60">
        <f ca="1"/>
        <v>0.05</v>
      </c>
    </row>
    <row r="164" spans="2:3">
      <c r="B164" s="52">
        <f ca="1">_xll.qlCalendarAdvance("Null",B163,$A$66,"UnAdjusted")</f>
        <v>50087</v>
      </c>
      <c r="C164" s="60">
        <f ca="1"/>
        <v>0.05</v>
      </c>
    </row>
    <row r="165" spans="2:3">
      <c r="B165" s="52">
        <f ca="1">_xll.qlCalendarAdvance("Null",B164,$A$66,"UnAdjusted")</f>
        <v>50176</v>
      </c>
      <c r="C165" s="60">
        <f ca="1"/>
        <v>4.9999999999999996E-2</v>
      </c>
    </row>
    <row r="166" spans="2:3">
      <c r="B166" s="52">
        <f ca="1">_xll.qlCalendarAdvance("Null",B165,$A$66,"UnAdjusted")</f>
        <v>50268</v>
      </c>
      <c r="C166" s="60">
        <f ca="1"/>
        <v>0.05</v>
      </c>
    </row>
    <row r="167" spans="2:3">
      <c r="B167" s="52">
        <f ca="1">_xll.qlCalendarAdvance("Null",B166,$A$66,"UnAdjusted")</f>
        <v>50360</v>
      </c>
      <c r="C167" s="60">
        <f ca="1"/>
        <v>5.0000000000000017E-2</v>
      </c>
    </row>
    <row r="168" spans="2:3">
      <c r="B168" s="52">
        <f ca="1">_xll.qlCalendarAdvance("Null",B167,$A$66,"UnAdjusted")</f>
        <v>50452</v>
      </c>
      <c r="C168" s="60">
        <f ca="1"/>
        <v>0.05</v>
      </c>
    </row>
    <row r="169" spans="2:3">
      <c r="B169" s="52">
        <f ca="1">_xll.qlCalendarAdvance("Null",B168,$A$66,"UnAdjusted")</f>
        <v>50541</v>
      </c>
      <c r="C169" s="60">
        <f ca="1"/>
        <v>0.05</v>
      </c>
    </row>
    <row r="170" spans="2:3">
      <c r="B170" s="52">
        <f ca="1">_xll.qlCalendarAdvance("Null",B169,$A$66,"UnAdjusted")</f>
        <v>50633</v>
      </c>
      <c r="C170" s="60">
        <f ca="1"/>
        <v>0.05</v>
      </c>
    </row>
    <row r="171" spans="2:3">
      <c r="B171" s="52">
        <f ca="1">_xll.qlCalendarAdvance("Null",B170,$A$66,"UnAdjusted")</f>
        <v>50725</v>
      </c>
      <c r="C171" s="60">
        <f ca="1"/>
        <v>4.9999999999999989E-2</v>
      </c>
    </row>
    <row r="172" spans="2:3">
      <c r="B172" s="52">
        <f ca="1">_xll.qlCalendarAdvance("Null",B171,$A$66,"UnAdjusted")</f>
        <v>50817</v>
      </c>
      <c r="C172" s="60">
        <f ca="1"/>
        <v>5.000000000000001E-2</v>
      </c>
    </row>
    <row r="173" spans="2:3">
      <c r="B173" s="52">
        <f ca="1">_xll.qlCalendarAdvance("Null",B172,$A$66,"UnAdjusted")</f>
        <v>50906</v>
      </c>
      <c r="C173" s="60">
        <f ca="1"/>
        <v>0.05</v>
      </c>
    </row>
    <row r="174" spans="2:3">
      <c r="B174" s="52">
        <f ca="1">_xll.qlCalendarAdvance("Null",B173,$A$66,"UnAdjusted")</f>
        <v>50998</v>
      </c>
      <c r="C174" s="60">
        <f ca="1"/>
        <v>0.05</v>
      </c>
    </row>
    <row r="175" spans="2:3">
      <c r="B175" s="52">
        <f ca="1">_xll.qlCalendarAdvance("Null",B174,$A$66,"UnAdjusted")</f>
        <v>51090</v>
      </c>
      <c r="C175" s="60">
        <f ca="1"/>
        <v>0.05</v>
      </c>
    </row>
    <row r="176" spans="2:3">
      <c r="B176" s="52">
        <f ca="1">_xll.qlCalendarAdvance("Null",B175,$A$66,"UnAdjusted")</f>
        <v>51182</v>
      </c>
      <c r="C176" s="60">
        <f ca="1"/>
        <v>0.05</v>
      </c>
    </row>
    <row r="177" spans="2:3">
      <c r="B177" s="52">
        <f ca="1">_xll.qlCalendarAdvance("Null",B176,$A$66,"UnAdjusted")</f>
        <v>51272</v>
      </c>
      <c r="C177" s="60">
        <f ca="1"/>
        <v>5.000000000000001E-2</v>
      </c>
    </row>
    <row r="178" spans="2:3">
      <c r="B178" s="52">
        <f ca="1">_xll.qlCalendarAdvance("Null",B177,$A$66,"UnAdjusted")</f>
        <v>51364</v>
      </c>
      <c r="C178" s="60">
        <f ca="1"/>
        <v>0.05</v>
      </c>
    </row>
    <row r="179" spans="2:3">
      <c r="B179" s="52">
        <f ca="1">_xll.qlCalendarAdvance("Null",B178,$A$66,"UnAdjusted")</f>
        <v>51456</v>
      </c>
      <c r="C179" s="60">
        <f ca="1"/>
        <v>0.05</v>
      </c>
    </row>
    <row r="180" spans="2:3">
      <c r="B180" s="52">
        <f ca="1">_xll.qlCalendarAdvance("Null",B179,$A$66,"UnAdjusted")</f>
        <v>51548</v>
      </c>
      <c r="C180" s="60">
        <f ca="1"/>
        <v>0.05</v>
      </c>
    </row>
    <row r="181" spans="2:3">
      <c r="B181" s="52">
        <f ca="1">_xll.qlCalendarAdvance("Null",B180,$A$66,"UnAdjusted")</f>
        <v>51637</v>
      </c>
      <c r="C181" s="60">
        <f ca="1"/>
        <v>0.05</v>
      </c>
    </row>
    <row r="182" spans="2:3">
      <c r="B182" s="52">
        <f ca="1">_xll.qlCalendarAdvance("Null",B181,$A$66,"UnAdjusted")</f>
        <v>51729</v>
      </c>
      <c r="C182" s="60">
        <f ca="1"/>
        <v>0.05</v>
      </c>
    </row>
    <row r="183" spans="2:3">
      <c r="B183" s="52">
        <f ca="1">_xll.qlCalendarAdvance("Null",B182,$A$66,"UnAdjusted")</f>
        <v>51821</v>
      </c>
      <c r="C183" s="60">
        <f ca="1"/>
        <v>0.05</v>
      </c>
    </row>
    <row r="184" spans="2:3">
      <c r="B184" s="52">
        <f ca="1">_xll.qlCalendarAdvance("Null",B183,$A$66,"UnAdjusted")</f>
        <v>51913</v>
      </c>
      <c r="C184" s="60">
        <f ca="1"/>
        <v>0.05</v>
      </c>
    </row>
    <row r="185" spans="2:3">
      <c r="B185" s="52">
        <f ca="1">_xll.qlCalendarAdvance("Null",B184,$A$66,"UnAdjusted")</f>
        <v>52002</v>
      </c>
      <c r="C185" s="60">
        <f ca="1"/>
        <v>0.05</v>
      </c>
    </row>
    <row r="186" spans="2:3">
      <c r="B186" s="52">
        <f ca="1">_xll.qlCalendarAdvance("Null",B185,$A$66,"UnAdjusted")</f>
        <v>52094</v>
      </c>
      <c r="C186" s="60">
        <f ca="1"/>
        <v>0.05</v>
      </c>
    </row>
    <row r="187" spans="2:3">
      <c r="B187" s="52">
        <f ca="1">_xll.qlCalendarAdvance("Null",B186,$A$66,"UnAdjusted")</f>
        <v>52186</v>
      </c>
      <c r="C187" s="60">
        <f ca="1"/>
        <v>0.05</v>
      </c>
    </row>
    <row r="188" spans="2:3">
      <c r="B188" s="52">
        <f ca="1">_xll.qlCalendarAdvance("Null",B187,$A$66,"UnAdjusted")</f>
        <v>52278</v>
      </c>
      <c r="C188" s="60">
        <f ca="1"/>
        <v>0.05</v>
      </c>
    </row>
    <row r="189" spans="2:3">
      <c r="B189" s="52">
        <f ca="1">_xll.qlCalendarAdvance("Null",B188,$A$66,"UnAdjusted")</f>
        <v>52367</v>
      </c>
      <c r="C189" s="60">
        <f ca="1"/>
        <v>0.05</v>
      </c>
    </row>
    <row r="190" spans="2:3">
      <c r="B190" s="52">
        <f ca="1">_xll.qlCalendarAdvance("Null",B189,$A$66,"UnAdjusted")</f>
        <v>52459</v>
      </c>
      <c r="C190" s="60">
        <f ca="1"/>
        <v>0.05</v>
      </c>
    </row>
    <row r="191" spans="2:3">
      <c r="B191" s="52">
        <f ca="1">_xll.qlCalendarAdvance("Null",B190,$A$66,"UnAdjusted")</f>
        <v>52551</v>
      </c>
      <c r="C191" s="60">
        <f ca="1"/>
        <v>0.05</v>
      </c>
    </row>
    <row r="192" spans="2:3">
      <c r="B192" s="52">
        <f ca="1">_xll.qlCalendarAdvance("Null",B191,$A$66,"UnAdjusted")</f>
        <v>52643</v>
      </c>
      <c r="C192" s="60">
        <f ca="1"/>
        <v>0.05</v>
      </c>
    </row>
    <row r="193" spans="2:3">
      <c r="B193" s="52">
        <f ca="1">_xll.qlCalendarAdvance("Null",B192,$A$66,"UnAdjusted")</f>
        <v>52733</v>
      </c>
      <c r="C193" s="60">
        <f ca="1"/>
        <v>0.05</v>
      </c>
    </row>
    <row r="194" spans="2:3">
      <c r="B194" s="52">
        <f ca="1">_xll.qlCalendarAdvance("Null",B193,$A$66,"UnAdjusted")</f>
        <v>52825</v>
      </c>
      <c r="C194" s="60">
        <f ca="1"/>
        <v>0.05</v>
      </c>
    </row>
    <row r="195" spans="2:3">
      <c r="B195" s="52">
        <f ca="1">_xll.qlCalendarAdvance("Null",B194,$A$66,"UnAdjusted")</f>
        <v>52917</v>
      </c>
      <c r="C195" s="60">
        <f ca="1"/>
        <v>0.05</v>
      </c>
    </row>
    <row r="196" spans="2:3">
      <c r="B196" s="52">
        <f ca="1">_xll.qlCalendarAdvance("Null",B195,$A$66,"UnAdjusted")</f>
        <v>53009</v>
      </c>
      <c r="C196" s="60">
        <f ca="1"/>
        <v>0.05</v>
      </c>
    </row>
    <row r="197" spans="2:3">
      <c r="B197" s="52">
        <f ca="1">_xll.qlCalendarAdvance("Null",B196,$A$66,"UnAdjusted")</f>
        <v>53098</v>
      </c>
      <c r="C197" s="60">
        <f ca="1"/>
        <v>0.05</v>
      </c>
    </row>
    <row r="198" spans="2:3">
      <c r="B198" s="52">
        <f ca="1">_xll.qlCalendarAdvance("Null",B197,$A$66,"UnAdjusted")</f>
        <v>53190</v>
      </c>
      <c r="C198" s="60">
        <f ca="1"/>
        <v>0.05</v>
      </c>
    </row>
    <row r="199" spans="2:3">
      <c r="B199" s="52">
        <f ca="1">_xll.qlCalendarAdvance("Null",B198,$A$66,"UnAdjusted")</f>
        <v>53282</v>
      </c>
      <c r="C199" s="60">
        <f ca="1"/>
        <v>0.05</v>
      </c>
    </row>
    <row r="200" spans="2:3">
      <c r="B200" s="52">
        <f ca="1">_xll.qlCalendarAdvance("Null",B199,$A$66,"UnAdjusted")</f>
        <v>53374</v>
      </c>
      <c r="C200" s="60">
        <f ca="1"/>
        <v>0.05</v>
      </c>
    </row>
    <row r="201" spans="2:3">
      <c r="B201" s="52">
        <f ca="1">_xll.qlCalendarAdvance("Null",B200,$A$66,"UnAdjusted")</f>
        <v>53463</v>
      </c>
      <c r="C201" s="60">
        <f ca="1"/>
        <v>0.05</v>
      </c>
    </row>
    <row r="202" spans="2:3">
      <c r="B202" s="52">
        <f ca="1">_xll.qlCalendarAdvance("Null",B201,$A$66,"UnAdjusted")</f>
        <v>53555</v>
      </c>
      <c r="C202" s="60">
        <f ca="1"/>
        <v>0.05</v>
      </c>
    </row>
    <row r="203" spans="2:3">
      <c r="B203" s="52">
        <f ca="1">_xll.qlCalendarAdvance("Null",B202,$A$66,"UnAdjusted")</f>
        <v>53647</v>
      </c>
      <c r="C203" s="60">
        <f ca="1"/>
        <v>0.05</v>
      </c>
    </row>
    <row r="204" spans="2:3">
      <c r="B204" s="52">
        <f ca="1">_xll.qlCalendarAdvance("Null",B203,$A$66,"UnAdjusted")</f>
        <v>53739</v>
      </c>
      <c r="C204" s="60">
        <f ca="1"/>
        <v>0.05</v>
      </c>
    </row>
    <row r="205" spans="2:3">
      <c r="B205" s="52">
        <f ca="1">_xll.qlCalendarAdvance("Null",B204,$A$66,"UnAdjusted")</f>
        <v>53828</v>
      </c>
      <c r="C205" s="60">
        <f ca="1"/>
        <v>0.05</v>
      </c>
    </row>
    <row r="206" spans="2:3">
      <c r="B206" s="52">
        <f ca="1">_xll.qlCalendarAdvance("Null",B205,$A$66,"UnAdjusted")</f>
        <v>53920</v>
      </c>
      <c r="C206" s="60">
        <f ca="1"/>
        <v>0.05</v>
      </c>
    </row>
    <row r="207" spans="2:3">
      <c r="B207" s="52">
        <f ca="1">_xll.qlCalendarAdvance("Null",B206,$A$66,"UnAdjusted")</f>
        <v>54012</v>
      </c>
      <c r="C207" s="60">
        <f ca="1"/>
        <v>0.05</v>
      </c>
    </row>
    <row r="208" spans="2:3">
      <c r="B208" s="52">
        <f ca="1">_xll.qlCalendarAdvance("Null",B207,$A$66,"UnAdjusted")</f>
        <v>54104</v>
      </c>
      <c r="C208" s="60">
        <f ca="1"/>
        <v>0.05</v>
      </c>
    </row>
    <row r="209" spans="2:3">
      <c r="B209" s="52">
        <f ca="1">_xll.qlCalendarAdvance("Null",B208,$A$66,"UnAdjusted")</f>
        <v>54194</v>
      </c>
      <c r="C209" s="60">
        <f ca="1"/>
        <v>0.05</v>
      </c>
    </row>
    <row r="210" spans="2:3">
      <c r="B210" s="52">
        <f ca="1">_xll.qlCalendarAdvance("Null",B209,$A$66,"UnAdjusted")</f>
        <v>54286</v>
      </c>
      <c r="C210" s="60">
        <f ca="1"/>
        <v>0.05</v>
      </c>
    </row>
    <row r="211" spans="2:3">
      <c r="B211" s="52">
        <f ca="1">_xll.qlCalendarAdvance("Null",B210,$A$66,"UnAdjusted")</f>
        <v>54378</v>
      </c>
      <c r="C211" s="60">
        <f ca="1"/>
        <v>0.05</v>
      </c>
    </row>
    <row r="212" spans="2:3">
      <c r="B212" s="52">
        <f ca="1">_xll.qlCalendarAdvance("Null",B211,$A$66,"UnAdjusted")</f>
        <v>54470</v>
      </c>
      <c r="C212" s="60">
        <f ca="1"/>
        <v>0.05</v>
      </c>
    </row>
    <row r="213" spans="2:3">
      <c r="B213" s="52">
        <f ca="1">_xll.qlCalendarAdvance("Null",B212,$A$66,"UnAdjusted")</f>
        <v>54559</v>
      </c>
      <c r="C213" s="60">
        <f ca="1"/>
        <v>0.05</v>
      </c>
    </row>
    <row r="214" spans="2:3">
      <c r="B214" s="52">
        <f ca="1">_xll.qlCalendarAdvance("Null",B213,$A$66,"UnAdjusted")</f>
        <v>54651</v>
      </c>
      <c r="C214" s="60">
        <f ca="1"/>
        <v>0.05</v>
      </c>
    </row>
    <row r="215" spans="2:3">
      <c r="B215" s="52">
        <f ca="1">_xll.qlCalendarAdvance("Null",B214,$A$66,"UnAdjusted")</f>
        <v>54743</v>
      </c>
      <c r="C215" s="60">
        <f ca="1"/>
        <v>0.05</v>
      </c>
    </row>
    <row r="216" spans="2:3">
      <c r="B216" s="52">
        <f ca="1">_xll.qlCalendarAdvance("Null",B215,$A$66,"UnAdjusted")</f>
        <v>54835</v>
      </c>
      <c r="C216" s="60">
        <f ca="1"/>
        <v>0.05</v>
      </c>
    </row>
    <row r="217" spans="2:3">
      <c r="B217" s="52">
        <f ca="1">_xll.qlCalendarAdvance("Null",B216,$A$66,"UnAdjusted")</f>
        <v>54924</v>
      </c>
      <c r="C217" s="60">
        <f ca="1"/>
        <v>0.05</v>
      </c>
    </row>
    <row r="218" spans="2:3">
      <c r="B218" s="52">
        <f ca="1">_xll.qlCalendarAdvance("Null",B217,$A$66,"UnAdjusted")</f>
        <v>55016</v>
      </c>
      <c r="C218" s="60">
        <f ca="1"/>
        <v>0.05</v>
      </c>
    </row>
    <row r="219" spans="2:3">
      <c r="B219" s="52">
        <f ca="1">_xll.qlCalendarAdvance("Null",B218,$A$66,"UnAdjusted")</f>
        <v>55108</v>
      </c>
      <c r="C219" s="60">
        <f ca="1"/>
        <v>0.05</v>
      </c>
    </row>
    <row r="220" spans="2:3">
      <c r="B220" s="52">
        <f ca="1">_xll.qlCalendarAdvance("Null",B219,$A$66,"UnAdjusted")</f>
        <v>55200</v>
      </c>
      <c r="C220" s="60">
        <f ca="1"/>
        <v>5.000000000000001E-2</v>
      </c>
    </row>
    <row r="221" spans="2:3">
      <c r="B221" s="52">
        <f ca="1">_xll.qlCalendarAdvance("Null",B220,$A$66,"UnAdjusted")</f>
        <v>55289</v>
      </c>
      <c r="C221" s="60">
        <f ca="1"/>
        <v>0.05</v>
      </c>
    </row>
    <row r="222" spans="2:3">
      <c r="B222" s="52">
        <f ca="1">_xll.qlCalendarAdvance("Null",B221,$A$66,"UnAdjusted")</f>
        <v>55381</v>
      </c>
      <c r="C222" s="60">
        <f ca="1"/>
        <v>5.000000000000001E-2</v>
      </c>
    </row>
    <row r="223" spans="2:3">
      <c r="B223" s="52">
        <f ca="1">_xll.qlCalendarAdvance("Null",B222,$A$66,"UnAdjusted")</f>
        <v>55473</v>
      </c>
      <c r="C223" s="60">
        <f ca="1"/>
        <v>0.05</v>
      </c>
    </row>
    <row r="224" spans="2:3">
      <c r="B224" s="52">
        <f ca="1">_xll.qlCalendarAdvance("Null",B223,$A$66,"UnAdjusted")</f>
        <v>55565</v>
      </c>
      <c r="C224" s="60">
        <f ca="1"/>
        <v>0.05</v>
      </c>
    </row>
    <row r="225" spans="2:3">
      <c r="B225" s="52">
        <f ca="1">_xll.qlCalendarAdvance("Null",B224,$A$66,"UnAdjusted")</f>
        <v>55655</v>
      </c>
      <c r="C225" s="60">
        <f ca="1"/>
        <v>0.05</v>
      </c>
    </row>
    <row r="226" spans="2:3">
      <c r="B226" s="52">
        <f ca="1">_xll.qlCalendarAdvance("Null",B225,$A$66,"UnAdjusted")</f>
        <v>55747</v>
      </c>
      <c r="C226" s="60">
        <f ca="1"/>
        <v>0.05</v>
      </c>
    </row>
    <row r="227" spans="2:3">
      <c r="B227" s="52">
        <f ca="1">_xll.qlCalendarAdvance("Null",B226,$A$66,"UnAdjusted")</f>
        <v>55839</v>
      </c>
      <c r="C227" s="60">
        <f ca="1"/>
        <v>0.05</v>
      </c>
    </row>
    <row r="228" spans="2:3">
      <c r="B228" s="52">
        <f ca="1">_xll.qlCalendarAdvance("Null",B227,$A$66,"UnAdjusted")</f>
        <v>55931</v>
      </c>
      <c r="C228" s="60">
        <f ca="1"/>
        <v>4.9999999999999996E-2</v>
      </c>
    </row>
    <row r="229" spans="2:3">
      <c r="B229" s="52">
        <f ca="1">_xll.qlCalendarAdvance("Null",B228,$A$66,"UnAdjusted")</f>
        <v>56020</v>
      </c>
      <c r="C229" s="60">
        <f ca="1"/>
        <v>0.05</v>
      </c>
    </row>
    <row r="230" spans="2:3">
      <c r="B230" s="52">
        <f ca="1">_xll.qlCalendarAdvance("Null",B229,$A$66,"UnAdjusted")</f>
        <v>56112</v>
      </c>
      <c r="C230" s="60">
        <f ca="1"/>
        <v>5.000000000000001E-2</v>
      </c>
    </row>
    <row r="231" spans="2:3">
      <c r="B231" s="52">
        <f ca="1">_xll.qlCalendarAdvance("Null",B230,$A$66,"UnAdjusted")</f>
        <v>56204</v>
      </c>
      <c r="C231" s="60">
        <f ca="1"/>
        <v>0.05</v>
      </c>
    </row>
    <row r="232" spans="2:3">
      <c r="B232" s="52">
        <f ca="1">_xll.qlCalendarAdvance("Null",B231,$A$66,"UnAdjusted")</f>
        <v>56296</v>
      </c>
      <c r="C232" s="60">
        <f ca="1"/>
        <v>0.05</v>
      </c>
    </row>
    <row r="233" spans="2:3">
      <c r="B233" s="52">
        <f ca="1">_xll.qlCalendarAdvance("Null",B232,$A$66,"UnAdjusted")</f>
        <v>56385</v>
      </c>
      <c r="C233" s="60">
        <f ca="1"/>
        <v>4.9999999999999996E-2</v>
      </c>
    </row>
    <row r="234" spans="2:3">
      <c r="B234" s="52">
        <f ca="1">_xll.qlCalendarAdvance("Null",B233,$A$66,"UnAdjusted")</f>
        <v>56477</v>
      </c>
      <c r="C234" s="60">
        <f ca="1"/>
        <v>0.05</v>
      </c>
    </row>
    <row r="235" spans="2:3">
      <c r="B235" s="52">
        <f ca="1">_xll.qlCalendarAdvance("Null",B234,$A$66,"UnAdjusted")</f>
        <v>56569</v>
      </c>
      <c r="C235" s="60">
        <f ca="1"/>
        <v>5.000000000000001E-2</v>
      </c>
    </row>
    <row r="236" spans="2:3">
      <c r="B236" s="52">
        <f ca="1">_xll.qlCalendarAdvance("Null",B235,$A$66,"UnAdjusted")</f>
        <v>56661</v>
      </c>
      <c r="C236" s="60">
        <f ca="1"/>
        <v>0.05</v>
      </c>
    </row>
    <row r="237" spans="2:3">
      <c r="B237" s="52">
        <f ca="1">_xll.qlCalendarAdvance("Null",B236,$A$66,"UnAdjusted")</f>
        <v>56750</v>
      </c>
      <c r="C237" s="60">
        <f ca="1"/>
        <v>0.05</v>
      </c>
    </row>
    <row r="238" spans="2:3">
      <c r="B238" s="52">
        <f ca="1">_xll.qlCalendarAdvance("Null",B237,$A$66,"UnAdjusted")</f>
        <v>56842</v>
      </c>
      <c r="C238" s="60">
        <f ca="1"/>
        <v>4.9999999999999996E-2</v>
      </c>
    </row>
    <row r="239" spans="2:3">
      <c r="B239" s="52">
        <f ca="1">_xll.qlCalendarAdvance("Null",B238,$A$66,"UnAdjusted")</f>
        <v>56934</v>
      </c>
      <c r="C239" s="60">
        <f ca="1"/>
        <v>0.05</v>
      </c>
    </row>
    <row r="240" spans="2:3">
      <c r="B240" s="52">
        <f ca="1">_xll.qlCalendarAdvance("Null",B239,$A$66,"UnAdjusted")</f>
        <v>57026</v>
      </c>
      <c r="C240" s="60">
        <f ca="1"/>
        <v>0.05</v>
      </c>
    </row>
    <row r="241" spans="2:3">
      <c r="B241" s="52">
        <f ca="1">_xll.qlCalendarAdvance("Null",B240,$A$66,"UnAdjusted")</f>
        <v>57116</v>
      </c>
      <c r="C241" s="60">
        <f ca="1"/>
        <v>0.05</v>
      </c>
    </row>
    <row r="242" spans="2:3">
      <c r="B242" s="52">
        <f ca="1">_xll.qlCalendarAdvance("Null",B241,$A$66,"UnAdjusted")</f>
        <v>57208</v>
      </c>
      <c r="C242" s="60">
        <f ca="1"/>
        <v>0.05</v>
      </c>
    </row>
    <row r="243" spans="2:3">
      <c r="B243" s="52">
        <f ca="1">_xll.qlCalendarAdvance("Null",B242,$A$66,"UnAdjusted")</f>
        <v>57300</v>
      </c>
      <c r="C243" s="60">
        <f ca="1"/>
        <v>4.9999999999999996E-2</v>
      </c>
    </row>
    <row r="244" spans="2:3">
      <c r="B244" s="52">
        <f ca="1">_xll.qlCalendarAdvance("Null",B243,$A$66,"UnAdjusted")</f>
        <v>57392</v>
      </c>
      <c r="C244" s="60">
        <f ca="1"/>
        <v>0.05</v>
      </c>
    </row>
    <row r="245" spans="2:3">
      <c r="B245" s="52">
        <f ca="1">_xll.qlCalendarAdvance("Null",B244,$A$66,"UnAdjusted")</f>
        <v>57481</v>
      </c>
      <c r="C245" s="60">
        <f ca="1"/>
        <v>0.05</v>
      </c>
    </row>
    <row r="246" spans="2:3">
      <c r="B246" s="52">
        <f ca="1">_xll.qlCalendarAdvance("Null",B245,$A$66,"UnAdjusted")</f>
        <v>57573</v>
      </c>
      <c r="C246" s="60">
        <f ca="1"/>
        <v>0.05</v>
      </c>
    </row>
    <row r="247" spans="2:3">
      <c r="B247" s="52">
        <f ca="1">_xll.qlCalendarAdvance("Null",B246,$A$66,"UnAdjusted")</f>
        <v>57665</v>
      </c>
      <c r="C247" s="60">
        <f ca="1"/>
        <v>0.05</v>
      </c>
    </row>
    <row r="248" spans="2:3">
      <c r="B248" s="52">
        <f ca="1">_xll.qlCalendarAdvance("Null",B247,$A$66,"UnAdjusted")</f>
        <v>57757</v>
      </c>
      <c r="C248" s="60">
        <f ca="1"/>
        <v>4.9999999999999996E-2</v>
      </c>
    </row>
    <row r="249" spans="2:3">
      <c r="B249" s="52">
        <f ca="1">_xll.qlCalendarAdvance("Null",B248,$A$66,"UnAdjusted")</f>
        <v>57846</v>
      </c>
      <c r="C249" s="60">
        <f ca="1"/>
        <v>0.05</v>
      </c>
    </row>
    <row r="250" spans="2:3">
      <c r="B250" s="52">
        <f ca="1">_xll.qlCalendarAdvance("Null",B249,$A$66,"UnAdjusted")</f>
        <v>57938</v>
      </c>
      <c r="C250" s="60">
        <f ca="1"/>
        <v>0.05</v>
      </c>
    </row>
    <row r="251" spans="2:3">
      <c r="B251" s="52">
        <f ca="1">_xll.qlCalendarAdvance("Null",B250,$A$66,"UnAdjusted")</f>
        <v>58030</v>
      </c>
      <c r="C251" s="60">
        <f ca="1"/>
        <v>0.05</v>
      </c>
    </row>
    <row r="252" spans="2:3">
      <c r="B252" s="52">
        <f ca="1">_xll.qlCalendarAdvance("Null",B251,$A$66,"UnAdjusted")</f>
        <v>58122</v>
      </c>
      <c r="C252" s="60">
        <f ca="1"/>
        <v>0.05</v>
      </c>
    </row>
    <row r="253" spans="2:3">
      <c r="B253" s="52">
        <f ca="1">_xll.qlCalendarAdvance("Null",B252,$A$66,"UnAdjusted")</f>
        <v>58211</v>
      </c>
      <c r="C253" s="60">
        <f ca="1"/>
        <v>4.9999999999999996E-2</v>
      </c>
    </row>
    <row r="254" spans="2:3">
      <c r="B254" s="52">
        <f ca="1">_xll.qlCalendarAdvance("Null",B253,$A$66,"UnAdjusted")</f>
        <v>58303</v>
      </c>
      <c r="C254" s="60">
        <f ca="1"/>
        <v>0.05</v>
      </c>
    </row>
    <row r="255" spans="2:3">
      <c r="B255" s="52">
        <f ca="1">_xll.qlCalendarAdvance("Null",B254,$A$66,"UnAdjusted")</f>
        <v>58395</v>
      </c>
      <c r="C255" s="60">
        <f ca="1"/>
        <v>0.05</v>
      </c>
    </row>
    <row r="256" spans="2:3">
      <c r="B256" s="52">
        <f ca="1">_xll.qlCalendarAdvance("Null",B255,$A$66,"UnAdjusted")</f>
        <v>58487</v>
      </c>
      <c r="C256" s="60">
        <f ca="1"/>
        <v>0.05</v>
      </c>
    </row>
    <row r="257" spans="2:3">
      <c r="B257" s="52">
        <f ca="1">_xll.qlCalendarAdvance("Null",B256,$A$66,"UnAdjusted")</f>
        <v>58577</v>
      </c>
      <c r="C257" s="60">
        <f ca="1"/>
        <v>0.05</v>
      </c>
    </row>
    <row r="258" spans="2:3">
      <c r="B258" s="52">
        <f ca="1">_xll.qlCalendarAdvance("Null",B257,$A$66,"UnAdjusted")</f>
        <v>58669</v>
      </c>
      <c r="C258" s="60">
        <f ca="1"/>
        <v>5.000000000000001E-2</v>
      </c>
    </row>
    <row r="259" spans="2:3">
      <c r="B259" s="52">
        <f ca="1">_xll.qlCalendarAdvance("Null",B258,$A$66,"UnAdjusted")</f>
        <v>58761</v>
      </c>
      <c r="C259" s="60">
        <f ca="1"/>
        <v>0.05</v>
      </c>
    </row>
    <row r="260" spans="2:3">
      <c r="B260" s="52">
        <f ca="1">_xll.qlCalendarAdvance("Null",B259,$A$66,"UnAdjusted")</f>
        <v>58853</v>
      </c>
      <c r="C260" s="60">
        <f ca="1"/>
        <v>0.05</v>
      </c>
    </row>
    <row r="261" spans="2:3">
      <c r="B261" s="52">
        <f ca="1">_xll.qlCalendarAdvance("Null",B260,$A$66,"UnAdjusted")</f>
        <v>58942</v>
      </c>
      <c r="C261" s="60">
        <f ca="1"/>
        <v>0.05</v>
      </c>
    </row>
    <row r="262" spans="2:3">
      <c r="B262" s="52">
        <f ca="1">_xll.qlCalendarAdvance("Null",B261,$A$66,"UnAdjusted")</f>
        <v>59034</v>
      </c>
      <c r="C262" s="60">
        <f ca="1"/>
        <v>0.05</v>
      </c>
    </row>
    <row r="263" spans="2:3">
      <c r="B263" s="52">
        <f ca="1">_xll.qlCalendarAdvance("Null",B262,$A$66,"UnAdjusted")</f>
        <v>59126</v>
      </c>
      <c r="C263" s="60">
        <f ca="1"/>
        <v>5.000000000000001E-2</v>
      </c>
    </row>
    <row r="264" spans="2:3">
      <c r="B264" s="52">
        <f ca="1">_xll.qlCalendarAdvance("Null",B263,$A$66,"UnAdjusted")</f>
        <v>59218</v>
      </c>
      <c r="C264" s="60">
        <f ca="1"/>
        <v>0.05</v>
      </c>
    </row>
    <row r="265" spans="2:3">
      <c r="B265" s="52">
        <f ca="1">_xll.qlCalendarAdvance("Null",B264,$A$66,"UnAdjusted")</f>
        <v>59307</v>
      </c>
      <c r="C265" s="60">
        <f ca="1"/>
        <v>0.05</v>
      </c>
    </row>
    <row r="266" spans="2:3">
      <c r="B266" s="52">
        <f ca="1">_xll.qlCalendarAdvance("Null",B265,$A$66,"UnAdjusted")</f>
        <v>59399</v>
      </c>
      <c r="C266" s="60">
        <f ca="1"/>
        <v>0.05</v>
      </c>
    </row>
    <row r="267" spans="2:3">
      <c r="B267" s="52">
        <f ca="1">_xll.qlCalendarAdvance("Null",B266,$A$66,"UnAdjusted")</f>
        <v>59491</v>
      </c>
      <c r="C267" s="60">
        <f ca="1"/>
        <v>0.05</v>
      </c>
    </row>
    <row r="268" spans="2:3">
      <c r="B268" s="52">
        <f ca="1">_xll.qlCalendarAdvance("Null",B267,$A$66,"UnAdjusted")</f>
        <v>59583</v>
      </c>
      <c r="C268" s="60">
        <f ca="1"/>
        <v>5.000000000000001E-2</v>
      </c>
    </row>
    <row r="269" spans="2:3">
      <c r="B269" s="52">
        <f ca="1">_xll.qlCalendarAdvance("Null",B268,$A$66,"UnAdjusted")</f>
        <v>59672</v>
      </c>
      <c r="C269" s="60">
        <f ca="1"/>
        <v>0.05</v>
      </c>
    </row>
    <row r="270" spans="2:3">
      <c r="B270" s="52">
        <f ca="1">_xll.qlCalendarAdvance("Null",B269,$A$66,"UnAdjusted")</f>
        <v>59764</v>
      </c>
      <c r="C270" s="60">
        <f ca="1"/>
        <v>0.05</v>
      </c>
    </row>
    <row r="271" spans="2:3">
      <c r="B271" s="52">
        <f ca="1">_xll.qlCalendarAdvance("Null",B270,$A$66,"UnAdjusted")</f>
        <v>59856</v>
      </c>
      <c r="C271" s="60">
        <f ca="1"/>
        <v>0.05</v>
      </c>
    </row>
    <row r="272" spans="2:3">
      <c r="B272" s="52">
        <f ca="1">_xll.qlCalendarAdvance("Null",B271,$A$66,"UnAdjusted")</f>
        <v>59948</v>
      </c>
      <c r="C272" s="60">
        <f ca="1"/>
        <v>0.05</v>
      </c>
    </row>
    <row r="273" spans="2:3">
      <c r="B273" s="52">
        <f ca="1">_xll.qlCalendarAdvance("Null",B272,$A$66,"UnAdjusted")</f>
        <v>60038</v>
      </c>
      <c r="C273" s="60">
        <f ca="1"/>
        <v>5.000000000000001E-2</v>
      </c>
    </row>
    <row r="274" spans="2:3">
      <c r="B274" s="52">
        <f ca="1">_xll.qlCalendarAdvance("Null",B273,$A$66,"UnAdjusted")</f>
        <v>60130</v>
      </c>
      <c r="C274" s="60">
        <f ca="1"/>
        <v>0.05</v>
      </c>
    </row>
    <row r="275" spans="2:3">
      <c r="B275" s="52">
        <f ca="1">_xll.qlCalendarAdvance("Null",B274,$A$66,"UnAdjusted")</f>
        <v>60222</v>
      </c>
      <c r="C275" s="60">
        <f ca="1"/>
        <v>0.05</v>
      </c>
    </row>
    <row r="276" spans="2:3">
      <c r="B276" s="52">
        <f ca="1">_xll.qlCalendarAdvance("Null",B275,$A$66,"UnAdjusted")</f>
        <v>60314</v>
      </c>
      <c r="C276" s="60">
        <f ca="1"/>
        <v>0.05</v>
      </c>
    </row>
    <row r="277" spans="2:3">
      <c r="B277" s="52">
        <f ca="1">_xll.qlCalendarAdvance("Null",B276,$A$66,"UnAdjusted")</f>
        <v>60403</v>
      </c>
      <c r="C277" s="60">
        <f ca="1"/>
        <v>0.05</v>
      </c>
    </row>
    <row r="278" spans="2:3">
      <c r="B278" s="52">
        <f ca="1">_xll.qlCalendarAdvance("Null",B277,$A$66,"UnAdjusted")</f>
        <v>60495</v>
      </c>
      <c r="C278" s="60">
        <f ca="1"/>
        <v>5.000000000000001E-2</v>
      </c>
    </row>
    <row r="279" spans="2:3">
      <c r="B279" s="52">
        <f ca="1">_xll.qlCalendarAdvance("Null",B278,$A$66,"UnAdjusted")</f>
        <v>60587</v>
      </c>
      <c r="C279" s="60">
        <f ca="1"/>
        <v>0.05</v>
      </c>
    </row>
    <row r="280" spans="2:3">
      <c r="B280" s="52">
        <f ca="1">_xll.qlCalendarAdvance("Null",B279,$A$66,"UnAdjusted")</f>
        <v>60679</v>
      </c>
      <c r="C280" s="60">
        <f ca="1"/>
        <v>0.05</v>
      </c>
    </row>
    <row r="281" spans="2:3">
      <c r="B281" s="52">
        <f ca="1">_xll.qlCalendarAdvance("Null",B280,$A$66,"UnAdjusted")</f>
        <v>60768</v>
      </c>
      <c r="C281" s="60">
        <f ca="1"/>
        <v>0.05</v>
      </c>
    </row>
    <row r="282" spans="2:3">
      <c r="B282" s="52">
        <f ca="1">_xll.qlCalendarAdvance("Null",B281,$A$66,"UnAdjusted")</f>
        <v>60860</v>
      </c>
      <c r="C282" s="60">
        <f ca="1"/>
        <v>0.05</v>
      </c>
    </row>
    <row r="283" spans="2:3">
      <c r="B283" s="52">
        <f ca="1">_xll.qlCalendarAdvance("Null",B282,$A$66,"UnAdjusted")</f>
        <v>60952</v>
      </c>
      <c r="C283" s="60">
        <f ca="1"/>
        <v>5.000000000000001E-2</v>
      </c>
    </row>
    <row r="284" spans="2:3">
      <c r="B284" s="52">
        <f ca="1">_xll.qlCalendarAdvance("Null",B283,$A$66,"UnAdjusted")</f>
        <v>61044</v>
      </c>
      <c r="C284" s="60">
        <f ca="1"/>
        <v>0.05</v>
      </c>
    </row>
    <row r="285" spans="2:3">
      <c r="B285" s="52">
        <f ca="1">_xll.qlCalendarAdvance("Null",B284,$A$66,"UnAdjusted")</f>
        <v>61133</v>
      </c>
      <c r="C285" s="60">
        <f ca="1"/>
        <v>0.05</v>
      </c>
    </row>
    <row r="286" spans="2:3">
      <c r="B286" s="52">
        <f ca="1">_xll.qlCalendarAdvance("Null",B285,$A$66,"UnAdjusted")</f>
        <v>61225</v>
      </c>
      <c r="C286" s="60">
        <f ca="1"/>
        <v>0.05</v>
      </c>
    </row>
    <row r="287" spans="2:3">
      <c r="B287" s="52">
        <f ca="1">_xll.qlCalendarAdvance("Null",B286,$A$66,"UnAdjusted")</f>
        <v>61317</v>
      </c>
      <c r="C287" s="60">
        <f ca="1"/>
        <v>0.05</v>
      </c>
    </row>
    <row r="288" spans="2:3">
      <c r="B288" s="52">
        <f ca="1">_xll.qlCalendarAdvance("Null",B287,$A$66,"UnAdjusted")</f>
        <v>61409</v>
      </c>
      <c r="C288" s="60">
        <f ca="1"/>
        <v>5.000000000000001E-2</v>
      </c>
    </row>
    <row r="289" spans="2:3">
      <c r="B289" s="52">
        <f ca="1">_xll.qlCalendarAdvance("Null",B288,$A$66,"UnAdjusted")</f>
        <v>61499</v>
      </c>
      <c r="C289" s="60">
        <f ca="1"/>
        <v>0.05</v>
      </c>
    </row>
    <row r="290" spans="2:3">
      <c r="B290" s="52">
        <f ca="1">_xll.qlCalendarAdvance("Null",B289,$A$66,"UnAdjusted")</f>
        <v>61591</v>
      </c>
      <c r="C290" s="60">
        <f ca="1"/>
        <v>0.05</v>
      </c>
    </row>
    <row r="291" spans="2:3">
      <c r="B291" s="52">
        <f ca="1">_xll.qlCalendarAdvance("Null",B290,$A$66,"UnAdjusted")</f>
        <v>61683</v>
      </c>
      <c r="C291" s="60">
        <f ca="1"/>
        <v>0.05</v>
      </c>
    </row>
    <row r="292" spans="2:3">
      <c r="B292" s="52">
        <f ca="1">_xll.qlCalendarAdvance("Null",B291,$A$66,"UnAdjusted")</f>
        <v>61775</v>
      </c>
      <c r="C292" s="60">
        <f ca="1"/>
        <v>0.05</v>
      </c>
    </row>
    <row r="293" spans="2:3">
      <c r="B293" s="52">
        <f ca="1">_xll.qlCalendarAdvance("Null",B292,$A$66,"UnAdjusted")</f>
        <v>61864</v>
      </c>
      <c r="C293" s="60">
        <f ca="1"/>
        <v>5.000000000000001E-2</v>
      </c>
    </row>
    <row r="294" spans="2:3">
      <c r="B294" s="52">
        <f ca="1">_xll.qlCalendarAdvance("Null",B293,$A$66,"UnAdjusted")</f>
        <v>61956</v>
      </c>
      <c r="C294" s="60">
        <f ca="1"/>
        <v>0.05</v>
      </c>
    </row>
    <row r="295" spans="2:3">
      <c r="B295" s="52">
        <f ca="1">_xll.qlCalendarAdvance("Null",B294,$A$66,"UnAdjusted")</f>
        <v>62048</v>
      </c>
      <c r="C295" s="60">
        <f ca="1"/>
        <v>0.05</v>
      </c>
    </row>
    <row r="296" spans="2:3">
      <c r="B296" s="52">
        <f ca="1">_xll.qlCalendarAdvance("Null",B295,$A$66,"UnAdjusted")</f>
        <v>62140</v>
      </c>
      <c r="C296" s="60">
        <f ca="1"/>
        <v>0.05</v>
      </c>
    </row>
    <row r="297" spans="2:3">
      <c r="B297" s="52">
        <f ca="1">_xll.qlCalendarAdvance("Null",B296,$A$66,"UnAdjusted")</f>
        <v>62229</v>
      </c>
      <c r="C297" s="60">
        <f ca="1"/>
        <v>0.05</v>
      </c>
    </row>
    <row r="298" spans="2:3">
      <c r="B298" s="52">
        <f ca="1">_xll.qlCalendarAdvance("Null",B297,$A$66,"UnAdjusted")</f>
        <v>62321</v>
      </c>
      <c r="C298" s="60">
        <f ca="1"/>
        <v>0.05</v>
      </c>
    </row>
    <row r="299" spans="2:3">
      <c r="B299" s="52">
        <f ca="1">_xll.qlCalendarAdvance("Null",B298,$A$66,"UnAdjusted")</f>
        <v>62413</v>
      </c>
      <c r="C299" s="60">
        <f ca="1"/>
        <v>0.05</v>
      </c>
    </row>
    <row r="300" spans="2:3">
      <c r="B300" s="52">
        <f ca="1">_xll.qlCalendarAdvance("Null",B299,$A$66,"UnAdjusted")</f>
        <v>62505</v>
      </c>
      <c r="C300" s="60">
        <f ca="1"/>
        <v>0.05</v>
      </c>
    </row>
    <row r="301" spans="2:3">
      <c r="B301" s="52">
        <f ca="1">_xll.qlCalendarAdvance("Null",B300,$A$66,"UnAdjusted")</f>
        <v>62594</v>
      </c>
      <c r="C301" s="60">
        <f ca="1"/>
        <v>0.05</v>
      </c>
    </row>
    <row r="302" spans="2:3">
      <c r="B302" s="52">
        <f ca="1">_xll.qlCalendarAdvance("Null",B301,$A$66,"UnAdjusted")</f>
        <v>62686</v>
      </c>
      <c r="C302" s="60">
        <f ca="1"/>
        <v>0.05</v>
      </c>
    </row>
    <row r="303" spans="2:3">
      <c r="B303" s="52">
        <f ca="1">_xll.qlCalendarAdvance("Null",B302,$A$66,"UnAdjusted")</f>
        <v>62778</v>
      </c>
      <c r="C303" s="60">
        <f ca="1"/>
        <v>0.05</v>
      </c>
    </row>
    <row r="304" spans="2:3">
      <c r="B304" s="52">
        <f ca="1">_xll.qlCalendarAdvance("Null",B303,$A$66,"UnAdjusted")</f>
        <v>62870</v>
      </c>
      <c r="C304" s="60">
        <f ca="1"/>
        <v>0.05</v>
      </c>
    </row>
    <row r="305" spans="2:3">
      <c r="B305" s="52">
        <f ca="1">_xll.qlCalendarAdvance("Null",B304,$A$66,"UnAdjusted")</f>
        <v>62960</v>
      </c>
      <c r="C305" s="60">
        <f ca="1"/>
        <v>0.05</v>
      </c>
    </row>
    <row r="306" spans="2:3">
      <c r="B306" s="52">
        <f ca="1">_xll.qlCalendarAdvance("Null",B305,$A$66,"UnAdjusted")</f>
        <v>63052</v>
      </c>
      <c r="C306" s="60">
        <f ca="1"/>
        <v>0.05</v>
      </c>
    </row>
    <row r="307" spans="2:3">
      <c r="B307" s="52">
        <f ca="1">_xll.qlCalendarAdvance("Null",B306,$A$66,"UnAdjusted")</f>
        <v>63144</v>
      </c>
      <c r="C307" s="60">
        <f ca="1"/>
        <v>0.05</v>
      </c>
    </row>
    <row r="308" spans="2:3">
      <c r="B308" s="52">
        <f ca="1">_xll.qlCalendarAdvance("Null",B307,$A$66,"UnAdjusted")</f>
        <v>63236</v>
      </c>
      <c r="C308" s="60">
        <f ca="1"/>
        <v>0.05</v>
      </c>
    </row>
    <row r="309" spans="2:3">
      <c r="B309" s="52">
        <f ca="1">_xll.qlCalendarAdvance("Null",B308,$A$66,"UnAdjusted")</f>
        <v>63325</v>
      </c>
      <c r="C309" s="60">
        <f ca="1"/>
        <v>0.05</v>
      </c>
    </row>
    <row r="310" spans="2:3">
      <c r="B310" s="52">
        <f ca="1">_xll.qlCalendarAdvance("Null",B309,$A$66,"UnAdjusted")</f>
        <v>63417</v>
      </c>
      <c r="C310" s="60">
        <f ca="1"/>
        <v>0.05</v>
      </c>
    </row>
    <row r="311" spans="2:3">
      <c r="B311" s="52">
        <f ca="1">_xll.qlCalendarAdvance("Null",B310,$A$66,"UnAdjusted")</f>
        <v>63509</v>
      </c>
      <c r="C311" s="60">
        <f ca="1"/>
        <v>0.05</v>
      </c>
    </row>
    <row r="312" spans="2:3">
      <c r="B312" s="52">
        <f ca="1">_xll.qlCalendarAdvance("Null",B311,$A$66,"UnAdjusted")</f>
        <v>63601</v>
      </c>
      <c r="C312" s="60">
        <f ca="1"/>
        <v>0.05</v>
      </c>
    </row>
    <row r="313" spans="2:3">
      <c r="B313" s="52">
        <f ca="1">_xll.qlCalendarAdvance("Null",B312,$A$66,"UnAdjusted")</f>
        <v>63690</v>
      </c>
      <c r="C313" s="60">
        <f ca="1"/>
        <v>0.05</v>
      </c>
    </row>
    <row r="314" spans="2:3">
      <c r="B314" s="52">
        <f ca="1">_xll.qlCalendarAdvance("Null",B313,$A$66,"UnAdjusted")</f>
        <v>63782</v>
      </c>
      <c r="C314" s="60">
        <f ca="1"/>
        <v>0.05</v>
      </c>
    </row>
    <row r="315" spans="2:3">
      <c r="B315" s="52">
        <f ca="1">_xll.qlCalendarAdvance("Null",B314,$A$66,"UnAdjusted")</f>
        <v>63874</v>
      </c>
      <c r="C315" s="60">
        <f ca="1"/>
        <v>0.05</v>
      </c>
    </row>
    <row r="316" spans="2:3">
      <c r="B316" s="52">
        <f ca="1">_xll.qlCalendarAdvance("Null",B315,$A$66,"UnAdjusted")</f>
        <v>63966</v>
      </c>
      <c r="C316" s="60">
        <f ca="1"/>
        <v>0.05</v>
      </c>
    </row>
    <row r="317" spans="2:3">
      <c r="B317" s="52">
        <f ca="1">_xll.qlCalendarAdvance("Null",B316,$A$66,"UnAdjusted")</f>
        <v>64055</v>
      </c>
      <c r="C317" s="60">
        <f ca="1"/>
        <v>0.05</v>
      </c>
    </row>
    <row r="318" spans="2:3">
      <c r="B318" s="52">
        <f ca="1">_xll.qlCalendarAdvance("Null",B317,$A$66,"UnAdjusted")</f>
        <v>64147</v>
      </c>
      <c r="C318" s="60">
        <f ca="1"/>
        <v>0.05</v>
      </c>
    </row>
    <row r="319" spans="2:3">
      <c r="B319" s="52">
        <f ca="1">_xll.qlCalendarAdvance("Null",B318,$A$66,"UnAdjusted")</f>
        <v>64239</v>
      </c>
      <c r="C319" s="60">
        <f ca="1"/>
        <v>0.05</v>
      </c>
    </row>
    <row r="320" spans="2:3">
      <c r="B320" s="52">
        <f ca="1">_xll.qlCalendarAdvance("Null",B319,$A$66,"UnAdjusted")</f>
        <v>64331</v>
      </c>
      <c r="C320" s="60">
        <f ca="1"/>
        <v>0.05</v>
      </c>
    </row>
    <row r="321" spans="2:3">
      <c r="B321" s="52">
        <f ca="1">_xll.qlCalendarAdvance("Null",B320,$A$66,"UnAdjusted")</f>
        <v>64421</v>
      </c>
      <c r="C321" s="60">
        <f ca="1"/>
        <v>0.05</v>
      </c>
    </row>
    <row r="322" spans="2:3">
      <c r="B322" s="52">
        <f ca="1">_xll.qlCalendarAdvance("Null",B321,$A$66,"UnAdjusted")</f>
        <v>64513</v>
      </c>
      <c r="C322" s="60">
        <f ca="1"/>
        <v>0.05</v>
      </c>
    </row>
    <row r="323" spans="2:3">
      <c r="B323" s="52">
        <f ca="1">_xll.qlCalendarAdvance("Null",B322,$A$66,"UnAdjusted")</f>
        <v>64605</v>
      </c>
      <c r="C323" s="60">
        <f ca="1"/>
        <v>0.05</v>
      </c>
    </row>
    <row r="324" spans="2:3">
      <c r="B324" s="52">
        <f ca="1">_xll.qlCalendarAdvance("Null",B323,$A$66,"UnAdjusted")</f>
        <v>64697</v>
      </c>
      <c r="C324" s="60">
        <f ca="1"/>
        <v>0.05</v>
      </c>
    </row>
    <row r="325" spans="2:3">
      <c r="B325" s="52">
        <f ca="1">_xll.qlCalendarAdvance("Null",B324,$A$66,"UnAdjusted")</f>
        <v>64786</v>
      </c>
      <c r="C325" s="60">
        <f ca="1"/>
        <v>0.05</v>
      </c>
    </row>
    <row r="326" spans="2:3">
      <c r="B326" s="52">
        <f ca="1">_xll.qlCalendarAdvance("Null",B325,$A$66,"UnAdjusted")</f>
        <v>64878</v>
      </c>
      <c r="C326" s="60">
        <f ca="1"/>
        <v>0.05</v>
      </c>
    </row>
    <row r="327" spans="2:3">
      <c r="B327" s="52">
        <f ca="1">_xll.qlCalendarAdvance("Null",B326,$A$66,"UnAdjusted")</f>
        <v>64970</v>
      </c>
      <c r="C327" s="60">
        <f ca="1"/>
        <v>0.05</v>
      </c>
    </row>
    <row r="328" spans="2:3">
      <c r="B328" s="52">
        <f ca="1">_xll.qlCalendarAdvance("Null",B327,$A$66,"UnAdjusted")</f>
        <v>65062</v>
      </c>
      <c r="C328" s="60">
        <f ca="1"/>
        <v>0.05</v>
      </c>
    </row>
    <row r="329" spans="2:3">
      <c r="B329" s="52">
        <f ca="1">_xll.qlCalendarAdvance("Null",B328,$A$66,"UnAdjusted")</f>
        <v>65151</v>
      </c>
      <c r="C329" s="60">
        <f ca="1"/>
        <v>0.05</v>
      </c>
    </row>
    <row r="330" spans="2:3">
      <c r="B330" s="52">
        <f ca="1">_xll.qlCalendarAdvance("Null",B329,$A$66,"UnAdjusted")</f>
        <v>65243</v>
      </c>
      <c r="C330" s="60">
        <f ca="1"/>
        <v>0.05</v>
      </c>
    </row>
    <row r="331" spans="2:3">
      <c r="B331" s="52">
        <f ca="1">_xll.qlCalendarAdvance("Null",B330,$A$66,"UnAdjusted")</f>
        <v>65335</v>
      </c>
      <c r="C331" s="60">
        <f ca="1"/>
        <v>0.05</v>
      </c>
    </row>
    <row r="332" spans="2:3">
      <c r="B332" s="52">
        <f ca="1">_xll.qlCalendarAdvance("Null",B331,$A$66,"UnAdjusted")</f>
        <v>65427</v>
      </c>
      <c r="C332" s="60">
        <f ca="1"/>
        <v>0.05</v>
      </c>
    </row>
    <row r="333" spans="2:3">
      <c r="B333" s="52">
        <f ca="1">_xll.qlCalendarAdvance("Null",B332,$A$66,"UnAdjusted")</f>
        <v>65516</v>
      </c>
      <c r="C333" s="60">
        <f ca="1"/>
        <v>0.05</v>
      </c>
    </row>
    <row r="334" spans="2:3">
      <c r="B334" s="52">
        <f ca="1">_xll.qlCalendarAdvance("Null",B333,$A$66,"UnAdjusted")</f>
        <v>65608</v>
      </c>
      <c r="C334" s="60">
        <f ca="1"/>
        <v>0.05</v>
      </c>
    </row>
    <row r="335" spans="2:3">
      <c r="B335" s="52">
        <f ca="1">_xll.qlCalendarAdvance("Null",B334,$A$66,"UnAdjusted")</f>
        <v>65700</v>
      </c>
      <c r="C335" s="60">
        <f ca="1"/>
        <v>0.05</v>
      </c>
    </row>
    <row r="336" spans="2:3">
      <c r="B336" s="52">
        <f ca="1">_xll.qlCalendarAdvance("Null",B335,$A$66,"UnAdjusted")</f>
        <v>65792</v>
      </c>
      <c r="C336" s="60">
        <f ca="1"/>
        <v>0.05</v>
      </c>
    </row>
    <row r="337" spans="2:3">
      <c r="B337" s="52">
        <f ca="1">_xll.qlCalendarAdvance("Null",B336,$A$66,"UnAdjusted")</f>
        <v>65882</v>
      </c>
      <c r="C337" s="60">
        <f ca="1"/>
        <v>0.05</v>
      </c>
    </row>
    <row r="338" spans="2:3">
      <c r="B338" s="52">
        <f ca="1">_xll.qlCalendarAdvance("Null",B337,$A$66,"UnAdjusted")</f>
        <v>65974</v>
      </c>
      <c r="C338" s="60">
        <f ca="1"/>
        <v>0.05</v>
      </c>
    </row>
    <row r="339" spans="2:3">
      <c r="B339" s="52">
        <f ca="1">_xll.qlCalendarAdvance("Null",B338,$A$66,"UnAdjusted")</f>
        <v>66066</v>
      </c>
      <c r="C339" s="60">
        <f ca="1"/>
        <v>0.05</v>
      </c>
    </row>
    <row r="340" spans="2:3">
      <c r="B340" s="52">
        <f ca="1">_xll.qlCalendarAdvance("Null",B339,$A$66,"UnAdjusted")</f>
        <v>66158</v>
      </c>
      <c r="C340" s="60">
        <f ca="1"/>
        <v>0.05</v>
      </c>
    </row>
    <row r="341" spans="2:3">
      <c r="B341" s="52">
        <f ca="1">_xll.qlCalendarAdvance("Null",B340,$A$66,"UnAdjusted")</f>
        <v>66247</v>
      </c>
      <c r="C341" s="60">
        <f ca="1"/>
        <v>0.05</v>
      </c>
    </row>
    <row r="342" spans="2:3">
      <c r="B342" s="52">
        <f ca="1">_xll.qlCalendarAdvance("Null",B341,$A$66,"UnAdjusted")</f>
        <v>66339</v>
      </c>
      <c r="C342" s="60">
        <f ca="1"/>
        <v>0.05</v>
      </c>
    </row>
    <row r="343" spans="2:3">
      <c r="B343" s="52">
        <f ca="1">_xll.qlCalendarAdvance("Null",B342,$A$66,"UnAdjusted")</f>
        <v>66431</v>
      </c>
      <c r="C343" s="60">
        <f ca="1"/>
        <v>0.05</v>
      </c>
    </row>
    <row r="344" spans="2:3">
      <c r="B344" s="52">
        <f ca="1">_xll.qlCalendarAdvance("Null",B343,$A$66,"UnAdjusted")</f>
        <v>66523</v>
      </c>
      <c r="C344" s="60">
        <f ca="1"/>
        <v>0.05</v>
      </c>
    </row>
    <row r="345" spans="2:3">
      <c r="B345" s="52">
        <f ca="1">_xll.qlCalendarAdvance("Null",B344,$A$66,"UnAdjusted")</f>
        <v>66612</v>
      </c>
      <c r="C345" s="60">
        <f ca="1"/>
        <v>0.05</v>
      </c>
    </row>
    <row r="346" spans="2:3">
      <c r="B346" s="52">
        <f ca="1">_xll.qlCalendarAdvance("Null",B345,$A$66,"UnAdjusted")</f>
        <v>66704</v>
      </c>
      <c r="C346" s="60">
        <f ca="1"/>
        <v>0.05</v>
      </c>
    </row>
    <row r="347" spans="2:3">
      <c r="B347" s="52">
        <f ca="1">_xll.qlCalendarAdvance("Null",B346,$A$66,"UnAdjusted")</f>
        <v>66796</v>
      </c>
      <c r="C347" s="60">
        <f ca="1"/>
        <v>0.05</v>
      </c>
    </row>
    <row r="348" spans="2:3">
      <c r="B348" s="52">
        <f ca="1">_xll.qlCalendarAdvance("Null",B347,$A$66,"UnAdjusted")</f>
        <v>66888</v>
      </c>
      <c r="C348" s="60">
        <f ca="1"/>
        <v>0.05</v>
      </c>
    </row>
    <row r="349" spans="2:3">
      <c r="B349" s="52">
        <f ca="1">_xll.qlCalendarAdvance("Null",B348,$A$66,"UnAdjusted")</f>
        <v>66977</v>
      </c>
      <c r="C349" s="60">
        <f ca="1"/>
        <v>0.05</v>
      </c>
    </row>
    <row r="350" spans="2:3">
      <c r="B350" s="52">
        <f ca="1">_xll.qlCalendarAdvance("Null",B349,$A$66,"UnAdjusted")</f>
        <v>67069</v>
      </c>
      <c r="C350" s="60">
        <f ca="1"/>
        <v>0.05</v>
      </c>
    </row>
    <row r="351" spans="2:3">
      <c r="B351" s="52">
        <f ca="1">_xll.qlCalendarAdvance("Null",B350,$A$66,"UnAdjusted")</f>
        <v>67161</v>
      </c>
      <c r="C351" s="60">
        <f ca="1"/>
        <v>0.05</v>
      </c>
    </row>
    <row r="352" spans="2:3">
      <c r="B352" s="52">
        <f ca="1">_xll.qlCalendarAdvance("Null",B351,$A$66,"UnAdjusted")</f>
        <v>67253</v>
      </c>
      <c r="C352" s="60">
        <f ca="1"/>
        <v>0.05</v>
      </c>
    </row>
    <row r="353" spans="2:3">
      <c r="B353" s="52">
        <f ca="1">_xll.qlCalendarAdvance("Null",B352,$A$66,"UnAdjusted")</f>
        <v>67343</v>
      </c>
      <c r="C353" s="60">
        <f ca="1"/>
        <v>0.05</v>
      </c>
    </row>
    <row r="354" spans="2:3">
      <c r="B354" s="52">
        <f ca="1">_xll.qlCalendarAdvance("Null",B353,$A$66,"UnAdjusted")</f>
        <v>67435</v>
      </c>
      <c r="C354" s="60">
        <f ca="1"/>
        <v>0.05</v>
      </c>
    </row>
    <row r="355" spans="2:3">
      <c r="B355" s="52">
        <f ca="1">_xll.qlCalendarAdvance("Null",B354,$A$66,"UnAdjusted")</f>
        <v>67527</v>
      </c>
      <c r="C355" s="60">
        <f ca="1"/>
        <v>0.05</v>
      </c>
    </row>
    <row r="356" spans="2:3">
      <c r="B356" s="52">
        <f ca="1">_xll.qlCalendarAdvance("Null",B355,$A$66,"UnAdjusted")</f>
        <v>67619</v>
      </c>
      <c r="C356" s="60">
        <f ca="1"/>
        <v>0.05</v>
      </c>
    </row>
    <row r="357" spans="2:3">
      <c r="B357" s="52">
        <f ca="1">_xll.qlCalendarAdvance("Null",B356,$A$66,"UnAdjusted")</f>
        <v>67708</v>
      </c>
      <c r="C357" s="60">
        <f ca="1"/>
        <v>0.05</v>
      </c>
    </row>
    <row r="358" spans="2:3">
      <c r="B358" s="52">
        <f ca="1">_xll.qlCalendarAdvance("Null",B357,$A$66,"UnAdjusted")</f>
        <v>67800</v>
      </c>
      <c r="C358" s="60">
        <f ca="1"/>
        <v>0.05</v>
      </c>
    </row>
    <row r="359" spans="2:3">
      <c r="B359" s="52">
        <f ca="1">_xll.qlCalendarAdvance("Null",B358,$A$66,"UnAdjusted")</f>
        <v>67892</v>
      </c>
      <c r="C359" s="60">
        <f ca="1"/>
        <v>0.05</v>
      </c>
    </row>
    <row r="360" spans="2:3">
      <c r="B360" s="52">
        <f ca="1">_xll.qlCalendarAdvance("Null",B359,$A$66,"UnAdjusted")</f>
        <v>67984</v>
      </c>
      <c r="C360" s="60">
        <f ca="1"/>
        <v>0.05</v>
      </c>
    </row>
    <row r="361" spans="2:3">
      <c r="B361" s="52">
        <f ca="1">_xll.qlCalendarAdvance("Null",B360,$A$66,"UnAdjusted")</f>
        <v>68073</v>
      </c>
      <c r="C361" s="60">
        <f ca="1"/>
        <v>0.05</v>
      </c>
    </row>
    <row r="362" spans="2:3">
      <c r="B362" s="52">
        <f ca="1">_xll.qlCalendarAdvance("Null",B361,$A$66,"UnAdjusted")</f>
        <v>68165</v>
      </c>
      <c r="C362" s="60">
        <f ca="1"/>
        <v>0.05</v>
      </c>
    </row>
    <row r="363" spans="2:3">
      <c r="B363" s="52">
        <f ca="1">_xll.qlCalendarAdvance("Null",B362,$A$66,"UnAdjusted")</f>
        <v>68257</v>
      </c>
      <c r="C363" s="60">
        <f ca="1"/>
        <v>0.05</v>
      </c>
    </row>
    <row r="364" spans="2:3">
      <c r="B364" s="52">
        <f ca="1">_xll.qlCalendarAdvance("Null",B363,$A$66,"UnAdjusted")</f>
        <v>68349</v>
      </c>
      <c r="C364" s="60">
        <f ca="1"/>
        <v>0.05</v>
      </c>
    </row>
    <row r="365" spans="2:3">
      <c r="B365" s="52">
        <f ca="1">_xll.qlCalendarAdvance("Null",B364,$A$66,"UnAdjusted")</f>
        <v>68438</v>
      </c>
      <c r="C365" s="60">
        <f ca="1"/>
        <v>0.05</v>
      </c>
    </row>
    <row r="366" spans="2:3">
      <c r="B366" s="52">
        <f ca="1">_xll.qlCalendarAdvance("Null",B365,$A$66,"UnAdjusted")</f>
        <v>68530</v>
      </c>
      <c r="C366" s="60">
        <f ca="1"/>
        <v>0.05</v>
      </c>
    </row>
    <row r="367" spans="2:3">
      <c r="B367" s="52">
        <f ca="1">_xll.qlCalendarAdvance("Null",B366,$A$66,"UnAdjusted")</f>
        <v>68622</v>
      </c>
      <c r="C367" s="60">
        <f ca="1"/>
        <v>0.05</v>
      </c>
    </row>
    <row r="368" spans="2:3">
      <c r="B368" s="52">
        <f ca="1">_xll.qlCalendarAdvance("Null",B367,$A$66,"UnAdjusted")</f>
        <v>68714</v>
      </c>
      <c r="C368" s="60">
        <f ca="1"/>
        <v>0.05</v>
      </c>
    </row>
    <row r="369" spans="2:3">
      <c r="B369" s="52">
        <f ca="1">_xll.qlCalendarAdvance("Null",B368,$A$66,"UnAdjusted")</f>
        <v>68804</v>
      </c>
      <c r="C369" s="60">
        <f ca="1"/>
        <v>0.05</v>
      </c>
    </row>
    <row r="370" spans="2:3">
      <c r="B370" s="52">
        <f ca="1">_xll.qlCalendarAdvance("Null",B369,$A$66,"UnAdjusted")</f>
        <v>68896</v>
      </c>
      <c r="C370" s="60">
        <f ca="1"/>
        <v>0.05</v>
      </c>
    </row>
    <row r="371" spans="2:3">
      <c r="B371" s="52">
        <f ca="1">_xll.qlCalendarAdvance("Null",B370,$A$66,"UnAdjusted")</f>
        <v>68988</v>
      </c>
      <c r="C371" s="60">
        <f ca="1"/>
        <v>0.05</v>
      </c>
    </row>
    <row r="372" spans="2:3">
      <c r="B372" s="52">
        <f ca="1">_xll.qlCalendarAdvance("Null",B371,$A$66,"UnAdjusted")</f>
        <v>69080</v>
      </c>
      <c r="C372" s="60">
        <f ca="1"/>
        <v>0.05</v>
      </c>
    </row>
    <row r="373" spans="2:3">
      <c r="B373" s="52">
        <f ca="1">_xll.qlCalendarAdvance("Null",B372,$A$66,"UnAdjusted")</f>
        <v>69169</v>
      </c>
      <c r="C373" s="60">
        <f ca="1"/>
        <v>0.05</v>
      </c>
    </row>
    <row r="374" spans="2:3">
      <c r="B374" s="52">
        <f ca="1">_xll.qlCalendarAdvance("Null",B373,$A$66,"UnAdjusted")</f>
        <v>69261</v>
      </c>
      <c r="C374" s="60">
        <f ca="1"/>
        <v>0.05</v>
      </c>
    </row>
    <row r="375" spans="2:3">
      <c r="B375" s="52">
        <f ca="1">_xll.qlCalendarAdvance("Null",B374,$A$66,"UnAdjusted")</f>
        <v>69353</v>
      </c>
      <c r="C375" s="60">
        <f ca="1"/>
        <v>0.05</v>
      </c>
    </row>
    <row r="376" spans="2:3">
      <c r="B376" s="52">
        <f ca="1">_xll.qlCalendarAdvance("Null",B375,$A$66,"UnAdjusted")</f>
        <v>69445</v>
      </c>
      <c r="C376" s="60">
        <f ca="1"/>
        <v>0.05</v>
      </c>
    </row>
    <row r="377" spans="2:3">
      <c r="B377" s="52">
        <f ca="1">_xll.qlCalendarAdvance("Null",B376,$A$66,"UnAdjusted")</f>
        <v>69534</v>
      </c>
      <c r="C377" s="60">
        <f ca="1"/>
        <v>0.05</v>
      </c>
    </row>
    <row r="378" spans="2:3">
      <c r="B378" s="52">
        <f ca="1">_xll.qlCalendarAdvance("Null",B377,$A$66,"UnAdjusted")</f>
        <v>69626</v>
      </c>
      <c r="C378" s="60">
        <f ca="1"/>
        <v>0.05</v>
      </c>
    </row>
    <row r="379" spans="2:3">
      <c r="B379" s="52">
        <f ca="1">_xll.qlCalendarAdvance("Null",B378,$A$66,"UnAdjusted")</f>
        <v>69718</v>
      </c>
      <c r="C379" s="60">
        <f ca="1"/>
        <v>0.05</v>
      </c>
    </row>
    <row r="380" spans="2:3">
      <c r="B380" s="52">
        <f ca="1">_xll.qlCalendarAdvance("Null",B379,$A$66,"UnAdjusted")</f>
        <v>69810</v>
      </c>
      <c r="C380" s="60">
        <f ca="1"/>
        <v>0.05</v>
      </c>
    </row>
    <row r="381" spans="2:3">
      <c r="B381" s="52">
        <f ca="1">_xll.qlCalendarAdvance("Null",B380,$A$66,"UnAdjusted")</f>
        <v>69899</v>
      </c>
      <c r="C381" s="60">
        <f ca="1"/>
        <v>0.05</v>
      </c>
    </row>
    <row r="382" spans="2:3">
      <c r="B382" s="52">
        <f ca="1">_xll.qlCalendarAdvance("Null",B381,$A$66,"UnAdjusted")</f>
        <v>69991</v>
      </c>
      <c r="C382" s="60">
        <f ca="1"/>
        <v>0.05</v>
      </c>
    </row>
    <row r="383" spans="2:3">
      <c r="B383" s="52">
        <f ca="1">_xll.qlCalendarAdvance("Null",B382,$A$66,"UnAdjusted")</f>
        <v>70083</v>
      </c>
      <c r="C383" s="60">
        <f ca="1"/>
        <v>0.05</v>
      </c>
    </row>
    <row r="384" spans="2:3">
      <c r="B384" s="52">
        <f ca="1">_xll.qlCalendarAdvance("Null",B383,$A$66,"UnAdjusted")</f>
        <v>70175</v>
      </c>
      <c r="C384" s="60">
        <f ca="1"/>
        <v>0.05</v>
      </c>
    </row>
    <row r="385" spans="2:3">
      <c r="B385" s="52">
        <f ca="1">_xll.qlCalendarAdvance("Null",B384,$A$66,"UnAdjusted")</f>
        <v>70265</v>
      </c>
      <c r="C385" s="60">
        <f ca="1"/>
        <v>0.05</v>
      </c>
    </row>
    <row r="386" spans="2:3">
      <c r="B386" s="52">
        <f ca="1">_xll.qlCalendarAdvance("Null",B385,$A$66,"UnAdjusted")</f>
        <v>70357</v>
      </c>
      <c r="C386" s="60">
        <f ca="1"/>
        <v>0.05</v>
      </c>
    </row>
    <row r="387" spans="2:3">
      <c r="B387" s="52">
        <f ca="1">_xll.qlCalendarAdvance("Null",B386,$A$66,"UnAdjusted")</f>
        <v>70449</v>
      </c>
      <c r="C387" s="60">
        <f ca="1"/>
        <v>0.05</v>
      </c>
    </row>
    <row r="388" spans="2:3">
      <c r="B388" s="52">
        <f ca="1">_xll.qlCalendarAdvance("Null",B387,$A$66,"UnAdjusted")</f>
        <v>70541</v>
      </c>
      <c r="C388" s="60">
        <f ca="1"/>
        <v>0.05</v>
      </c>
    </row>
    <row r="389" spans="2:3">
      <c r="B389" s="52">
        <f ca="1">_xll.qlCalendarAdvance("Null",B388,$A$66,"UnAdjusted")</f>
        <v>70630</v>
      </c>
      <c r="C389" s="60">
        <f ca="1"/>
        <v>5.000000000000001E-2</v>
      </c>
    </row>
    <row r="390" spans="2:3">
      <c r="B390" s="52">
        <f ca="1">_xll.qlCalendarAdvance("Null",B389,$A$66,"UnAdjusted")</f>
        <v>70722</v>
      </c>
      <c r="C390" s="60">
        <f ca="1"/>
        <v>4.9999999999999996E-2</v>
      </c>
    </row>
    <row r="391" spans="2:3">
      <c r="B391" s="52">
        <f ca="1">_xll.qlCalendarAdvance("Null",B390,$A$66,"UnAdjusted")</f>
        <v>70814</v>
      </c>
      <c r="C391" s="60">
        <f ca="1"/>
        <v>0.05</v>
      </c>
    </row>
    <row r="392" spans="2:3">
      <c r="B392" s="52">
        <f ca="1">_xll.qlCalendarAdvance("Null",B391,$A$66,"UnAdjusted")</f>
        <v>70906</v>
      </c>
      <c r="C392" s="60">
        <f ca="1"/>
        <v>0.05</v>
      </c>
    </row>
    <row r="393" spans="2:3">
      <c r="B393" s="52">
        <f ca="1">_xll.qlCalendarAdvance("Null",B392,$A$66,"UnAdjusted")</f>
        <v>70995</v>
      </c>
      <c r="C393" s="60">
        <f ca="1"/>
        <v>0.05</v>
      </c>
    </row>
    <row r="394" spans="2:3">
      <c r="B394" s="52">
        <f ca="1">_xll.qlCalendarAdvance("Null",B393,$A$66,"UnAdjusted")</f>
        <v>71087</v>
      </c>
      <c r="C394" s="60">
        <f ca="1"/>
        <v>5.000000000000001E-2</v>
      </c>
    </row>
    <row r="395" spans="2:3">
      <c r="B395" s="52">
        <f ca="1">_xll.qlCalendarAdvance("Null",B394,$A$66,"UnAdjusted")</f>
        <v>71179</v>
      </c>
      <c r="C395" s="60">
        <f ca="1"/>
        <v>4.9999999999999996E-2</v>
      </c>
    </row>
    <row r="396" spans="2:3">
      <c r="B396" s="52">
        <f ca="1">_xll.qlCalendarAdvance("Null",B395,$A$66,"UnAdjusted")</f>
        <v>71271</v>
      </c>
      <c r="C396" s="60">
        <f ca="1"/>
        <v>0.05</v>
      </c>
    </row>
    <row r="397" spans="2:3">
      <c r="B397" s="52">
        <f ca="1">_xll.qlCalendarAdvance("Null",B396,$A$66,"UnAdjusted")</f>
        <v>71360</v>
      </c>
      <c r="C397" s="60">
        <f ca="1"/>
        <v>0.05</v>
      </c>
    </row>
    <row r="398" spans="2:3">
      <c r="B398" s="52">
        <f ca="1">_xll.qlCalendarAdvance("Null",B397,$A$66,"UnAdjusted")</f>
        <v>71452</v>
      </c>
      <c r="C398" s="60">
        <f ca="1"/>
        <v>0.05</v>
      </c>
    </row>
    <row r="399" spans="2:3">
      <c r="B399" s="52">
        <f ca="1">_xll.qlCalendarAdvance("Null",B398,$A$66,"UnAdjusted")</f>
        <v>71544</v>
      </c>
      <c r="C399" s="60">
        <f ca="1"/>
        <v>5.000000000000001E-2</v>
      </c>
    </row>
    <row r="400" spans="2:3">
      <c r="B400" s="52">
        <f ca="1">_xll.qlCalendarAdvance("Null",B399,$A$66,"UnAdjusted")</f>
        <v>71636</v>
      </c>
      <c r="C400" s="60">
        <f ca="1"/>
        <v>4.9999999999999996E-2</v>
      </c>
    </row>
    <row r="401" spans="2:3">
      <c r="B401" s="52">
        <f ca="1">_xll.qlCalendarAdvance("Null",B400,$A$66,"UnAdjusted")</f>
        <v>71726</v>
      </c>
      <c r="C401" s="60">
        <f ca="1"/>
        <v>0.05</v>
      </c>
    </row>
    <row r="402" spans="2:3">
      <c r="B402" s="52">
        <f ca="1">_xll.qlCalendarAdvance("Null",B401,$A$66,"UnAdjusted")</f>
        <v>71818</v>
      </c>
      <c r="C402" s="60">
        <f ca="1"/>
        <v>0.05</v>
      </c>
    </row>
    <row r="403" spans="2:3">
      <c r="B403" s="52">
        <f ca="1">_xll.qlCalendarAdvance("Null",B402,$A$66,"UnAdjusted")</f>
        <v>71910</v>
      </c>
      <c r="C403" s="60">
        <f ca="1"/>
        <v>0.05</v>
      </c>
    </row>
    <row r="404" spans="2:3">
      <c r="B404" s="52">
        <f ca="1">_xll.qlCalendarAdvance("Null",B403,$A$66,"UnAdjusted")</f>
        <v>72002</v>
      </c>
      <c r="C404" s="60">
        <f ca="1"/>
        <v>5.000000000000001E-2</v>
      </c>
    </row>
    <row r="405" spans="2:3">
      <c r="B405" s="52">
        <f ca="1">_xll.qlCalendarAdvance("Null",B404,$A$66,"UnAdjusted")</f>
        <v>72091</v>
      </c>
      <c r="C405" s="60">
        <f ca="1"/>
        <v>4.9999999999999996E-2</v>
      </c>
    </row>
    <row r="406" spans="2:3">
      <c r="B406" s="52">
        <f ca="1">_xll.qlCalendarAdvance("Null",B405,$A$66,"UnAdjusted")</f>
        <v>72183</v>
      </c>
      <c r="C406" s="60">
        <f ca="1"/>
        <v>0.05</v>
      </c>
    </row>
    <row r="407" spans="2:3">
      <c r="B407" s="52">
        <f ca="1">_xll.qlCalendarAdvance("Null",B406,$A$66,"UnAdjusted")</f>
        <v>72275</v>
      </c>
      <c r="C407" s="60">
        <f ca="1"/>
        <v>0.05</v>
      </c>
    </row>
    <row r="408" spans="2:3">
      <c r="B408" s="52">
        <f ca="1">_xll.qlCalendarAdvance("Null",B407,$A$66,"UnAdjusted")</f>
        <v>72367</v>
      </c>
      <c r="C408" s="60">
        <f ca="1"/>
        <v>0.05</v>
      </c>
    </row>
    <row r="409" spans="2:3">
      <c r="B409" s="52">
        <f ca="1">_xll.qlCalendarAdvance("Null",B408,$A$66,"UnAdjusted")</f>
        <v>72456</v>
      </c>
      <c r="C409" s="60">
        <f ca="1"/>
        <v>0.05</v>
      </c>
    </row>
    <row r="410" spans="2:3">
      <c r="B410" s="52">
        <f ca="1">_xll.qlCalendarAdvance("Null",B409,$A$66,"UnAdjusted")</f>
        <v>72548</v>
      </c>
      <c r="C410" s="60">
        <f ca="1"/>
        <v>4.9999999999999996E-2</v>
      </c>
    </row>
    <row r="411" spans="2:3">
      <c r="B411" s="52">
        <f ca="1">_xll.qlCalendarAdvance("Null",B410,$A$66,"UnAdjusted")</f>
        <v>72640</v>
      </c>
      <c r="C411" s="60">
        <f ca="1"/>
        <v>0.05</v>
      </c>
    </row>
    <row r="412" spans="2:3">
      <c r="B412" s="52">
        <f ca="1">_xll.qlCalendarAdvance("Null",B411,$A$66,"UnAdjusted")</f>
        <v>72732</v>
      </c>
      <c r="C412" s="60">
        <f ca="1"/>
        <v>0.05</v>
      </c>
    </row>
    <row r="413" spans="2:3">
      <c r="B413" s="52">
        <f ca="1">_xll.qlCalendarAdvance("Null",B412,$A$66,"UnAdjusted")</f>
        <v>72821</v>
      </c>
      <c r="C413" s="60">
        <f ca="1"/>
        <v>0.05</v>
      </c>
    </row>
    <row r="414" spans="2:3">
      <c r="B414" s="52">
        <f ca="1">_xll.qlCalendarAdvance("Null",B413,$A$66,"UnAdjusted")</f>
        <v>72913</v>
      </c>
      <c r="C414" s="60">
        <f ca="1"/>
        <v>0.05</v>
      </c>
    </row>
    <row r="415" spans="2:3">
      <c r="B415" s="52">
        <f ca="1">_xll.qlCalendarAdvance("Null",B414,$A$66,"UnAdjusted")</f>
        <v>73005</v>
      </c>
      <c r="C415" s="60">
        <f ca="1"/>
        <v>4.9999999999999996E-2</v>
      </c>
    </row>
    <row r="416" spans="2:3">
      <c r="B416" s="52">
        <f ca="1">_xll.qlCalendarAdvance("Null",B415,$A$66,"UnAdjusted")</f>
        <v>73097</v>
      </c>
      <c r="C416" s="60">
        <f ca="1"/>
        <v>0.05</v>
      </c>
    </row>
    <row r="417" spans="2:3">
      <c r="B417" s="52">
        <f ca="1">_xll.qlCalendarAdvance("Null",B416,$A$66,"UnAdjusted")</f>
        <v>73186</v>
      </c>
      <c r="C417" s="60">
        <f ca="1"/>
        <v>0.05</v>
      </c>
    </row>
    <row r="418" spans="2:3">
      <c r="B418" s="52">
        <f ca="1">_xll.qlCalendarAdvance("Null",B417,$A$66,"UnAdjusted")</f>
        <v>73278</v>
      </c>
      <c r="C418" s="60">
        <f ca="1"/>
        <v>0.05</v>
      </c>
    </row>
    <row r="419" spans="2:3">
      <c r="B419" s="52">
        <f ca="1">_xll.qlCalendarAdvance("Null",B418,$A$66,"UnAdjusted")</f>
        <v>73370</v>
      </c>
      <c r="C419" s="60">
        <f ca="1"/>
        <v>0.05</v>
      </c>
    </row>
    <row r="420" spans="2:3">
      <c r="B420" s="52">
        <f ca="1">_xll.qlCalendarAdvance("Null",B419,$A$66,"UnAdjusted")</f>
        <v>73462</v>
      </c>
      <c r="C420" s="60">
        <f ca="1"/>
        <v>4.9999999999999996E-2</v>
      </c>
    </row>
    <row r="421" spans="2:3">
      <c r="B421" s="52">
        <f ca="1">_xll.qlCalendarAdvance("Null",B420,$A$66,"UnAdjusted")</f>
        <v>73551</v>
      </c>
      <c r="C421" s="60">
        <f ca="1"/>
        <v>0.05</v>
      </c>
    </row>
    <row r="422" spans="2:3">
      <c r="B422" s="52">
        <f ca="1">_xll.qlCalendarAdvance("Null",B421,$A$66,"UnAdjusted")</f>
        <v>73643</v>
      </c>
      <c r="C422" s="60">
        <f ca="1"/>
        <v>0.05</v>
      </c>
    </row>
    <row r="423" spans="2:3">
      <c r="B423" s="52">
        <f ca="1">_xll.qlCalendarAdvance("Null",B422,$A$66,"UnAdjusted")</f>
        <v>73735</v>
      </c>
      <c r="C423" s="60">
        <f ca="1"/>
        <v>0.05</v>
      </c>
    </row>
    <row r="424" spans="2:3">
      <c r="B424" s="52">
        <f ca="1">_xll.qlCalendarAdvance("Null",B423,$A$66,"UnAdjusted")</f>
        <v>73827</v>
      </c>
      <c r="C424" s="60">
        <f ca="1"/>
        <v>0.05</v>
      </c>
    </row>
    <row r="425" spans="2:3">
      <c r="B425" s="52">
        <f ca="1">_xll.qlCalendarAdvance("Null",B424,$A$66,"UnAdjusted")</f>
        <v>73916</v>
      </c>
      <c r="C425" s="60">
        <f ca="1"/>
        <v>4.9999999999999996E-2</v>
      </c>
    </row>
    <row r="426" spans="2:3">
      <c r="B426" s="52">
        <f ca="1">_xll.qlCalendarAdvance("Null",B425,$A$66,"UnAdjusted")</f>
        <v>74008</v>
      </c>
      <c r="C426" s="60">
        <f ca="1"/>
        <v>0.05</v>
      </c>
    </row>
    <row r="427" spans="2:3">
      <c r="B427" s="52">
        <f ca="1">_xll.qlCalendarAdvance("Null",B426,$A$66,"UnAdjusted")</f>
        <v>74100</v>
      </c>
      <c r="C427" s="60">
        <f ca="1"/>
        <v>0.05</v>
      </c>
    </row>
    <row r="428" spans="2:3">
      <c r="B428" s="52">
        <f ca="1">_xll.qlCalendarAdvance("Null",B427,$A$66,"UnAdjusted")</f>
        <v>74192</v>
      </c>
      <c r="C428" s="60">
        <f ca="1"/>
        <v>0.05</v>
      </c>
    </row>
    <row r="429" spans="2:3">
      <c r="B429" s="52">
        <f ca="1">_xll.qlCalendarAdvance("Null",B428,$A$66,"UnAdjusted")</f>
        <v>74281</v>
      </c>
      <c r="C429" s="60">
        <f ca="1"/>
        <v>0.05</v>
      </c>
    </row>
    <row r="430" spans="2:3">
      <c r="B430" s="52">
        <f ca="1">_xll.qlCalendarAdvance("Null",B429,$A$66,"UnAdjusted")</f>
        <v>74373</v>
      </c>
      <c r="C430" s="60">
        <f ca="1"/>
        <v>4.9999999999999996E-2</v>
      </c>
    </row>
    <row r="431" spans="2:3">
      <c r="B431" s="52">
        <f ca="1">_xll.qlCalendarAdvance("Null",B430,$A$66,"UnAdjusted")</f>
        <v>74465</v>
      </c>
      <c r="C431" s="60">
        <f ca="1"/>
        <v>0.05</v>
      </c>
    </row>
    <row r="432" spans="2:3">
      <c r="B432" s="52">
        <f ca="1">_xll.qlCalendarAdvance("Null",B431,$A$66,"UnAdjusted")</f>
        <v>74557</v>
      </c>
      <c r="C432" s="60">
        <f ca="1"/>
        <v>0.05</v>
      </c>
    </row>
    <row r="433" spans="2:3">
      <c r="B433" s="52">
        <f ca="1">_xll.qlCalendarAdvance("Null",B432,$A$66,"UnAdjusted")</f>
        <v>74647</v>
      </c>
      <c r="C433" s="60">
        <f ca="1"/>
        <v>0.05</v>
      </c>
    </row>
    <row r="434" spans="2:3">
      <c r="B434" s="52">
        <f ca="1">_xll.qlCalendarAdvance("Null",B433,$A$66,"UnAdjusted")</f>
        <v>74739</v>
      </c>
      <c r="C434" s="60">
        <f ca="1"/>
        <v>0.05</v>
      </c>
    </row>
    <row r="435" spans="2:3">
      <c r="B435" s="52">
        <f ca="1">_xll.qlCalendarAdvance("Null",B434,$A$66,"UnAdjusted")</f>
        <v>74831</v>
      </c>
      <c r="C435" s="60">
        <f ca="1"/>
        <v>4.9999999999999996E-2</v>
      </c>
    </row>
    <row r="436" spans="2:3">
      <c r="B436" s="52">
        <f ca="1">_xll.qlCalendarAdvance("Null",B435,$A$66,"UnAdjusted")</f>
        <v>74923</v>
      </c>
      <c r="C436" s="60">
        <f ca="1"/>
        <v>0.05</v>
      </c>
    </row>
    <row r="437" spans="2:3">
      <c r="B437" s="52">
        <f ca="1">_xll.qlCalendarAdvance("Null",B436,$A$66,"UnAdjusted")</f>
        <v>75012</v>
      </c>
      <c r="C437" s="60">
        <f ca="1"/>
        <v>0.05</v>
      </c>
    </row>
    <row r="438" spans="2:3">
      <c r="B438" s="52">
        <f ca="1">_xll.qlCalendarAdvance("Null",B437,$A$66,"UnAdjusted")</f>
        <v>75104</v>
      </c>
      <c r="C438" s="60">
        <f ca="1"/>
        <v>0.05</v>
      </c>
    </row>
    <row r="439" spans="2:3">
      <c r="B439" s="52">
        <f ca="1">_xll.qlCalendarAdvance("Null",B438,$A$66,"UnAdjusted")</f>
        <v>75196</v>
      </c>
      <c r="C439" s="60">
        <f ca="1"/>
        <v>0.05</v>
      </c>
    </row>
    <row r="440" spans="2:3">
      <c r="B440" s="52">
        <f ca="1">_xll.qlCalendarAdvance("Null",B439,$A$66,"UnAdjusted")</f>
        <v>75288</v>
      </c>
      <c r="C440" s="60">
        <f ca="1"/>
        <v>4.9999999999999996E-2</v>
      </c>
    </row>
    <row r="441" spans="2:3">
      <c r="B441" s="52">
        <f ca="1">_xll.qlCalendarAdvance("Null",B440,$A$66,"UnAdjusted")</f>
        <v>75377</v>
      </c>
      <c r="C441" s="60">
        <f ca="1"/>
        <v>0.05</v>
      </c>
    </row>
    <row r="442" spans="2:3">
      <c r="B442" s="52">
        <f ca="1">_xll.qlCalendarAdvance("Null",B441,$A$66,"UnAdjusted")</f>
        <v>75469</v>
      </c>
      <c r="C442" s="60">
        <f ca="1"/>
        <v>0.05</v>
      </c>
    </row>
    <row r="443" spans="2:3">
      <c r="B443" s="52">
        <f ca="1">_xll.qlCalendarAdvance("Null",B442,$A$66,"UnAdjusted")</f>
        <v>75561</v>
      </c>
      <c r="C443" s="60">
        <f ca="1"/>
        <v>0.05</v>
      </c>
    </row>
    <row r="444" spans="2:3">
      <c r="B444" s="52">
        <f ca="1">_xll.qlCalendarAdvance("Null",B443,$A$66,"UnAdjusted")</f>
        <v>75653</v>
      </c>
      <c r="C444" s="60">
        <f ca="1"/>
        <v>0.05</v>
      </c>
    </row>
    <row r="445" spans="2:3">
      <c r="B445" s="52">
        <f ca="1">_xll.qlCalendarAdvance("Null",B444,$A$66,"UnAdjusted")</f>
        <v>75742</v>
      </c>
      <c r="C445" s="60">
        <f ca="1"/>
        <v>4.9999999999999996E-2</v>
      </c>
    </row>
    <row r="446" spans="2:3">
      <c r="B446" s="52">
        <f ca="1">_xll.qlCalendarAdvance("Null",B445,$A$66,"UnAdjusted")</f>
        <v>75834</v>
      </c>
      <c r="C446" s="60">
        <f ca="1"/>
        <v>0.05</v>
      </c>
    </row>
    <row r="447" spans="2:3">
      <c r="B447" s="52">
        <f ca="1">_xll.qlCalendarAdvance("Null",B446,$A$66,"UnAdjusted")</f>
        <v>75926</v>
      </c>
      <c r="C447" s="60">
        <f ca="1"/>
        <v>0.05</v>
      </c>
    </row>
    <row r="448" spans="2:3">
      <c r="B448" s="52">
        <f ca="1">_xll.qlCalendarAdvance("Null",B447,$A$66,"UnAdjusted")</f>
        <v>76018</v>
      </c>
      <c r="C448" s="60">
        <f ca="1"/>
        <v>0.05</v>
      </c>
    </row>
    <row r="449" spans="2:3">
      <c r="B449" s="52">
        <f ca="1">_xll.qlCalendarAdvance("Null",B448,$A$66,"UnAdjusted")</f>
        <v>76108</v>
      </c>
      <c r="C449" s="60">
        <f ca="1"/>
        <v>0.05</v>
      </c>
    </row>
    <row r="450" spans="2:3">
      <c r="B450" s="52">
        <f ca="1">_xll.qlCalendarAdvance("Null",B449,$A$66,"UnAdjusted")</f>
        <v>76200</v>
      </c>
      <c r="C450" s="60">
        <f ca="1"/>
        <v>5.000000000000001E-2</v>
      </c>
    </row>
    <row r="451" spans="2:3">
      <c r="B451" s="52">
        <f ca="1">_xll.qlCalendarAdvance("Null",B450,$A$66,"UnAdjusted")</f>
        <v>76292</v>
      </c>
      <c r="C451" s="60">
        <f ca="1"/>
        <v>0.05</v>
      </c>
    </row>
    <row r="452" spans="2:3">
      <c r="B452" s="52">
        <f ca="1">_xll.qlCalendarAdvance("Null",B451,$A$66,"UnAdjusted")</f>
        <v>76384</v>
      </c>
      <c r="C452" s="60">
        <f ca="1"/>
        <v>0.05</v>
      </c>
    </row>
    <row r="453" spans="2:3">
      <c r="B453" s="52">
        <f ca="1">_xll.qlCalendarAdvance("Null",B452,$A$66,"UnAdjusted")</f>
        <v>76473</v>
      </c>
      <c r="C453" s="60">
        <f ca="1"/>
        <v>0.05</v>
      </c>
    </row>
    <row r="454" spans="2:3">
      <c r="B454" s="52">
        <f ca="1">_xll.qlCalendarAdvance("Null",B453,$A$66,"UnAdjusted")</f>
        <v>76565</v>
      </c>
      <c r="C454" s="60">
        <f ca="1"/>
        <v>0.05</v>
      </c>
    </row>
    <row r="455" spans="2:3">
      <c r="B455" s="52">
        <f ca="1">_xll.qlCalendarAdvance("Null",B454,$A$66,"UnAdjusted")</f>
        <v>76657</v>
      </c>
      <c r="C455" s="60">
        <f ca="1"/>
        <v>5.000000000000001E-2</v>
      </c>
    </row>
    <row r="456" spans="2:3">
      <c r="B456" s="52">
        <f ca="1">_xll.qlCalendarAdvance("Null",B455,$A$66,"UnAdjusted")</f>
        <v>76749</v>
      </c>
      <c r="C456" s="60">
        <f ca="1"/>
        <v>0.05</v>
      </c>
    </row>
    <row r="457" spans="2:3">
      <c r="B457" s="52">
        <f ca="1">_xll.qlCalendarAdvance("Null",B456,$A$66,"UnAdjusted")</f>
        <v>76838</v>
      </c>
      <c r="C457" s="60">
        <f ca="1"/>
        <v>0.05</v>
      </c>
    </row>
    <row r="458" spans="2:3">
      <c r="B458" s="52">
        <f ca="1">_xll.qlCalendarAdvance("Null",B457,$A$66,"UnAdjusted")</f>
        <v>76930</v>
      </c>
      <c r="C458" s="60">
        <f ca="1"/>
        <v>0.05</v>
      </c>
    </row>
    <row r="459" spans="2:3">
      <c r="B459" s="52">
        <f ca="1">_xll.qlCalendarAdvance("Null",B458,$A$66,"UnAdjusted")</f>
        <v>77022</v>
      </c>
      <c r="C459" s="60">
        <f ca="1"/>
        <v>0.05</v>
      </c>
    </row>
    <row r="460" spans="2:3">
      <c r="B460" s="52">
        <f ca="1">_xll.qlCalendarAdvance("Null",B459,$A$66,"UnAdjusted")</f>
        <v>77114</v>
      </c>
      <c r="C460" s="60">
        <f ca="1"/>
        <v>5.000000000000001E-2</v>
      </c>
    </row>
    <row r="461" spans="2:3">
      <c r="B461" s="52">
        <f ca="1">_xll.qlCalendarAdvance("Null",B460,$A$66,"UnAdjusted")</f>
        <v>77203</v>
      </c>
      <c r="C461" s="60">
        <f ca="1"/>
        <v>0.05</v>
      </c>
    </row>
    <row r="462" spans="2:3">
      <c r="B462" s="52">
        <f ca="1">_xll.qlCalendarAdvance("Null",B461,$A$66,"UnAdjusted")</f>
        <v>77295</v>
      </c>
      <c r="C462" s="60">
        <f ca="1"/>
        <v>0.05</v>
      </c>
    </row>
    <row r="463" spans="2:3">
      <c r="B463" s="52">
        <f ca="1">_xll.qlCalendarAdvance("Null",B462,$A$66,"UnAdjusted")</f>
        <v>77387</v>
      </c>
      <c r="C463" s="60">
        <f ca="1"/>
        <v>0.05</v>
      </c>
    </row>
    <row r="464" spans="2:3">
      <c r="B464" s="52">
        <f ca="1">_xll.qlCalendarAdvance("Null",B463,$A$66,"UnAdjusted")</f>
        <v>77479</v>
      </c>
      <c r="C464" s="60">
        <f ca="1"/>
        <v>0.05</v>
      </c>
    </row>
    <row r="465" spans="2:3">
      <c r="B465" s="52">
        <f ca="1">_xll.qlCalendarAdvance("Null",B464,$A$66,"UnAdjusted")</f>
        <v>77569</v>
      </c>
      <c r="C465" s="60">
        <f ca="1"/>
        <v>5.000000000000001E-2</v>
      </c>
    </row>
    <row r="466" spans="2:3">
      <c r="B466" s="52">
        <f ca="1">_xll.qlCalendarAdvance("Null",B465,$A$66,"UnAdjusted")</f>
        <v>77661</v>
      </c>
      <c r="C466" s="60">
        <f ca="1"/>
        <v>0.05</v>
      </c>
    </row>
    <row r="467" spans="2:3">
      <c r="B467" s="52">
        <f ca="1">_xll.qlCalendarAdvance("Null",B466,$A$66,"UnAdjusted")</f>
        <v>77753</v>
      </c>
      <c r="C467" s="60">
        <f ca="1"/>
        <v>0.05</v>
      </c>
    </row>
    <row r="468" spans="2:3">
      <c r="B468" s="52">
        <f ca="1">_xll.qlCalendarAdvance("Null",B467,$A$66,"UnAdjusted")</f>
        <v>77845</v>
      </c>
      <c r="C468" s="60">
        <f ca="1"/>
        <v>0.05</v>
      </c>
    </row>
    <row r="469" spans="2:3">
      <c r="B469" s="52">
        <f ca="1">_xll.qlCalendarAdvance("Null",B468,$A$66,"UnAdjusted")</f>
        <v>77934</v>
      </c>
      <c r="C469" s="60">
        <f ca="1"/>
        <v>0.05</v>
      </c>
    </row>
    <row r="470" spans="2:3">
      <c r="B470" s="52">
        <f ca="1">_xll.qlCalendarAdvance("Null",B469,$A$66,"UnAdjusted")</f>
        <v>78026</v>
      </c>
      <c r="C470" s="60">
        <f ca="1"/>
        <v>5.000000000000001E-2</v>
      </c>
    </row>
    <row r="471" spans="2:3">
      <c r="B471" s="52">
        <f ca="1">_xll.qlCalendarAdvance("Null",B470,$A$66,"UnAdjusted")</f>
        <v>78118</v>
      </c>
      <c r="C471" s="60">
        <f ca="1"/>
        <v>0.05</v>
      </c>
    </row>
    <row r="472" spans="2:3">
      <c r="B472" s="52">
        <f ca="1">_xll.qlCalendarAdvance("Null",B471,$A$66,"UnAdjusted")</f>
        <v>78210</v>
      </c>
      <c r="C472" s="60">
        <f ca="1"/>
        <v>0.05</v>
      </c>
    </row>
    <row r="473" spans="2:3">
      <c r="B473" s="52">
        <f ca="1">_xll.qlCalendarAdvance("Null",B472,$A$66,"UnAdjusted")</f>
        <v>78299</v>
      </c>
      <c r="C473" s="60">
        <f ca="1"/>
        <v>0.05</v>
      </c>
    </row>
    <row r="474" spans="2:3">
      <c r="B474" s="52">
        <f ca="1">_xll.qlCalendarAdvance("Null",B473,$A$66,"UnAdjusted")</f>
        <v>78391</v>
      </c>
      <c r="C474" s="60">
        <f ca="1"/>
        <v>0.05</v>
      </c>
    </row>
    <row r="475" spans="2:3">
      <c r="B475" s="52">
        <f ca="1">_xll.qlCalendarAdvance("Null",B474,$A$66,"UnAdjusted")</f>
        <v>78483</v>
      </c>
      <c r="C475" s="60">
        <f ca="1"/>
        <v>5.000000000000001E-2</v>
      </c>
    </row>
    <row r="476" spans="2:3">
      <c r="B476" s="52">
        <f ca="1">_xll.qlCalendarAdvance("Null",B475,$A$66,"UnAdjusted")</f>
        <v>78575</v>
      </c>
      <c r="C476" s="60">
        <f ca="1"/>
        <v>0.05</v>
      </c>
    </row>
    <row r="477" spans="2:3">
      <c r="B477" s="52">
        <f ca="1">_xll.qlCalendarAdvance("Null",B476,$A$66,"UnAdjusted")</f>
        <v>78664</v>
      </c>
      <c r="C477" s="60">
        <f ca="1"/>
        <v>0.05</v>
      </c>
    </row>
    <row r="478" spans="2:3">
      <c r="B478" s="52">
        <f ca="1">_xll.qlCalendarAdvance("Null",B477,$A$66,"UnAdjusted")</f>
        <v>78756</v>
      </c>
      <c r="C478" s="60">
        <f ca="1"/>
        <v>0.05</v>
      </c>
    </row>
    <row r="479" spans="2:3">
      <c r="B479" s="52">
        <f ca="1">_xll.qlCalendarAdvance("Null",B478,$A$66,"UnAdjusted")</f>
        <v>78848</v>
      </c>
      <c r="C479" s="60">
        <f ca="1"/>
        <v>0.05</v>
      </c>
    </row>
    <row r="480" spans="2:3">
      <c r="B480" s="52">
        <f ca="1">_xll.qlCalendarAdvance("Null",B479,$A$66,"UnAdjusted")</f>
        <v>78940</v>
      </c>
      <c r="C480" s="60">
        <f ca="1"/>
        <v>5.000000000000001E-2</v>
      </c>
    </row>
    <row r="481" spans="2:3">
      <c r="B481" s="52">
        <f ca="1">_xll.qlCalendarAdvance("Null",B480,$A$66,"UnAdjusted")</f>
        <v>79030</v>
      </c>
      <c r="C481" s="60">
        <f ca="1"/>
        <v>0.05</v>
      </c>
    </row>
    <row r="482" spans="2:3">
      <c r="B482" s="52">
        <f ca="1">_xll.qlCalendarAdvance("Null",B481,$A$66,"UnAdjusted")</f>
        <v>79122</v>
      </c>
      <c r="C482" s="60">
        <f ca="1"/>
        <v>0.05</v>
      </c>
    </row>
    <row r="483" spans="2:3">
      <c r="B483" s="52">
        <f ca="1">_xll.qlCalendarAdvance("Null",B482,$A$66,"UnAdjusted")</f>
        <v>79214</v>
      </c>
      <c r="C483" s="60">
        <f ca="1"/>
        <v>0.05</v>
      </c>
    </row>
    <row r="484" spans="2:3">
      <c r="B484" s="52">
        <f ca="1">_xll.qlCalendarAdvance("Null",B483,$A$66,"UnAdjusted")</f>
        <v>79306</v>
      </c>
      <c r="C484" s="60">
        <f ca="1"/>
        <v>0.05</v>
      </c>
    </row>
    <row r="485" spans="2:3">
      <c r="B485" s="52">
        <f ca="1">_xll.qlCalendarAdvance("Null",B484,$A$66,"UnAdjusted")</f>
        <v>79395</v>
      </c>
      <c r="C485" s="60">
        <f ca="1"/>
        <v>5.000000000000001E-2</v>
      </c>
    </row>
    <row r="486" spans="2:3">
      <c r="B486" s="52">
        <f ca="1">_xll.qlCalendarAdvance("Null",B485,$A$66,"UnAdjusted")</f>
        <v>79487</v>
      </c>
      <c r="C486" s="60">
        <f ca="1"/>
        <v>0.05</v>
      </c>
    </row>
    <row r="487" spans="2:3">
      <c r="B487" s="52">
        <f ca="1">_xll.qlCalendarAdvance("Null",B486,$A$66,"UnAdjusted")</f>
        <v>79579</v>
      </c>
      <c r="C487" s="60">
        <f ca="1"/>
        <v>0.05</v>
      </c>
    </row>
    <row r="488" spans="2:3">
      <c r="B488" s="52">
        <f ca="1">_xll.qlCalendarAdvance("Null",B487,$A$66,"UnAdjusted")</f>
        <v>79671</v>
      </c>
      <c r="C488" s="60">
        <f ca="1"/>
        <v>0.05</v>
      </c>
    </row>
    <row r="489" spans="2:3">
      <c r="B489" s="52">
        <f ca="1">_xll.qlCalendarAdvance("Null",B488,$A$66,"UnAdjusted")</f>
        <v>79760</v>
      </c>
      <c r="C489" s="60">
        <f ca="1"/>
        <v>0.05</v>
      </c>
    </row>
    <row r="490" spans="2:3">
      <c r="B490" s="52">
        <f ca="1">_xll.qlCalendarAdvance("Null",B489,$A$66,"UnAdjusted")</f>
        <v>79852</v>
      </c>
      <c r="C490" s="60">
        <f ca="1"/>
        <v>5.000000000000001E-2</v>
      </c>
    </row>
    <row r="491" spans="2:3">
      <c r="B491" s="52">
        <f ca="1">_xll.qlCalendarAdvance("Null",B490,$A$66,"UnAdjusted")</f>
        <v>79944</v>
      </c>
      <c r="C491" s="60">
        <f ca="1"/>
        <v>0.05</v>
      </c>
    </row>
    <row r="492" spans="2:3">
      <c r="B492" s="52">
        <f ca="1">_xll.qlCalendarAdvance("Null",B491,$A$66,"UnAdjusted")</f>
        <v>80036</v>
      </c>
      <c r="C492" s="60">
        <f ca="1"/>
        <v>0.05</v>
      </c>
    </row>
    <row r="493" spans="2:3">
      <c r="B493" s="52">
        <f ca="1">_xll.qlCalendarAdvance("Null",B492,$A$66,"UnAdjusted")</f>
        <v>80125</v>
      </c>
      <c r="C493" s="60">
        <f ca="1"/>
        <v>0.05</v>
      </c>
    </row>
    <row r="494" spans="2:3">
      <c r="B494" s="52">
        <f ca="1">_xll.qlCalendarAdvance("Null",B493,$A$66,"UnAdjusted")</f>
        <v>80217</v>
      </c>
      <c r="C494" s="60">
        <f ca="1"/>
        <v>0.05</v>
      </c>
    </row>
    <row r="495" spans="2:3">
      <c r="B495" s="52">
        <f ca="1">_xll.qlCalendarAdvance("Null",B494,$A$66,"UnAdjusted")</f>
        <v>80309</v>
      </c>
      <c r="C495" s="60">
        <f ca="1"/>
        <v>5.000000000000001E-2</v>
      </c>
    </row>
    <row r="496" spans="2:3">
      <c r="B496" s="52">
        <f ca="1">_xll.qlCalendarAdvance("Null",B495,$A$66,"UnAdjusted")</f>
        <v>80401</v>
      </c>
      <c r="C496" s="60">
        <f ca="1"/>
        <v>0.05</v>
      </c>
    </row>
    <row r="497" spans="2:3">
      <c r="B497" s="52">
        <f ca="1">_xll.qlCalendarAdvance("Null",B496,$A$66,"UnAdjusted")</f>
        <v>80491</v>
      </c>
      <c r="C497" s="60">
        <f ca="1"/>
        <v>0.05</v>
      </c>
    </row>
    <row r="498" spans="2:3">
      <c r="B498" s="52">
        <f ca="1">_xll.qlCalendarAdvance("Null",B497,$A$66,"UnAdjusted")</f>
        <v>80583</v>
      </c>
      <c r="C498" s="60">
        <f ca="1"/>
        <v>0.05</v>
      </c>
    </row>
    <row r="499" spans="2:3">
      <c r="B499" s="52">
        <f ca="1">_xll.qlCalendarAdvance("Null",B498,$A$66,"UnAdjusted")</f>
        <v>80675</v>
      </c>
      <c r="C499" s="60">
        <f ca="1"/>
        <v>0.05</v>
      </c>
    </row>
    <row r="500" spans="2:3">
      <c r="B500" s="52">
        <f ca="1">_xll.qlCalendarAdvance("Null",B499,$A$66,"UnAdjusted")</f>
        <v>80767</v>
      </c>
      <c r="C500" s="60">
        <f ca="1"/>
        <v>5.000000000000001E-2</v>
      </c>
    </row>
    <row r="501" spans="2:3">
      <c r="B501" s="52">
        <f ca="1">_xll.qlCalendarAdvance("Null",B500,$A$66,"UnAdjusted")</f>
        <v>80856</v>
      </c>
      <c r="C501" s="60">
        <f ca="1"/>
        <v>0.05</v>
      </c>
    </row>
    <row r="502" spans="2:3">
      <c r="B502" s="52">
        <f ca="1">_xll.qlCalendarAdvance("Null",B501,$A$66,"UnAdjusted")</f>
        <v>80948</v>
      </c>
      <c r="C502" s="60">
        <f ca="1"/>
        <v>0.05</v>
      </c>
    </row>
    <row r="503" spans="2:3">
      <c r="B503" s="52">
        <f ca="1">_xll.qlCalendarAdvance("Null",B502,$A$66,"UnAdjusted")</f>
        <v>81040</v>
      </c>
      <c r="C503" s="60">
        <f ca="1"/>
        <v>0.05</v>
      </c>
    </row>
    <row r="504" spans="2:3">
      <c r="B504" s="52">
        <f ca="1">_xll.qlCalendarAdvance("Null",B503,$A$66,"UnAdjusted")</f>
        <v>81132</v>
      </c>
      <c r="C504" s="60">
        <f ca="1"/>
        <v>0.05</v>
      </c>
    </row>
    <row r="505" spans="2:3">
      <c r="B505" s="52">
        <f ca="1">_xll.qlCalendarAdvance("Null",B504,$A$66,"UnAdjusted")</f>
        <v>81221</v>
      </c>
      <c r="C505" s="60">
        <f ca="1"/>
        <v>5.000000000000001E-2</v>
      </c>
    </row>
    <row r="506" spans="2:3">
      <c r="B506" s="52">
        <f ca="1">_xll.qlCalendarAdvance("Null",B505,$A$66,"UnAdjusted")</f>
        <v>81313</v>
      </c>
      <c r="C506" s="60">
        <f ca="1"/>
        <v>0.05</v>
      </c>
    </row>
    <row r="507" spans="2:3">
      <c r="B507" s="52">
        <f ca="1">_xll.qlCalendarAdvance("Null",B506,$A$66,"UnAdjusted")</f>
        <v>81405</v>
      </c>
      <c r="C507" s="60">
        <f ca="1"/>
        <v>0.05</v>
      </c>
    </row>
    <row r="508" spans="2:3">
      <c r="B508" s="52">
        <f ca="1">_xll.qlCalendarAdvance("Null",B507,$A$66,"UnAdjusted")</f>
        <v>81497</v>
      </c>
      <c r="C508" s="60">
        <f ca="1"/>
        <v>0.05</v>
      </c>
    </row>
    <row r="509" spans="2:3">
      <c r="B509" s="52">
        <f ca="1">_xll.qlCalendarAdvance("Null",B508,$A$66,"UnAdjusted")</f>
        <v>81586</v>
      </c>
      <c r="C509" s="60">
        <f ca="1"/>
        <v>0.05</v>
      </c>
    </row>
    <row r="510" spans="2:3">
      <c r="B510" s="52">
        <f ca="1">_xll.qlCalendarAdvance("Null",B509,$A$66,"UnAdjusted")</f>
        <v>81678</v>
      </c>
      <c r="C510" s="60">
        <f ca="1"/>
        <v>5.000000000000001E-2</v>
      </c>
    </row>
    <row r="511" spans="2:3">
      <c r="B511" s="52">
        <f ca="1">_xll.qlCalendarAdvance("Null",B510,$A$66,"UnAdjusted")</f>
        <v>81770</v>
      </c>
      <c r="C511" s="60">
        <f ca="1"/>
        <v>0.05</v>
      </c>
    </row>
    <row r="512" spans="2:3">
      <c r="B512" s="52">
        <f ca="1">_xll.qlCalendarAdvance("Null",B511,$A$66,"UnAdjusted")</f>
        <v>81862</v>
      </c>
      <c r="C512" s="60">
        <f ca="1"/>
        <v>0.05</v>
      </c>
    </row>
    <row r="513" spans="2:3">
      <c r="B513" s="52">
        <f ca="1">_xll.qlCalendarAdvance("Null",B512,$A$66,"UnAdjusted")</f>
        <v>81952</v>
      </c>
      <c r="C513" s="60">
        <f ca="1"/>
        <v>0.05</v>
      </c>
    </row>
    <row r="514" spans="2:3">
      <c r="B514" s="52">
        <f ca="1">_xll.qlCalendarAdvance("Null",B513,$A$66,"UnAdjusted")</f>
        <v>82044</v>
      </c>
      <c r="C514" s="60">
        <f ca="1"/>
        <v>0.05</v>
      </c>
    </row>
    <row r="515" spans="2:3">
      <c r="B515" s="52">
        <f ca="1">_xll.qlCalendarAdvance("Null",B514,$A$66,"UnAdjusted")</f>
        <v>82136</v>
      </c>
      <c r="C515" s="60">
        <f ca="1"/>
        <v>5.000000000000001E-2</v>
      </c>
    </row>
    <row r="516" spans="2:3">
      <c r="B516" s="52">
        <f ca="1">_xll.qlCalendarAdvance("Null",B515,$A$66,"UnAdjusted")</f>
        <v>82228</v>
      </c>
      <c r="C516" s="60">
        <f ca="1"/>
        <v>0.05</v>
      </c>
    </row>
    <row r="517" spans="2:3">
      <c r="B517" s="52">
        <f ca="1">_xll.qlCalendarAdvance("Null",B516,$A$66,"UnAdjusted")</f>
        <v>82317</v>
      </c>
      <c r="C517" s="60">
        <f ca="1"/>
        <v>0.05</v>
      </c>
    </row>
    <row r="518" spans="2:3">
      <c r="B518" s="52">
        <f ca="1">_xll.qlCalendarAdvance("Null",B517,$A$66,"UnAdjusted")</f>
        <v>82409</v>
      </c>
      <c r="C518" s="60">
        <f ca="1"/>
        <v>0.05</v>
      </c>
    </row>
    <row r="519" spans="2:3">
      <c r="B519" s="52">
        <f ca="1">_xll.qlCalendarAdvance("Null",B518,$A$66,"UnAdjusted")</f>
        <v>82501</v>
      </c>
      <c r="C519" s="60">
        <f ca="1"/>
        <v>0.05</v>
      </c>
    </row>
    <row r="520" spans="2:3">
      <c r="B520" s="52">
        <f ca="1">_xll.qlCalendarAdvance("Null",B519,$A$66,"UnAdjusted")</f>
        <v>82593</v>
      </c>
      <c r="C520" s="60">
        <f ca="1"/>
        <v>5.000000000000001E-2</v>
      </c>
    </row>
    <row r="521" spans="2:3">
      <c r="B521" s="52">
        <f ca="1">_xll.qlCalendarAdvance("Null",B520,$A$66,"UnAdjusted")</f>
        <v>82682</v>
      </c>
      <c r="C521" s="60">
        <f ca="1"/>
        <v>0.05</v>
      </c>
    </row>
    <row r="522" spans="2:3">
      <c r="B522" s="52">
        <f ca="1">_xll.qlCalendarAdvance("Null",B521,$A$66,"UnAdjusted")</f>
        <v>82774</v>
      </c>
      <c r="C522" s="60">
        <f ca="1"/>
        <v>0.05</v>
      </c>
    </row>
    <row r="523" spans="2:3">
      <c r="B523" s="52">
        <f ca="1">_xll.qlCalendarAdvance("Null",B522,$A$66,"UnAdjusted")</f>
        <v>82866</v>
      </c>
      <c r="C523" s="60">
        <f ca="1"/>
        <v>0.05</v>
      </c>
    </row>
    <row r="524" spans="2:3">
      <c r="B524" s="52">
        <f ca="1">_xll.qlCalendarAdvance("Null",B523,$A$66,"UnAdjusted")</f>
        <v>82958</v>
      </c>
      <c r="C524" s="60">
        <f ca="1"/>
        <v>0.05</v>
      </c>
    </row>
    <row r="525" spans="2:3">
      <c r="B525" s="52">
        <f ca="1">_xll.qlCalendarAdvance("Null",B524,$A$66,"UnAdjusted")</f>
        <v>83047</v>
      </c>
      <c r="C525" s="60">
        <f ca="1"/>
        <v>0.05</v>
      </c>
    </row>
    <row r="526" spans="2:3">
      <c r="B526" s="52">
        <f ca="1">_xll.qlCalendarAdvance("Null",B525,$A$66,"UnAdjusted")</f>
        <v>83139</v>
      </c>
      <c r="C526" s="60">
        <f ca="1"/>
        <v>0.05</v>
      </c>
    </row>
    <row r="527" spans="2:3">
      <c r="B527" s="52">
        <f ca="1">_xll.qlCalendarAdvance("Null",B526,$A$66,"UnAdjusted")</f>
        <v>83231</v>
      </c>
      <c r="C527" s="60">
        <f ca="1"/>
        <v>0.05</v>
      </c>
    </row>
    <row r="528" spans="2:3">
      <c r="B528" s="52">
        <f ca="1">_xll.qlCalendarAdvance("Null",B527,$A$66,"UnAdjusted")</f>
        <v>83323</v>
      </c>
      <c r="C528" s="60">
        <f ca="1"/>
        <v>0.05</v>
      </c>
    </row>
    <row r="529" spans="2:3">
      <c r="B529" s="52">
        <f ca="1">_xll.qlCalendarAdvance("Null",B528,$A$66,"UnAdjusted")</f>
        <v>83413</v>
      </c>
      <c r="C529" s="60">
        <f ca="1"/>
        <v>0.05</v>
      </c>
    </row>
    <row r="530" spans="2:3">
      <c r="B530" s="52">
        <f ca="1">_xll.qlCalendarAdvance("Null",B529,$A$66,"UnAdjusted")</f>
        <v>83505</v>
      </c>
      <c r="C530" s="60">
        <f ca="1"/>
        <v>0.05</v>
      </c>
    </row>
    <row r="531" spans="2:3">
      <c r="B531" s="52">
        <f ca="1">_xll.qlCalendarAdvance("Null",B530,$A$66,"UnAdjusted")</f>
        <v>83597</v>
      </c>
      <c r="C531" s="60">
        <f ca="1"/>
        <v>0.05</v>
      </c>
    </row>
    <row r="532" spans="2:3">
      <c r="B532" s="52">
        <f ca="1">_xll.qlCalendarAdvance("Null",B531,$A$66,"UnAdjusted")</f>
        <v>83689</v>
      </c>
      <c r="C532" s="60">
        <f ca="1"/>
        <v>0.05</v>
      </c>
    </row>
    <row r="533" spans="2:3">
      <c r="B533" s="52">
        <f ca="1">_xll.qlCalendarAdvance("Null",B532,$A$66,"UnAdjusted")</f>
        <v>83778</v>
      </c>
      <c r="C533" s="60">
        <f ca="1"/>
        <v>0.05</v>
      </c>
    </row>
    <row r="534" spans="2:3">
      <c r="B534" s="52">
        <f ca="1">_xll.qlCalendarAdvance("Null",B533,$A$66,"UnAdjusted")</f>
        <v>83870</v>
      </c>
      <c r="C534" s="60">
        <f ca="1"/>
        <v>0.05</v>
      </c>
    </row>
    <row r="535" spans="2:3">
      <c r="B535" s="52">
        <f ca="1">_xll.qlCalendarAdvance("Null",B534,$A$66,"UnAdjusted")</f>
        <v>83962</v>
      </c>
      <c r="C535" s="60">
        <f ca="1"/>
        <v>0.05</v>
      </c>
    </row>
    <row r="536" spans="2:3">
      <c r="B536" s="52">
        <f ca="1">_xll.qlCalendarAdvance("Null",B535,$A$66,"UnAdjusted")</f>
        <v>84054</v>
      </c>
      <c r="C536" s="60">
        <f ca="1"/>
        <v>0.05</v>
      </c>
    </row>
    <row r="537" spans="2:3">
      <c r="B537" s="52">
        <f ca="1">_xll.qlCalendarAdvance("Null",B536,$A$66,"UnAdjusted")</f>
        <v>84143</v>
      </c>
      <c r="C537" s="60">
        <f ca="1"/>
        <v>0.05</v>
      </c>
    </row>
    <row r="538" spans="2:3">
      <c r="B538" s="52">
        <f ca="1">_xll.qlCalendarAdvance("Null",B537,$A$66,"UnAdjusted")</f>
        <v>84235</v>
      </c>
      <c r="C538" s="60">
        <f ca="1"/>
        <v>0.05</v>
      </c>
    </row>
    <row r="539" spans="2:3">
      <c r="B539" s="52">
        <f ca="1">_xll.qlCalendarAdvance("Null",B538,$A$66,"UnAdjusted")</f>
        <v>84327</v>
      </c>
      <c r="C539" s="60">
        <f ca="1"/>
        <v>0.05</v>
      </c>
    </row>
    <row r="540" spans="2:3">
      <c r="B540" s="52">
        <f ca="1">_xll.qlCalendarAdvance("Null",B539,$A$66,"UnAdjusted")</f>
        <v>84419</v>
      </c>
      <c r="C540" s="60">
        <f ca="1"/>
        <v>0.05</v>
      </c>
    </row>
    <row r="541" spans="2:3">
      <c r="B541" s="52">
        <f ca="1">_xll.qlCalendarAdvance("Null",B540,$A$66,"UnAdjusted")</f>
        <v>84508</v>
      </c>
      <c r="C541" s="60">
        <f ca="1"/>
        <v>0.05</v>
      </c>
    </row>
    <row r="542" spans="2:3">
      <c r="B542" s="52">
        <f ca="1">_xll.qlCalendarAdvance("Null",B541,$A$66,"UnAdjusted")</f>
        <v>84600</v>
      </c>
      <c r="C542" s="60">
        <f ca="1"/>
        <v>0.05</v>
      </c>
    </row>
    <row r="543" spans="2:3">
      <c r="B543" s="52">
        <f ca="1">_xll.qlCalendarAdvance("Null",B542,$A$66,"UnAdjusted")</f>
        <v>84692</v>
      </c>
      <c r="C543" s="60">
        <f ca="1"/>
        <v>0.05</v>
      </c>
    </row>
    <row r="544" spans="2:3">
      <c r="B544" s="52">
        <f ca="1">_xll.qlCalendarAdvance("Null",B543,$A$66,"UnAdjusted")</f>
        <v>84784</v>
      </c>
      <c r="C544" s="60">
        <f ca="1"/>
        <v>0.05</v>
      </c>
    </row>
    <row r="545" spans="2:3">
      <c r="B545" s="52">
        <f ca="1">_xll.qlCalendarAdvance("Null",B544,$A$66,"UnAdjusted")</f>
        <v>84874</v>
      </c>
      <c r="C545" s="60">
        <f ca="1"/>
        <v>0.05</v>
      </c>
    </row>
    <row r="546" spans="2:3">
      <c r="B546" s="52">
        <f ca="1">_xll.qlCalendarAdvance("Null",B545,$A$66,"UnAdjusted")</f>
        <v>84966</v>
      </c>
      <c r="C546" s="60">
        <f ca="1"/>
        <v>0.05</v>
      </c>
    </row>
    <row r="547" spans="2:3">
      <c r="B547" s="52">
        <f ca="1">_xll.qlCalendarAdvance("Null",B546,$A$66,"UnAdjusted")</f>
        <v>85058</v>
      </c>
      <c r="C547" s="60">
        <f ca="1"/>
        <v>0.05</v>
      </c>
    </row>
    <row r="548" spans="2:3">
      <c r="B548" s="52">
        <f ca="1">_xll.qlCalendarAdvance("Null",B547,$A$66,"UnAdjusted")</f>
        <v>85150</v>
      </c>
      <c r="C548" s="60">
        <f ca="1"/>
        <v>0.05</v>
      </c>
    </row>
    <row r="549" spans="2:3">
      <c r="B549" s="52">
        <f ca="1">_xll.qlCalendarAdvance("Null",B548,$A$66,"UnAdjusted")</f>
        <v>85239</v>
      </c>
      <c r="C549" s="60">
        <f ca="1"/>
        <v>0.05</v>
      </c>
    </row>
    <row r="550" spans="2:3">
      <c r="B550" s="52">
        <f ca="1">_xll.qlCalendarAdvance("Null",B549,$A$66,"UnAdjusted")</f>
        <v>85331</v>
      </c>
      <c r="C550" s="60">
        <f ca="1"/>
        <v>0.05</v>
      </c>
    </row>
    <row r="551" spans="2:3">
      <c r="B551" s="52">
        <f ca="1">_xll.qlCalendarAdvance("Null",B550,$A$66,"UnAdjusted")</f>
        <v>85423</v>
      </c>
      <c r="C551" s="60">
        <f ca="1"/>
        <v>0.05</v>
      </c>
    </row>
    <row r="552" spans="2:3">
      <c r="B552" s="52">
        <f ca="1">_xll.qlCalendarAdvance("Null",B551,$A$66,"UnAdjusted")</f>
        <v>85515</v>
      </c>
      <c r="C552" s="60">
        <f ca="1"/>
        <v>0.05</v>
      </c>
    </row>
    <row r="553" spans="2:3">
      <c r="B553" s="52">
        <f ca="1">_xll.qlCalendarAdvance("Null",B552,$A$66,"UnAdjusted")</f>
        <v>85604</v>
      </c>
      <c r="C553" s="60">
        <f ca="1"/>
        <v>0.05</v>
      </c>
    </row>
    <row r="554" spans="2:3">
      <c r="B554" s="52">
        <f ca="1">_xll.qlCalendarAdvance("Null",B553,$A$66,"UnAdjusted")</f>
        <v>85696</v>
      </c>
      <c r="C554" s="60">
        <f ca="1"/>
        <v>0.05</v>
      </c>
    </row>
    <row r="555" spans="2:3">
      <c r="B555" s="52">
        <f ca="1">_xll.qlCalendarAdvance("Null",B554,$A$66,"UnAdjusted")</f>
        <v>85788</v>
      </c>
      <c r="C555" s="60">
        <f ca="1"/>
        <v>0.05</v>
      </c>
    </row>
    <row r="556" spans="2:3">
      <c r="B556" s="52">
        <f ca="1">_xll.qlCalendarAdvance("Null",B555,$A$66,"UnAdjusted")</f>
        <v>85880</v>
      </c>
      <c r="C556" s="60">
        <f ca="1"/>
        <v>0.05</v>
      </c>
    </row>
    <row r="557" spans="2:3">
      <c r="B557" s="52">
        <f ca="1">_xll.qlCalendarAdvance("Null",B556,$A$66,"UnAdjusted")</f>
        <v>85969</v>
      </c>
      <c r="C557" s="60">
        <f ca="1"/>
        <v>0.05</v>
      </c>
    </row>
    <row r="558" spans="2:3">
      <c r="B558" s="52">
        <f ca="1">_xll.qlCalendarAdvance("Null",B557,$A$66,"UnAdjusted")</f>
        <v>86061</v>
      </c>
      <c r="C558" s="60">
        <f ca="1"/>
        <v>0.05</v>
      </c>
    </row>
    <row r="559" spans="2:3">
      <c r="B559" s="52">
        <f ca="1">_xll.qlCalendarAdvance("Null",B558,$A$66,"UnAdjusted")</f>
        <v>86153</v>
      </c>
      <c r="C559" s="60">
        <f ca="1"/>
        <v>0.05</v>
      </c>
    </row>
    <row r="560" spans="2:3">
      <c r="B560" s="52">
        <f ca="1">_xll.qlCalendarAdvance("Null",B559,$A$66,"UnAdjusted")</f>
        <v>86245</v>
      </c>
      <c r="C560" s="60">
        <f ca="1"/>
        <v>0.05</v>
      </c>
    </row>
    <row r="561" spans="2:3">
      <c r="B561" s="52">
        <f ca="1">_xll.qlCalendarAdvance("Null",B560,$A$66,"UnAdjusted")</f>
        <v>86335</v>
      </c>
      <c r="C561" s="60">
        <f ca="1"/>
        <v>0.05</v>
      </c>
    </row>
    <row r="562" spans="2:3">
      <c r="B562" s="52">
        <f ca="1">_xll.qlCalendarAdvance("Null",B561,$A$66,"UnAdjusted")</f>
        <v>86427</v>
      </c>
      <c r="C562" s="60">
        <f ca="1"/>
        <v>0.05</v>
      </c>
    </row>
    <row r="563" spans="2:3">
      <c r="B563" s="52">
        <f ca="1">_xll.qlCalendarAdvance("Null",B562,$A$66,"UnAdjusted")</f>
        <v>86519</v>
      </c>
      <c r="C563" s="60">
        <f ca="1"/>
        <v>0.05</v>
      </c>
    </row>
    <row r="564" spans="2:3">
      <c r="B564" s="52">
        <f ca="1">_xll.qlCalendarAdvance("Null",B563,$A$66,"UnAdjusted")</f>
        <v>86611</v>
      </c>
      <c r="C564" s="60">
        <f ca="1"/>
        <v>0.05</v>
      </c>
    </row>
    <row r="565" spans="2:3">
      <c r="B565" s="52">
        <f ca="1">_xll.qlCalendarAdvance("Null",B564,$A$66,"UnAdjusted")</f>
        <v>86700</v>
      </c>
      <c r="C565" s="60">
        <f ca="1"/>
        <v>0.05</v>
      </c>
    </row>
    <row r="566" spans="2:3">
      <c r="B566" s="52">
        <f ca="1">_xll.qlCalendarAdvance("Null",B565,$A$66,"UnAdjusted")</f>
        <v>86792</v>
      </c>
      <c r="C566" s="60">
        <f ca="1"/>
        <v>0.05</v>
      </c>
    </row>
    <row r="567" spans="2:3">
      <c r="B567" s="52">
        <f ca="1">_xll.qlCalendarAdvance("Null",B566,$A$66,"UnAdjusted")</f>
        <v>86884</v>
      </c>
      <c r="C567" s="60">
        <f ca="1"/>
        <v>0.05</v>
      </c>
    </row>
    <row r="568" spans="2:3">
      <c r="B568" s="52">
        <f ca="1">_xll.qlCalendarAdvance("Null",B567,$A$66,"UnAdjusted")</f>
        <v>86976</v>
      </c>
      <c r="C568" s="60">
        <f ca="1"/>
        <v>0.05</v>
      </c>
    </row>
    <row r="569" spans="2:3">
      <c r="B569" s="52">
        <f ca="1">_xll.qlCalendarAdvance("Null",B568,$A$66,"UnAdjusted")</f>
        <v>87065</v>
      </c>
      <c r="C569" s="60">
        <f ca="1"/>
        <v>0.05</v>
      </c>
    </row>
    <row r="570" spans="2:3">
      <c r="B570" s="52">
        <f ca="1">_xll.qlCalendarAdvance("Null",B569,$A$66,"UnAdjusted")</f>
        <v>87157</v>
      </c>
      <c r="C570" s="60">
        <f ca="1"/>
        <v>0.05</v>
      </c>
    </row>
    <row r="571" spans="2:3">
      <c r="B571" s="52">
        <f ca="1">_xll.qlCalendarAdvance("Null",B570,$A$66,"UnAdjusted")</f>
        <v>87249</v>
      </c>
      <c r="C571" s="60">
        <f ca="1"/>
        <v>0.05</v>
      </c>
    </row>
    <row r="572" spans="2:3">
      <c r="B572" s="52">
        <f ca="1">_xll.qlCalendarAdvance("Null",B571,$A$66,"UnAdjusted")</f>
        <v>87341</v>
      </c>
      <c r="C572" s="60">
        <f ca="1"/>
        <v>0.05</v>
      </c>
    </row>
    <row r="573" spans="2:3">
      <c r="B573" s="52">
        <f ca="1">_xll.qlCalendarAdvance("Null",B572,$A$66,"UnAdjusted")</f>
        <v>87430</v>
      </c>
      <c r="C573" s="60">
        <f ca="1"/>
        <v>0.05</v>
      </c>
    </row>
    <row r="574" spans="2:3">
      <c r="B574" s="52">
        <f ca="1">_xll.qlCalendarAdvance("Null",B573,$A$66,"UnAdjusted")</f>
        <v>87522</v>
      </c>
      <c r="C574" s="60">
        <f ca="1"/>
        <v>0.05</v>
      </c>
    </row>
    <row r="575" spans="2:3">
      <c r="B575" s="52">
        <f ca="1">_xll.qlCalendarAdvance("Null",B574,$A$66,"UnAdjusted")</f>
        <v>87614</v>
      </c>
      <c r="C575" s="60">
        <f ca="1"/>
        <v>0.05</v>
      </c>
    </row>
    <row r="576" spans="2:3">
      <c r="B576" s="52">
        <f ca="1">_xll.qlCalendarAdvance("Null",B575,$A$66,"UnAdjusted")</f>
        <v>87706</v>
      </c>
      <c r="C576" s="60">
        <f ca="1"/>
        <v>0.05</v>
      </c>
    </row>
    <row r="577" spans="2:3">
      <c r="B577" s="52">
        <f ca="1">_xll.qlCalendarAdvance("Null",B576,$A$66,"UnAdjusted")</f>
        <v>87796</v>
      </c>
      <c r="C577" s="60">
        <f ca="1"/>
        <v>0.05</v>
      </c>
    </row>
    <row r="578" spans="2:3">
      <c r="B578" s="52">
        <f ca="1">_xll.qlCalendarAdvance("Null",B577,$A$66,"UnAdjusted")</f>
        <v>87888</v>
      </c>
      <c r="C578" s="60">
        <f ca="1"/>
        <v>0.05</v>
      </c>
    </row>
    <row r="579" spans="2:3">
      <c r="B579" s="52">
        <f ca="1">_xll.qlCalendarAdvance("Null",B578,$A$66,"UnAdjusted")</f>
        <v>87980</v>
      </c>
      <c r="C579" s="60">
        <f ca="1"/>
        <v>0.05</v>
      </c>
    </row>
    <row r="580" spans="2:3">
      <c r="B580" s="52">
        <f ca="1">_xll.qlCalendarAdvance("Null",B579,$A$66,"UnAdjusted")</f>
        <v>88072</v>
      </c>
      <c r="C580" s="60">
        <f ca="1"/>
        <v>0.05</v>
      </c>
    </row>
    <row r="581" spans="2:3">
      <c r="B581" s="52">
        <f ca="1">_xll.qlCalendarAdvance("Null",B580,$A$66,"UnAdjusted")</f>
        <v>88161</v>
      </c>
      <c r="C581" s="60">
        <f ca="1"/>
        <v>0.05</v>
      </c>
    </row>
    <row r="582" spans="2:3">
      <c r="B582" s="52">
        <f ca="1">_xll.qlCalendarAdvance("Null",B581,$A$66,"UnAdjusted")</f>
        <v>88253</v>
      </c>
      <c r="C582" s="60">
        <f ca="1"/>
        <v>0.05</v>
      </c>
    </row>
    <row r="583" spans="2:3">
      <c r="B583" s="52">
        <f ca="1">_xll.qlCalendarAdvance("Null",B582,$A$66,"UnAdjusted")</f>
        <v>88345</v>
      </c>
      <c r="C583" s="60">
        <f ca="1"/>
        <v>0.05</v>
      </c>
    </row>
    <row r="584" spans="2:3">
      <c r="B584" s="52">
        <f ca="1">_xll.qlCalendarAdvance("Null",B583,$A$66,"UnAdjusted")</f>
        <v>88437</v>
      </c>
      <c r="C584" s="60">
        <f ca="1"/>
        <v>0.05</v>
      </c>
    </row>
    <row r="585" spans="2:3">
      <c r="B585" s="52">
        <f ca="1">_xll.qlCalendarAdvance("Null",B584,$A$66,"UnAdjusted")</f>
        <v>88526</v>
      </c>
      <c r="C585" s="60">
        <f ca="1"/>
        <v>0.05</v>
      </c>
    </row>
    <row r="586" spans="2:3">
      <c r="B586" s="52">
        <f ca="1">_xll.qlCalendarAdvance("Null",B585,$A$66,"UnAdjusted")</f>
        <v>88618</v>
      </c>
      <c r="C586" s="60">
        <f ca="1"/>
        <v>0.05</v>
      </c>
    </row>
    <row r="587" spans="2:3">
      <c r="B587" s="52">
        <f ca="1">_xll.qlCalendarAdvance("Null",B586,$A$66,"UnAdjusted")</f>
        <v>88710</v>
      </c>
      <c r="C587" s="60">
        <f ca="1"/>
        <v>0.05</v>
      </c>
    </row>
    <row r="588" spans="2:3">
      <c r="B588" s="52">
        <f ca="1">_xll.qlCalendarAdvance("Null",B587,$A$66,"UnAdjusted")</f>
        <v>88802</v>
      </c>
      <c r="C588" s="60">
        <f ca="1"/>
        <v>0.05</v>
      </c>
    </row>
    <row r="589" spans="2:3">
      <c r="B589" s="52">
        <f ca="1">_xll.qlCalendarAdvance("Null",B588,$A$66,"UnAdjusted")</f>
        <v>88891</v>
      </c>
      <c r="C589" s="60">
        <f ca="1"/>
        <v>0.05</v>
      </c>
    </row>
    <row r="590" spans="2:3">
      <c r="B590" s="52">
        <f ca="1">_xll.qlCalendarAdvance("Null",B589,$A$66,"UnAdjusted")</f>
        <v>88983</v>
      </c>
      <c r="C590" s="60">
        <f ca="1"/>
        <v>0.05</v>
      </c>
    </row>
    <row r="591" spans="2:3">
      <c r="B591" s="52">
        <f ca="1">_xll.qlCalendarAdvance("Null",B590,$A$66,"UnAdjusted")</f>
        <v>89075</v>
      </c>
      <c r="C591" s="60">
        <f ca="1"/>
        <v>0.05</v>
      </c>
    </row>
    <row r="592" spans="2:3">
      <c r="B592" s="52">
        <f ca="1">_xll.qlCalendarAdvance("Null",B591,$A$66,"UnAdjusted")</f>
        <v>89167</v>
      </c>
      <c r="C592" s="60">
        <f ca="1"/>
        <v>0.05</v>
      </c>
    </row>
    <row r="593" spans="2:3">
      <c r="B593" s="52">
        <f ca="1">_xll.qlCalendarAdvance("Null",B592,$A$66,"UnAdjusted")</f>
        <v>89257</v>
      </c>
      <c r="C593" s="60">
        <f ca="1"/>
        <v>0.05</v>
      </c>
    </row>
    <row r="594" spans="2:3">
      <c r="B594" s="52">
        <f ca="1">_xll.qlCalendarAdvance("Null",B593,$A$66,"UnAdjusted")</f>
        <v>89349</v>
      </c>
      <c r="C594" s="60">
        <f ca="1"/>
        <v>0.05</v>
      </c>
    </row>
    <row r="595" spans="2:3">
      <c r="B595" s="52">
        <f ca="1">_xll.qlCalendarAdvance("Null",B594,$A$66,"UnAdjusted")</f>
        <v>89441</v>
      </c>
      <c r="C595" s="60">
        <f ca="1"/>
        <v>0.05</v>
      </c>
    </row>
    <row r="596" spans="2:3">
      <c r="B596" s="52">
        <f ca="1">_xll.qlCalendarAdvance("Null",B595,$A$66,"UnAdjusted")</f>
        <v>89533</v>
      </c>
      <c r="C596" s="60">
        <f ca="1"/>
        <v>0.05</v>
      </c>
    </row>
    <row r="597" spans="2:3">
      <c r="B597" s="52">
        <f ca="1">_xll.qlCalendarAdvance("Null",B596,$A$66,"UnAdjusted")</f>
        <v>89622</v>
      </c>
      <c r="C597" s="60">
        <f ca="1"/>
        <v>0.05</v>
      </c>
    </row>
    <row r="598" spans="2:3">
      <c r="B598" s="52">
        <f ca="1">_xll.qlCalendarAdvance("Null",B597,$A$66,"UnAdjusted")</f>
        <v>89714</v>
      </c>
      <c r="C598" s="60">
        <f ca="1"/>
        <v>0.05</v>
      </c>
    </row>
    <row r="599" spans="2:3">
      <c r="B599" s="52">
        <f ca="1">_xll.qlCalendarAdvance("Null",B598,$A$66,"UnAdjusted")</f>
        <v>89806</v>
      </c>
      <c r="C599" s="60">
        <f ca="1"/>
        <v>0.05</v>
      </c>
    </row>
    <row r="600" spans="2:3">
      <c r="B600" s="52">
        <f ca="1">_xll.qlCalendarAdvance("Null",B599,$A$66,"UnAdjusted")</f>
        <v>89898</v>
      </c>
      <c r="C600" s="60">
        <f ca="1"/>
        <v>0.05</v>
      </c>
    </row>
    <row r="601" spans="2:3">
      <c r="B601" s="52">
        <f ca="1">_xll.qlCalendarAdvance("Null",B600,$A$66,"UnAdjusted")</f>
        <v>89987</v>
      </c>
      <c r="C601" s="60">
        <f ca="1"/>
        <v>0.05</v>
      </c>
    </row>
    <row r="602" spans="2:3">
      <c r="B602" s="52">
        <f ca="1">_xll.qlCalendarAdvance("Null",B601,$A$66,"UnAdjusted")</f>
        <v>90079</v>
      </c>
      <c r="C602" s="60">
        <f ca="1"/>
        <v>0.05</v>
      </c>
    </row>
    <row r="603" spans="2:3">
      <c r="B603" s="52">
        <f ca="1">_xll.qlCalendarAdvance("Null",B602,$A$66,"UnAdjusted")</f>
        <v>90171</v>
      </c>
      <c r="C603" s="60">
        <f ca="1"/>
        <v>0.05</v>
      </c>
    </row>
    <row r="604" spans="2:3">
      <c r="B604" s="52">
        <f ca="1">_xll.qlCalendarAdvance("Null",B603,$A$66,"UnAdjusted")</f>
        <v>90263</v>
      </c>
      <c r="C604" s="60">
        <f ca="1"/>
        <v>0.05</v>
      </c>
    </row>
    <row r="605" spans="2:3">
      <c r="B605" s="52">
        <f ca="1">_xll.qlCalendarAdvance("Null",B604,$A$66,"UnAdjusted")</f>
        <v>90352</v>
      </c>
      <c r="C605" s="60">
        <f ca="1"/>
        <v>0.05</v>
      </c>
    </row>
    <row r="606" spans="2:3">
      <c r="B606" s="52">
        <f ca="1">_xll.qlCalendarAdvance("Null",B605,$A$66,"UnAdjusted")</f>
        <v>90444</v>
      </c>
      <c r="C606" s="60">
        <f ca="1"/>
        <v>0.05</v>
      </c>
    </row>
    <row r="607" spans="2:3">
      <c r="B607" s="52">
        <f ca="1">_xll.qlCalendarAdvance("Null",B606,$A$66,"UnAdjusted")</f>
        <v>90536</v>
      </c>
      <c r="C607" s="60">
        <f ca="1"/>
        <v>0.05</v>
      </c>
    </row>
    <row r="608" spans="2:3">
      <c r="B608" s="52">
        <f ca="1">_xll.qlCalendarAdvance("Null",B607,$A$66,"UnAdjusted")</f>
        <v>90628</v>
      </c>
      <c r="C608" s="60">
        <f ca="1"/>
        <v>0.05</v>
      </c>
    </row>
    <row r="609" spans="2:3">
      <c r="B609" s="52">
        <f ca="1">_xll.qlCalendarAdvance("Null",B608,$A$66,"UnAdjusted")</f>
        <v>90718</v>
      </c>
      <c r="C609" s="60">
        <f ca="1"/>
        <v>0.05</v>
      </c>
    </row>
    <row r="610" spans="2:3">
      <c r="B610" s="52">
        <f ca="1">_xll.qlCalendarAdvance("Null",B609,$A$66,"UnAdjusted")</f>
        <v>90810</v>
      </c>
      <c r="C610" s="60">
        <f ca="1"/>
        <v>0.05</v>
      </c>
    </row>
    <row r="611" spans="2:3">
      <c r="B611" s="52">
        <f ca="1">_xll.qlCalendarAdvance("Null",B610,$A$66,"UnAdjusted")</f>
        <v>90902</v>
      </c>
      <c r="C611" s="60">
        <f ca="1"/>
        <v>0.05</v>
      </c>
    </row>
    <row r="612" spans="2:3">
      <c r="B612" s="52">
        <f ca="1">_xll.qlCalendarAdvance("Null",B611,$A$66,"UnAdjusted")</f>
        <v>90994</v>
      </c>
      <c r="C612" s="60">
        <f ca="1"/>
        <v>0.05</v>
      </c>
    </row>
    <row r="613" spans="2:3">
      <c r="B613" s="52">
        <f ca="1">_xll.qlCalendarAdvance("Null",B612,$A$66,"UnAdjusted")</f>
        <v>91083</v>
      </c>
      <c r="C613" s="60">
        <f ca="1"/>
        <v>0.05</v>
      </c>
    </row>
    <row r="614" spans="2:3">
      <c r="B614" s="52">
        <f ca="1">_xll.qlCalendarAdvance("Null",B613,$A$66,"UnAdjusted")</f>
        <v>91175</v>
      </c>
      <c r="C614" s="60">
        <f ca="1"/>
        <v>0.05</v>
      </c>
    </row>
    <row r="615" spans="2:3">
      <c r="B615" s="52">
        <f ca="1">_xll.qlCalendarAdvance("Null",B614,$A$66,"UnAdjusted")</f>
        <v>91267</v>
      </c>
      <c r="C615" s="60">
        <f ca="1"/>
        <v>0.05</v>
      </c>
    </row>
    <row r="616" spans="2:3">
      <c r="B616" s="52">
        <f ca="1">_xll.qlCalendarAdvance("Null",B615,$A$66,"UnAdjusted")</f>
        <v>91359</v>
      </c>
      <c r="C616" s="60">
        <f ca="1"/>
        <v>0.05</v>
      </c>
    </row>
    <row r="617" spans="2:3">
      <c r="B617" s="52">
        <f ca="1">_xll.qlCalendarAdvance("Null",B616,$A$66,"UnAdjusted")</f>
        <v>91448</v>
      </c>
      <c r="C617" s="60">
        <f ca="1"/>
        <v>0.05</v>
      </c>
    </row>
    <row r="618" spans="2:3">
      <c r="B618" s="52">
        <f ca="1">_xll.qlCalendarAdvance("Null",B617,$A$66,"UnAdjusted")</f>
        <v>91540</v>
      </c>
      <c r="C618" s="60">
        <f ca="1"/>
        <v>0.05</v>
      </c>
    </row>
    <row r="619" spans="2:3">
      <c r="B619" s="52">
        <f ca="1">_xll.qlCalendarAdvance("Null",B618,$A$66,"UnAdjusted")</f>
        <v>91632</v>
      </c>
      <c r="C619" s="60">
        <f ca="1"/>
        <v>0.05</v>
      </c>
    </row>
    <row r="620" spans="2:3">
      <c r="B620" s="52">
        <f ca="1">_xll.qlCalendarAdvance("Null",B619,$A$66,"UnAdjusted")</f>
        <v>91724</v>
      </c>
      <c r="C620" s="60">
        <f ca="1"/>
        <v>0.05</v>
      </c>
    </row>
    <row r="621" spans="2:3">
      <c r="B621" s="52">
        <f ca="1">_xll.qlCalendarAdvance("Null",B620,$A$66,"UnAdjusted")</f>
        <v>91813</v>
      </c>
      <c r="C621" s="60">
        <f ca="1"/>
        <v>0.05</v>
      </c>
    </row>
    <row r="622" spans="2:3">
      <c r="B622" s="52">
        <f ca="1">_xll.qlCalendarAdvance("Null",B621,$A$66,"UnAdjusted")</f>
        <v>91905</v>
      </c>
      <c r="C622" s="60">
        <f ca="1"/>
        <v>0.05</v>
      </c>
    </row>
    <row r="623" spans="2:3">
      <c r="B623" s="52">
        <f ca="1">_xll.qlCalendarAdvance("Null",B622,$A$66,"UnAdjusted")</f>
        <v>91997</v>
      </c>
      <c r="C623" s="60">
        <f ca="1"/>
        <v>0.05</v>
      </c>
    </row>
    <row r="624" spans="2:3">
      <c r="B624" s="52">
        <f ca="1">_xll.qlCalendarAdvance("Null",B623,$A$66,"UnAdjusted")</f>
        <v>92089</v>
      </c>
      <c r="C624" s="60">
        <f ca="1"/>
        <v>0.05</v>
      </c>
    </row>
    <row r="625" spans="2:3">
      <c r="B625" s="52">
        <f ca="1">_xll.qlCalendarAdvance("Null",B624,$A$66,"UnAdjusted")</f>
        <v>92179</v>
      </c>
      <c r="C625" s="60">
        <f ca="1"/>
        <v>0.05</v>
      </c>
    </row>
    <row r="626" spans="2:3">
      <c r="B626" s="52">
        <f ca="1">_xll.qlCalendarAdvance("Null",B625,$A$66,"UnAdjusted")</f>
        <v>92271</v>
      </c>
      <c r="C626" s="60">
        <f ca="1"/>
        <v>0.05</v>
      </c>
    </row>
    <row r="627" spans="2:3">
      <c r="B627" s="52">
        <f ca="1">_xll.qlCalendarAdvance("Null",B626,$A$66,"UnAdjusted")</f>
        <v>92363</v>
      </c>
      <c r="C627" s="60">
        <f ca="1"/>
        <v>0.05</v>
      </c>
    </row>
    <row r="628" spans="2:3">
      <c r="B628" s="52">
        <f ca="1">_xll.qlCalendarAdvance("Null",B627,$A$66,"UnAdjusted")</f>
        <v>92455</v>
      </c>
      <c r="C628" s="60">
        <f ca="1"/>
        <v>0.05</v>
      </c>
    </row>
    <row r="629" spans="2:3">
      <c r="B629" s="52">
        <f ca="1">_xll.qlCalendarAdvance("Null",B628,$A$66,"UnAdjusted")</f>
        <v>92544</v>
      </c>
      <c r="C629" s="60">
        <f ca="1"/>
        <v>0.05</v>
      </c>
    </row>
    <row r="630" spans="2:3">
      <c r="B630" s="52">
        <f ca="1">_xll.qlCalendarAdvance("Null",B629,$A$66,"UnAdjusted")</f>
        <v>92636</v>
      </c>
      <c r="C630" s="60">
        <f ca="1"/>
        <v>0.05</v>
      </c>
    </row>
    <row r="631" spans="2:3">
      <c r="B631" s="52">
        <f ca="1">_xll.qlCalendarAdvance("Null",B630,$A$66,"UnAdjusted")</f>
        <v>92728</v>
      </c>
      <c r="C631" s="60">
        <f ca="1"/>
        <v>0.05</v>
      </c>
    </row>
    <row r="632" spans="2:3">
      <c r="B632" s="52">
        <f ca="1">_xll.qlCalendarAdvance("Null",B631,$A$66,"UnAdjusted")</f>
        <v>92820</v>
      </c>
      <c r="C632" s="60">
        <f ca="1"/>
        <v>0.05</v>
      </c>
    </row>
    <row r="633" spans="2:3">
      <c r="B633" s="52">
        <f ca="1">_xll.qlCalendarAdvance("Null",B632,$A$66,"UnAdjusted")</f>
        <v>92909</v>
      </c>
      <c r="C633" s="60">
        <f ca="1"/>
        <v>0.05</v>
      </c>
    </row>
    <row r="634" spans="2:3">
      <c r="B634" s="52">
        <f ca="1">_xll.qlCalendarAdvance("Null",B633,$A$66,"UnAdjusted")</f>
        <v>93001</v>
      </c>
      <c r="C634" s="60">
        <f ca="1"/>
        <v>0.05</v>
      </c>
    </row>
    <row r="635" spans="2:3">
      <c r="B635" s="52">
        <f ca="1">_xll.qlCalendarAdvance("Null",B634,$A$66,"UnAdjusted")</f>
        <v>93093</v>
      </c>
      <c r="C635" s="60">
        <f ca="1"/>
        <v>0.05</v>
      </c>
    </row>
    <row r="636" spans="2:3">
      <c r="B636" s="52">
        <f ca="1">_xll.qlCalendarAdvance("Null",B635,$A$66,"UnAdjusted")</f>
        <v>93185</v>
      </c>
      <c r="C636" s="60">
        <f ca="1"/>
        <v>0.05</v>
      </c>
    </row>
    <row r="637" spans="2:3">
      <c r="B637" s="52">
        <f ca="1">_xll.qlCalendarAdvance("Null",B636,$A$66,"UnAdjusted")</f>
        <v>93274</v>
      </c>
      <c r="C637" s="60">
        <f ca="1"/>
        <v>0.05</v>
      </c>
    </row>
    <row r="638" spans="2:3">
      <c r="B638" s="52">
        <f ca="1">_xll.qlCalendarAdvance("Null",B637,$A$66,"UnAdjusted")</f>
        <v>93366</v>
      </c>
      <c r="C638" s="60">
        <f ca="1"/>
        <v>0.05</v>
      </c>
    </row>
    <row r="639" spans="2:3">
      <c r="B639" s="52">
        <f ca="1">_xll.qlCalendarAdvance("Null",B638,$A$66,"UnAdjusted")</f>
        <v>93458</v>
      </c>
      <c r="C639" s="60">
        <f ca="1"/>
        <v>0.05</v>
      </c>
    </row>
    <row r="640" spans="2:3">
      <c r="B640" s="52">
        <f ca="1">_xll.qlCalendarAdvance("Null",B639,$A$66,"UnAdjusted")</f>
        <v>93550</v>
      </c>
      <c r="C640" s="60">
        <f ca="1"/>
        <v>0.05</v>
      </c>
    </row>
    <row r="641" spans="2:3">
      <c r="B641" s="52">
        <f ca="1">_xll.qlCalendarAdvance("Null",B640,$A$66,"UnAdjusted")</f>
        <v>93640</v>
      </c>
      <c r="C641" s="60">
        <f ca="1"/>
        <v>0.05</v>
      </c>
    </row>
    <row r="642" spans="2:3">
      <c r="B642" s="52">
        <f ca="1">_xll.qlCalendarAdvance("Null",B641,$A$66,"UnAdjusted")</f>
        <v>93732</v>
      </c>
      <c r="C642" s="60">
        <f ca="1"/>
        <v>0.05</v>
      </c>
    </row>
    <row r="643" spans="2:3">
      <c r="B643" s="52">
        <f ca="1">_xll.qlCalendarAdvance("Null",B642,$A$66,"UnAdjusted")</f>
        <v>93824</v>
      </c>
      <c r="C643" s="60">
        <f ca="1"/>
        <v>0.05</v>
      </c>
    </row>
    <row r="644" spans="2:3">
      <c r="B644" s="52">
        <f ca="1">_xll.qlCalendarAdvance("Null",B643,$A$66,"UnAdjusted")</f>
        <v>93916</v>
      </c>
      <c r="C644" s="60">
        <f ca="1"/>
        <v>0.05</v>
      </c>
    </row>
    <row r="645" spans="2:3">
      <c r="B645" s="52">
        <f ca="1">_xll.qlCalendarAdvance("Null",B644,$A$66,"UnAdjusted")</f>
        <v>94005</v>
      </c>
      <c r="C645" s="60">
        <f ca="1"/>
        <v>0.05</v>
      </c>
    </row>
    <row r="646" spans="2:3">
      <c r="B646" s="52">
        <f ca="1">_xll.qlCalendarAdvance("Null",B645,$A$66,"UnAdjusted")</f>
        <v>94097</v>
      </c>
      <c r="C646" s="60">
        <f ca="1"/>
        <v>0.05</v>
      </c>
    </row>
    <row r="647" spans="2:3">
      <c r="B647" s="52">
        <f ca="1">_xll.qlCalendarAdvance("Null",B646,$A$66,"UnAdjusted")</f>
        <v>94189</v>
      </c>
      <c r="C647" s="60">
        <f ca="1"/>
        <v>0.05</v>
      </c>
    </row>
    <row r="648" spans="2:3">
      <c r="B648" s="52">
        <f ca="1">_xll.qlCalendarAdvance("Null",B647,$A$66,"UnAdjusted")</f>
        <v>94281</v>
      </c>
      <c r="C648" s="60">
        <f ca="1"/>
        <v>0.05</v>
      </c>
    </row>
    <row r="649" spans="2:3">
      <c r="B649" s="52">
        <f ca="1">_xll.qlCalendarAdvance("Null",B648,$A$66,"UnAdjusted")</f>
        <v>94370</v>
      </c>
      <c r="C649" s="60">
        <f ca="1"/>
        <v>0.05</v>
      </c>
    </row>
    <row r="650" spans="2:3">
      <c r="B650" s="52">
        <f ca="1">_xll.qlCalendarAdvance("Null",B649,$A$66,"UnAdjusted")</f>
        <v>94462</v>
      </c>
      <c r="C650" s="60">
        <f ca="1"/>
        <v>0.05</v>
      </c>
    </row>
    <row r="651" spans="2:3">
      <c r="B651" s="52">
        <f ca="1">_xll.qlCalendarAdvance("Null",B650,$A$66,"UnAdjusted")</f>
        <v>94554</v>
      </c>
      <c r="C651" s="60">
        <f ca="1"/>
        <v>0.05</v>
      </c>
    </row>
    <row r="652" spans="2:3">
      <c r="B652" s="52">
        <f ca="1">_xll.qlCalendarAdvance("Null",B651,$A$66,"UnAdjusted")</f>
        <v>94646</v>
      </c>
      <c r="C652" s="60">
        <f ca="1"/>
        <v>0.05</v>
      </c>
    </row>
    <row r="653" spans="2:3">
      <c r="B653" s="52">
        <f ca="1">_xll.qlCalendarAdvance("Null",B652,$A$66,"UnAdjusted")</f>
        <v>94735</v>
      </c>
      <c r="C653" s="60">
        <f ca="1"/>
        <v>0.05</v>
      </c>
    </row>
    <row r="654" spans="2:3">
      <c r="B654" s="52">
        <f ca="1">_xll.qlCalendarAdvance("Null",B653,$A$66,"UnAdjusted")</f>
        <v>94827</v>
      </c>
      <c r="C654" s="60">
        <f ca="1"/>
        <v>0.05</v>
      </c>
    </row>
    <row r="655" spans="2:3">
      <c r="B655" s="52">
        <f ca="1">_xll.qlCalendarAdvance("Null",B654,$A$66,"UnAdjusted")</f>
        <v>94919</v>
      </c>
      <c r="C655" s="60">
        <f ca="1"/>
        <v>0.05</v>
      </c>
    </row>
    <row r="656" spans="2:3">
      <c r="B656" s="52">
        <f ca="1">_xll.qlCalendarAdvance("Null",B655,$A$66,"UnAdjusted")</f>
        <v>95011</v>
      </c>
      <c r="C656" s="60">
        <f ca="1"/>
        <v>0.05</v>
      </c>
    </row>
    <row r="657" spans="2:3">
      <c r="B657" s="52">
        <f ca="1">_xll.qlCalendarAdvance("Null",B656,$A$66,"UnAdjusted")</f>
        <v>95101</v>
      </c>
      <c r="C657" s="60">
        <f ca="1"/>
        <v>0.05</v>
      </c>
    </row>
    <row r="658" spans="2:3">
      <c r="B658" s="52">
        <f ca="1">_xll.qlCalendarAdvance("Null",B657,$A$66,"UnAdjusted")</f>
        <v>95193</v>
      </c>
      <c r="C658" s="60">
        <f ca="1"/>
        <v>0.05</v>
      </c>
    </row>
    <row r="659" spans="2:3">
      <c r="B659" s="52">
        <f ca="1">_xll.qlCalendarAdvance("Null",B658,$A$66,"UnAdjusted")</f>
        <v>95285</v>
      </c>
      <c r="C659" s="60">
        <f ca="1"/>
        <v>0.05</v>
      </c>
    </row>
    <row r="660" spans="2:3">
      <c r="B660" s="52">
        <f ca="1">_xll.qlCalendarAdvance("Null",B659,$A$66,"UnAdjusted")</f>
        <v>95377</v>
      </c>
      <c r="C660" s="60">
        <f ca="1"/>
        <v>0.05</v>
      </c>
    </row>
    <row r="661" spans="2:3">
      <c r="B661" s="52">
        <f ca="1">_xll.qlCalendarAdvance("Null",B660,$A$66,"UnAdjusted")</f>
        <v>95466</v>
      </c>
      <c r="C661" s="60">
        <f ca="1"/>
        <v>0.05</v>
      </c>
    </row>
    <row r="662" spans="2:3">
      <c r="B662" s="52">
        <f ca="1">_xll.qlCalendarAdvance("Null",B661,$A$66,"UnAdjusted")</f>
        <v>95558</v>
      </c>
      <c r="C662" s="60">
        <f ca="1"/>
        <v>0.05</v>
      </c>
    </row>
    <row r="663" spans="2:3">
      <c r="B663" s="52">
        <f ca="1">_xll.qlCalendarAdvance("Null",B662,$A$66,"UnAdjusted")</f>
        <v>95650</v>
      </c>
      <c r="C663" s="60">
        <f ca="1"/>
        <v>0.05</v>
      </c>
    </row>
    <row r="664" spans="2:3">
      <c r="B664" s="52">
        <f ca="1">_xll.qlCalendarAdvance("Null",B663,$A$66,"UnAdjusted")</f>
        <v>95742</v>
      </c>
      <c r="C664" s="60">
        <f ca="1"/>
        <v>0.05</v>
      </c>
    </row>
    <row r="665" spans="2:3">
      <c r="B665" s="52">
        <f ca="1">_xll.qlCalendarAdvance("Null",B664,$A$66,"UnAdjusted")</f>
        <v>95831</v>
      </c>
      <c r="C665" s="60">
        <f ca="1"/>
        <v>0.05</v>
      </c>
    </row>
    <row r="666" spans="2:3">
      <c r="B666" s="52">
        <f ca="1">_xll.qlCalendarAdvance("Null",B665,$A$66,"UnAdjusted")</f>
        <v>95923</v>
      </c>
      <c r="C666" s="60">
        <f ca="1"/>
        <v>0.05</v>
      </c>
    </row>
    <row r="667" spans="2:3">
      <c r="B667" s="52">
        <f ca="1">_xll.qlCalendarAdvance("Null",B666,$A$66,"UnAdjusted")</f>
        <v>96015</v>
      </c>
      <c r="C667" s="60">
        <f ca="1"/>
        <v>0.05</v>
      </c>
    </row>
    <row r="668" spans="2:3">
      <c r="B668" s="52">
        <f ca="1">_xll.qlCalendarAdvance("Null",B667,$A$66,"UnAdjusted")</f>
        <v>96107</v>
      </c>
      <c r="C668" s="60">
        <f ca="1"/>
        <v>0.05</v>
      </c>
    </row>
    <row r="669" spans="2:3">
      <c r="B669" s="52">
        <f ca="1">_xll.qlCalendarAdvance("Null",B668,$A$66,"UnAdjusted")</f>
        <v>96196</v>
      </c>
      <c r="C669" s="60">
        <f ca="1"/>
        <v>0.05</v>
      </c>
    </row>
    <row r="670" spans="2:3">
      <c r="B670" s="52">
        <f ca="1">_xll.qlCalendarAdvance("Null",B669,$A$66,"UnAdjusted")</f>
        <v>96288</v>
      </c>
      <c r="C670" s="60">
        <f ca="1"/>
        <v>0.05</v>
      </c>
    </row>
    <row r="671" spans="2:3">
      <c r="B671" s="52">
        <f ca="1">_xll.qlCalendarAdvance("Null",B670,$A$66,"UnAdjusted")</f>
        <v>96380</v>
      </c>
      <c r="C671" s="60">
        <f ca="1"/>
        <v>0.05</v>
      </c>
    </row>
    <row r="672" spans="2:3">
      <c r="B672" s="52">
        <f ca="1">_xll.qlCalendarAdvance("Null",B671,$A$66,"UnAdjusted")</f>
        <v>96472</v>
      </c>
      <c r="C672" s="60">
        <f ca="1"/>
        <v>0.05</v>
      </c>
    </row>
    <row r="673" spans="2:3">
      <c r="B673" s="52">
        <f ca="1">_xll.qlCalendarAdvance("Null",B672,$A$66,"UnAdjusted")</f>
        <v>96562</v>
      </c>
      <c r="C673" s="60">
        <f ca="1"/>
        <v>0.05</v>
      </c>
    </row>
    <row r="674" spans="2:3">
      <c r="B674" s="52">
        <f ca="1">_xll.qlCalendarAdvance("Null",B673,$A$66,"UnAdjusted")</f>
        <v>96654</v>
      </c>
      <c r="C674" s="60">
        <f ca="1"/>
        <v>0.05</v>
      </c>
    </row>
    <row r="675" spans="2:3">
      <c r="B675" s="52">
        <f ca="1">_xll.qlCalendarAdvance("Null",B674,$A$66,"UnAdjusted")</f>
        <v>96746</v>
      </c>
      <c r="C675" s="60">
        <f ca="1"/>
        <v>0.05</v>
      </c>
    </row>
    <row r="676" spans="2:3">
      <c r="B676" s="52">
        <f ca="1">_xll.qlCalendarAdvance("Null",B675,$A$66,"UnAdjusted")</f>
        <v>96838</v>
      </c>
      <c r="C676" s="60">
        <f ca="1"/>
        <v>0.05</v>
      </c>
    </row>
    <row r="677" spans="2:3">
      <c r="B677" s="52">
        <f ca="1">_xll.qlCalendarAdvance("Null",B676,$A$66,"UnAdjusted")</f>
        <v>96927</v>
      </c>
      <c r="C677" s="60">
        <f ca="1"/>
        <v>0.05</v>
      </c>
    </row>
    <row r="678" spans="2:3">
      <c r="B678" s="52">
        <f ca="1">_xll.qlCalendarAdvance("Null",B677,$A$66,"UnAdjusted")</f>
        <v>97019</v>
      </c>
      <c r="C678" s="60">
        <f ca="1"/>
        <v>0.05</v>
      </c>
    </row>
    <row r="679" spans="2:3">
      <c r="B679" s="52">
        <f ca="1">_xll.qlCalendarAdvance("Null",B678,$A$66,"UnAdjusted")</f>
        <v>97111</v>
      </c>
      <c r="C679" s="60">
        <f ca="1"/>
        <v>0.05</v>
      </c>
    </row>
    <row r="680" spans="2:3">
      <c r="B680" s="52">
        <f ca="1">_xll.qlCalendarAdvance("Null",B679,$A$66,"UnAdjusted")</f>
        <v>97203</v>
      </c>
      <c r="C680" s="60">
        <f ca="1"/>
        <v>0.05</v>
      </c>
    </row>
    <row r="681" spans="2:3">
      <c r="B681" s="52">
        <f ca="1">_xll.qlCalendarAdvance("Null",B680,$A$66,"UnAdjusted")</f>
        <v>97292</v>
      </c>
      <c r="C681" s="60">
        <f ca="1"/>
        <v>0.05</v>
      </c>
    </row>
    <row r="682" spans="2:3">
      <c r="B682" s="52">
        <f ca="1">_xll.qlCalendarAdvance("Null",B681,$A$66,"UnAdjusted")</f>
        <v>97384</v>
      </c>
      <c r="C682" s="60">
        <f ca="1"/>
        <v>0.05</v>
      </c>
    </row>
    <row r="683" spans="2:3">
      <c r="B683" s="52">
        <f ca="1">_xll.qlCalendarAdvance("Null",B682,$A$66,"UnAdjusted")</f>
        <v>97476</v>
      </c>
      <c r="C683" s="60">
        <f ca="1"/>
        <v>0.05</v>
      </c>
    </row>
    <row r="684" spans="2:3">
      <c r="B684" s="52">
        <f ca="1">_xll.qlCalendarAdvance("Null",B683,$A$66,"UnAdjusted")</f>
        <v>97568</v>
      </c>
      <c r="C684" s="60">
        <f ca="1"/>
        <v>0.05</v>
      </c>
    </row>
    <row r="685" spans="2:3">
      <c r="B685" s="52">
        <f ca="1">_xll.qlCalendarAdvance("Null",B684,$A$66,"UnAdjusted")</f>
        <v>97657</v>
      </c>
      <c r="C685" s="60">
        <f ca="1"/>
        <v>0.05</v>
      </c>
    </row>
    <row r="686" spans="2:3">
      <c r="B686" s="52">
        <f ca="1">_xll.qlCalendarAdvance("Null",B685,$A$66,"UnAdjusted")</f>
        <v>97749</v>
      </c>
      <c r="C686" s="60">
        <f ca="1"/>
        <v>0.05</v>
      </c>
    </row>
    <row r="687" spans="2:3">
      <c r="B687" s="52">
        <f ca="1">_xll.qlCalendarAdvance("Null",B686,$A$66,"UnAdjusted")</f>
        <v>97841</v>
      </c>
      <c r="C687" s="60">
        <f ca="1"/>
        <v>0.05</v>
      </c>
    </row>
    <row r="688" spans="2:3">
      <c r="B688" s="52">
        <f ca="1">_xll.qlCalendarAdvance("Null",B687,$A$66,"UnAdjusted")</f>
        <v>97933</v>
      </c>
      <c r="C688" s="60">
        <f ca="1"/>
        <v>0.05</v>
      </c>
    </row>
    <row r="689" spans="2:3">
      <c r="B689" s="52">
        <f ca="1">_xll.qlCalendarAdvance("Null",B688,$A$66,"UnAdjusted")</f>
        <v>98023</v>
      </c>
      <c r="C689" s="60">
        <f ca="1"/>
        <v>0.05</v>
      </c>
    </row>
    <row r="690" spans="2:3">
      <c r="B690" s="52">
        <f ca="1">_xll.qlCalendarAdvance("Null",B689,$A$66,"UnAdjusted")</f>
        <v>98115</v>
      </c>
      <c r="C690" s="60">
        <f ca="1"/>
        <v>0.05</v>
      </c>
    </row>
    <row r="691" spans="2:3">
      <c r="B691" s="52">
        <f ca="1">_xll.qlCalendarAdvance("Null",B690,$A$66,"UnAdjusted")</f>
        <v>98207</v>
      </c>
      <c r="C691" s="60">
        <f ca="1"/>
        <v>0.05</v>
      </c>
    </row>
    <row r="692" spans="2:3">
      <c r="B692" s="52">
        <f ca="1">_xll.qlCalendarAdvance("Null",B691,$A$66,"UnAdjusted")</f>
        <v>98299</v>
      </c>
      <c r="C692" s="60">
        <f ca="1"/>
        <v>0.05</v>
      </c>
    </row>
    <row r="693" spans="2:3">
      <c r="B693" s="52">
        <f ca="1">_xll.qlCalendarAdvance("Null",B692,$A$66,"UnAdjusted")</f>
        <v>98388</v>
      </c>
      <c r="C693" s="60">
        <f ca="1"/>
        <v>0.05</v>
      </c>
    </row>
    <row r="694" spans="2:3">
      <c r="B694" s="52">
        <f ca="1">_xll.qlCalendarAdvance("Null",B693,$A$66,"UnAdjusted")</f>
        <v>98480</v>
      </c>
      <c r="C694" s="60">
        <f ca="1"/>
        <v>0.05</v>
      </c>
    </row>
    <row r="695" spans="2:3">
      <c r="B695" s="52">
        <f ca="1">_xll.qlCalendarAdvance("Null",B694,$A$66,"UnAdjusted")</f>
        <v>98572</v>
      </c>
      <c r="C695" s="60">
        <f ca="1"/>
        <v>0.05</v>
      </c>
    </row>
    <row r="696" spans="2:3">
      <c r="B696" s="52">
        <f ca="1">_xll.qlCalendarAdvance("Null",B695,$A$66,"UnAdjusted")</f>
        <v>98664</v>
      </c>
      <c r="C696" s="60">
        <f ca="1"/>
        <v>0.05</v>
      </c>
    </row>
    <row r="697" spans="2:3">
      <c r="B697" s="52">
        <f ca="1">_xll.qlCalendarAdvance("Null",B696,$A$66,"UnAdjusted")</f>
        <v>98753</v>
      </c>
      <c r="C697" s="60">
        <f ca="1"/>
        <v>0.05</v>
      </c>
    </row>
    <row r="698" spans="2:3">
      <c r="B698" s="52">
        <f ca="1">_xll.qlCalendarAdvance("Null",B697,$A$66,"UnAdjusted")</f>
        <v>98845</v>
      </c>
      <c r="C698" s="60">
        <f ca="1"/>
        <v>0.05</v>
      </c>
    </row>
    <row r="699" spans="2:3">
      <c r="B699" s="52">
        <f ca="1">_xll.qlCalendarAdvance("Null",B698,$A$66,"UnAdjusted")</f>
        <v>98937</v>
      </c>
      <c r="C699" s="60">
        <f ca="1"/>
        <v>0.05</v>
      </c>
    </row>
    <row r="700" spans="2:3">
      <c r="B700" s="52">
        <f ca="1">_xll.qlCalendarAdvance("Null",B699,$A$66,"UnAdjusted")</f>
        <v>99029</v>
      </c>
      <c r="C700" s="60">
        <f ca="1"/>
        <v>0.05</v>
      </c>
    </row>
    <row r="701" spans="2:3">
      <c r="B701" s="52">
        <f ca="1">_xll.qlCalendarAdvance("Null",B700,$A$66,"UnAdjusted")</f>
        <v>99118</v>
      </c>
      <c r="C701" s="60">
        <f ca="1"/>
        <v>0.05</v>
      </c>
    </row>
    <row r="702" spans="2:3">
      <c r="B702" s="52">
        <f ca="1">_xll.qlCalendarAdvance("Null",B701,$A$66,"UnAdjusted")</f>
        <v>99210</v>
      </c>
      <c r="C702" s="60">
        <f ca="1"/>
        <v>0.05</v>
      </c>
    </row>
    <row r="703" spans="2:3">
      <c r="B703" s="52">
        <f ca="1">_xll.qlCalendarAdvance("Null",B702,$A$66,"UnAdjusted")</f>
        <v>99302</v>
      </c>
      <c r="C703" s="60">
        <f ca="1"/>
        <v>0.05</v>
      </c>
    </row>
    <row r="704" spans="2:3">
      <c r="B704" s="52">
        <f ca="1">_xll.qlCalendarAdvance("Null",B703,$A$66,"UnAdjusted")</f>
        <v>99394</v>
      </c>
      <c r="C704" s="60">
        <f ca="1"/>
        <v>0.05</v>
      </c>
    </row>
    <row r="705" spans="2:3">
      <c r="B705" s="52">
        <f ca="1">_xll.qlCalendarAdvance("Null",B704,$A$66,"UnAdjusted")</f>
        <v>99484</v>
      </c>
      <c r="C705" s="60">
        <f ca="1"/>
        <v>0.05</v>
      </c>
    </row>
    <row r="706" spans="2:3">
      <c r="B706" s="52">
        <f ca="1">_xll.qlCalendarAdvance("Null",B705,$A$66,"UnAdjusted")</f>
        <v>99576</v>
      </c>
      <c r="C706" s="60">
        <f ca="1"/>
        <v>0.05</v>
      </c>
    </row>
    <row r="707" spans="2:3">
      <c r="B707" s="52">
        <f ca="1">_xll.qlCalendarAdvance("Null",B706,$A$66,"UnAdjusted")</f>
        <v>99668</v>
      </c>
      <c r="C707" s="60">
        <f ca="1"/>
        <v>5.000000000000001E-2</v>
      </c>
    </row>
    <row r="708" spans="2:3">
      <c r="B708" s="52">
        <f ca="1">_xll.qlCalendarAdvance("Null",B707,$A$66,"UnAdjusted")</f>
        <v>99760</v>
      </c>
      <c r="C708" s="60">
        <f ca="1"/>
        <v>0.05</v>
      </c>
    </row>
    <row r="709" spans="2:3">
      <c r="B709" s="52">
        <f ca="1">_xll.qlCalendarAdvance("Null",B708,$A$66,"UnAdjusted")</f>
        <v>99849</v>
      </c>
      <c r="C709" s="60">
        <f ca="1"/>
        <v>4.9999999999999996E-2</v>
      </c>
    </row>
    <row r="710" spans="2:3">
      <c r="B710" s="52">
        <f ca="1">_xll.qlCalendarAdvance("Null",B709,$A$66,"UnAdjusted")</f>
        <v>99941</v>
      </c>
      <c r="C710" s="60">
        <f ca="1"/>
        <v>0.05</v>
      </c>
    </row>
    <row r="711" spans="2:3">
      <c r="B711" s="52">
        <f ca="1">_xll.qlCalendarAdvance("Null",B710,$A$66,"UnAdjusted")</f>
        <v>100033</v>
      </c>
      <c r="C711" s="60">
        <f ca="1"/>
        <v>0.05</v>
      </c>
    </row>
    <row r="712" spans="2:3">
      <c r="B712" s="52">
        <f ca="1">_xll.qlCalendarAdvance("Null",B711,$A$66,"UnAdjusted")</f>
        <v>100125</v>
      </c>
      <c r="C712" s="60">
        <f ca="1"/>
        <v>5.000000000000001E-2</v>
      </c>
    </row>
    <row r="713" spans="2:3">
      <c r="B713" s="52">
        <f ca="1">_xll.qlCalendarAdvance("Null",B712,$A$66,"UnAdjusted")</f>
        <v>100214</v>
      </c>
      <c r="C713" s="60">
        <f ca="1"/>
        <v>0.05</v>
      </c>
    </row>
    <row r="714" spans="2:3">
      <c r="B714" s="52">
        <f ca="1">_xll.qlCalendarAdvance("Null",B713,$A$66,"UnAdjusted")</f>
        <v>100306</v>
      </c>
      <c r="C714" s="60">
        <f ca="1"/>
        <v>4.9999999999999996E-2</v>
      </c>
    </row>
    <row r="715" spans="2:3">
      <c r="B715" s="52">
        <f ca="1">_xll.qlCalendarAdvance("Null",B714,$A$66,"UnAdjusted")</f>
        <v>100398</v>
      </c>
      <c r="C715" s="60">
        <f ca="1"/>
        <v>0.05</v>
      </c>
    </row>
    <row r="716" spans="2:3">
      <c r="B716" s="52">
        <f ca="1">_xll.qlCalendarAdvance("Null",B715,$A$66,"UnAdjusted")</f>
        <v>100490</v>
      </c>
      <c r="C716" s="60">
        <f ca="1"/>
        <v>0.05</v>
      </c>
    </row>
    <row r="717" spans="2:3">
      <c r="B717" s="52">
        <f ca="1">_xll.qlCalendarAdvance("Null",B716,$A$66,"UnAdjusted")</f>
        <v>100579</v>
      </c>
      <c r="C717" s="60">
        <f ca="1"/>
        <v>5.000000000000001E-2</v>
      </c>
    </row>
    <row r="718" spans="2:3">
      <c r="B718" s="52">
        <f ca="1">_xll.qlCalendarAdvance("Null",B717,$A$66,"UnAdjusted")</f>
        <v>100671</v>
      </c>
      <c r="C718" s="60">
        <f ca="1"/>
        <v>0.05</v>
      </c>
    </row>
    <row r="719" spans="2:3">
      <c r="B719" s="52">
        <f ca="1">_xll.qlCalendarAdvance("Null",B718,$A$66,"UnAdjusted")</f>
        <v>100763</v>
      </c>
      <c r="C719" s="60">
        <f ca="1"/>
        <v>4.9999999999999996E-2</v>
      </c>
    </row>
    <row r="720" spans="2:3">
      <c r="B720" s="52">
        <f ca="1">_xll.qlCalendarAdvance("Null",B719,$A$66,"UnAdjusted")</f>
        <v>100855</v>
      </c>
      <c r="C720" s="60">
        <f ca="1"/>
        <v>0.05</v>
      </c>
    </row>
    <row r="721" spans="2:3">
      <c r="B721" s="52">
        <f ca="1">_xll.qlCalendarAdvance("Null",B720,$A$66,"UnAdjusted")</f>
        <v>100945</v>
      </c>
      <c r="C721" s="60">
        <f ca="1"/>
        <v>0.05</v>
      </c>
    </row>
    <row r="722" spans="2:3">
      <c r="B722" s="52">
        <f ca="1">_xll.qlCalendarAdvance("Null",B721,$A$66,"UnAdjusted")</f>
        <v>101037</v>
      </c>
      <c r="C722" s="60">
        <f ca="1"/>
        <v>5.000000000000001E-2</v>
      </c>
    </row>
    <row r="723" spans="2:3">
      <c r="B723" s="52">
        <f ca="1">_xll.qlCalendarAdvance("Null",B722,$A$66,"UnAdjusted")</f>
        <v>101129</v>
      </c>
      <c r="C723" s="60">
        <f ca="1"/>
        <v>0.05</v>
      </c>
    </row>
    <row r="724" spans="2:3">
      <c r="B724" s="52">
        <f ca="1">_xll.qlCalendarAdvance("Null",B723,$A$66,"UnAdjusted")</f>
        <v>101221</v>
      </c>
      <c r="C724" s="60">
        <f ca="1"/>
        <v>4.9999999999999996E-2</v>
      </c>
    </row>
    <row r="725" spans="2:3">
      <c r="B725" s="52">
        <f ca="1">_xll.qlCalendarAdvance("Null",B724,$A$66,"UnAdjusted")</f>
        <v>101310</v>
      </c>
      <c r="C725" s="60">
        <f ca="1"/>
        <v>0.05</v>
      </c>
    </row>
    <row r="726" spans="2:3">
      <c r="B726" s="52">
        <f ca="1">_xll.qlCalendarAdvance("Null",B725,$A$66,"UnAdjusted")</f>
        <v>101402</v>
      </c>
      <c r="C726" s="60">
        <f ca="1"/>
        <v>0.05</v>
      </c>
    </row>
    <row r="727" spans="2:3">
      <c r="B727" s="52">
        <f ca="1">_xll.qlCalendarAdvance("Null",B726,$A$66,"UnAdjusted")</f>
        <v>101494</v>
      </c>
      <c r="C727" s="60">
        <f ca="1"/>
        <v>5.000000000000001E-2</v>
      </c>
    </row>
    <row r="728" spans="2:3">
      <c r="B728" s="52">
        <f ca="1">_xll.qlCalendarAdvance("Null",B727,$A$66,"UnAdjusted")</f>
        <v>101586</v>
      </c>
      <c r="C728" s="60">
        <f ca="1"/>
        <v>0.05</v>
      </c>
    </row>
    <row r="729" spans="2:3">
      <c r="B729" s="52">
        <f ca="1">_xll.qlCalendarAdvance("Null",B728,$A$66,"UnAdjusted")</f>
        <v>101675</v>
      </c>
      <c r="C729" s="60">
        <f ca="1"/>
        <v>4.9999999999999996E-2</v>
      </c>
    </row>
    <row r="730" spans="2:3">
      <c r="B730" s="52">
        <f ca="1">_xll.qlCalendarAdvance("Null",B729,$A$66,"UnAdjusted")</f>
        <v>101767</v>
      </c>
      <c r="C730" s="60">
        <f ca="1"/>
        <v>0.05</v>
      </c>
    </row>
    <row r="731" spans="2:3">
      <c r="B731" s="52">
        <f ca="1">_xll.qlCalendarAdvance("Null",B730,$A$66,"UnAdjusted")</f>
        <v>101859</v>
      </c>
      <c r="C731" s="60">
        <f ca="1"/>
        <v>0.05</v>
      </c>
    </row>
    <row r="732" spans="2:3">
      <c r="B732" s="52">
        <f ca="1">_xll.qlCalendarAdvance("Null",B731,$A$66,"UnAdjusted")</f>
        <v>101951</v>
      </c>
      <c r="C732" s="60">
        <f ca="1"/>
        <v>5.000000000000001E-2</v>
      </c>
    </row>
    <row r="733" spans="2:3">
      <c r="B733" s="52">
        <f ca="1">_xll.qlCalendarAdvance("Null",B732,$A$66,"UnAdjusted")</f>
        <v>102040</v>
      </c>
      <c r="C733" s="60">
        <f ca="1"/>
        <v>0.05</v>
      </c>
    </row>
    <row r="734" spans="2:3">
      <c r="B734" s="52">
        <f ca="1">_xll.qlCalendarAdvance("Null",B733,$A$66,"UnAdjusted")</f>
        <v>102132</v>
      </c>
      <c r="C734" s="60">
        <f ca="1"/>
        <v>4.9999999999999996E-2</v>
      </c>
    </row>
    <row r="735" spans="2:3">
      <c r="B735" s="52">
        <f ca="1">_xll.qlCalendarAdvance("Null",B734,$A$66,"UnAdjusted")</f>
        <v>102224</v>
      </c>
      <c r="C735" s="60">
        <f ca="1"/>
        <v>0.05</v>
      </c>
    </row>
    <row r="736" spans="2:3">
      <c r="B736" s="52">
        <f ca="1">_xll.qlCalendarAdvance("Null",B735,$A$66,"UnAdjusted")</f>
        <v>102316</v>
      </c>
      <c r="C736" s="60">
        <f ca="1"/>
        <v>0.05</v>
      </c>
    </row>
    <row r="737" spans="2:3">
      <c r="B737" s="52">
        <f ca="1">_xll.qlCalendarAdvance("Null",B736,$A$66,"UnAdjusted")</f>
        <v>102406</v>
      </c>
      <c r="C737" s="60">
        <f ca="1"/>
        <v>5.000000000000001E-2</v>
      </c>
    </row>
    <row r="738" spans="2:3">
      <c r="B738" s="52">
        <f ca="1">_xll.qlCalendarAdvance("Null",B737,$A$66,"UnAdjusted")</f>
        <v>102498</v>
      </c>
      <c r="C738" s="60">
        <f ca="1"/>
        <v>0.05</v>
      </c>
    </row>
    <row r="739" spans="2:3">
      <c r="B739" s="52">
        <f ca="1">_xll.qlCalendarAdvance("Null",B738,$A$66,"UnAdjusted")</f>
        <v>102590</v>
      </c>
      <c r="C739" s="60">
        <f ca="1"/>
        <v>4.9999999999999996E-2</v>
      </c>
    </row>
    <row r="740" spans="2:3">
      <c r="B740" s="52">
        <f ca="1">_xll.qlCalendarAdvance("Null",B739,$A$66,"UnAdjusted")</f>
        <v>102682</v>
      </c>
      <c r="C740" s="60">
        <f ca="1"/>
        <v>0.05</v>
      </c>
    </row>
    <row r="741" spans="2:3">
      <c r="B741" s="52">
        <f ca="1">_xll.qlCalendarAdvance("Null",B740,$A$66,"UnAdjusted")</f>
        <v>102771</v>
      </c>
      <c r="C741" s="60">
        <f ca="1"/>
        <v>0.05</v>
      </c>
    </row>
    <row r="742" spans="2:3">
      <c r="B742" s="52">
        <f ca="1">_xll.qlCalendarAdvance("Null",B741,$A$66,"UnAdjusted")</f>
        <v>102863</v>
      </c>
      <c r="C742" s="60">
        <f ca="1"/>
        <v>5.000000000000001E-2</v>
      </c>
    </row>
    <row r="743" spans="2:3">
      <c r="B743" s="52">
        <f ca="1">_xll.qlCalendarAdvance("Null",B742,$A$66,"UnAdjusted")</f>
        <v>102955</v>
      </c>
      <c r="C743" s="60">
        <f ca="1"/>
        <v>0.05</v>
      </c>
    </row>
    <row r="744" spans="2:3">
      <c r="B744" s="52">
        <f ca="1">_xll.qlCalendarAdvance("Null",B743,$A$66,"UnAdjusted")</f>
        <v>103047</v>
      </c>
      <c r="C744" s="60">
        <f ca="1"/>
        <v>4.9999999999999996E-2</v>
      </c>
    </row>
    <row r="745" spans="2:3">
      <c r="B745" s="52">
        <f ca="1">_xll.qlCalendarAdvance("Null",B744,$A$66,"UnAdjusted")</f>
        <v>103136</v>
      </c>
      <c r="C745" s="60">
        <f ca="1"/>
        <v>0.05</v>
      </c>
    </row>
    <row r="746" spans="2:3">
      <c r="B746" s="52">
        <f ca="1">_xll.qlCalendarAdvance("Null",B745,$A$66,"UnAdjusted")</f>
        <v>103228</v>
      </c>
      <c r="C746" s="60">
        <f ca="1"/>
        <v>0.05</v>
      </c>
    </row>
    <row r="747" spans="2:3">
      <c r="B747" s="52">
        <f ca="1">_xll.qlCalendarAdvance("Null",B746,$A$66,"UnAdjusted")</f>
        <v>103320</v>
      </c>
      <c r="C747" s="60">
        <f ca="1"/>
        <v>5.000000000000001E-2</v>
      </c>
    </row>
    <row r="748" spans="2:3">
      <c r="B748" s="52">
        <f ca="1">_xll.qlCalendarAdvance("Null",B747,$A$66,"UnAdjusted")</f>
        <v>103412</v>
      </c>
      <c r="C748" s="60">
        <f ca="1"/>
        <v>0.05</v>
      </c>
    </row>
    <row r="749" spans="2:3">
      <c r="B749" s="52">
        <f ca="1">_xll.qlCalendarAdvance("Null",B748,$A$66,"UnAdjusted")</f>
        <v>103501</v>
      </c>
      <c r="C749" s="60">
        <f ca="1"/>
        <v>4.9999999999999996E-2</v>
      </c>
    </row>
    <row r="750" spans="2:3">
      <c r="B750" s="52">
        <f ca="1">_xll.qlCalendarAdvance("Null",B749,$A$66,"UnAdjusted")</f>
        <v>103593</v>
      </c>
      <c r="C750" s="60">
        <f ca="1"/>
        <v>0.05</v>
      </c>
    </row>
    <row r="751" spans="2:3">
      <c r="B751" s="52">
        <f ca="1">_xll.qlCalendarAdvance("Null",B750,$A$66,"UnAdjusted")</f>
        <v>103685</v>
      </c>
      <c r="C751" s="60">
        <f ca="1"/>
        <v>0.05</v>
      </c>
    </row>
    <row r="752" spans="2:3">
      <c r="B752" s="52">
        <f ca="1">_xll.qlCalendarAdvance("Null",B751,$A$66,"UnAdjusted")</f>
        <v>103777</v>
      </c>
      <c r="C752" s="60">
        <f ca="1"/>
        <v>0.05</v>
      </c>
    </row>
    <row r="753" spans="2:3">
      <c r="B753" s="52">
        <f ca="1">_xll.qlCalendarAdvance("Null",B752,$A$66,"UnAdjusted")</f>
        <v>103867</v>
      </c>
      <c r="C753" s="60">
        <f ca="1"/>
        <v>0.05</v>
      </c>
    </row>
    <row r="754" spans="2:3">
      <c r="B754" s="52">
        <f ca="1">_xll.qlCalendarAdvance("Null",B753,$A$66,"UnAdjusted")</f>
        <v>103959</v>
      </c>
      <c r="C754" s="60">
        <f ca="1"/>
        <v>4.9999999999999996E-2</v>
      </c>
    </row>
    <row r="755" spans="2:3">
      <c r="B755" s="52">
        <f ca="1">_xll.qlCalendarAdvance("Null",B754,$A$66,"UnAdjusted")</f>
        <v>104051</v>
      </c>
      <c r="C755" s="60">
        <f ca="1"/>
        <v>0.05</v>
      </c>
    </row>
    <row r="756" spans="2:3">
      <c r="B756" s="52">
        <f ca="1">_xll.qlCalendarAdvance("Null",B755,$A$66,"UnAdjusted")</f>
        <v>104143</v>
      </c>
      <c r="C756" s="60">
        <f ca="1"/>
        <v>0.05</v>
      </c>
    </row>
    <row r="757" spans="2:3">
      <c r="B757" s="52">
        <f ca="1">_xll.qlCalendarAdvance("Null",B756,$A$66,"UnAdjusted")</f>
        <v>104232</v>
      </c>
      <c r="C757" s="60">
        <f ca="1"/>
        <v>0.05</v>
      </c>
    </row>
    <row r="758" spans="2:3">
      <c r="B758" s="52">
        <f ca="1">_xll.qlCalendarAdvance("Null",B757,$A$66,"UnAdjusted")</f>
        <v>104324</v>
      </c>
      <c r="C758" s="60">
        <f ca="1"/>
        <v>0.05</v>
      </c>
    </row>
    <row r="759" spans="2:3">
      <c r="B759" s="52">
        <f ca="1">_xll.qlCalendarAdvance("Null",B758,$A$66,"UnAdjusted")</f>
        <v>104416</v>
      </c>
      <c r="C759" s="60">
        <f ca="1"/>
        <v>4.9999999999999996E-2</v>
      </c>
    </row>
    <row r="760" spans="2:3">
      <c r="B760" s="52">
        <f ca="1">_xll.qlCalendarAdvance("Null",B759,$A$66,"UnAdjusted")</f>
        <v>104508</v>
      </c>
      <c r="C760" s="60">
        <f ca="1"/>
        <v>0.05</v>
      </c>
    </row>
    <row r="761" spans="2:3">
      <c r="B761" s="52">
        <f ca="1">_xll.qlCalendarAdvance("Null",B760,$A$66,"UnAdjusted")</f>
        <v>104597</v>
      </c>
      <c r="C761" s="60">
        <f ca="1"/>
        <v>0.05</v>
      </c>
    </row>
    <row r="762" spans="2:3">
      <c r="B762" s="52">
        <f ca="1">_xll.qlCalendarAdvance("Null",B761,$A$66,"UnAdjusted")</f>
        <v>104689</v>
      </c>
      <c r="C762" s="60">
        <f ca="1"/>
        <v>0.05</v>
      </c>
    </row>
    <row r="763" spans="2:3">
      <c r="B763" s="52">
        <f ca="1">_xll.qlCalendarAdvance("Null",B762,$A$66,"UnAdjusted")</f>
        <v>104781</v>
      </c>
      <c r="C763" s="60">
        <f ca="1"/>
        <v>0.05</v>
      </c>
    </row>
    <row r="764" spans="2:3">
      <c r="B764" s="52">
        <f ca="1">_xll.qlCalendarAdvance("Null",B763,$A$66,"UnAdjusted")</f>
        <v>104873</v>
      </c>
      <c r="C764" s="60">
        <f ca="1"/>
        <v>4.9999999999999996E-2</v>
      </c>
    </row>
    <row r="765" spans="2:3">
      <c r="B765" s="52">
        <f ca="1">_xll.qlCalendarAdvance("Null",B764,$A$66,"UnAdjusted")</f>
        <v>104962</v>
      </c>
      <c r="C765" s="60">
        <f ca="1"/>
        <v>0.05</v>
      </c>
    </row>
    <row r="766" spans="2:3">
      <c r="B766" s="52">
        <f ca="1">_xll.qlCalendarAdvance("Null",B765,$A$66,"UnAdjusted")</f>
        <v>105054</v>
      </c>
      <c r="C766" s="60">
        <f ca="1"/>
        <v>0.05</v>
      </c>
    </row>
    <row r="767" spans="2:3">
      <c r="B767" s="52">
        <f ca="1">_xll.qlCalendarAdvance("Null",B766,$A$66,"UnAdjusted")</f>
        <v>105146</v>
      </c>
      <c r="C767" s="60">
        <f ca="1"/>
        <v>0.05</v>
      </c>
    </row>
    <row r="768" spans="2:3">
      <c r="B768" s="52">
        <f ca="1">_xll.qlCalendarAdvance("Null",B767,$A$66,"UnAdjusted")</f>
        <v>105238</v>
      </c>
      <c r="C768" s="60">
        <f ca="1"/>
        <v>0.05</v>
      </c>
    </row>
    <row r="769" spans="2:3">
      <c r="B769" s="52">
        <f ca="1">_xll.qlCalendarAdvance("Null",B768,$A$66,"UnAdjusted")</f>
        <v>105328</v>
      </c>
      <c r="C769" s="60">
        <f ca="1"/>
        <v>4.9999999999999996E-2</v>
      </c>
    </row>
    <row r="770" spans="2:3">
      <c r="B770" s="52">
        <f ca="1">_xll.qlCalendarAdvance("Null",B769,$A$66,"UnAdjusted")</f>
        <v>105420</v>
      </c>
      <c r="C770" s="60">
        <f ca="1"/>
        <v>0.05</v>
      </c>
    </row>
    <row r="771" spans="2:3">
      <c r="B771" s="52">
        <f ca="1">_xll.qlCalendarAdvance("Null",B770,$A$66,"UnAdjusted")</f>
        <v>105512</v>
      </c>
      <c r="C771" s="60">
        <f ca="1"/>
        <v>0.05</v>
      </c>
    </row>
    <row r="772" spans="2:3">
      <c r="B772" s="52">
        <f ca="1">_xll.qlCalendarAdvance("Null",B771,$A$66,"UnAdjusted")</f>
        <v>105604</v>
      </c>
      <c r="C772" s="60">
        <f ca="1"/>
        <v>0.05</v>
      </c>
    </row>
    <row r="773" spans="2:3">
      <c r="B773" s="52">
        <f ca="1">_xll.qlCalendarAdvance("Null",B772,$A$66,"UnAdjusted")</f>
        <v>105693</v>
      </c>
      <c r="C773" s="60">
        <f ca="1"/>
        <v>0.05</v>
      </c>
    </row>
    <row r="774" spans="2:3">
      <c r="B774" s="52">
        <f ca="1">_xll.qlCalendarAdvance("Null",B773,$A$66,"UnAdjusted")</f>
        <v>105785</v>
      </c>
      <c r="C774" s="60">
        <f ca="1"/>
        <v>4.9999999999999996E-2</v>
      </c>
    </row>
    <row r="775" spans="2:3">
      <c r="B775" s="52">
        <f ca="1">_xll.qlCalendarAdvance("Null",B774,$A$66,"UnAdjusted")</f>
        <v>105877</v>
      </c>
      <c r="C775" s="60">
        <f ca="1"/>
        <v>0.05</v>
      </c>
    </row>
    <row r="776" spans="2:3">
      <c r="B776" s="52">
        <f ca="1">_xll.qlCalendarAdvance("Null",B775,$A$66,"UnAdjusted")</f>
        <v>105969</v>
      </c>
      <c r="C776" s="60">
        <f ca="1"/>
        <v>0.05</v>
      </c>
    </row>
    <row r="777" spans="2:3">
      <c r="B777" s="52">
        <f ca="1">_xll.qlCalendarAdvance("Null",B776,$A$66,"UnAdjusted")</f>
        <v>106058</v>
      </c>
      <c r="C777" s="60">
        <f ca="1"/>
        <v>0.05</v>
      </c>
    </row>
    <row r="778" spans="2:3">
      <c r="B778" s="52">
        <f ca="1">_xll.qlCalendarAdvance("Null",B777,$A$66,"UnAdjusted")</f>
        <v>106150</v>
      </c>
      <c r="C778" s="60">
        <f ca="1"/>
        <v>0.05</v>
      </c>
    </row>
    <row r="779" spans="2:3">
      <c r="B779" s="52">
        <f ca="1">_xll.qlCalendarAdvance("Null",B778,$A$66,"UnAdjusted")</f>
        <v>106242</v>
      </c>
      <c r="C779" s="60">
        <f ca="1"/>
        <v>4.9999999999999996E-2</v>
      </c>
    </row>
    <row r="780" spans="2:3">
      <c r="B780" s="52">
        <f ca="1">_xll.qlCalendarAdvance("Null",B779,$A$66,"UnAdjusted")</f>
        <v>106334</v>
      </c>
      <c r="C780" s="60">
        <f ca="1"/>
        <v>0.05</v>
      </c>
    </row>
    <row r="781" spans="2:3">
      <c r="B781" s="52">
        <f ca="1">_xll.qlCalendarAdvance("Null",B780,$A$66,"UnAdjusted")</f>
        <v>106423</v>
      </c>
      <c r="C781" s="60">
        <f ca="1"/>
        <v>0.05</v>
      </c>
    </row>
    <row r="782" spans="2:3">
      <c r="B782" s="52">
        <f ca="1">_xll.qlCalendarAdvance("Null",B781,$A$66,"UnAdjusted")</f>
        <v>106515</v>
      </c>
      <c r="C782" s="60">
        <f ca="1"/>
        <v>0.05</v>
      </c>
    </row>
    <row r="783" spans="2:3">
      <c r="B783" s="52">
        <f ca="1">_xll.qlCalendarAdvance("Null",B782,$A$66,"UnAdjusted")</f>
        <v>106607</v>
      </c>
      <c r="C783" s="60">
        <f ca="1"/>
        <v>0.05</v>
      </c>
    </row>
    <row r="784" spans="2:3">
      <c r="B784" s="52">
        <f ca="1">_xll.qlCalendarAdvance("Null",B783,$A$66,"UnAdjusted")</f>
        <v>106699</v>
      </c>
      <c r="C784" s="60">
        <f ca="1"/>
        <v>4.9999999999999996E-2</v>
      </c>
    </row>
    <row r="785" spans="2:3">
      <c r="B785" s="52">
        <f ca="1">_xll.qlCalendarAdvance("Null",B784,$A$66,"UnAdjusted")</f>
        <v>106789</v>
      </c>
      <c r="C785" s="60">
        <f ca="1"/>
        <v>0.05</v>
      </c>
    </row>
    <row r="786" spans="2:3">
      <c r="B786" s="52">
        <f ca="1">_xll.qlCalendarAdvance("Null",B785,$A$66,"UnAdjusted")</f>
        <v>106881</v>
      </c>
      <c r="C786" s="60">
        <f ca="1"/>
        <v>0.05</v>
      </c>
    </row>
    <row r="787" spans="2:3">
      <c r="B787" s="52">
        <f ca="1">_xll.qlCalendarAdvance("Null",B786,$A$66,"UnAdjusted")</f>
        <v>106973</v>
      </c>
      <c r="C787" s="60">
        <f ca="1"/>
        <v>0.05</v>
      </c>
    </row>
    <row r="788" spans="2:3">
      <c r="B788" s="52">
        <f ca="1">_xll.qlCalendarAdvance("Null",B787,$A$66,"UnAdjusted")</f>
        <v>107065</v>
      </c>
      <c r="C788" s="60">
        <f ca="1"/>
        <v>0.05</v>
      </c>
    </row>
    <row r="789" spans="2:3">
      <c r="B789" s="52">
        <f ca="1">_xll.qlCalendarAdvance("Null",B788,$A$66,"UnAdjusted")</f>
        <v>107154</v>
      </c>
      <c r="C789" s="60">
        <f ca="1"/>
        <v>4.9999999999999996E-2</v>
      </c>
    </row>
    <row r="790" spans="2:3">
      <c r="B790" s="52">
        <f ca="1">_xll.qlCalendarAdvance("Null",B789,$A$66,"UnAdjusted")</f>
        <v>107246</v>
      </c>
      <c r="C790" s="60">
        <f ca="1"/>
        <v>0.05</v>
      </c>
    </row>
    <row r="791" spans="2:3">
      <c r="B791" s="52">
        <f ca="1">_xll.qlCalendarAdvance("Null",B790,$A$66,"UnAdjusted")</f>
        <v>107338</v>
      </c>
      <c r="C791" s="60">
        <f ca="1"/>
        <v>0.05</v>
      </c>
    </row>
    <row r="792" spans="2:3">
      <c r="B792" s="52">
        <f ca="1">_xll.qlCalendarAdvance("Null",B791,$A$66,"UnAdjusted")</f>
        <v>107430</v>
      </c>
      <c r="C792" s="60">
        <f ca="1"/>
        <v>0.05</v>
      </c>
    </row>
    <row r="793" spans="2:3">
      <c r="B793" s="52">
        <f ca="1">_xll.qlCalendarAdvance("Null",B792,$A$66,"UnAdjusted")</f>
        <v>107519</v>
      </c>
      <c r="C793" s="60">
        <f ca="1"/>
        <v>0.05</v>
      </c>
    </row>
    <row r="794" spans="2:3">
      <c r="B794" s="52">
        <f ca="1">_xll.qlCalendarAdvance("Null",B793,$A$66,"UnAdjusted")</f>
        <v>107611</v>
      </c>
      <c r="C794" s="60">
        <f ca="1"/>
        <v>4.9999999999999996E-2</v>
      </c>
    </row>
    <row r="795" spans="2:3">
      <c r="B795" s="52">
        <f ca="1">_xll.qlCalendarAdvance("Null",B794,$A$66,"UnAdjusted")</f>
        <v>107703</v>
      </c>
      <c r="C795" s="60">
        <f ca="1"/>
        <v>0.05</v>
      </c>
    </row>
    <row r="796" spans="2:3">
      <c r="B796" s="52">
        <f ca="1">_xll.qlCalendarAdvance("Null",B795,$A$66,"UnAdjusted")</f>
        <v>107795</v>
      </c>
      <c r="C796" s="60">
        <f ca="1"/>
        <v>0.05</v>
      </c>
    </row>
    <row r="797" spans="2:3">
      <c r="B797" s="52">
        <f ca="1">_xll.qlCalendarAdvance("Null",B796,$A$66,"UnAdjusted")</f>
        <v>107884</v>
      </c>
      <c r="C797" s="60">
        <f ca="1"/>
        <v>0.05</v>
      </c>
    </row>
    <row r="798" spans="2:3">
      <c r="B798" s="52">
        <f ca="1">_xll.qlCalendarAdvance("Null",B797,$A$66,"UnAdjusted")</f>
        <v>107976</v>
      </c>
      <c r="C798" s="60">
        <f ca="1"/>
        <v>0.05</v>
      </c>
    </row>
    <row r="799" spans="2:3">
      <c r="B799" s="52">
        <f ca="1">_xll.qlCalendarAdvance("Null",B798,$A$66,"UnAdjusted")</f>
        <v>108068</v>
      </c>
      <c r="C799" s="60">
        <f ca="1"/>
        <v>4.9999999999999996E-2</v>
      </c>
    </row>
    <row r="800" spans="2:3">
      <c r="B800" s="52">
        <f ca="1">_xll.qlCalendarAdvance("Null",B799,$A$66,"UnAdjusted")</f>
        <v>108160</v>
      </c>
      <c r="C800" s="60">
        <f ca="1"/>
        <v>0.05</v>
      </c>
    </row>
    <row r="801" spans="2:3">
      <c r="B801" s="52">
        <f ca="1">_xll.qlCalendarAdvance("Null",B800,$A$66,"UnAdjusted")</f>
        <v>108250</v>
      </c>
      <c r="C801" s="60">
        <f ca="1"/>
        <v>0.05</v>
      </c>
    </row>
    <row r="802" spans="2:3">
      <c r="B802" s="52">
        <f ca="1">_xll.qlCalendarAdvance("Null",B801,$A$66,"UnAdjusted")</f>
        <v>108342</v>
      </c>
      <c r="C802" s="60">
        <f ca="1"/>
        <v>0.05</v>
      </c>
    </row>
    <row r="803" spans="2:3">
      <c r="B803" s="52">
        <f ca="1">_xll.qlCalendarAdvance("Null",B802,$A$66,"UnAdjusted")</f>
        <v>108434</v>
      </c>
      <c r="C803" s="60">
        <f ca="1"/>
        <v>0.05</v>
      </c>
    </row>
    <row r="804" spans="2:3">
      <c r="B804" s="52">
        <f ca="1">_xll.qlCalendarAdvance("Null",B803,$A$66,"UnAdjusted")</f>
        <v>108526</v>
      </c>
      <c r="C804" s="60">
        <f ca="1"/>
        <v>4.9999999999999996E-2</v>
      </c>
    </row>
    <row r="805" spans="2:3">
      <c r="B805" s="52">
        <f ca="1">_xll.qlCalendarAdvance("Null",B804,$A$66,"UnAdjusted")</f>
        <v>108615</v>
      </c>
      <c r="C805" s="60">
        <f ca="1"/>
        <v>0.05</v>
      </c>
    </row>
    <row r="806" spans="2:3">
      <c r="B806" s="52">
        <f ca="1">_xll.qlCalendarAdvance("Null",B805,$A$66,"UnAdjusted")</f>
        <v>108707</v>
      </c>
      <c r="C806" s="60">
        <f ca="1"/>
        <v>0.05</v>
      </c>
    </row>
    <row r="807" spans="2:3">
      <c r="B807" s="52">
        <f ca="1">_xll.qlCalendarAdvance("Null",B806,$A$66,"UnAdjusted")</f>
        <v>108799</v>
      </c>
      <c r="C807" s="60">
        <f ca="1"/>
        <v>0.05</v>
      </c>
    </row>
    <row r="808" spans="2:3">
      <c r="B808" s="52">
        <f ca="1">_xll.qlCalendarAdvance("Null",B807,$A$66,"UnAdjusted")</f>
        <v>108891</v>
      </c>
      <c r="C808" s="60">
        <f ca="1"/>
        <v>0.05</v>
      </c>
    </row>
    <row r="809" spans="2:3">
      <c r="B809" s="52">
        <f ca="1">_xll.qlCalendarAdvance("Null",B808,$A$66,"UnAdjusted")</f>
        <v>108980</v>
      </c>
      <c r="C809" s="60">
        <f ca="1"/>
        <v>4.9999999999999996E-2</v>
      </c>
    </row>
    <row r="810" spans="2:3">
      <c r="B810" s="52">
        <f ca="1">_xll.qlCalendarAdvance("Null",B809,$A$66,"UnAdjusted")</f>
        <v>109072</v>
      </c>
      <c r="C810" s="60">
        <f ca="1"/>
        <v>0.05</v>
      </c>
    </row>
    <row r="811" spans="2:3">
      <c r="B811" s="52">
        <f ca="1">_xll.qlCalendarAdvance("Null",B810,$A$66,"UnAdjusted")</f>
        <v>109164</v>
      </c>
      <c r="C811" s="60">
        <f ca="1"/>
        <v>0.05</v>
      </c>
    </row>
    <row r="812" spans="2:3">
      <c r="B812" s="52">
        <f ca="1">_xll.qlCalendarAdvance("Null",B811,$A$66,"UnAdjusted")</f>
        <v>109256</v>
      </c>
      <c r="C812" s="60">
        <f ca="1"/>
        <v>0.05</v>
      </c>
    </row>
    <row r="813" spans="2:3">
      <c r="B813" s="52">
        <f ca="1">_xll.qlCalendarAdvance("Null",B812,$A$66,"UnAdjusted")</f>
        <v>109345</v>
      </c>
      <c r="C813" s="60">
        <f ca="1"/>
        <v>0.05</v>
      </c>
    </row>
    <row r="814" spans="2:3">
      <c r="B814" s="52">
        <f ca="1">_xll.qlCalendarAdvance("Null",B813,$A$66,"UnAdjusted")</f>
        <v>109437</v>
      </c>
      <c r="C814" s="60">
        <f ca="1"/>
        <v>4.9999999999999996E-2</v>
      </c>
    </row>
    <row r="815" spans="2:3">
      <c r="B815" s="52">
        <f ca="1">_xll.qlCalendarAdvance("Null",B814,$A$66,"UnAdjusted")</f>
        <v>109529</v>
      </c>
      <c r="C815" s="60">
        <f ca="1"/>
        <v>0.05</v>
      </c>
    </row>
    <row r="816" spans="2:3">
      <c r="B816" s="52"/>
      <c r="C816" s="60" t="e">
        <f ca="1"/>
        <v>#N/A</v>
      </c>
    </row>
    <row r="817" spans="2:3">
      <c r="B817" s="52"/>
      <c r="C817" s="60" t="e">
        <f ca="1"/>
        <v>#N/A</v>
      </c>
    </row>
    <row r="818" spans="2:3">
      <c r="B818" s="52"/>
      <c r="C818" s="60" t="e">
        <f ca="1"/>
        <v>#N/A</v>
      </c>
    </row>
    <row r="819" spans="2:3">
      <c r="B819" s="52"/>
      <c r="C819" s="60" t="e">
        <f ca="1"/>
        <v>#N/A</v>
      </c>
    </row>
    <row r="820" spans="2:3">
      <c r="B820" s="52"/>
      <c r="C820" s="60" t="e">
        <f ca="1"/>
        <v>#N/A</v>
      </c>
    </row>
    <row r="821" spans="2:3">
      <c r="B821" s="52"/>
      <c r="C821" s="60" t="e">
        <f ca="1"/>
        <v>#N/A</v>
      </c>
    </row>
    <row r="822" spans="2:3">
      <c r="B822" s="52"/>
      <c r="C822" s="60" t="e">
        <f ca="1"/>
        <v>#N/A</v>
      </c>
    </row>
    <row r="823" spans="2:3">
      <c r="B823" s="52"/>
      <c r="C823" s="60" t="e">
        <f ca="1"/>
        <v>#N/A</v>
      </c>
    </row>
    <row r="824" spans="2:3">
      <c r="B824" s="52"/>
      <c r="C824" s="60" t="e">
        <f ca="1"/>
        <v>#N/A</v>
      </c>
    </row>
    <row r="825" spans="2:3">
      <c r="B825" s="52"/>
      <c r="C825" s="60" t="e">
        <f ca="1"/>
        <v>#N/A</v>
      </c>
    </row>
    <row r="826" spans="2:3">
      <c r="B826" s="52"/>
      <c r="C826" s="60" t="e">
        <f ca="1"/>
        <v>#N/A</v>
      </c>
    </row>
    <row r="827" spans="2:3">
      <c r="B827" s="52"/>
      <c r="C827" s="60" t="e">
        <f ca="1"/>
        <v>#N/A</v>
      </c>
    </row>
    <row r="828" spans="2:3">
      <c r="B828" s="52"/>
      <c r="C828" s="60" t="e">
        <f ca="1"/>
        <v>#N/A</v>
      </c>
    </row>
    <row r="829" spans="2:3">
      <c r="B829" s="52"/>
      <c r="C829" s="60" t="e">
        <f ca="1"/>
        <v>#N/A</v>
      </c>
    </row>
    <row r="830" spans="2:3">
      <c r="B830" s="52"/>
      <c r="C830" s="60" t="e">
        <f ca="1"/>
        <v>#N/A</v>
      </c>
    </row>
    <row r="831" spans="2:3">
      <c r="B831" s="52"/>
      <c r="C831" s="60" t="e">
        <f ca="1"/>
        <v>#N/A</v>
      </c>
    </row>
    <row r="832" spans="2:3">
      <c r="B832" s="52"/>
      <c r="C832" s="60" t="e">
        <f ca="1"/>
        <v>#N/A</v>
      </c>
    </row>
    <row r="833" spans="2:3">
      <c r="B833" s="52"/>
      <c r="C833" s="60" t="e">
        <f ca="1"/>
        <v>#N/A</v>
      </c>
    </row>
    <row r="834" spans="2:3">
      <c r="B834" s="52"/>
      <c r="C834" s="60" t="e">
        <f ca="1"/>
        <v>#N/A</v>
      </c>
    </row>
    <row r="835" spans="2:3">
      <c r="B835" s="52"/>
      <c r="C835" s="60" t="e">
        <f ca="1"/>
        <v>#N/A</v>
      </c>
    </row>
    <row r="836" spans="2:3">
      <c r="B836" s="52"/>
      <c r="C836" s="60" t="e">
        <f ca="1"/>
        <v>#N/A</v>
      </c>
    </row>
    <row r="837" spans="2:3">
      <c r="B837" s="52"/>
      <c r="C837" s="60" t="e">
        <f ca="1"/>
        <v>#N/A</v>
      </c>
    </row>
    <row r="838" spans="2:3">
      <c r="B838" s="52"/>
      <c r="C838" s="60" t="e">
        <f ca="1"/>
        <v>#N/A</v>
      </c>
    </row>
    <row r="839" spans="2:3">
      <c r="B839" s="52"/>
      <c r="C839" s="60" t="e">
        <f ca="1"/>
        <v>#N/A</v>
      </c>
    </row>
    <row r="840" spans="2:3">
      <c r="B840" s="52"/>
      <c r="C840" s="60" t="e">
        <f ca="1"/>
        <v>#N/A</v>
      </c>
    </row>
    <row r="841" spans="2:3">
      <c r="B841" s="52"/>
      <c r="C841" s="60" t="e">
        <f ca="1"/>
        <v>#N/A</v>
      </c>
    </row>
    <row r="842" spans="2:3">
      <c r="B842" s="52"/>
      <c r="C842" s="60" t="e">
        <f ca="1"/>
        <v>#N/A</v>
      </c>
    </row>
    <row r="843" spans="2:3">
      <c r="B843" s="52"/>
      <c r="C843" s="60" t="e">
        <f ca="1"/>
        <v>#N/A</v>
      </c>
    </row>
    <row r="844" spans="2:3">
      <c r="B844" s="52"/>
      <c r="C844" s="60" t="e">
        <f ca="1"/>
        <v>#N/A</v>
      </c>
    </row>
    <row r="845" spans="2:3">
      <c r="B845" s="52"/>
      <c r="C845" s="60" t="e">
        <f ca="1"/>
        <v>#N/A</v>
      </c>
    </row>
    <row r="846" spans="2:3">
      <c r="B846" s="52"/>
      <c r="C846" s="60" t="e">
        <f ca="1"/>
        <v>#N/A</v>
      </c>
    </row>
    <row r="847" spans="2:3">
      <c r="B847" s="52"/>
      <c r="C847" s="60" t="e">
        <f ca="1"/>
        <v>#N/A</v>
      </c>
    </row>
    <row r="848" spans="2:3">
      <c r="B848" s="52"/>
      <c r="C848" s="60" t="e">
        <f ca="1"/>
        <v>#N/A</v>
      </c>
    </row>
    <row r="849" spans="2:3">
      <c r="B849" s="52"/>
      <c r="C849" s="60" t="e">
        <f ca="1"/>
        <v>#N/A</v>
      </c>
    </row>
    <row r="850" spans="2:3">
      <c r="B850" s="52"/>
      <c r="C850" s="60" t="e">
        <f ca="1"/>
        <v>#N/A</v>
      </c>
    </row>
    <row r="851" spans="2:3">
      <c r="B851" s="52"/>
      <c r="C851" s="60" t="e">
        <f ca="1"/>
        <v>#N/A</v>
      </c>
    </row>
    <row r="852" spans="2:3">
      <c r="B852" s="52"/>
      <c r="C852" s="60" t="e">
        <f ca="1"/>
        <v>#N/A</v>
      </c>
    </row>
    <row r="853" spans="2:3">
      <c r="B853" s="52"/>
      <c r="C853" s="60" t="e">
        <f ca="1"/>
        <v>#N/A</v>
      </c>
    </row>
    <row r="854" spans="2:3">
      <c r="B854" s="52"/>
      <c r="C854" s="60" t="e">
        <f ca="1"/>
        <v>#N/A</v>
      </c>
    </row>
    <row r="855" spans="2:3">
      <c r="B855" s="52"/>
      <c r="C855" s="60" t="e">
        <f ca="1"/>
        <v>#N/A</v>
      </c>
    </row>
    <row r="856" spans="2:3">
      <c r="B856" s="52"/>
      <c r="C856" s="60" t="e">
        <f ca="1"/>
        <v>#N/A</v>
      </c>
    </row>
    <row r="857" spans="2:3">
      <c r="B857" s="52"/>
      <c r="C857" s="60" t="e">
        <f ca="1"/>
        <v>#N/A</v>
      </c>
    </row>
    <row r="858" spans="2:3">
      <c r="B858" s="52"/>
      <c r="C858" s="60" t="e">
        <f ca="1"/>
        <v>#N/A</v>
      </c>
    </row>
    <row r="859" spans="2:3">
      <c r="B859" s="52"/>
      <c r="C859" s="60" t="e">
        <f ca="1"/>
        <v>#N/A</v>
      </c>
    </row>
    <row r="860" spans="2:3">
      <c r="B860" s="52"/>
      <c r="C860" s="60" t="e">
        <f ca="1"/>
        <v>#N/A</v>
      </c>
    </row>
    <row r="861" spans="2:3">
      <c r="B861" s="52"/>
      <c r="C861" s="60" t="e">
        <f ca="1"/>
        <v>#N/A</v>
      </c>
    </row>
    <row r="862" spans="2:3">
      <c r="B862" s="52"/>
      <c r="C862" s="60" t="e">
        <f ca="1"/>
        <v>#N/A</v>
      </c>
    </row>
    <row r="863" spans="2:3">
      <c r="B863" s="52"/>
      <c r="C863" s="60" t="e">
        <f ca="1"/>
        <v>#N/A</v>
      </c>
    </row>
    <row r="864" spans="2:3">
      <c r="B864" s="52"/>
      <c r="C864" s="60" t="e">
        <f ca="1"/>
        <v>#N/A</v>
      </c>
    </row>
    <row r="865" spans="2:3">
      <c r="B865" s="52"/>
      <c r="C865" s="60" t="e">
        <f ca="1"/>
        <v>#N/A</v>
      </c>
    </row>
    <row r="866" spans="2:3">
      <c r="B866" s="52"/>
      <c r="C866" s="60" t="e">
        <f ca="1"/>
        <v>#N/A</v>
      </c>
    </row>
    <row r="867" spans="2:3">
      <c r="B867" s="52"/>
      <c r="C867" s="60" t="e">
        <f ca="1"/>
        <v>#N/A</v>
      </c>
    </row>
    <row r="868" spans="2:3">
      <c r="B868" s="52"/>
      <c r="C868" s="60" t="e">
        <f ca="1"/>
        <v>#N/A</v>
      </c>
    </row>
    <row r="869" spans="2:3">
      <c r="B869" s="52"/>
      <c r="C869" s="60" t="e">
        <f ca="1"/>
        <v>#N/A</v>
      </c>
    </row>
    <row r="870" spans="2:3">
      <c r="B870" s="52"/>
      <c r="C870" s="60" t="e">
        <f ca="1"/>
        <v>#N/A</v>
      </c>
    </row>
    <row r="871" spans="2:3">
      <c r="B871" s="52"/>
      <c r="C871" s="60" t="e">
        <f ca="1"/>
        <v>#N/A</v>
      </c>
    </row>
    <row r="872" spans="2:3">
      <c r="B872" s="52"/>
      <c r="C872" s="60" t="e">
        <f ca="1"/>
        <v>#N/A</v>
      </c>
    </row>
    <row r="873" spans="2:3">
      <c r="B873" s="52"/>
      <c r="C873" s="60" t="e">
        <f ca="1"/>
        <v>#N/A</v>
      </c>
    </row>
    <row r="874" spans="2:3">
      <c r="B874" s="52"/>
      <c r="C874" s="60" t="e">
        <f ca="1"/>
        <v>#N/A</v>
      </c>
    </row>
    <row r="875" spans="2:3">
      <c r="B875" s="52"/>
      <c r="C875" s="60" t="e">
        <f ca="1"/>
        <v>#N/A</v>
      </c>
    </row>
    <row r="876" spans="2:3">
      <c r="B876" s="52"/>
      <c r="C876" s="60" t="e">
        <f ca="1"/>
        <v>#N/A</v>
      </c>
    </row>
    <row r="877" spans="2:3">
      <c r="B877" s="52"/>
      <c r="C877" s="60" t="e">
        <f ca="1"/>
        <v>#N/A</v>
      </c>
    </row>
    <row r="878" spans="2:3">
      <c r="B878" s="52"/>
      <c r="C878" s="60" t="e">
        <f ca="1"/>
        <v>#N/A</v>
      </c>
    </row>
    <row r="879" spans="2:3">
      <c r="B879" s="52"/>
      <c r="C879" s="60" t="e">
        <f ca="1"/>
        <v>#N/A</v>
      </c>
    </row>
    <row r="880" spans="2:3">
      <c r="B880" s="52"/>
      <c r="C880" s="60" t="e">
        <f ca="1"/>
        <v>#N/A</v>
      </c>
    </row>
    <row r="881" spans="2:3">
      <c r="B881" s="52"/>
      <c r="C881" s="60" t="e">
        <f ca="1"/>
        <v>#N/A</v>
      </c>
    </row>
    <row r="882" spans="2:3">
      <c r="B882" s="52"/>
      <c r="C882" s="60" t="e">
        <f ca="1"/>
        <v>#N/A</v>
      </c>
    </row>
    <row r="883" spans="2:3">
      <c r="B883" s="52"/>
      <c r="C883" s="60" t="e">
        <f ca="1"/>
        <v>#N/A</v>
      </c>
    </row>
    <row r="884" spans="2:3">
      <c r="B884" s="52"/>
      <c r="C884" s="60" t="e">
        <f ca="1"/>
        <v>#N/A</v>
      </c>
    </row>
    <row r="885" spans="2:3">
      <c r="B885" s="52"/>
      <c r="C885" s="60" t="e">
        <f ca="1"/>
        <v>#N/A</v>
      </c>
    </row>
    <row r="886" spans="2:3">
      <c r="B886" s="52"/>
      <c r="C886" s="60" t="e">
        <f ca="1"/>
        <v>#N/A</v>
      </c>
    </row>
    <row r="887" spans="2:3">
      <c r="B887" s="52"/>
      <c r="C887" s="60" t="e">
        <f ca="1"/>
        <v>#N/A</v>
      </c>
    </row>
    <row r="888" spans="2:3">
      <c r="B888" s="52"/>
      <c r="C888" s="60" t="e">
        <f ca="1"/>
        <v>#N/A</v>
      </c>
    </row>
    <row r="889" spans="2:3">
      <c r="B889" s="52"/>
      <c r="C889" s="60" t="e">
        <f ca="1"/>
        <v>#N/A</v>
      </c>
    </row>
    <row r="890" spans="2:3">
      <c r="B890" s="52"/>
      <c r="C890" s="60" t="e">
        <f ca="1"/>
        <v>#N/A</v>
      </c>
    </row>
    <row r="891" spans="2:3">
      <c r="B891" s="52"/>
      <c r="C891" s="60" t="e">
        <f ca="1"/>
        <v>#N/A</v>
      </c>
    </row>
    <row r="892" spans="2:3">
      <c r="B892" s="52"/>
      <c r="C892" s="60" t="e">
        <f ca="1"/>
        <v>#N/A</v>
      </c>
    </row>
    <row r="893" spans="2:3">
      <c r="B893" s="52"/>
      <c r="C893" s="60" t="e">
        <f ca="1"/>
        <v>#N/A</v>
      </c>
    </row>
    <row r="894" spans="2:3">
      <c r="B894" s="52"/>
      <c r="C894" s="60" t="e">
        <f ca="1"/>
        <v>#N/A</v>
      </c>
    </row>
    <row r="895" spans="2:3">
      <c r="B895" s="52"/>
      <c r="C895" s="60" t="e">
        <f ca="1"/>
        <v>#N/A</v>
      </c>
    </row>
    <row r="896" spans="2:3">
      <c r="B896" s="52"/>
      <c r="C896" s="60" t="e">
        <f ca="1"/>
        <v>#N/A</v>
      </c>
    </row>
    <row r="897" spans="2:3">
      <c r="B897" s="52"/>
      <c r="C897" s="60" t="e">
        <f ca="1"/>
        <v>#N/A</v>
      </c>
    </row>
    <row r="898" spans="2:3">
      <c r="B898" s="52"/>
      <c r="C898" s="60" t="e">
        <f ca="1"/>
        <v>#N/A</v>
      </c>
    </row>
    <row r="899" spans="2:3">
      <c r="B899" s="52"/>
      <c r="C899" s="60" t="e">
        <f ca="1"/>
        <v>#N/A</v>
      </c>
    </row>
    <row r="900" spans="2:3">
      <c r="B900" s="52"/>
      <c r="C900" s="60" t="e">
        <f ca="1"/>
        <v>#N/A</v>
      </c>
    </row>
    <row r="901" spans="2:3">
      <c r="B901" s="52"/>
      <c r="C901" s="60" t="e">
        <f ca="1"/>
        <v>#N/A</v>
      </c>
    </row>
    <row r="902" spans="2:3">
      <c r="B902" s="52"/>
      <c r="C902" s="60" t="e">
        <f ca="1"/>
        <v>#N/A</v>
      </c>
    </row>
    <row r="903" spans="2:3">
      <c r="B903" s="52"/>
      <c r="C903" s="60" t="e">
        <f ca="1"/>
        <v>#N/A</v>
      </c>
    </row>
    <row r="904" spans="2:3">
      <c r="B904" s="52"/>
      <c r="C904" s="60" t="e">
        <f ca="1"/>
        <v>#N/A</v>
      </c>
    </row>
    <row r="905" spans="2:3">
      <c r="B905" s="52"/>
      <c r="C905" s="60" t="e">
        <f ca="1"/>
        <v>#N/A</v>
      </c>
    </row>
    <row r="906" spans="2:3">
      <c r="B906" s="52"/>
      <c r="C906" s="60" t="e">
        <f ca="1"/>
        <v>#N/A</v>
      </c>
    </row>
    <row r="907" spans="2:3">
      <c r="B907" s="52"/>
      <c r="C907" s="60" t="e">
        <f ca="1"/>
        <v>#N/A</v>
      </c>
    </row>
    <row r="908" spans="2:3">
      <c r="B908" s="52"/>
      <c r="C908" s="60" t="e">
        <f ca="1"/>
        <v>#N/A</v>
      </c>
    </row>
    <row r="909" spans="2:3">
      <c r="B909" s="52"/>
      <c r="C909" s="60" t="e">
        <f ca="1"/>
        <v>#N/A</v>
      </c>
    </row>
    <row r="910" spans="2:3">
      <c r="B910" s="52"/>
      <c r="C910" s="60" t="e">
        <f ca="1"/>
        <v>#N/A</v>
      </c>
    </row>
    <row r="911" spans="2:3">
      <c r="B911" s="52"/>
      <c r="C911" s="60" t="e">
        <f ca="1"/>
        <v>#N/A</v>
      </c>
    </row>
    <row r="912" spans="2:3">
      <c r="B912" s="52"/>
      <c r="C912" s="60" t="e">
        <f ca="1"/>
        <v>#N/A</v>
      </c>
    </row>
    <row r="913" spans="2:3">
      <c r="B913" s="52"/>
      <c r="C913" s="60" t="e">
        <f ca="1"/>
        <v>#N/A</v>
      </c>
    </row>
    <row r="914" spans="2:3">
      <c r="B914" s="52"/>
      <c r="C914" s="60" t="e">
        <f ca="1"/>
        <v>#N/A</v>
      </c>
    </row>
    <row r="915" spans="2:3">
      <c r="B915" s="52"/>
      <c r="C915" s="60" t="e">
        <f ca="1"/>
        <v>#N/A</v>
      </c>
    </row>
    <row r="916" spans="2:3">
      <c r="B916" s="52"/>
      <c r="C916" s="60" t="e">
        <f ca="1"/>
        <v>#N/A</v>
      </c>
    </row>
    <row r="917" spans="2:3">
      <c r="B917" s="52"/>
      <c r="C917" s="60" t="e">
        <f ca="1"/>
        <v>#N/A</v>
      </c>
    </row>
    <row r="918" spans="2:3">
      <c r="B918" s="52"/>
      <c r="C918" s="60" t="e">
        <f ca="1"/>
        <v>#N/A</v>
      </c>
    </row>
    <row r="919" spans="2:3">
      <c r="B919" s="52"/>
      <c r="C919" s="60" t="e">
        <f ca="1"/>
        <v>#N/A</v>
      </c>
    </row>
    <row r="920" spans="2:3">
      <c r="B920" s="52"/>
      <c r="C920" s="51" t="e">
        <f ca="1"/>
        <v>#N/A</v>
      </c>
    </row>
    <row r="921" spans="2:3">
      <c r="B921" s="52"/>
      <c r="C921" s="51" t="e">
        <f ca="1"/>
        <v>#N/A</v>
      </c>
    </row>
    <row r="922" spans="2:3">
      <c r="B922" s="52"/>
      <c r="C922" s="51" t="e">
        <f ca="1"/>
        <v>#N/A</v>
      </c>
    </row>
    <row r="923" spans="2:3">
      <c r="B923" s="52"/>
      <c r="C923" s="51" t="e">
        <f ca="1"/>
        <v>#N/A</v>
      </c>
    </row>
    <row r="924" spans="2:3">
      <c r="B924" s="52"/>
      <c r="C924" s="51" t="e">
        <f ca="1"/>
        <v>#N/A</v>
      </c>
    </row>
    <row r="925" spans="2:3">
      <c r="B925" s="52"/>
      <c r="C925" s="51" t="e">
        <f ca="1"/>
        <v>#N/A</v>
      </c>
    </row>
    <row r="926" spans="2:3">
      <c r="B926" s="52"/>
      <c r="C926" s="51" t="e">
        <f ca="1"/>
        <v>#N/A</v>
      </c>
    </row>
    <row r="927" spans="2:3">
      <c r="B927" s="52"/>
      <c r="C927" s="51" t="e">
        <f ca="1"/>
        <v>#N/A</v>
      </c>
    </row>
    <row r="928" spans="2:3">
      <c r="B928" s="52"/>
      <c r="C928" s="51" t="e">
        <f ca="1"/>
        <v>#N/A</v>
      </c>
    </row>
    <row r="929" spans="2:3">
      <c r="B929" s="52"/>
      <c r="C929" s="51" t="e">
        <f ca="1"/>
        <v>#N/A</v>
      </c>
    </row>
    <row r="930" spans="2:3">
      <c r="B930" s="52"/>
      <c r="C930" s="51" t="e">
        <f ca="1"/>
        <v>#N/A</v>
      </c>
    </row>
    <row r="931" spans="2:3">
      <c r="B931" s="52"/>
      <c r="C931" s="51" t="e">
        <f ca="1"/>
        <v>#N/A</v>
      </c>
    </row>
    <row r="932" spans="2:3">
      <c r="B932" s="52"/>
      <c r="C932" s="51" t="e">
        <f ca="1"/>
        <v>#N/A</v>
      </c>
    </row>
    <row r="933" spans="2:3">
      <c r="B933" s="52"/>
      <c r="C933" s="51" t="e">
        <f ca="1"/>
        <v>#N/A</v>
      </c>
    </row>
    <row r="934" spans="2:3">
      <c r="B934" s="52"/>
      <c r="C934" s="51" t="e">
        <f ca="1"/>
        <v>#N/A</v>
      </c>
    </row>
    <row r="935" spans="2:3">
      <c r="B935" s="52"/>
      <c r="C935" s="51" t="e">
        <f ca="1"/>
        <v>#N/A</v>
      </c>
    </row>
    <row r="936" spans="2:3">
      <c r="B936" s="52"/>
      <c r="C936" s="51" t="e">
        <f ca="1"/>
        <v>#N/A</v>
      </c>
    </row>
    <row r="937" spans="2:3">
      <c r="B937" s="52"/>
      <c r="C937" s="51" t="e">
        <f ca="1"/>
        <v>#N/A</v>
      </c>
    </row>
    <row r="938" spans="2:3">
      <c r="B938" s="52"/>
      <c r="C938" s="51" t="e">
        <f ca="1"/>
        <v>#N/A</v>
      </c>
    </row>
    <row r="939" spans="2:3">
      <c r="B939" s="52"/>
      <c r="C939" s="51" t="e">
        <f ca="1"/>
        <v>#N/A</v>
      </c>
    </row>
    <row r="940" spans="2:3">
      <c r="B940" s="52"/>
      <c r="C940" s="51" t="e">
        <f ca="1"/>
        <v>#N/A</v>
      </c>
    </row>
    <row r="941" spans="2:3">
      <c r="B941" s="52"/>
      <c r="C941" s="51" t="e">
        <f ca="1"/>
        <v>#N/A</v>
      </c>
    </row>
    <row r="942" spans="2:3">
      <c r="B942" s="52"/>
      <c r="C942" s="51" t="e">
        <f ca="1"/>
        <v>#N/A</v>
      </c>
    </row>
    <row r="943" spans="2:3">
      <c r="B943" s="52"/>
      <c r="C943" s="51" t="e">
        <f ca="1"/>
        <v>#N/A</v>
      </c>
    </row>
    <row r="944" spans="2:3">
      <c r="B944" s="52"/>
      <c r="C944" s="51" t="e">
        <f ca="1"/>
        <v>#N/A</v>
      </c>
    </row>
    <row r="945" spans="2:3">
      <c r="B945" s="52"/>
      <c r="C945" s="51" t="e">
        <f ca="1"/>
        <v>#N/A</v>
      </c>
    </row>
    <row r="946" spans="2:3">
      <c r="B946" s="52"/>
      <c r="C946" s="51" t="e">
        <f ca="1"/>
        <v>#N/A</v>
      </c>
    </row>
    <row r="947" spans="2:3">
      <c r="B947" s="52"/>
      <c r="C947" s="51" t="e">
        <f ca="1"/>
        <v>#N/A</v>
      </c>
    </row>
    <row r="948" spans="2:3">
      <c r="B948" s="52"/>
      <c r="C948" s="51" t="e">
        <f ca="1"/>
        <v>#N/A</v>
      </c>
    </row>
    <row r="949" spans="2:3">
      <c r="B949" s="52"/>
      <c r="C949" s="51" t="e">
        <f ca="1"/>
        <v>#N/A</v>
      </c>
    </row>
    <row r="950" spans="2:3">
      <c r="B950" s="52"/>
      <c r="C950" s="51" t="e">
        <f ca="1"/>
        <v>#N/A</v>
      </c>
    </row>
    <row r="951" spans="2:3">
      <c r="B951" s="52"/>
      <c r="C951" s="51" t="e">
        <f ca="1"/>
        <v>#N/A</v>
      </c>
    </row>
    <row r="952" spans="2:3">
      <c r="B952" s="52"/>
      <c r="C952" s="51" t="e">
        <f ca="1"/>
        <v>#N/A</v>
      </c>
    </row>
    <row r="953" spans="2:3">
      <c r="B953" s="52"/>
      <c r="C953" s="51" t="e">
        <f ca="1"/>
        <v>#N/A</v>
      </c>
    </row>
    <row r="954" spans="2:3">
      <c r="B954" s="52"/>
      <c r="C954" s="51" t="e">
        <f ca="1"/>
        <v>#N/A</v>
      </c>
    </row>
    <row r="955" spans="2:3">
      <c r="B955" s="52"/>
      <c r="C955" s="51" t="e">
        <f ca="1"/>
        <v>#N/A</v>
      </c>
    </row>
    <row r="956" spans="2:3">
      <c r="B956" s="52"/>
      <c r="C956" s="51" t="e">
        <f ca="1"/>
        <v>#N/A</v>
      </c>
    </row>
    <row r="957" spans="2:3">
      <c r="B957" s="52"/>
      <c r="C957" s="51" t="e">
        <f ca="1"/>
        <v>#N/A</v>
      </c>
    </row>
    <row r="958" spans="2:3">
      <c r="B958" s="52"/>
      <c r="C958" s="51" t="e">
        <f ca="1"/>
        <v>#N/A</v>
      </c>
    </row>
    <row r="959" spans="2:3">
      <c r="B959" s="52"/>
      <c r="C959" s="51" t="e">
        <f ca="1"/>
        <v>#N/A</v>
      </c>
    </row>
    <row r="960" spans="2:3">
      <c r="B960" s="52"/>
      <c r="C960" s="51" t="e">
        <f ca="1"/>
        <v>#N/A</v>
      </c>
    </row>
    <row r="961" spans="2:3">
      <c r="B961" s="52"/>
      <c r="C961" s="51" t="e">
        <f ca="1"/>
        <v>#N/A</v>
      </c>
    </row>
    <row r="962" spans="2:3">
      <c r="B962" s="52"/>
      <c r="C962" s="51" t="e">
        <f ca="1"/>
        <v>#N/A</v>
      </c>
    </row>
    <row r="963" spans="2:3">
      <c r="B963" s="52"/>
      <c r="C963" s="51" t="e">
        <f ca="1"/>
        <v>#N/A</v>
      </c>
    </row>
    <row r="964" spans="2:3">
      <c r="B964" s="52"/>
      <c r="C964" s="51" t="e">
        <f ca="1"/>
        <v>#N/A</v>
      </c>
    </row>
    <row r="965" spans="2:3">
      <c r="B965" s="52"/>
      <c r="C965" s="51" t="e">
        <f ca="1"/>
        <v>#N/A</v>
      </c>
    </row>
    <row r="966" spans="2:3">
      <c r="B966" s="52"/>
      <c r="C966" s="51" t="e">
        <f ca="1"/>
        <v>#N/A</v>
      </c>
    </row>
    <row r="967" spans="2:3">
      <c r="B967" s="52"/>
      <c r="C967" s="51" t="e">
        <f ca="1"/>
        <v>#N/A</v>
      </c>
    </row>
    <row r="968" spans="2:3">
      <c r="B968" s="52"/>
      <c r="C968" s="51" t="e">
        <f ca="1"/>
        <v>#N/A</v>
      </c>
    </row>
    <row r="969" spans="2:3">
      <c r="B969" s="52"/>
      <c r="C969" s="51" t="e">
        <f ca="1"/>
        <v>#N/A</v>
      </c>
    </row>
    <row r="970" spans="2:3">
      <c r="B970" s="52"/>
      <c r="C970" s="51" t="e">
        <f ca="1"/>
        <v>#N/A</v>
      </c>
    </row>
    <row r="971" spans="2:3">
      <c r="B971" s="52"/>
      <c r="C971" s="51" t="e">
        <f ca="1"/>
        <v>#N/A</v>
      </c>
    </row>
    <row r="972" spans="2:3">
      <c r="B972" s="52"/>
      <c r="C972" s="51" t="e">
        <f ca="1"/>
        <v>#N/A</v>
      </c>
    </row>
    <row r="973" spans="2:3">
      <c r="B973" s="52"/>
      <c r="C973" s="51" t="e">
        <f ca="1"/>
        <v>#N/A</v>
      </c>
    </row>
    <row r="974" spans="2:3">
      <c r="B974" s="52"/>
      <c r="C974" s="51" t="e">
        <f ca="1"/>
        <v>#N/A</v>
      </c>
    </row>
    <row r="975" spans="2:3">
      <c r="B975" s="52"/>
      <c r="C975" s="51" t="e">
        <f ca="1"/>
        <v>#N/A</v>
      </c>
    </row>
    <row r="976" spans="2:3">
      <c r="B976" s="52"/>
      <c r="C976" s="51" t="e">
        <f ca="1"/>
        <v>#N/A</v>
      </c>
    </row>
    <row r="977" spans="2:3">
      <c r="B977" s="52"/>
      <c r="C977" s="51" t="e">
        <f ca="1"/>
        <v>#N/A</v>
      </c>
    </row>
    <row r="978" spans="2:3">
      <c r="B978" s="52"/>
      <c r="C978" s="51" t="e">
        <f ca="1"/>
        <v>#N/A</v>
      </c>
    </row>
    <row r="979" spans="2:3">
      <c r="B979" s="52"/>
      <c r="C979" s="51" t="e">
        <f ca="1"/>
        <v>#N/A</v>
      </c>
    </row>
    <row r="980" spans="2:3">
      <c r="B980" s="52"/>
      <c r="C980" s="51" t="e">
        <f ca="1"/>
        <v>#N/A</v>
      </c>
    </row>
    <row r="981" spans="2:3">
      <c r="B981" s="52"/>
      <c r="C981" s="51" t="e">
        <f ca="1"/>
        <v>#N/A</v>
      </c>
    </row>
    <row r="982" spans="2:3">
      <c r="B982" s="52"/>
      <c r="C982" s="51" t="e">
        <f ca="1"/>
        <v>#N/A</v>
      </c>
    </row>
    <row r="983" spans="2:3">
      <c r="B983" s="52"/>
      <c r="C983" s="51" t="e">
        <f ca="1"/>
        <v>#N/A</v>
      </c>
    </row>
    <row r="984" spans="2:3">
      <c r="B984" s="52"/>
      <c r="C984" s="51" t="e">
        <f ca="1"/>
        <v>#N/A</v>
      </c>
    </row>
    <row r="985" spans="2:3">
      <c r="B985" s="52"/>
      <c r="C985" s="51" t="e">
        <f ca="1"/>
        <v>#N/A</v>
      </c>
    </row>
    <row r="986" spans="2:3">
      <c r="B986" s="52"/>
      <c r="C986" s="51" t="e">
        <f ca="1"/>
        <v>#N/A</v>
      </c>
    </row>
    <row r="987" spans="2:3">
      <c r="B987" s="52"/>
      <c r="C987" s="51" t="e">
        <f ca="1"/>
        <v>#N/A</v>
      </c>
    </row>
    <row r="988" spans="2:3">
      <c r="B988" s="52"/>
      <c r="C988" s="51" t="e">
        <f ca="1"/>
        <v>#N/A</v>
      </c>
    </row>
    <row r="989" spans="2:3">
      <c r="B989" s="52"/>
      <c r="C989" s="51" t="e">
        <f ca="1"/>
        <v>#N/A</v>
      </c>
    </row>
    <row r="990" spans="2:3">
      <c r="B990" s="52"/>
      <c r="C990" s="51" t="e">
        <f ca="1"/>
        <v>#N/A</v>
      </c>
    </row>
    <row r="991" spans="2:3">
      <c r="B991" s="52"/>
      <c r="C991" s="51" t="e">
        <f ca="1"/>
        <v>#N/A</v>
      </c>
    </row>
    <row r="992" spans="2:3">
      <c r="B992" s="52"/>
      <c r="C992" s="51" t="e">
        <f ca="1"/>
        <v>#N/A</v>
      </c>
    </row>
    <row r="993" spans="2:3">
      <c r="B993" s="52"/>
      <c r="C993" s="51" t="e">
        <f ca="1"/>
        <v>#N/A</v>
      </c>
    </row>
    <row r="994" spans="2:3">
      <c r="B994" s="52"/>
      <c r="C994" s="51" t="e">
        <f ca="1"/>
        <v>#N/A</v>
      </c>
    </row>
    <row r="995" spans="2:3">
      <c r="B995" s="52"/>
      <c r="C995" s="51" t="e">
        <f ca="1"/>
        <v>#N/A</v>
      </c>
    </row>
    <row r="996" spans="2:3">
      <c r="B996" s="52"/>
      <c r="C996" s="51" t="e">
        <f ca="1"/>
        <v>#N/A</v>
      </c>
    </row>
    <row r="997" spans="2:3">
      <c r="B997" s="52"/>
      <c r="C997" s="51" t="e">
        <f ca="1"/>
        <v>#N/A</v>
      </c>
    </row>
    <row r="998" spans="2:3">
      <c r="B998" s="52"/>
      <c r="C998" s="51" t="e">
        <f ca="1"/>
        <v>#N/A</v>
      </c>
    </row>
    <row r="999" spans="2:3">
      <c r="B999" s="52"/>
      <c r="C999" s="51" t="e">
        <f ca="1"/>
        <v>#N/A</v>
      </c>
    </row>
    <row r="1000" spans="2:3">
      <c r="B1000" s="52"/>
      <c r="C1000" s="51" t="e">
        <f ca="1"/>
        <v>#N/A</v>
      </c>
    </row>
    <row r="1001" spans="2:3">
      <c r="B1001" s="52"/>
      <c r="C1001" s="51" t="e">
        <f ca="1"/>
        <v>#N/A</v>
      </c>
    </row>
    <row r="1002" spans="2:3">
      <c r="B1002" s="52"/>
      <c r="C1002" s="51" t="e">
        <f ca="1"/>
        <v>#N/A</v>
      </c>
    </row>
    <row r="1003" spans="2:3">
      <c r="B1003" s="52"/>
      <c r="C1003" s="51" t="e">
        <f ca="1"/>
        <v>#N/A</v>
      </c>
    </row>
    <row r="1004" spans="2:3">
      <c r="B1004" s="52"/>
      <c r="C1004" s="51" t="e">
        <f ca="1"/>
        <v>#N/A</v>
      </c>
    </row>
    <row r="1005" spans="2:3">
      <c r="B1005" s="52"/>
      <c r="C1005" s="51" t="e">
        <f ca="1"/>
        <v>#N/A</v>
      </c>
    </row>
    <row r="1006" spans="2:3">
      <c r="B1006" s="52"/>
      <c r="C1006" s="51" t="e">
        <f ca="1"/>
        <v>#N/A</v>
      </c>
    </row>
    <row r="1007" spans="2:3">
      <c r="B1007" s="52"/>
      <c r="C1007" s="51" t="e">
        <f ca="1"/>
        <v>#N/A</v>
      </c>
    </row>
    <row r="1008" spans="2:3">
      <c r="B1008" s="52"/>
      <c r="C1008" s="51" t="e">
        <f ca="1"/>
        <v>#N/A</v>
      </c>
    </row>
    <row r="1009" spans="2:3">
      <c r="B1009" s="52"/>
      <c r="C1009" s="51" t="e">
        <f ca="1"/>
        <v>#N/A</v>
      </c>
    </row>
    <row r="1010" spans="2:3">
      <c r="B1010" s="52"/>
      <c r="C1010" s="51" t="e">
        <f ca="1"/>
        <v>#N/A</v>
      </c>
    </row>
    <row r="1011" spans="2:3">
      <c r="B1011" s="52"/>
      <c r="C1011" s="51" t="e">
        <f ca="1"/>
        <v>#N/A</v>
      </c>
    </row>
    <row r="1012" spans="2:3">
      <c r="B1012" s="52"/>
      <c r="C1012" s="51" t="e">
        <f ca="1"/>
        <v>#N/A</v>
      </c>
    </row>
    <row r="1013" spans="2:3">
      <c r="B1013" s="52"/>
      <c r="C1013" s="51" t="e">
        <f ca="1"/>
        <v>#N/A</v>
      </c>
    </row>
    <row r="1014" spans="2:3">
      <c r="B1014" s="52"/>
      <c r="C1014" s="51" t="e">
        <f ca="1"/>
        <v>#N/A</v>
      </c>
    </row>
    <row r="1015" spans="2:3">
      <c r="B1015" s="52"/>
      <c r="C1015" s="51" t="e">
        <f ca="1"/>
        <v>#N/A</v>
      </c>
    </row>
    <row r="1016" spans="2:3">
      <c r="B1016" s="52"/>
      <c r="C1016" s="51" t="e">
        <f ca="1"/>
        <v>#N/A</v>
      </c>
    </row>
    <row r="1017" spans="2:3">
      <c r="B1017" s="52"/>
      <c r="C1017" s="51" t="e">
        <f ca="1"/>
        <v>#N/A</v>
      </c>
    </row>
    <row r="1018" spans="2:3">
      <c r="B1018" s="52"/>
      <c r="C1018" s="51" t="e">
        <f ca="1"/>
        <v>#N/A</v>
      </c>
    </row>
    <row r="1019" spans="2:3">
      <c r="B1019" s="52"/>
      <c r="C1019" s="51" t="e">
        <f ca="1"/>
        <v>#N/A</v>
      </c>
    </row>
    <row r="1020" spans="2:3">
      <c r="B1020" s="52"/>
      <c r="C1020" s="51" t="e">
        <f ca="1"/>
        <v>#N/A</v>
      </c>
    </row>
    <row r="1021" spans="2:3">
      <c r="B1021" s="52"/>
      <c r="C1021" s="51" t="e">
        <f ca="1"/>
        <v>#N/A</v>
      </c>
    </row>
    <row r="1022" spans="2:3">
      <c r="B1022" s="52"/>
      <c r="C1022" s="51" t="e">
        <f ca="1"/>
        <v>#N/A</v>
      </c>
    </row>
    <row r="1023" spans="2:3">
      <c r="B1023" s="52"/>
      <c r="C1023" s="51" t="e">
        <f ca="1"/>
        <v>#N/A</v>
      </c>
    </row>
    <row r="1024" spans="2:3">
      <c r="B1024" s="52"/>
      <c r="C1024" s="51" t="e">
        <f ca="1"/>
        <v>#N/A</v>
      </c>
    </row>
    <row r="1025" spans="2:3">
      <c r="B1025" s="52"/>
      <c r="C1025" s="51" t="e">
        <f ca="1"/>
        <v>#N/A</v>
      </c>
    </row>
    <row r="1026" spans="2:3">
      <c r="B1026" s="52"/>
      <c r="C1026" s="51" t="e">
        <f ca="1"/>
        <v>#N/A</v>
      </c>
    </row>
    <row r="1027" spans="2:3">
      <c r="B1027" s="52"/>
      <c r="C1027" s="51" t="e">
        <f ca="1"/>
        <v>#N/A</v>
      </c>
    </row>
    <row r="1028" spans="2:3">
      <c r="B1028" s="52"/>
      <c r="C1028" s="51" t="e">
        <f ca="1"/>
        <v>#N/A</v>
      </c>
    </row>
    <row r="1029" spans="2:3">
      <c r="B1029" s="52"/>
      <c r="C1029" s="51" t="e">
        <f ca="1"/>
        <v>#N/A</v>
      </c>
    </row>
    <row r="1030" spans="2:3">
      <c r="B1030" s="52"/>
      <c r="C1030" s="51" t="e">
        <f ca="1"/>
        <v>#N/A</v>
      </c>
    </row>
    <row r="1031" spans="2:3">
      <c r="B1031" s="52"/>
      <c r="C1031" s="51" t="e">
        <f ca="1"/>
        <v>#N/A</v>
      </c>
    </row>
    <row r="1032" spans="2:3">
      <c r="B1032" s="52"/>
      <c r="C1032" s="51" t="e">
        <f ca="1"/>
        <v>#N/A</v>
      </c>
    </row>
    <row r="1033" spans="2:3">
      <c r="B1033" s="52"/>
      <c r="C1033" s="51" t="e">
        <f ca="1"/>
        <v>#N/A</v>
      </c>
    </row>
    <row r="1034" spans="2:3">
      <c r="B1034" s="52"/>
      <c r="C1034" s="51" t="e">
        <f ca="1"/>
        <v>#N/A</v>
      </c>
    </row>
    <row r="1035" spans="2:3">
      <c r="B1035" s="52"/>
      <c r="C1035" s="51" t="e">
        <f ca="1"/>
        <v>#N/A</v>
      </c>
    </row>
    <row r="1036" spans="2:3">
      <c r="B1036" s="52"/>
      <c r="C1036" s="51" t="e">
        <f ca="1"/>
        <v>#N/A</v>
      </c>
    </row>
    <row r="1037" spans="2:3">
      <c r="B1037" s="52"/>
      <c r="C1037" s="51" t="e">
        <f ca="1"/>
        <v>#N/A</v>
      </c>
    </row>
    <row r="1038" spans="2:3">
      <c r="B1038" s="52"/>
      <c r="C1038" s="51" t="e">
        <f ca="1"/>
        <v>#N/A</v>
      </c>
    </row>
    <row r="1039" spans="2:3">
      <c r="B1039" s="52"/>
      <c r="C1039" s="51" t="e">
        <f ca="1"/>
        <v>#N/A</v>
      </c>
    </row>
    <row r="1040" spans="2:3">
      <c r="B1040" s="52"/>
      <c r="C1040" s="51" t="e">
        <f ca="1"/>
        <v>#N/A</v>
      </c>
    </row>
    <row r="1041" spans="2:3">
      <c r="B1041" s="52"/>
      <c r="C1041" s="51" t="e">
        <f ca="1"/>
        <v>#N/A</v>
      </c>
    </row>
    <row r="1042" spans="2:3">
      <c r="B1042" s="52"/>
      <c r="C1042" s="51" t="e">
        <f ca="1"/>
        <v>#N/A</v>
      </c>
    </row>
    <row r="1043" spans="2:3">
      <c r="B1043" s="52"/>
      <c r="C1043" s="51" t="e">
        <f ca="1"/>
        <v>#N/A</v>
      </c>
    </row>
    <row r="1044" spans="2:3">
      <c r="B1044" s="52"/>
      <c r="C1044" s="51" t="e">
        <f ca="1"/>
        <v>#N/A</v>
      </c>
    </row>
    <row r="1045" spans="2:3">
      <c r="B1045" s="52"/>
      <c r="C1045" s="51" t="e">
        <f ca="1"/>
        <v>#N/A</v>
      </c>
    </row>
    <row r="1046" spans="2:3">
      <c r="B1046" s="52"/>
      <c r="C1046" s="51" t="e">
        <f ca="1"/>
        <v>#N/A</v>
      </c>
    </row>
    <row r="1047" spans="2:3">
      <c r="B1047" s="52"/>
      <c r="C1047" s="51" t="e">
        <f ca="1"/>
        <v>#N/A</v>
      </c>
    </row>
    <row r="1048" spans="2:3">
      <c r="B1048" s="52"/>
      <c r="C1048" s="51" t="e">
        <f ca="1"/>
        <v>#N/A</v>
      </c>
    </row>
    <row r="1049" spans="2:3">
      <c r="B1049" s="52"/>
      <c r="C1049" s="51" t="e">
        <f ca="1"/>
        <v>#N/A</v>
      </c>
    </row>
    <row r="1050" spans="2:3">
      <c r="B1050" s="52"/>
      <c r="C1050" s="51" t="e">
        <f ca="1"/>
        <v>#N/A</v>
      </c>
    </row>
    <row r="1051" spans="2:3">
      <c r="B1051" s="52"/>
      <c r="C1051" s="51" t="e">
        <f ca="1"/>
        <v>#N/A</v>
      </c>
    </row>
    <row r="1052" spans="2:3">
      <c r="B1052" s="52"/>
      <c r="C1052" s="51" t="e">
        <f ca="1"/>
        <v>#N/A</v>
      </c>
    </row>
    <row r="1053" spans="2:3">
      <c r="B1053" s="52"/>
      <c r="C1053" s="51" t="e">
        <f ca="1"/>
        <v>#N/A</v>
      </c>
    </row>
    <row r="1054" spans="2:3">
      <c r="B1054" s="52"/>
      <c r="C1054" s="51" t="e">
        <f ca="1"/>
        <v>#N/A</v>
      </c>
    </row>
    <row r="1055" spans="2:3">
      <c r="B1055" s="52"/>
      <c r="C1055" s="51" t="e">
        <f ca="1"/>
        <v>#N/A</v>
      </c>
    </row>
    <row r="1056" spans="2:3">
      <c r="B1056" s="52"/>
      <c r="C1056" s="51" t="e">
        <f ca="1"/>
        <v>#N/A</v>
      </c>
    </row>
    <row r="1057" spans="2:3">
      <c r="B1057" s="52"/>
      <c r="C1057" s="51" t="e">
        <f ca="1"/>
        <v>#N/A</v>
      </c>
    </row>
    <row r="1058" spans="2:3">
      <c r="B1058" s="52"/>
      <c r="C1058" s="51" t="e">
        <f ca="1"/>
        <v>#N/A</v>
      </c>
    </row>
    <row r="1059" spans="2:3">
      <c r="B1059" s="52"/>
      <c r="C1059" s="51" t="e">
        <f ca="1"/>
        <v>#N/A</v>
      </c>
    </row>
    <row r="1060" spans="2:3">
      <c r="B1060" s="52"/>
      <c r="C1060" s="51" t="e">
        <f ca="1"/>
        <v>#N/A</v>
      </c>
    </row>
    <row r="1061" spans="2:3">
      <c r="B1061" s="52"/>
      <c r="C1061" s="51" t="e">
        <f ca="1"/>
        <v>#N/A</v>
      </c>
    </row>
    <row r="1062" spans="2:3">
      <c r="B1062" s="52"/>
      <c r="C1062" s="51" t="e">
        <f ca="1"/>
        <v>#N/A</v>
      </c>
    </row>
    <row r="1063" spans="2:3">
      <c r="B1063" s="52"/>
      <c r="C1063" s="51" t="e">
        <f ca="1"/>
        <v>#N/A</v>
      </c>
    </row>
    <row r="1064" spans="2:3">
      <c r="B1064" s="52"/>
      <c r="C1064" s="51" t="e">
        <f ca="1"/>
        <v>#N/A</v>
      </c>
    </row>
    <row r="1065" spans="2:3">
      <c r="B1065" s="52"/>
      <c r="C1065" s="51" t="e">
        <f ca="1"/>
        <v>#N/A</v>
      </c>
    </row>
    <row r="1066" spans="2:3">
      <c r="B1066" s="52"/>
      <c r="C1066" s="51" t="e">
        <f ca="1"/>
        <v>#N/A</v>
      </c>
    </row>
    <row r="1067" spans="2:3">
      <c r="B1067" s="52"/>
      <c r="C1067" s="51" t="e">
        <f ca="1"/>
        <v>#N/A</v>
      </c>
    </row>
    <row r="1068" spans="2:3">
      <c r="B1068" s="52"/>
      <c r="C1068" s="51" t="e">
        <f ca="1"/>
        <v>#N/A</v>
      </c>
    </row>
    <row r="1069" spans="2:3">
      <c r="B1069" s="52"/>
      <c r="C1069" s="51" t="e">
        <f ca="1"/>
        <v>#N/A</v>
      </c>
    </row>
    <row r="1070" spans="2:3">
      <c r="B1070" s="52"/>
      <c r="C1070" s="51" t="e">
        <f ca="1"/>
        <v>#N/A</v>
      </c>
    </row>
    <row r="1071" spans="2:3">
      <c r="B1071" s="52"/>
      <c r="C1071" s="51" t="e">
        <f ca="1"/>
        <v>#N/A</v>
      </c>
    </row>
    <row r="1072" spans="2:3">
      <c r="B1072" s="52"/>
      <c r="C1072" s="51" t="e">
        <f ca="1"/>
        <v>#N/A</v>
      </c>
    </row>
    <row r="1073" spans="2:3">
      <c r="B1073" s="52"/>
      <c r="C1073" s="51" t="e">
        <f ca="1"/>
        <v>#N/A</v>
      </c>
    </row>
    <row r="1074" spans="2:3">
      <c r="B1074" s="52"/>
      <c r="C1074" s="51" t="e">
        <f ca="1"/>
        <v>#N/A</v>
      </c>
    </row>
    <row r="1075" spans="2:3">
      <c r="B1075" s="52"/>
      <c r="C1075" s="51" t="e">
        <f ca="1"/>
        <v>#N/A</v>
      </c>
    </row>
    <row r="1076" spans="2:3">
      <c r="B1076" s="52"/>
      <c r="C1076" s="51" t="e">
        <f ca="1"/>
        <v>#N/A</v>
      </c>
    </row>
    <row r="1077" spans="2:3">
      <c r="B1077" s="52"/>
      <c r="C1077" s="51" t="e">
        <f ca="1"/>
        <v>#N/A</v>
      </c>
    </row>
    <row r="1078" spans="2:3">
      <c r="B1078" s="52"/>
      <c r="C1078" s="51" t="e">
        <f ca="1"/>
        <v>#N/A</v>
      </c>
    </row>
    <row r="1079" spans="2:3">
      <c r="B1079" s="52"/>
      <c r="C1079" s="51" t="e">
        <f ca="1"/>
        <v>#N/A</v>
      </c>
    </row>
    <row r="1080" spans="2:3">
      <c r="B1080" s="52"/>
      <c r="C1080" s="51" t="e">
        <f ca="1"/>
        <v>#N/A</v>
      </c>
    </row>
    <row r="1081" spans="2:3">
      <c r="B1081" s="52"/>
      <c r="C1081" s="51" t="e">
        <f ca="1"/>
        <v>#N/A</v>
      </c>
    </row>
    <row r="1082" spans="2:3">
      <c r="B1082" s="52"/>
      <c r="C1082" s="51" t="e">
        <f ca="1"/>
        <v>#N/A</v>
      </c>
    </row>
    <row r="1083" spans="2:3">
      <c r="B1083" s="52"/>
      <c r="C1083" s="51" t="e">
        <f ca="1"/>
        <v>#N/A</v>
      </c>
    </row>
    <row r="1084" spans="2:3">
      <c r="B1084" s="52"/>
      <c r="C1084" s="51" t="e">
        <f ca="1"/>
        <v>#N/A</v>
      </c>
    </row>
    <row r="1085" spans="2:3">
      <c r="B1085" s="52"/>
      <c r="C1085" s="51" t="e">
        <f ca="1"/>
        <v>#N/A</v>
      </c>
    </row>
    <row r="1086" spans="2:3">
      <c r="B1086" s="52"/>
      <c r="C1086" s="51" t="e">
        <f ca="1"/>
        <v>#N/A</v>
      </c>
    </row>
    <row r="1087" spans="2:3">
      <c r="B1087" s="52"/>
      <c r="C1087" s="51" t="e">
        <f ca="1"/>
        <v>#N/A</v>
      </c>
    </row>
    <row r="1088" spans="2:3">
      <c r="B1088" s="52"/>
      <c r="C1088" s="51" t="e">
        <f ca="1"/>
        <v>#N/A</v>
      </c>
    </row>
    <row r="1089" spans="2:3">
      <c r="B1089" s="52"/>
      <c r="C1089" s="51" t="e">
        <f ca="1"/>
        <v>#N/A</v>
      </c>
    </row>
  </sheetData>
  <phoneticPr fontId="4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204"/>
  <sheetViews>
    <sheetView topLeftCell="B157" workbookViewId="0">
      <selection activeCell="I1" sqref="I1:P202"/>
    </sheetView>
  </sheetViews>
  <sheetFormatPr defaultRowHeight="13.5"/>
  <cols>
    <col min="1" max="1" width="11.625" bestFit="1" customWidth="1"/>
    <col min="9" max="9" width="19.375" bestFit="1" customWidth="1"/>
    <col min="10" max="16" width="20.5" bestFit="1" customWidth="1"/>
  </cols>
  <sheetData>
    <row r="1" spans="1:16">
      <c r="A1" s="61" t="s">
        <v>113</v>
      </c>
      <c r="B1">
        <v>1</v>
      </c>
      <c r="C1">
        <v>2</v>
      </c>
      <c r="D1">
        <v>5</v>
      </c>
      <c r="E1">
        <v>7</v>
      </c>
      <c r="F1">
        <v>10</v>
      </c>
      <c r="G1">
        <v>20</v>
      </c>
      <c r="H1">
        <v>30</v>
      </c>
      <c r="I1">
        <v>1</v>
      </c>
      <c r="J1">
        <v>2</v>
      </c>
      <c r="K1">
        <v>5</v>
      </c>
      <c r="L1">
        <v>7</v>
      </c>
      <c r="M1">
        <v>10</v>
      </c>
      <c r="N1">
        <v>20</v>
      </c>
      <c r="O1">
        <v>30</v>
      </c>
      <c r="P1" t="s">
        <v>1891</v>
      </c>
    </row>
    <row r="2" spans="1:16">
      <c r="A2" s="61">
        <v>41138</v>
      </c>
      <c r="B2">
        <v>4.9095604781046007E-2</v>
      </c>
      <c r="C2">
        <v>4.9095604781046007E-2</v>
      </c>
      <c r="D2">
        <v>4.9095604781046007E-2</v>
      </c>
      <c r="E2">
        <v>4.9095604781046007E-2</v>
      </c>
      <c r="F2">
        <v>4.9095604781046007E-2</v>
      </c>
      <c r="G2">
        <v>4.9095604781046007E-2</v>
      </c>
      <c r="H2">
        <v>4.9095604781046007E-2</v>
      </c>
      <c r="I2" s="73">
        <v>5.0000000001760858E-2</v>
      </c>
      <c r="J2" s="73">
        <v>5.026490800011052E-2</v>
      </c>
      <c r="K2" s="73">
        <v>5.0000000001760858E-2</v>
      </c>
      <c r="L2" s="73">
        <v>5.0000000001760858E-2</v>
      </c>
      <c r="M2" s="73">
        <v>5.0000000001760858E-2</v>
      </c>
      <c r="N2" s="73">
        <v>5.0000000001760858E-2</v>
      </c>
      <c r="O2" s="73">
        <v>5.0000000001760858E-2</v>
      </c>
      <c r="P2">
        <v>5.1037370524787073E-2</v>
      </c>
    </row>
    <row r="3" spans="1:16">
      <c r="A3" s="61">
        <v>41232</v>
      </c>
      <c r="B3">
        <v>4.9095604781046007E-2</v>
      </c>
      <c r="C3">
        <v>4.9351039563654706E-2</v>
      </c>
      <c r="D3">
        <v>4.9095604781046007E-2</v>
      </c>
      <c r="E3">
        <v>4.9095604781046007E-2</v>
      </c>
      <c r="F3">
        <v>4.9095604781046007E-2</v>
      </c>
      <c r="G3">
        <v>4.9095604781046007E-2</v>
      </c>
      <c r="H3">
        <v>4.9095604781046007E-2</v>
      </c>
      <c r="I3" s="73">
        <v>5.00000000017784E-2</v>
      </c>
      <c r="J3" s="73">
        <v>5.0264908000100306E-2</v>
      </c>
      <c r="K3" s="73">
        <v>5.00000000017784E-2</v>
      </c>
      <c r="L3" s="73">
        <v>5.00000000017784E-2</v>
      </c>
      <c r="M3" s="73">
        <v>5.00000000017784E-2</v>
      </c>
      <c r="N3" s="73">
        <v>5.00000000017784E-2</v>
      </c>
      <c r="O3" s="73">
        <v>5.00000000017784E-2</v>
      </c>
      <c r="P3">
        <v>5.1037370524754433E-2</v>
      </c>
    </row>
    <row r="4" spans="1:16">
      <c r="A4" s="61">
        <v>41324</v>
      </c>
      <c r="B4">
        <v>4.9396874776212463E-2</v>
      </c>
      <c r="C4">
        <v>4.9902309558821162E-2</v>
      </c>
      <c r="D4">
        <v>4.9396874776212463E-2</v>
      </c>
      <c r="E4">
        <v>4.9396874776212463E-2</v>
      </c>
      <c r="F4">
        <v>4.9396874776212463E-2</v>
      </c>
      <c r="G4">
        <v>4.9396874776212463E-2</v>
      </c>
      <c r="H4">
        <v>4.9396874776212463E-2</v>
      </c>
      <c r="I4" s="73">
        <v>5.0000000001069411E-2</v>
      </c>
      <c r="J4" s="73">
        <v>5.0516456986090974E-2</v>
      </c>
      <c r="K4" s="73">
        <v>5.0000000001069411E-2</v>
      </c>
      <c r="L4" s="73">
        <v>5.0000000001069411E-2</v>
      </c>
      <c r="M4" s="73">
        <v>5.0000000001069411E-2</v>
      </c>
      <c r="N4" s="73">
        <v>5.0000000001069411E-2</v>
      </c>
      <c r="O4" s="73">
        <v>5.0000000001069411E-2</v>
      </c>
      <c r="P4">
        <v>5.1024733881967821E-2</v>
      </c>
    </row>
    <row r="5" spans="1:16">
      <c r="A5" s="61">
        <v>41414</v>
      </c>
      <c r="B5">
        <v>4.9703998427645578E-2</v>
      </c>
      <c r="C5">
        <v>5.0453998427645579E-2</v>
      </c>
      <c r="D5">
        <v>4.9703998427645578E-2</v>
      </c>
      <c r="E5">
        <v>4.9703998427645578E-2</v>
      </c>
      <c r="F5">
        <v>4.9703998427645578E-2</v>
      </c>
      <c r="G5">
        <v>4.9703998427645578E-2</v>
      </c>
      <c r="H5">
        <v>4.9703998427645578E-2</v>
      </c>
      <c r="I5" s="73">
        <v>5.0000000000006928E-2</v>
      </c>
      <c r="J5" s="73">
        <v>5.0757158286949045E-2</v>
      </c>
      <c r="K5" s="73">
        <v>5.0000000000006928E-2</v>
      </c>
      <c r="L5" s="73">
        <v>5.0000000000006928E-2</v>
      </c>
      <c r="M5" s="73">
        <v>5.0000000000006928E-2</v>
      </c>
      <c r="N5" s="73">
        <v>5.0000000000006928E-2</v>
      </c>
      <c r="O5" s="73">
        <v>5.0000000000006928E-2</v>
      </c>
      <c r="P5">
        <v>5.1012071219151522E-2</v>
      </c>
    </row>
    <row r="6" spans="1:16">
      <c r="A6" s="61">
        <v>41506</v>
      </c>
      <c r="B6">
        <v>4.9989591808261472E-2</v>
      </c>
      <c r="C6">
        <v>5.0989591808261472E-2</v>
      </c>
      <c r="D6">
        <v>4.9989591808261472E-2</v>
      </c>
      <c r="E6">
        <v>4.9989591808261472E-2</v>
      </c>
      <c r="F6">
        <v>4.9989591808261472E-2</v>
      </c>
      <c r="G6">
        <v>4.9989591808261472E-2</v>
      </c>
      <c r="H6">
        <v>4.9989591808261472E-2</v>
      </c>
      <c r="I6" s="73">
        <v>5.0000000000004929E-2</v>
      </c>
      <c r="J6" s="73">
        <v>5.0998405214587983E-2</v>
      </c>
      <c r="K6" s="73">
        <v>5.0000000000004929E-2</v>
      </c>
      <c r="L6" s="73">
        <v>5.0000000000004929E-2</v>
      </c>
      <c r="M6" s="73">
        <v>5.0000000000004929E-2</v>
      </c>
      <c r="N6" s="73">
        <v>5.0000000000004929E-2</v>
      </c>
      <c r="O6" s="73">
        <v>5.0000000000004929E-2</v>
      </c>
      <c r="P6">
        <v>5.1000525361372562E-2</v>
      </c>
    </row>
    <row r="7" spans="1:16">
      <c r="A7" s="61">
        <v>41598</v>
      </c>
      <c r="B7">
        <v>4.9807738163394767E-2</v>
      </c>
      <c r="C7">
        <v>5.055568336887422E-2</v>
      </c>
      <c r="D7">
        <v>5.0059792957915315E-2</v>
      </c>
      <c r="E7">
        <v>4.9807738163394767E-2</v>
      </c>
      <c r="F7">
        <v>4.9807738163394767E-2</v>
      </c>
      <c r="G7">
        <v>4.9807738163394767E-2</v>
      </c>
      <c r="H7">
        <v>4.9807738163394767E-2</v>
      </c>
      <c r="I7" s="73">
        <v>4.9999999999556399E-2</v>
      </c>
      <c r="J7" s="73">
        <v>5.0754031293961832E-2</v>
      </c>
      <c r="K7" s="73">
        <v>5.0254136280145412E-2</v>
      </c>
      <c r="L7" s="73">
        <v>4.9999999999556399E-2</v>
      </c>
      <c r="M7" s="73">
        <v>4.9999999999556399E-2</v>
      </c>
      <c r="N7" s="73">
        <v>4.9999999999556399E-2</v>
      </c>
      <c r="O7" s="73">
        <v>4.9999999999556399E-2</v>
      </c>
      <c r="P7">
        <v>5.100785388364848E-2</v>
      </c>
    </row>
    <row r="8" spans="1:16">
      <c r="A8" s="61">
        <v>41690</v>
      </c>
      <c r="B8">
        <v>4.9791280181410325E-2</v>
      </c>
      <c r="C8">
        <v>5.0287170592369229E-2</v>
      </c>
      <c r="D8">
        <v>5.0295389770451421E-2</v>
      </c>
      <c r="E8">
        <v>4.9791280181410325E-2</v>
      </c>
      <c r="F8">
        <v>4.9791280181410325E-2</v>
      </c>
      <c r="G8">
        <v>4.9791280181410325E-2</v>
      </c>
      <c r="H8">
        <v>4.9791280181410325E-2</v>
      </c>
      <c r="I8" s="73">
        <v>4.9999999999620348E-2</v>
      </c>
      <c r="J8" s="73">
        <v>5.0499482660100181E-2</v>
      </c>
      <c r="K8" s="73">
        <v>5.0511831141904384E-2</v>
      </c>
      <c r="L8" s="73">
        <v>4.9999999999620348E-2</v>
      </c>
      <c r="M8" s="73">
        <v>4.9999999999620348E-2</v>
      </c>
      <c r="N8" s="73">
        <v>4.9999999999620348E-2</v>
      </c>
      <c r="O8" s="73">
        <v>4.9999999999620348E-2</v>
      </c>
      <c r="P8">
        <v>5.1008450650187775E-2</v>
      </c>
    </row>
    <row r="9" spans="1:16">
      <c r="A9" s="61">
        <v>41779</v>
      </c>
      <c r="B9">
        <v>4.986878705526112E-2</v>
      </c>
      <c r="C9">
        <v>5.0120841849781668E-2</v>
      </c>
      <c r="D9">
        <v>5.0616732260740573E-2</v>
      </c>
      <c r="E9">
        <v>4.986878705526112E-2</v>
      </c>
      <c r="F9">
        <v>4.986878705526112E-2</v>
      </c>
      <c r="G9">
        <v>4.986878705526112E-2</v>
      </c>
      <c r="H9">
        <v>4.986878705526112E-2</v>
      </c>
      <c r="I9" s="73">
        <v>5.0000000000002931E-2</v>
      </c>
      <c r="J9" s="73">
        <v>5.0245138859883465E-2</v>
      </c>
      <c r="K9" s="73">
        <v>5.0763186020012396E-2</v>
      </c>
      <c r="L9" s="73">
        <v>5.0000000000002931E-2</v>
      </c>
      <c r="M9" s="73">
        <v>5.0000000000002931E-2</v>
      </c>
      <c r="N9" s="73">
        <v>5.0000000000002931E-2</v>
      </c>
      <c r="O9" s="73">
        <v>5.0000000000002931E-2</v>
      </c>
      <c r="P9">
        <v>5.1005287849537062E-2</v>
      </c>
    </row>
    <row r="10" spans="1:16">
      <c r="A10" s="61">
        <v>41871</v>
      </c>
      <c r="B10">
        <v>4.9994646322111549E-2</v>
      </c>
      <c r="C10">
        <v>4.9994646322111549E-2</v>
      </c>
      <c r="D10">
        <v>5.099464632211155E-2</v>
      </c>
      <c r="E10">
        <v>4.9994646322111549E-2</v>
      </c>
      <c r="F10">
        <v>4.9994646322111549E-2</v>
      </c>
      <c r="G10">
        <v>4.9994646322111549E-2</v>
      </c>
      <c r="H10">
        <v>4.9994646322111549E-2</v>
      </c>
      <c r="I10" s="73">
        <v>5.0000000000002709E-2</v>
      </c>
      <c r="J10" s="73">
        <v>4.9975313032564195E-2</v>
      </c>
      <c r="K10" s="73">
        <v>5.1024439220511253E-2</v>
      </c>
      <c r="L10" s="73">
        <v>4.9999999999714273E-2</v>
      </c>
      <c r="M10" s="73">
        <v>4.9999999999714273E-2</v>
      </c>
      <c r="N10" s="73">
        <v>4.9999999999714273E-2</v>
      </c>
      <c r="O10" s="73">
        <v>4.9999999999714273E-2</v>
      </c>
      <c r="P10">
        <v>5.1000266689530838E-2</v>
      </c>
    </row>
    <row r="11" spans="1:16">
      <c r="A11" s="61">
        <v>41963</v>
      </c>
      <c r="B11">
        <v>4.9890083892058353E-2</v>
      </c>
      <c r="C11">
        <v>4.9890083892058353E-2</v>
      </c>
      <c r="D11">
        <v>5.0806371426180282E-2</v>
      </c>
      <c r="E11">
        <v>4.9973796357936424E-2</v>
      </c>
      <c r="F11">
        <v>4.9890083892058353E-2</v>
      </c>
      <c r="G11">
        <v>4.9890083892058353E-2</v>
      </c>
      <c r="H11">
        <v>4.9890083892058353E-2</v>
      </c>
      <c r="I11" s="73">
        <v>5.0000000000012035E-2</v>
      </c>
      <c r="J11" s="73">
        <v>4.9978957662925483E-2</v>
      </c>
      <c r="K11" s="73">
        <v>5.0939603413445056E-2</v>
      </c>
      <c r="L11" s="73">
        <v>5.008645485398211E-2</v>
      </c>
      <c r="M11" s="73">
        <v>5.0000000000012035E-2</v>
      </c>
      <c r="N11" s="73">
        <v>5.0000000000012035E-2</v>
      </c>
      <c r="O11" s="73">
        <v>5.0000000000012035E-2</v>
      </c>
      <c r="P11">
        <v>5.1004436607460235E-2</v>
      </c>
    </row>
    <row r="12" spans="1:16">
      <c r="A12" s="61">
        <v>42055</v>
      </c>
      <c r="B12">
        <v>4.987123605799787E-2</v>
      </c>
      <c r="C12">
        <v>4.987123605799787E-2</v>
      </c>
      <c r="D12">
        <v>5.0703811126241727E-2</v>
      </c>
      <c r="E12">
        <v>5.0038660989754014E-2</v>
      </c>
      <c r="F12">
        <v>4.987123605799787E-2</v>
      </c>
      <c r="G12">
        <v>4.987123605799787E-2</v>
      </c>
      <c r="H12">
        <v>4.987123605799787E-2</v>
      </c>
      <c r="I12" s="73">
        <v>5.0000000000008038E-2</v>
      </c>
      <c r="J12" s="73">
        <v>4.9982514277876255E-2</v>
      </c>
      <c r="K12" s="73">
        <v>5.0850538664917178E-2</v>
      </c>
      <c r="L12" s="73">
        <v>5.0174091637136042E-2</v>
      </c>
      <c r="M12" s="73">
        <v>5.0000000000244293E-2</v>
      </c>
      <c r="N12" s="73">
        <v>5.0000000000244293E-2</v>
      </c>
      <c r="O12" s="73">
        <v>5.0000000000244293E-2</v>
      </c>
      <c r="P12">
        <v>5.1005151198365128E-2</v>
      </c>
    </row>
    <row r="13" spans="1:16">
      <c r="A13" s="61">
        <v>42144</v>
      </c>
      <c r="B13">
        <v>4.9914251401490327E-2</v>
      </c>
      <c r="C13">
        <v>4.9914251401490327E-2</v>
      </c>
      <c r="D13">
        <v>5.0665843758178224E-2</v>
      </c>
      <c r="E13">
        <v>5.0162659044802431E-2</v>
      </c>
      <c r="F13">
        <v>4.9914251401490327E-2</v>
      </c>
      <c r="G13">
        <v>4.9914251401490327E-2</v>
      </c>
      <c r="H13">
        <v>4.9914251401490327E-2</v>
      </c>
      <c r="I13" s="73">
        <v>5.0000000000219647E-2</v>
      </c>
      <c r="J13" s="73">
        <v>4.9984197714804779E-2</v>
      </c>
      <c r="K13" s="73">
        <v>5.0761521695923406E-2</v>
      </c>
      <c r="L13" s="73">
        <v>5.0259729645020013E-2</v>
      </c>
      <c r="M13" s="73">
        <v>5.0000000000219647E-2</v>
      </c>
      <c r="N13" s="73">
        <v>5.0000000000219647E-2</v>
      </c>
      <c r="O13" s="73">
        <v>5.0000000000219647E-2</v>
      </c>
      <c r="P13">
        <v>5.100341543568554E-2</v>
      </c>
    </row>
    <row r="14" spans="1:16">
      <c r="A14" s="61">
        <v>42236</v>
      </c>
      <c r="B14">
        <v>4.9996339373731269E-2</v>
      </c>
      <c r="C14">
        <v>4.9996339373731269E-2</v>
      </c>
      <c r="D14">
        <v>5.0664219264541094E-2</v>
      </c>
      <c r="E14">
        <v>5.0328459482921445E-2</v>
      </c>
      <c r="F14">
        <v>4.9996339373731269E-2</v>
      </c>
      <c r="G14">
        <v>4.9996339373731269E-2</v>
      </c>
      <c r="H14">
        <v>4.9996339373731269E-2</v>
      </c>
      <c r="I14" s="73">
        <v>5.0000000000001821E-2</v>
      </c>
      <c r="J14" s="73">
        <v>4.9983510967096301E-2</v>
      </c>
      <c r="K14" s="73">
        <v>5.0667193633473939E-2</v>
      </c>
      <c r="L14" s="73">
        <v>5.0348902397578055E-2</v>
      </c>
      <c r="M14" s="73">
        <v>5.0000000000213429E-2</v>
      </c>
      <c r="N14" s="73">
        <v>5.0000000000213429E-2</v>
      </c>
      <c r="O14" s="73">
        <v>5.0000000000213429E-2</v>
      </c>
      <c r="P14">
        <v>5.100017987995753E-2</v>
      </c>
    </row>
    <row r="15" spans="1:16">
      <c r="A15" s="61">
        <v>42328</v>
      </c>
      <c r="B15">
        <v>4.9921929297289232E-2</v>
      </c>
      <c r="C15">
        <v>4.9921929297289232E-2</v>
      </c>
      <c r="D15">
        <v>5.0506096722220985E-2</v>
      </c>
      <c r="E15">
        <v>5.0337761872357473E-2</v>
      </c>
      <c r="F15">
        <v>4.9921929297289232E-2</v>
      </c>
      <c r="G15">
        <v>4.9921929297289232E-2</v>
      </c>
      <c r="H15">
        <v>4.9921929297289232E-2</v>
      </c>
      <c r="I15" s="73">
        <v>5.0000000000008482E-2</v>
      </c>
      <c r="J15" s="73">
        <v>4.9985399564371313E-2</v>
      </c>
      <c r="K15" s="73">
        <v>5.0580619309585906E-2</v>
      </c>
      <c r="L15" s="73">
        <v>5.0437346546289064E-2</v>
      </c>
      <c r="M15" s="73">
        <v>5.000000000000826E-2</v>
      </c>
      <c r="N15" s="73">
        <v>5.000000000000826E-2</v>
      </c>
      <c r="O15" s="73">
        <v>5.000000000000826E-2</v>
      </c>
      <c r="P15">
        <v>5.1003114785466375E-2</v>
      </c>
    </row>
    <row r="16" spans="1:16">
      <c r="A16" s="61">
        <v>42422</v>
      </c>
      <c r="B16">
        <v>4.9906013211564008E-2</v>
      </c>
      <c r="C16">
        <v>4.9906013211564008E-2</v>
      </c>
      <c r="D16">
        <v>5.0404648334402953E-2</v>
      </c>
      <c r="E16">
        <v>5.0407378088725065E-2</v>
      </c>
      <c r="F16">
        <v>4.9906013211564008E-2</v>
      </c>
      <c r="G16">
        <v>4.9906013211564008E-2</v>
      </c>
      <c r="H16">
        <v>4.9906013211564008E-2</v>
      </c>
      <c r="I16" s="73">
        <v>5.0000000000182343E-2</v>
      </c>
      <c r="J16" s="73">
        <v>4.9987577550079543E-2</v>
      </c>
      <c r="K16" s="73">
        <v>5.0489197554027143E-2</v>
      </c>
      <c r="L16" s="73">
        <v>5.0528343083892091E-2</v>
      </c>
      <c r="M16" s="73">
        <v>5.0000000000174349E-2</v>
      </c>
      <c r="N16" s="73">
        <v>5.0000000000174349E-2</v>
      </c>
      <c r="O16" s="73">
        <v>5.0000000000174349E-2</v>
      </c>
      <c r="P16">
        <v>5.1003717125759795E-2</v>
      </c>
    </row>
    <row r="17" spans="1:16">
      <c r="A17" s="61">
        <v>42513</v>
      </c>
      <c r="B17">
        <v>4.9937311436353153E-2</v>
      </c>
      <c r="C17">
        <v>4.9937311436353153E-2</v>
      </c>
      <c r="D17">
        <v>5.0353144011421394E-2</v>
      </c>
      <c r="E17">
        <v>5.0521478861284906E-2</v>
      </c>
      <c r="F17">
        <v>4.9937311436353153E-2</v>
      </c>
      <c r="G17">
        <v>4.9937311436353153E-2</v>
      </c>
      <c r="H17">
        <v>4.9937311436353153E-2</v>
      </c>
      <c r="I17" s="73">
        <v>4.9999999999826406E-2</v>
      </c>
      <c r="J17" s="73">
        <v>4.9988414702204276E-2</v>
      </c>
      <c r="K17" s="73">
        <v>5.0398717625653511E-2</v>
      </c>
      <c r="L17" s="73">
        <v>5.0616911923710761E-2</v>
      </c>
      <c r="M17" s="73">
        <v>4.9999999999993605E-2</v>
      </c>
      <c r="N17" s="73">
        <v>4.9999999999993605E-2</v>
      </c>
      <c r="O17" s="73">
        <v>4.9999999999993605E-2</v>
      </c>
      <c r="P17">
        <v>5.1002472227055895E-2</v>
      </c>
    </row>
    <row r="18" spans="1:16">
      <c r="A18" s="61">
        <v>42605</v>
      </c>
      <c r="B18">
        <v>4.9994569235313605E-2</v>
      </c>
      <c r="C18">
        <v>4.9994569235313605E-2</v>
      </c>
      <c r="D18">
        <v>5.0326689344503781E-2</v>
      </c>
      <c r="E18">
        <v>5.0662449126123429E-2</v>
      </c>
      <c r="F18">
        <v>4.9994569235313605E-2</v>
      </c>
      <c r="G18">
        <v>4.9994569235313605E-2</v>
      </c>
      <c r="H18">
        <v>4.9994569235313605E-2</v>
      </c>
      <c r="I18" s="73">
        <v>5.0000000000001599E-2</v>
      </c>
      <c r="J18" s="73">
        <v>4.9987671081189067E-2</v>
      </c>
      <c r="K18" s="73">
        <v>5.0305611464779965E-2</v>
      </c>
      <c r="L18" s="73">
        <v>5.0706837637376934E-2</v>
      </c>
      <c r="M18" s="73">
        <v>5.0000000000001155E-2</v>
      </c>
      <c r="N18" s="73">
        <v>5.0000000000001155E-2</v>
      </c>
      <c r="O18" s="73">
        <v>5.0000000000001155E-2</v>
      </c>
      <c r="P18">
        <v>5.1000236159926438E-2</v>
      </c>
    </row>
    <row r="19" spans="1:16">
      <c r="A19" s="61">
        <v>42697</v>
      </c>
      <c r="B19">
        <v>4.9937810135054606E-2</v>
      </c>
      <c r="C19">
        <v>4.9937810135054606E-2</v>
      </c>
      <c r="D19">
        <v>5.018621777836671E-2</v>
      </c>
      <c r="E19">
        <v>5.0689402491742502E-2</v>
      </c>
      <c r="F19">
        <v>4.9937810135054606E-2</v>
      </c>
      <c r="G19">
        <v>4.9937810135054606E-2</v>
      </c>
      <c r="H19">
        <v>4.9937810135054606E-2</v>
      </c>
      <c r="I19" s="73">
        <v>5.0000000000157696E-2</v>
      </c>
      <c r="J19" s="73">
        <v>4.9988881834894361E-2</v>
      </c>
      <c r="K19" s="73">
        <v>5.0216993492907536E-2</v>
      </c>
      <c r="L19" s="73">
        <v>5.0797281812478001E-2</v>
      </c>
      <c r="M19" s="73">
        <v>5.0000000000157252E-2</v>
      </c>
      <c r="N19" s="73">
        <v>5.0000000000157252E-2</v>
      </c>
      <c r="O19" s="73">
        <v>5.0000000000157252E-2</v>
      </c>
      <c r="P19">
        <v>5.100245237166412E-2</v>
      </c>
    </row>
    <row r="20" spans="1:16">
      <c r="A20" s="61">
        <v>42789</v>
      </c>
      <c r="B20">
        <v>4.9923529019879648E-2</v>
      </c>
      <c r="C20">
        <v>4.9923529019879648E-2</v>
      </c>
      <c r="D20">
        <v>5.008822419731368E-2</v>
      </c>
      <c r="E20">
        <v>5.0758833842445616E-2</v>
      </c>
      <c r="F20">
        <v>4.9923529019879648E-2</v>
      </c>
      <c r="G20">
        <v>4.9923529019879648E-2</v>
      </c>
      <c r="H20">
        <v>4.9923529019879648E-2</v>
      </c>
      <c r="I20" s="73">
        <v>4.9999999999997158E-2</v>
      </c>
      <c r="J20" s="73">
        <v>4.999030739241106E-2</v>
      </c>
      <c r="K20" s="73">
        <v>5.0126506922753666E-2</v>
      </c>
      <c r="L20" s="73">
        <v>5.0887994157833294E-2</v>
      </c>
      <c r="M20" s="73">
        <v>5.0000000000135714E-2</v>
      </c>
      <c r="N20" s="73">
        <v>5.0000000000135714E-2</v>
      </c>
      <c r="O20" s="73">
        <v>5.0000000000135714E-2</v>
      </c>
      <c r="P20">
        <v>5.1003002681188514E-2</v>
      </c>
    </row>
    <row r="21" spans="1:16">
      <c r="A21" s="61">
        <v>42878</v>
      </c>
      <c r="B21">
        <v>4.9949270328347811E-2</v>
      </c>
      <c r="C21">
        <v>4.9949270328347811E-2</v>
      </c>
      <c r="D21">
        <v>5.0032982794225883E-2</v>
      </c>
      <c r="E21">
        <v>5.086555786246974E-2</v>
      </c>
      <c r="F21">
        <v>4.9949270328347811E-2</v>
      </c>
      <c r="G21">
        <v>4.9949270328347811E-2</v>
      </c>
      <c r="H21">
        <v>4.9949270328347811E-2</v>
      </c>
      <c r="I21" s="73">
        <v>5.0000000000001599E-2</v>
      </c>
      <c r="J21" s="73">
        <v>4.9990841078577208E-2</v>
      </c>
      <c r="K21" s="73">
        <v>5.0037346579034914E-2</v>
      </c>
      <c r="L21" s="73">
        <v>5.0975977379436044E-2</v>
      </c>
      <c r="M21" s="73">
        <v>5.0000000000133937E-2</v>
      </c>
      <c r="N21" s="73">
        <v>5.0000000000133937E-2</v>
      </c>
      <c r="O21" s="73">
        <v>5.0000000000133937E-2</v>
      </c>
      <c r="P21">
        <v>5.1001978873623566E-2</v>
      </c>
    </row>
    <row r="22" spans="1:16">
      <c r="A22" s="61">
        <v>42970</v>
      </c>
      <c r="B22">
        <v>4.999554830006428E-2</v>
      </c>
      <c r="C22">
        <v>4.999554830006428E-2</v>
      </c>
      <c r="D22">
        <v>4.999554830006428E-2</v>
      </c>
      <c r="E22">
        <v>5.0995548300064281E-2</v>
      </c>
      <c r="F22">
        <v>4.999554830006428E-2</v>
      </c>
      <c r="G22">
        <v>4.999554830006428E-2</v>
      </c>
      <c r="H22">
        <v>4.999554830006428E-2</v>
      </c>
      <c r="I22" s="73">
        <v>5.0000000000134825E-2</v>
      </c>
      <c r="J22" s="73">
        <v>4.9990127062572887E-2</v>
      </c>
      <c r="K22" s="73">
        <v>4.9944073744514927E-2</v>
      </c>
      <c r="L22" s="73">
        <v>5.1067125831258275E-2</v>
      </c>
      <c r="M22" s="73">
        <v>5.0000000000134603E-2</v>
      </c>
      <c r="N22" s="73">
        <v>5.0000000000134603E-2</v>
      </c>
      <c r="O22" s="73">
        <v>5.0000000000134603E-2</v>
      </c>
      <c r="P22">
        <v>5.1000191285721419E-2</v>
      </c>
    </row>
    <row r="23" spans="1:16">
      <c r="A23" s="61">
        <v>43062</v>
      </c>
      <c r="B23">
        <v>4.994841195727745E-2</v>
      </c>
      <c r="C23">
        <v>4.994841195727745E-2</v>
      </c>
      <c r="D23">
        <v>4.994841195727745E-2</v>
      </c>
      <c r="E23">
        <v>5.0898275717495431E-2</v>
      </c>
      <c r="F23">
        <v>4.9998548197059463E-2</v>
      </c>
      <c r="G23">
        <v>4.994841195727745E-2</v>
      </c>
      <c r="H23">
        <v>4.994841195727745E-2</v>
      </c>
      <c r="I23" s="73">
        <v>4.9999999999998934E-2</v>
      </c>
      <c r="J23" s="73">
        <v>4.9990989365419791E-2</v>
      </c>
      <c r="K23" s="73">
        <v>4.9946591503837068E-2</v>
      </c>
      <c r="L23" s="73">
        <v>5.1010010755156987E-2</v>
      </c>
      <c r="M23" s="73">
        <v>5.0055821178073723E-2</v>
      </c>
      <c r="N23" s="73">
        <v>4.999999999999849E-2</v>
      </c>
      <c r="O23" s="73">
        <v>4.999999999999849E-2</v>
      </c>
      <c r="P23">
        <v>5.1002012475830583E-2</v>
      </c>
    </row>
    <row r="24" spans="1:16">
      <c r="A24" s="61">
        <v>43154</v>
      </c>
      <c r="B24">
        <v>4.9935892568078281E-2</v>
      </c>
      <c r="C24">
        <v>4.9935892568078281E-2</v>
      </c>
      <c r="D24">
        <v>4.9935892568078281E-2</v>
      </c>
      <c r="E24">
        <v>5.083562008851425E-2</v>
      </c>
      <c r="F24">
        <v>5.0036165047642314E-2</v>
      </c>
      <c r="G24">
        <v>4.9935892568078281E-2</v>
      </c>
      <c r="H24">
        <v>4.9935892568078281E-2</v>
      </c>
      <c r="I24" s="73">
        <v>4.9999999999997824E-2</v>
      </c>
      <c r="J24" s="73">
        <v>4.9992060978402586E-2</v>
      </c>
      <c r="K24" s="73">
        <v>4.9948991308309321E-2</v>
      </c>
      <c r="L24" s="73">
        <v>5.0950903997016406E-2</v>
      </c>
      <c r="M24" s="73">
        <v>5.0112402635480224E-2</v>
      </c>
      <c r="N24" s="73">
        <v>5.0000000000111289E-2</v>
      </c>
      <c r="O24" s="73">
        <v>5.0000000000111289E-2</v>
      </c>
      <c r="P24">
        <v>5.1002490475394957E-2</v>
      </c>
    </row>
    <row r="25" spans="1:16">
      <c r="A25" s="61">
        <v>43243</v>
      </c>
      <c r="B25">
        <v>4.9957069967986122E-2</v>
      </c>
      <c r="C25">
        <v>4.9957069967986122E-2</v>
      </c>
      <c r="D25">
        <v>4.9957069967986122E-2</v>
      </c>
      <c r="E25">
        <v>5.080829612602427E-2</v>
      </c>
      <c r="F25">
        <v>5.0105843809947974E-2</v>
      </c>
      <c r="G25">
        <v>4.9957069967986122E-2</v>
      </c>
      <c r="H25">
        <v>4.9957069967986122E-2</v>
      </c>
      <c r="I25" s="73">
        <v>5.0000000000001377E-2</v>
      </c>
      <c r="J25" s="73">
        <v>4.9992427043552778E-2</v>
      </c>
      <c r="K25" s="73">
        <v>4.9951087806899164E-2</v>
      </c>
      <c r="L25" s="73">
        <v>5.0892079796130751E-2</v>
      </c>
      <c r="M25" s="73">
        <v>5.0167791976332143E-2</v>
      </c>
      <c r="N25" s="73">
        <v>4.9999999999869482E-2</v>
      </c>
      <c r="O25" s="73">
        <v>4.9999999999869482E-2</v>
      </c>
      <c r="P25">
        <v>5.1001657131725331E-2</v>
      </c>
    </row>
    <row r="26" spans="1:16">
      <c r="A26" s="61">
        <v>43335</v>
      </c>
      <c r="B26">
        <v>4.9996200636936362E-2</v>
      </c>
      <c r="C26">
        <v>4.9996200636936362E-2</v>
      </c>
      <c r="D26">
        <v>4.9996200636936362E-2</v>
      </c>
      <c r="E26">
        <v>5.0797290555192491E-2</v>
      </c>
      <c r="F26">
        <v>5.0195110718680234E-2</v>
      </c>
      <c r="G26">
        <v>4.9996200636936362E-2</v>
      </c>
      <c r="H26">
        <v>4.9996200636936362E-2</v>
      </c>
      <c r="I26" s="73">
        <v>4.9999999999995381E-2</v>
      </c>
      <c r="J26" s="73">
        <v>4.9991767091207784E-2</v>
      </c>
      <c r="K26" s="73">
        <v>4.9953363694017261E-2</v>
      </c>
      <c r="L26" s="73">
        <v>5.0829735698830314E-2</v>
      </c>
      <c r="M26" s="73">
        <v>5.0225632225762151E-2</v>
      </c>
      <c r="N26" s="73">
        <v>5.0000000000112177E-2</v>
      </c>
      <c r="O26" s="73">
        <v>5.0000000000112177E-2</v>
      </c>
      <c r="P26">
        <v>5.1000161378709441E-2</v>
      </c>
    </row>
    <row r="27" spans="1:16">
      <c r="A27" s="61">
        <v>43427</v>
      </c>
      <c r="B27">
        <v>4.9955617737935651E-2</v>
      </c>
      <c r="C27">
        <v>4.9955617737935651E-2</v>
      </c>
      <c r="D27">
        <v>4.9955617737935651E-2</v>
      </c>
      <c r="E27">
        <v>5.0706571416409767E-2</v>
      </c>
      <c r="F27">
        <v>5.0204664059461536E-2</v>
      </c>
      <c r="G27">
        <v>4.9955617737935651E-2</v>
      </c>
      <c r="H27">
        <v>4.9955617737935651E-2</v>
      </c>
      <c r="I27" s="73">
        <v>5.0000000000112843E-2</v>
      </c>
      <c r="J27" s="73">
        <v>4.9992425155780396E-2</v>
      </c>
      <c r="K27" s="73">
        <v>4.9955101805286173E-2</v>
      </c>
      <c r="L27" s="73">
        <v>5.0772592707871267E-2</v>
      </c>
      <c r="M27" s="73">
        <v>5.0282258656644263E-2</v>
      </c>
      <c r="N27" s="73">
        <v>5.0000000000112621E-2</v>
      </c>
      <c r="O27" s="73">
        <v>5.0000000000112621E-2</v>
      </c>
      <c r="P27">
        <v>5.1001713530623549E-2</v>
      </c>
    </row>
    <row r="28" spans="1:16">
      <c r="A28" s="61">
        <v>43521</v>
      </c>
      <c r="B28">
        <v>4.9945695634951742E-2</v>
      </c>
      <c r="C28">
        <v>4.9945695634951742E-2</v>
      </c>
      <c r="D28">
        <v>4.9945695634951742E-2</v>
      </c>
      <c r="E28">
        <v>5.0645423155387712E-2</v>
      </c>
      <c r="F28">
        <v>5.0245968114515774E-2</v>
      </c>
      <c r="G28">
        <v>4.9945695634951742E-2</v>
      </c>
      <c r="H28">
        <v>4.9945695634951742E-2</v>
      </c>
      <c r="I28" s="73">
        <v>4.9999999999998046E-2</v>
      </c>
      <c r="J28" s="73">
        <v>4.999329664580987E-2</v>
      </c>
      <c r="K28" s="73">
        <v>4.9956860185955687E-2</v>
      </c>
      <c r="L28" s="73">
        <v>5.0712354639352863E-2</v>
      </c>
      <c r="M28" s="73">
        <v>5.034075078195821E-2</v>
      </c>
      <c r="N28" s="73">
        <v>5.0000000000094635E-2</v>
      </c>
      <c r="O28" s="73">
        <v>5.0000000000094635E-2</v>
      </c>
      <c r="P28">
        <v>5.1002079568978509E-2</v>
      </c>
    </row>
    <row r="29" spans="1:16">
      <c r="A29" s="61">
        <v>43612</v>
      </c>
      <c r="B29">
        <v>4.9963897184124098E-2</v>
      </c>
      <c r="C29">
        <v>4.9963897184124098E-2</v>
      </c>
      <c r="D29">
        <v>4.9963897184124098E-2</v>
      </c>
      <c r="E29">
        <v>5.0614033423906114E-2</v>
      </c>
      <c r="F29">
        <v>5.0313760944342083E-2</v>
      </c>
      <c r="G29">
        <v>4.9963897184124098E-2</v>
      </c>
      <c r="H29">
        <v>4.9963897184124098E-2</v>
      </c>
      <c r="I29" s="73">
        <v>5.0000000000000711E-2</v>
      </c>
      <c r="J29" s="73">
        <v>4.9993553131705504E-2</v>
      </c>
      <c r="K29" s="73">
        <v>4.9958451475074384E-2</v>
      </c>
      <c r="L29" s="73">
        <v>5.0652606061823313E-2</v>
      </c>
      <c r="M29" s="73">
        <v>5.0397947180809588E-2</v>
      </c>
      <c r="N29" s="73">
        <v>4.999999999999627E-2</v>
      </c>
      <c r="O29" s="73">
        <v>4.999999999999627E-2</v>
      </c>
      <c r="P29">
        <v>5.1001383449971849E-2</v>
      </c>
    </row>
    <row r="30" spans="1:16">
      <c r="A30" s="61">
        <v>43704</v>
      </c>
      <c r="B30">
        <v>4.9994453636780685E-2</v>
      </c>
      <c r="C30">
        <v>4.9994453636780685E-2</v>
      </c>
      <c r="D30">
        <v>4.9994453636780685E-2</v>
      </c>
      <c r="E30">
        <v>5.0594453636780688E-2</v>
      </c>
      <c r="F30">
        <v>5.0394453636780683E-2</v>
      </c>
      <c r="G30">
        <v>4.9994453636780685E-2</v>
      </c>
      <c r="H30">
        <v>4.9994453636780685E-2</v>
      </c>
      <c r="I30" s="73">
        <v>4.9999999999890798E-2</v>
      </c>
      <c r="J30" s="73">
        <v>4.999297007104464E-2</v>
      </c>
      <c r="K30" s="73">
        <v>4.996007769208366E-2</v>
      </c>
      <c r="L30" s="73">
        <v>5.0591231443752438E-2</v>
      </c>
      <c r="M30" s="73">
        <v>5.0456128058301131E-2</v>
      </c>
      <c r="N30" s="73">
        <v>5.0000000000096412E-2</v>
      </c>
      <c r="O30" s="73">
        <v>5.0000000000096412E-2</v>
      </c>
      <c r="P30">
        <v>5.1000231833367549E-2</v>
      </c>
    </row>
    <row r="31" spans="1:16">
      <c r="A31" s="61">
        <v>43796</v>
      </c>
      <c r="B31">
        <v>4.9959819456683617E-2</v>
      </c>
      <c r="C31">
        <v>4.9959819456683617E-2</v>
      </c>
      <c r="D31">
        <v>4.9959819456683617E-2</v>
      </c>
      <c r="E31">
        <v>5.0509683216901601E-2</v>
      </c>
      <c r="F31">
        <v>5.0409955696465635E-2</v>
      </c>
      <c r="G31">
        <v>4.9959819456683617E-2</v>
      </c>
      <c r="H31">
        <v>4.9959819456683617E-2</v>
      </c>
      <c r="I31" s="73">
        <v>5.00000000000973E-2</v>
      </c>
      <c r="J31" s="73">
        <v>4.9993524053102867E-2</v>
      </c>
      <c r="K31" s="73">
        <v>4.9961348781897508E-2</v>
      </c>
      <c r="L31" s="73">
        <v>5.0533503822101089E-2</v>
      </c>
      <c r="M31" s="73">
        <v>5.0513787919692188E-2</v>
      </c>
      <c r="N31" s="73">
        <v>5.0000000000096412E-2</v>
      </c>
      <c r="O31" s="73">
        <v>5.0000000000096412E-2</v>
      </c>
      <c r="P31">
        <v>5.100154443539151E-2</v>
      </c>
    </row>
    <row r="32" spans="1:16">
      <c r="A32" s="61">
        <v>43888</v>
      </c>
      <c r="B32">
        <v>4.9951889729051478E-2</v>
      </c>
      <c r="C32">
        <v>4.9951889729051478E-2</v>
      </c>
      <c r="D32">
        <v>4.9951889729051478E-2</v>
      </c>
      <c r="E32">
        <v>5.0451617249487449E-2</v>
      </c>
      <c r="F32">
        <v>5.0452162208615509E-2</v>
      </c>
      <c r="G32">
        <v>4.9951889729051478E-2</v>
      </c>
      <c r="H32">
        <v>4.9951889729051478E-2</v>
      </c>
      <c r="I32" s="73">
        <v>4.9999999999998712E-2</v>
      </c>
      <c r="J32" s="73">
        <v>4.9994205104798128E-2</v>
      </c>
      <c r="K32" s="73">
        <v>4.9962571990575189E-2</v>
      </c>
      <c r="L32" s="73">
        <v>5.0474380596330803E-2</v>
      </c>
      <c r="M32" s="73">
        <v>5.0571889493253863E-2</v>
      </c>
      <c r="N32" s="73">
        <v>5.0000000000082201E-2</v>
      </c>
      <c r="O32" s="73">
        <v>5.0000000000082201E-2</v>
      </c>
      <c r="P32">
        <v>5.1001827795601473E-2</v>
      </c>
    </row>
    <row r="33" spans="1:16">
      <c r="A33" s="61">
        <v>43978</v>
      </c>
      <c r="B33">
        <v>4.9967805934997014E-2</v>
      </c>
      <c r="C33">
        <v>4.9967805934997014E-2</v>
      </c>
      <c r="D33">
        <v>4.9967805934997014E-2</v>
      </c>
      <c r="E33">
        <v>5.0418487133907099E-2</v>
      </c>
      <c r="F33">
        <v>5.0517124736086931E-2</v>
      </c>
      <c r="G33">
        <v>4.9967805934997014E-2</v>
      </c>
      <c r="H33">
        <v>4.9967805934997014E-2</v>
      </c>
      <c r="I33" s="73">
        <v>5.0000000000000711E-2</v>
      </c>
      <c r="J33" s="73">
        <v>4.9994381094442097E-2</v>
      </c>
      <c r="K33" s="73">
        <v>4.9963787486678291E-2</v>
      </c>
      <c r="L33" s="73">
        <v>5.0415161623558857E-2</v>
      </c>
      <c r="M33" s="73">
        <v>5.0629278469264571E-2</v>
      </c>
      <c r="N33" s="73">
        <v>4.9999999999996936E-2</v>
      </c>
      <c r="O33" s="73">
        <v>4.9999999999996936E-2</v>
      </c>
      <c r="P33">
        <v>5.1001221785108353E-2</v>
      </c>
    </row>
    <row r="34" spans="1:16">
      <c r="A34" s="61">
        <v>44070</v>
      </c>
      <c r="B34">
        <v>4.999503197717655E-2</v>
      </c>
      <c r="C34">
        <v>4.999503197717655E-2</v>
      </c>
      <c r="D34">
        <v>4.999503197717655E-2</v>
      </c>
      <c r="E34">
        <v>5.0395576936304615E-2</v>
      </c>
      <c r="F34">
        <v>5.0594487018048487E-2</v>
      </c>
      <c r="G34">
        <v>4.999503197717655E-2</v>
      </c>
      <c r="H34">
        <v>4.999503197717655E-2</v>
      </c>
      <c r="I34" s="73">
        <v>5.0000000000001155E-2</v>
      </c>
      <c r="J34" s="73">
        <v>4.999384536416196E-2</v>
      </c>
      <c r="K34" s="73">
        <v>4.9965048340621543E-2</v>
      </c>
      <c r="L34" s="73">
        <v>5.0353862235420044E-2</v>
      </c>
      <c r="M34" s="73">
        <v>5.0688160963367368E-2</v>
      </c>
      <c r="N34" s="73">
        <v>5.0000000000084199E-2</v>
      </c>
      <c r="O34" s="73">
        <v>5.0000000000084199E-2</v>
      </c>
      <c r="P34">
        <v>5.1000205451692038E-2</v>
      </c>
    </row>
    <row r="35" spans="1:16">
      <c r="A35" s="61">
        <v>44162</v>
      </c>
      <c r="B35">
        <v>4.9963853846758867E-2</v>
      </c>
      <c r="C35">
        <v>4.9963853846758867E-2</v>
      </c>
      <c r="D35">
        <v>4.9963853846758867E-2</v>
      </c>
      <c r="E35">
        <v>5.0314262566104918E-2</v>
      </c>
      <c r="F35">
        <v>5.0613445127412816E-2</v>
      </c>
      <c r="G35">
        <v>4.9963853846758867E-2</v>
      </c>
      <c r="H35">
        <v>4.9963853846758867E-2</v>
      </c>
      <c r="I35" s="73">
        <v>4.9999999999990719E-2</v>
      </c>
      <c r="J35" s="73">
        <v>4.9994305451746657E-2</v>
      </c>
      <c r="K35" s="73">
        <v>4.9966012500991086E-2</v>
      </c>
      <c r="L35" s="73">
        <v>5.0295385793396763E-2</v>
      </c>
      <c r="M35" s="73">
        <v>5.0746962077257818E-2</v>
      </c>
      <c r="N35" s="73">
        <v>5.0000000000084865E-2</v>
      </c>
      <c r="O35" s="73">
        <v>5.0000000000084865E-2</v>
      </c>
      <c r="P35">
        <v>5.1001376126873721E-2</v>
      </c>
    </row>
    <row r="36" spans="1:16">
      <c r="A36" s="61">
        <v>44256</v>
      </c>
      <c r="B36">
        <v>4.995677973729467E-2</v>
      </c>
      <c r="C36">
        <v>4.995677973729467E-2</v>
      </c>
      <c r="D36">
        <v>4.995677973729467E-2</v>
      </c>
      <c r="E36">
        <v>5.0255962298602574E-2</v>
      </c>
      <c r="F36">
        <v>5.0657597175986765E-2</v>
      </c>
      <c r="G36">
        <v>4.995677973729467E-2</v>
      </c>
      <c r="H36">
        <v>4.995677973729467E-2</v>
      </c>
      <c r="I36" s="73">
        <v>4.999999999999849E-2</v>
      </c>
      <c r="J36" s="73">
        <v>4.9994940117529252E-2</v>
      </c>
      <c r="K36" s="73">
        <v>4.9966953686508386E-2</v>
      </c>
      <c r="L36" s="73">
        <v>5.0234445323972254E-2</v>
      </c>
      <c r="M36" s="73">
        <v>5.0807334302317209E-2</v>
      </c>
      <c r="N36" s="73">
        <v>5.0000000000073319E-2</v>
      </c>
      <c r="O36" s="73">
        <v>5.0000000000073319E-2</v>
      </c>
      <c r="P36">
        <v>5.1001632138136577E-2</v>
      </c>
    </row>
    <row r="37" spans="1:16">
      <c r="A37" s="61">
        <v>44348</v>
      </c>
      <c r="B37">
        <v>4.997157842252764E-2</v>
      </c>
      <c r="C37">
        <v>4.997157842252764E-2</v>
      </c>
      <c r="D37">
        <v>4.997157842252764E-2</v>
      </c>
      <c r="E37">
        <v>5.0220624744053526E-2</v>
      </c>
      <c r="F37">
        <v>5.0722532101001756E-2</v>
      </c>
      <c r="G37">
        <v>4.997157842252764E-2</v>
      </c>
      <c r="H37">
        <v>4.997157842252764E-2</v>
      </c>
      <c r="I37" s="73">
        <v>4.9999999999909006E-2</v>
      </c>
      <c r="J37" s="73">
        <v>4.9994983826854744E-2</v>
      </c>
      <c r="K37" s="73">
        <v>4.9967915681963904E-2</v>
      </c>
      <c r="L37" s="73">
        <v>5.0173603140934775E-2</v>
      </c>
      <c r="M37" s="73">
        <v>5.0866948475754459E-2</v>
      </c>
      <c r="N37" s="73">
        <v>5.0000000000088418E-2</v>
      </c>
      <c r="O37" s="73">
        <v>5.0000000000088418E-2</v>
      </c>
      <c r="P37">
        <v>5.1001076963202996E-2</v>
      </c>
    </row>
    <row r="38" spans="1:16">
      <c r="A38" s="61">
        <v>44440</v>
      </c>
      <c r="B38">
        <v>4.9991977387831781E-2</v>
      </c>
      <c r="C38">
        <v>4.9991977387831781E-2</v>
      </c>
      <c r="D38">
        <v>4.9991977387831781E-2</v>
      </c>
      <c r="E38">
        <v>5.0190887469575653E-2</v>
      </c>
      <c r="F38">
        <v>5.0793067306087909E-2</v>
      </c>
      <c r="G38">
        <v>4.9991977387831781E-2</v>
      </c>
      <c r="H38">
        <v>4.9991977387831781E-2</v>
      </c>
      <c r="I38" s="73">
        <v>5.0000000000090861E-2</v>
      </c>
      <c r="J38" s="73">
        <v>4.9994573976053447E-2</v>
      </c>
      <c r="K38" s="73">
        <v>4.9968977216633403E-2</v>
      </c>
      <c r="L38" s="73">
        <v>5.0112075674823897E-2</v>
      </c>
      <c r="M38" s="73">
        <v>5.0926790771531616E-2</v>
      </c>
      <c r="N38" s="73">
        <v>4.9999999999894573E-2</v>
      </c>
      <c r="O38" s="73">
        <v>4.9999999999894573E-2</v>
      </c>
      <c r="P38">
        <v>5.1000351428139412E-2</v>
      </c>
    </row>
    <row r="39" spans="1:16">
      <c r="A39" s="61">
        <v>44531</v>
      </c>
      <c r="B39">
        <v>4.9965065337496263E-2</v>
      </c>
      <c r="C39">
        <v>4.9965065337496263E-2</v>
      </c>
      <c r="D39">
        <v>4.9965065337496263E-2</v>
      </c>
      <c r="E39">
        <v>5.0114384138586182E-2</v>
      </c>
      <c r="F39">
        <v>5.0815746536406345E-2</v>
      </c>
      <c r="G39">
        <v>4.9965065337496263E-2</v>
      </c>
      <c r="H39">
        <v>4.9965065337496263E-2</v>
      </c>
      <c r="I39" s="73">
        <v>4.9999999999992051E-2</v>
      </c>
      <c r="J39" s="73">
        <v>4.9994977479621339E-2</v>
      </c>
      <c r="K39" s="73">
        <v>4.9969715779484059E-2</v>
      </c>
      <c r="L39" s="73">
        <v>5.0053336951246807E-2</v>
      </c>
      <c r="M39" s="73">
        <v>5.0986159425997712E-2</v>
      </c>
      <c r="N39" s="73">
        <v>5.0000000000075095E-2</v>
      </c>
      <c r="O39" s="73">
        <v>5.0000000000075095E-2</v>
      </c>
      <c r="P39">
        <v>5.1001342052677368E-2</v>
      </c>
    </row>
    <row r="40" spans="1:16">
      <c r="A40" s="61">
        <v>44621</v>
      </c>
      <c r="B40">
        <v>4.9960423161874358E-2</v>
      </c>
      <c r="C40">
        <v>4.9960423161874358E-2</v>
      </c>
      <c r="D40">
        <v>4.9960423161874358E-2</v>
      </c>
      <c r="E40">
        <v>5.0060695641438391E-2</v>
      </c>
      <c r="F40">
        <v>5.0860150682310326E-2</v>
      </c>
      <c r="G40">
        <v>4.9960423161874358E-2</v>
      </c>
      <c r="H40">
        <v>4.9960423161874358E-2</v>
      </c>
      <c r="I40" s="73">
        <v>4.9999999999998712E-2</v>
      </c>
      <c r="J40" s="73">
        <v>4.9995469900126821E-2</v>
      </c>
      <c r="K40" s="73">
        <v>4.9970413734424124E-2</v>
      </c>
      <c r="L40" s="73">
        <v>4.9994223852081854E-2</v>
      </c>
      <c r="M40" s="73">
        <v>5.1045118575370863E-2</v>
      </c>
      <c r="N40" s="73">
        <v>5.0000000000065548E-2</v>
      </c>
      <c r="O40" s="73">
        <v>5.0000000000065548E-2</v>
      </c>
      <c r="P40">
        <v>5.1001481215062761E-2</v>
      </c>
    </row>
    <row r="41" spans="1:16">
      <c r="A41" s="61">
        <v>44713</v>
      </c>
      <c r="B41">
        <v>4.9973898465538638E-2</v>
      </c>
      <c r="C41">
        <v>4.9973898465538638E-2</v>
      </c>
      <c r="D41">
        <v>4.9973898465538638E-2</v>
      </c>
      <c r="E41">
        <v>5.0024034705320651E-2</v>
      </c>
      <c r="F41">
        <v>5.0923762225756619E-2</v>
      </c>
      <c r="G41">
        <v>4.9973898465538638E-2</v>
      </c>
      <c r="H41">
        <v>4.9973898465538638E-2</v>
      </c>
      <c r="I41" s="73">
        <v>5.0000000000004929E-2</v>
      </c>
      <c r="J41" s="73">
        <v>4.9995495789532107E-2</v>
      </c>
      <c r="K41" s="73">
        <v>4.9971190279997968E-2</v>
      </c>
      <c r="L41" s="73">
        <v>4.9932858643972011E-2</v>
      </c>
      <c r="M41" s="73">
        <v>5.1105766149332155E-2</v>
      </c>
      <c r="N41" s="73">
        <v>4.9999999999992939E-2</v>
      </c>
      <c r="O41" s="73">
        <v>4.9999999999992939E-2</v>
      </c>
      <c r="P41">
        <v>5.1000980257751571E-2</v>
      </c>
    </row>
    <row r="42" spans="1:16">
      <c r="A42" s="61">
        <v>44805</v>
      </c>
      <c r="B42">
        <v>4.9992612006209414E-2</v>
      </c>
      <c r="C42">
        <v>4.9992612006209414E-2</v>
      </c>
      <c r="D42">
        <v>4.9992612006209414E-2</v>
      </c>
      <c r="E42">
        <v>4.9992612006209414E-2</v>
      </c>
      <c r="F42">
        <v>5.0992612006209415E-2</v>
      </c>
      <c r="G42">
        <v>4.9992612006209414E-2</v>
      </c>
      <c r="H42">
        <v>4.9992612006209414E-2</v>
      </c>
      <c r="I42" s="73">
        <v>4.999999999999627E-2</v>
      </c>
      <c r="J42" s="73">
        <v>4.999511422797287E-2</v>
      </c>
      <c r="K42" s="73">
        <v>4.9972066030456341E-2</v>
      </c>
      <c r="L42" s="73">
        <v>4.9870856957471954E-2</v>
      </c>
      <c r="M42" s="73">
        <v>5.1166641738583207E-2</v>
      </c>
      <c r="N42" s="73">
        <v>4.9999999999990496E-2</v>
      </c>
      <c r="O42" s="73">
        <v>4.9999999999990496E-2</v>
      </c>
      <c r="P42">
        <v>5.1000320191088466E-2</v>
      </c>
    </row>
    <row r="43" spans="1:16">
      <c r="A43" s="61">
        <v>44896</v>
      </c>
      <c r="B43">
        <v>4.9967742580478258E-2</v>
      </c>
      <c r="C43">
        <v>4.9967742580478258E-2</v>
      </c>
      <c r="D43">
        <v>4.9967742580478258E-2</v>
      </c>
      <c r="E43">
        <v>4.9967742580478258E-2</v>
      </c>
      <c r="F43">
        <v>5.0942872397368118E-2</v>
      </c>
      <c r="G43">
        <v>4.99926127635884E-2</v>
      </c>
      <c r="H43">
        <v>4.9967742580478258E-2</v>
      </c>
      <c r="I43" s="73">
        <v>4.9999999999992939E-2</v>
      </c>
      <c r="J43" s="73">
        <v>4.9995465108353399E-2</v>
      </c>
      <c r="K43" s="73">
        <v>4.9972656032594598E-2</v>
      </c>
      <c r="L43" s="73">
        <v>4.9873782555657442E-2</v>
      </c>
      <c r="M43" s="73">
        <v>5.1132070904614135E-2</v>
      </c>
      <c r="N43" s="73">
        <v>5.0031538333131342E-2</v>
      </c>
      <c r="O43" s="73">
        <v>4.9999999999899236E-2</v>
      </c>
      <c r="P43">
        <v>5.1001228141313248E-2</v>
      </c>
    </row>
    <row r="44" spans="1:16">
      <c r="A44" s="61">
        <v>44986</v>
      </c>
      <c r="B44">
        <v>4.9963364438895486E-2</v>
      </c>
      <c r="C44">
        <v>4.9963364438895486E-2</v>
      </c>
      <c r="D44">
        <v>4.9963364438895486E-2</v>
      </c>
      <c r="E44">
        <v>4.9963364438895486E-2</v>
      </c>
      <c r="F44">
        <v>5.0913897371390703E-2</v>
      </c>
      <c r="G44">
        <v>5.001283150640027E-2</v>
      </c>
      <c r="H44">
        <v>4.9963364438895486E-2</v>
      </c>
      <c r="I44" s="73">
        <v>4.9999999999998712E-2</v>
      </c>
      <c r="J44" s="73">
        <v>4.9995899241153108E-2</v>
      </c>
      <c r="K44" s="73">
        <v>4.9973217790317603E-2</v>
      </c>
      <c r="L44" s="73">
        <v>4.9876613102695311E-2</v>
      </c>
      <c r="M44" s="73">
        <v>5.1096736163524836E-2</v>
      </c>
      <c r="N44" s="73">
        <v>5.0063162235648218E-2</v>
      </c>
      <c r="O44" s="73">
        <v>5.000000000005933E-2</v>
      </c>
      <c r="P44">
        <v>5.100135947478579E-2</v>
      </c>
    </row>
    <row r="45" spans="1:16">
      <c r="A45" s="61">
        <v>45078</v>
      </c>
      <c r="B45">
        <v>4.9975781288927677E-2</v>
      </c>
      <c r="C45">
        <v>4.9975781288927677E-2</v>
      </c>
      <c r="D45">
        <v>4.9975781288927677E-2</v>
      </c>
      <c r="E45">
        <v>4.9975781288927677E-2</v>
      </c>
      <c r="F45">
        <v>5.0901170739597261E-2</v>
      </c>
      <c r="G45">
        <v>5.0050391838258095E-2</v>
      </c>
      <c r="H45">
        <v>4.9975781288927677E-2</v>
      </c>
      <c r="I45" s="73">
        <v>5.0000000000004485E-2</v>
      </c>
      <c r="J45" s="73">
        <v>4.9995912914831742E-2</v>
      </c>
      <c r="K45" s="73">
        <v>4.9973858285652373E-2</v>
      </c>
      <c r="L45" s="73">
        <v>4.9879495250852557E-2</v>
      </c>
      <c r="M45" s="73">
        <v>5.1059635617963783E-2</v>
      </c>
      <c r="N45" s="73">
        <v>5.0095891727159447E-2</v>
      </c>
      <c r="O45" s="73">
        <v>5.0000000000075984E-2</v>
      </c>
      <c r="P45">
        <v>5.1000901839745483E-2</v>
      </c>
    </row>
    <row r="46" spans="1:16">
      <c r="A46" s="61">
        <v>45170</v>
      </c>
      <c r="B46">
        <v>4.999312960056819E-2</v>
      </c>
      <c r="C46">
        <v>4.999312960056819E-2</v>
      </c>
      <c r="D46">
        <v>4.999312960056819E-2</v>
      </c>
      <c r="E46">
        <v>4.999312960056819E-2</v>
      </c>
      <c r="F46">
        <v>5.0893375569412133E-2</v>
      </c>
      <c r="G46">
        <v>5.009288363172424E-2</v>
      </c>
      <c r="H46">
        <v>4.999312960056819E-2</v>
      </c>
      <c r="I46" s="73">
        <v>4.9999999999996714E-2</v>
      </c>
      <c r="J46" s="73">
        <v>4.9995556635767935E-2</v>
      </c>
      <c r="K46" s="73">
        <v>4.9974595439524983E-2</v>
      </c>
      <c r="L46" s="73">
        <v>4.9882550293750771E-2</v>
      </c>
      <c r="M46" s="73">
        <v>5.1021498342474825E-2</v>
      </c>
      <c r="N46" s="73">
        <v>5.0129037423598088E-2</v>
      </c>
      <c r="O46" s="73">
        <v>4.9999999999909894E-2</v>
      </c>
      <c r="P46">
        <v>5.1000294716377459E-2</v>
      </c>
    </row>
    <row r="47" spans="1:16">
      <c r="A47" s="61">
        <v>45261</v>
      </c>
      <c r="B47">
        <v>4.9969936786199785E-2</v>
      </c>
      <c r="C47">
        <v>4.9969936786199785E-2</v>
      </c>
      <c r="D47">
        <v>4.9969936786199785E-2</v>
      </c>
      <c r="E47">
        <v>4.9969936786199785E-2</v>
      </c>
      <c r="F47">
        <v>5.0845312571933594E-2</v>
      </c>
      <c r="G47">
        <v>5.0094561000465977E-2</v>
      </c>
      <c r="H47">
        <v>4.9969936786199785E-2</v>
      </c>
      <c r="I47" s="73">
        <v>5.0000000000074207E-2</v>
      </c>
      <c r="J47" s="73">
        <v>4.9995866417090751E-2</v>
      </c>
      <c r="K47" s="73">
        <v>4.9975075802064728E-2</v>
      </c>
      <c r="L47" s="73">
        <v>4.9884951531925514E-2</v>
      </c>
      <c r="M47" s="73">
        <v>5.0987236927756641E-2</v>
      </c>
      <c r="N47" s="73">
        <v>5.0160951774770535E-2</v>
      </c>
      <c r="O47" s="73">
        <v>4.999999999998872E-2</v>
      </c>
      <c r="P47">
        <v>5.1001134858823294E-2</v>
      </c>
    </row>
    <row r="48" spans="1:16">
      <c r="A48" s="61">
        <v>45352</v>
      </c>
      <c r="B48">
        <v>4.9965786072669327E-2</v>
      </c>
      <c r="C48">
        <v>4.9965786072669327E-2</v>
      </c>
      <c r="D48">
        <v>4.9965786072669327E-2</v>
      </c>
      <c r="E48">
        <v>4.9965786072669327E-2</v>
      </c>
      <c r="F48">
        <v>5.0816291675292995E-2</v>
      </c>
      <c r="G48">
        <v>5.011528047004566E-2</v>
      </c>
      <c r="H48">
        <v>4.9965786072669327E-2</v>
      </c>
      <c r="I48" s="73">
        <v>4.9999999999998934E-2</v>
      </c>
      <c r="J48" s="73">
        <v>4.9996254232174575E-2</v>
      </c>
      <c r="K48" s="73">
        <v>4.9975536261157805E-2</v>
      </c>
      <c r="L48" s="73">
        <v>4.9887293962061152E-2</v>
      </c>
      <c r="M48" s="73">
        <v>5.0951919996011563E-2</v>
      </c>
      <c r="N48" s="73">
        <v>5.0193264040681029E-2</v>
      </c>
      <c r="O48" s="73">
        <v>5.0000000000054223E-2</v>
      </c>
      <c r="P48">
        <v>5.1001259345103911E-2</v>
      </c>
    </row>
    <row r="49" spans="1:16">
      <c r="A49" s="61">
        <v>45446</v>
      </c>
      <c r="B49">
        <v>4.9978084342686427E-2</v>
      </c>
      <c r="C49">
        <v>4.9978084342686427E-2</v>
      </c>
      <c r="D49">
        <v>4.9978084342686427E-2</v>
      </c>
      <c r="E49">
        <v>4.9978084342686427E-2</v>
      </c>
      <c r="F49">
        <v>5.0802899866053464E-2</v>
      </c>
      <c r="G49">
        <v>5.0153268819319384E-2</v>
      </c>
      <c r="H49">
        <v>4.9978084342686427E-2</v>
      </c>
      <c r="I49" s="73">
        <v>5.0000000000003819E-2</v>
      </c>
      <c r="J49" s="73">
        <v>4.9996295710751593E-2</v>
      </c>
      <c r="K49" s="73">
        <v>4.9976120929257073E-2</v>
      </c>
      <c r="L49" s="73">
        <v>4.9889673895654463E-2</v>
      </c>
      <c r="M49" s="73">
        <v>5.0914479975690874E-2</v>
      </c>
      <c r="N49" s="73">
        <v>5.022698905901013E-2</v>
      </c>
      <c r="O49" s="73">
        <v>5.0000000000069766E-2</v>
      </c>
      <c r="P49">
        <v>5.1000803639183578E-2</v>
      </c>
    </row>
    <row r="50" spans="1:16">
      <c r="A50" s="61">
        <v>45538</v>
      </c>
      <c r="B50">
        <v>4.9994314045804712E-2</v>
      </c>
      <c r="C50">
        <v>4.9994314045804712E-2</v>
      </c>
      <c r="D50">
        <v>4.9994314045804712E-2</v>
      </c>
      <c r="E50">
        <v>4.9994314045804712E-2</v>
      </c>
      <c r="F50">
        <v>5.0793986087346116E-2</v>
      </c>
      <c r="G50">
        <v>5.019464200426331E-2</v>
      </c>
      <c r="H50">
        <v>4.9994314045804712E-2</v>
      </c>
      <c r="I50" s="73">
        <v>4.9999999999996936E-2</v>
      </c>
      <c r="J50" s="73">
        <v>4.9995910069289939E-2</v>
      </c>
      <c r="K50" s="73">
        <v>4.9976693468679834E-2</v>
      </c>
      <c r="L50" s="73">
        <v>4.9892351918947808E-2</v>
      </c>
      <c r="M50" s="73">
        <v>5.0876848309415079E-2</v>
      </c>
      <c r="N50" s="73">
        <v>5.0260380296114571E-2</v>
      </c>
      <c r="O50" s="73">
        <v>5.0000000000074207E-2</v>
      </c>
      <c r="P50">
        <v>5.1000214542320954E-2</v>
      </c>
    </row>
    <row r="51" spans="1:16">
      <c r="A51" s="61">
        <v>45629</v>
      </c>
      <c r="B51">
        <v>4.9972506836444497E-2</v>
      </c>
      <c r="C51">
        <v>4.9972506836444497E-2</v>
      </c>
      <c r="D51">
        <v>4.9972506836444497E-2</v>
      </c>
      <c r="E51">
        <v>4.9972506836444497E-2</v>
      </c>
      <c r="F51">
        <v>5.0747308694875759E-2</v>
      </c>
      <c r="G51">
        <v>5.0197704978013229E-2</v>
      </c>
      <c r="H51">
        <v>4.9972506836444497E-2</v>
      </c>
      <c r="I51" s="73">
        <v>4.9999999999990496E-2</v>
      </c>
      <c r="J51" s="73">
        <v>4.9996196824719119E-2</v>
      </c>
      <c r="K51" s="73">
        <v>4.9977110731020513E-2</v>
      </c>
      <c r="L51" s="73">
        <v>4.9894324985135796E-2</v>
      </c>
      <c r="M51" s="73">
        <v>5.0842643497460704E-2</v>
      </c>
      <c r="N51" s="73">
        <v>5.0292788296130375E-2</v>
      </c>
      <c r="O51" s="73">
        <v>4.9999999999911227E-2</v>
      </c>
      <c r="P51">
        <v>5.100100906219085E-2</v>
      </c>
    </row>
    <row r="52" spans="1:16">
      <c r="A52" s="61">
        <v>45719</v>
      </c>
      <c r="B52">
        <v>4.9967567839578848E-2</v>
      </c>
      <c r="C52">
        <v>4.9967567839578848E-2</v>
      </c>
      <c r="D52">
        <v>4.9967567839578848E-2</v>
      </c>
      <c r="E52">
        <v>4.9967567839578848E-2</v>
      </c>
      <c r="F52">
        <v>5.0717772813615468E-2</v>
      </c>
      <c r="G52">
        <v>5.021736286554223E-2</v>
      </c>
      <c r="H52">
        <v>4.9967567839578848E-2</v>
      </c>
      <c r="I52" s="73">
        <v>4.9999999999999156E-2</v>
      </c>
      <c r="J52" s="73">
        <v>4.9996537366180593E-2</v>
      </c>
      <c r="K52" s="73">
        <v>4.9977553320037726E-2</v>
      </c>
      <c r="L52" s="73">
        <v>4.9896295538938817E-2</v>
      </c>
      <c r="M52" s="73">
        <v>5.0807846350723329E-2</v>
      </c>
      <c r="N52" s="73">
        <v>5.0325177839816382E-2</v>
      </c>
      <c r="O52" s="73">
        <v>5.0000000000050449E-2</v>
      </c>
      <c r="P52">
        <v>5.1001196628033707E-2</v>
      </c>
    </row>
    <row r="53" spans="1:16">
      <c r="A53" s="61">
        <v>45811</v>
      </c>
      <c r="B53">
        <v>4.9979347943782428E-2</v>
      </c>
      <c r="C53">
        <v>4.9979347943782428E-2</v>
      </c>
      <c r="D53">
        <v>4.9979347943782428E-2</v>
      </c>
      <c r="E53">
        <v>4.9979347943782428E-2</v>
      </c>
      <c r="F53">
        <v>5.0704409435993414E-2</v>
      </c>
      <c r="G53">
        <v>5.0254286451571442E-2</v>
      </c>
      <c r="H53">
        <v>4.9979347943782428E-2</v>
      </c>
      <c r="I53" s="73">
        <v>5.0000000000003375E-2</v>
      </c>
      <c r="J53" s="73">
        <v>4.9996585014608907E-2</v>
      </c>
      <c r="K53" s="73">
        <v>4.9977985877786013E-2</v>
      </c>
      <c r="L53" s="73">
        <v>4.9898290007040158E-2</v>
      </c>
      <c r="M53" s="73">
        <v>5.0771397133526852E-2</v>
      </c>
      <c r="N53" s="73">
        <v>5.0358573299122078E-2</v>
      </c>
      <c r="O53" s="73">
        <v>4.999999999998761E-2</v>
      </c>
      <c r="P53">
        <v>5.1000751589206805E-2</v>
      </c>
    </row>
    <row r="54" spans="1:16">
      <c r="A54" s="61">
        <v>45903</v>
      </c>
      <c r="B54">
        <v>4.9994633539580224E-2</v>
      </c>
      <c r="C54">
        <v>4.9994633539580224E-2</v>
      </c>
      <c r="D54">
        <v>4.9994633539580224E-2</v>
      </c>
      <c r="E54">
        <v>4.9994633539580224E-2</v>
      </c>
      <c r="F54">
        <v>5.0694551549965577E-2</v>
      </c>
      <c r="G54">
        <v>5.0294715529194872E-2</v>
      </c>
      <c r="H54">
        <v>4.9994633539580224E-2</v>
      </c>
      <c r="I54" s="73">
        <v>4.9999999999997158E-2</v>
      </c>
      <c r="J54" s="73">
        <v>4.9996223495943903E-2</v>
      </c>
      <c r="K54" s="73">
        <v>4.9978479524296571E-2</v>
      </c>
      <c r="L54" s="73">
        <v>4.9900601037245806E-2</v>
      </c>
      <c r="M54" s="73">
        <v>5.0734019605000569E-2</v>
      </c>
      <c r="N54" s="73">
        <v>5.0392338567482486E-2</v>
      </c>
      <c r="O54" s="73">
        <v>5.0000000000068434E-2</v>
      </c>
      <c r="P54">
        <v>5.1000200893422942E-2</v>
      </c>
    </row>
    <row r="55" spans="1:16">
      <c r="A55" s="61">
        <v>45994</v>
      </c>
      <c r="B55">
        <v>4.9974011812553454E-2</v>
      </c>
      <c r="C55">
        <v>4.9974011812553454E-2</v>
      </c>
      <c r="D55">
        <v>4.9974011812553454E-2</v>
      </c>
      <c r="E55">
        <v>4.9974011812553454E-2</v>
      </c>
      <c r="F55">
        <v>5.0649059639828665E-2</v>
      </c>
      <c r="G55">
        <v>5.0298963985278243E-2</v>
      </c>
      <c r="H55">
        <v>4.9974011812553454E-2</v>
      </c>
      <c r="I55" s="73">
        <v>4.9999999999991163E-2</v>
      </c>
      <c r="J55" s="73">
        <v>4.9996482640992657E-2</v>
      </c>
      <c r="K55" s="73">
        <v>4.9978830909650496E-2</v>
      </c>
      <c r="L55" s="73">
        <v>4.9902266406410378E-2</v>
      </c>
      <c r="M55" s="73">
        <v>5.069969269573904E-2</v>
      </c>
      <c r="N55" s="73">
        <v>5.0425312911402287E-2</v>
      </c>
      <c r="O55" s="73">
        <v>5.00000000000691E-2</v>
      </c>
      <c r="P55">
        <v>5.1000946759899968E-2</v>
      </c>
    </row>
    <row r="56" spans="1:16">
      <c r="A56" s="61">
        <v>46084</v>
      </c>
      <c r="B56">
        <v>4.9969298505160686E-2</v>
      </c>
      <c r="C56">
        <v>4.9969298505160686E-2</v>
      </c>
      <c r="D56">
        <v>4.9969298505160686E-2</v>
      </c>
      <c r="E56">
        <v>4.9969298505160686E-2</v>
      </c>
      <c r="F56">
        <v>5.0619749448041255E-2</v>
      </c>
      <c r="G56">
        <v>5.0318847562280118E-2</v>
      </c>
      <c r="H56">
        <v>4.9969298505160686E-2</v>
      </c>
      <c r="I56" s="73">
        <v>5.0000000000074429E-2</v>
      </c>
      <c r="J56" s="73">
        <v>4.9996792754798847E-2</v>
      </c>
      <c r="K56" s="73">
        <v>4.9979208897203087E-2</v>
      </c>
      <c r="L56" s="73">
        <v>4.9903944092554386E-2</v>
      </c>
      <c r="M56" s="73">
        <v>5.0664839565920383E-2</v>
      </c>
      <c r="N56" s="73">
        <v>5.0458229951473532E-2</v>
      </c>
      <c r="O56" s="73">
        <v>4.9999999999971623E-2</v>
      </c>
      <c r="P56">
        <v>5.100112438145743E-2</v>
      </c>
    </row>
    <row r="57" spans="1:16">
      <c r="A57" s="61">
        <v>46176</v>
      </c>
      <c r="B57">
        <v>4.9980422955790631E-2</v>
      </c>
      <c r="C57">
        <v>4.9980422955790631E-2</v>
      </c>
      <c r="D57">
        <v>4.9980422955790631E-2</v>
      </c>
      <c r="E57">
        <v>4.9980422955790631E-2</v>
      </c>
      <c r="F57">
        <v>5.0605730416845567E-2</v>
      </c>
      <c r="G57">
        <v>5.0355115494735696E-2</v>
      </c>
      <c r="H57">
        <v>4.9980422955790631E-2</v>
      </c>
      <c r="I57" s="73">
        <v>5.0000000000003153E-2</v>
      </c>
      <c r="J57" s="73">
        <v>4.9996832397439128E-2</v>
      </c>
      <c r="K57" s="73">
        <v>4.9979580589825989E-2</v>
      </c>
      <c r="L57" s="73">
        <v>4.9905657663446013E-2</v>
      </c>
      <c r="M57" s="73">
        <v>5.0628420072650115E-2</v>
      </c>
      <c r="N57" s="73">
        <v>5.0492098978971445E-2</v>
      </c>
      <c r="O57" s="73">
        <v>5.0000000000063105E-2</v>
      </c>
      <c r="P57">
        <v>5.1000707380597365E-2</v>
      </c>
    </row>
    <row r="58" spans="1:16">
      <c r="A58" s="61">
        <v>46268</v>
      </c>
      <c r="B58">
        <v>4.9994906134179062E-2</v>
      </c>
      <c r="C58">
        <v>4.9994906134179062E-2</v>
      </c>
      <c r="D58">
        <v>4.9994906134179062E-2</v>
      </c>
      <c r="E58">
        <v>4.9994906134179062E-2</v>
      </c>
      <c r="F58">
        <v>5.0595070113408358E-2</v>
      </c>
      <c r="G58">
        <v>5.0394742154949768E-2</v>
      </c>
      <c r="H58">
        <v>4.9994906134179062E-2</v>
      </c>
      <c r="I58" s="73">
        <v>4.999999999999738E-2</v>
      </c>
      <c r="J58" s="73">
        <v>4.9996492302364359E-2</v>
      </c>
      <c r="K58" s="73">
        <v>4.9980011313130124E-2</v>
      </c>
      <c r="L58" s="73">
        <v>4.9907675833749332E-2</v>
      </c>
      <c r="M58" s="73">
        <v>5.0591113449766079E-2</v>
      </c>
      <c r="N58" s="73">
        <v>5.0526328976560952E-2</v>
      </c>
      <c r="O58" s="73">
        <v>4.9999999999989386E-2</v>
      </c>
      <c r="P58">
        <v>5.1000189265028917E-2</v>
      </c>
    </row>
    <row r="59" spans="1:16">
      <c r="A59" s="61">
        <v>46359</v>
      </c>
      <c r="B59">
        <v>4.997529953064335E-2</v>
      </c>
      <c r="C59">
        <v>4.997529953064335E-2</v>
      </c>
      <c r="D59">
        <v>4.997529953064335E-2</v>
      </c>
      <c r="E59">
        <v>4.997529953064335E-2</v>
      </c>
      <c r="F59">
        <v>5.0550593326762511E-2</v>
      </c>
      <c r="G59">
        <v>5.0400005734524189E-2</v>
      </c>
      <c r="H59">
        <v>4.997529953064335E-2</v>
      </c>
      <c r="I59" s="73">
        <v>4.9999999999991829E-2</v>
      </c>
      <c r="J59" s="73">
        <v>4.9996728493771903E-2</v>
      </c>
      <c r="K59" s="73">
        <v>4.9980310568985109E-2</v>
      </c>
      <c r="L59" s="73">
        <v>4.9909097477577324E-2</v>
      </c>
      <c r="M59" s="73">
        <v>5.0556529936089944E-2</v>
      </c>
      <c r="N59" s="73">
        <v>5.0559941837471811E-2</v>
      </c>
      <c r="O59" s="73">
        <v>4.9999999999990274E-2</v>
      </c>
      <c r="P59">
        <v>5.1000893546321313E-2</v>
      </c>
    </row>
    <row r="60" spans="1:16">
      <c r="A60" s="61">
        <v>46449</v>
      </c>
      <c r="B60">
        <v>4.9970783341287857E-2</v>
      </c>
      <c r="C60">
        <v>4.9970783341287857E-2</v>
      </c>
      <c r="D60">
        <v>4.9970783341287857E-2</v>
      </c>
      <c r="E60">
        <v>4.9970783341287857E-2</v>
      </c>
      <c r="F60">
        <v>5.0521480253012369E-2</v>
      </c>
      <c r="G60">
        <v>5.0420086429563339E-2</v>
      </c>
      <c r="H60">
        <v>4.9970783341287857E-2</v>
      </c>
      <c r="I60" s="73">
        <v>4.9999999999995826E-2</v>
      </c>
      <c r="J60" s="73">
        <v>4.9997013051028105E-2</v>
      </c>
      <c r="K60" s="73">
        <v>4.9980636984618299E-2</v>
      </c>
      <c r="L60" s="73">
        <v>4.9910541708560574E-2</v>
      </c>
      <c r="M60" s="73">
        <v>5.05214843941173E-2</v>
      </c>
      <c r="N60" s="73">
        <v>5.0593460443157046E-2</v>
      </c>
      <c r="O60" s="73">
        <v>4.9999999999973621E-2</v>
      </c>
      <c r="P60">
        <v>5.1001062508629236E-2</v>
      </c>
    </row>
    <row r="61" spans="1:16">
      <c r="A61" s="61">
        <v>46541</v>
      </c>
      <c r="B61">
        <v>4.9981347642161396E-2</v>
      </c>
      <c r="C61">
        <v>4.9981347642161396E-2</v>
      </c>
      <c r="D61">
        <v>4.9981347642161396E-2</v>
      </c>
      <c r="E61">
        <v>4.9981347642161396E-2</v>
      </c>
      <c r="F61">
        <v>5.0506901072060274E-2</v>
      </c>
      <c r="G61">
        <v>5.0455794212262518E-2</v>
      </c>
      <c r="H61">
        <v>4.9981347642161396E-2</v>
      </c>
      <c r="I61" s="73">
        <v>5.0000000000075984E-2</v>
      </c>
      <c r="J61" s="73">
        <v>4.9997046355675812E-2</v>
      </c>
      <c r="K61" s="73">
        <v>4.9980959835808525E-2</v>
      </c>
      <c r="L61" s="73">
        <v>4.9912029886979958E-2</v>
      </c>
      <c r="M61" s="73">
        <v>5.0484954073818811E-2</v>
      </c>
      <c r="N61" s="73">
        <v>5.0627880889825949E-2</v>
      </c>
      <c r="O61" s="73">
        <v>5.0000000000058886E-2</v>
      </c>
      <c r="P61">
        <v>5.1000669429297707E-2</v>
      </c>
    </row>
    <row r="62" spans="1:16">
      <c r="A62" s="61">
        <v>46633</v>
      </c>
      <c r="B62">
        <v>4.9995141189443974E-2</v>
      </c>
      <c r="C62">
        <v>4.9995141189443974E-2</v>
      </c>
      <c r="D62">
        <v>4.9995141189443974E-2</v>
      </c>
      <c r="E62">
        <v>4.9995141189443974E-2</v>
      </c>
      <c r="F62">
        <v>5.0495551137517219E-2</v>
      </c>
      <c r="G62">
        <v>5.049473124137073E-2</v>
      </c>
      <c r="H62">
        <v>4.9995141189443974E-2</v>
      </c>
      <c r="I62" s="73">
        <v>5.0000000000070211E-2</v>
      </c>
      <c r="J62" s="73">
        <v>4.9996725383632423E-2</v>
      </c>
      <c r="K62" s="73">
        <v>4.9981339524473922E-2</v>
      </c>
      <c r="L62" s="73">
        <v>4.9913810406939429E-2</v>
      </c>
      <c r="M62" s="73">
        <v>5.0447576866135213E-2</v>
      </c>
      <c r="N62" s="73">
        <v>5.066265395297842E-2</v>
      </c>
      <c r="O62" s="73">
        <v>5.0000000000062883E-2</v>
      </c>
      <c r="P62">
        <v>5.1000179256006861E-2</v>
      </c>
    </row>
    <row r="63" spans="1:16">
      <c r="A63" s="61">
        <v>46724</v>
      </c>
      <c r="B63">
        <v>4.9976412632679865E-2</v>
      </c>
      <c r="C63">
        <v>4.9976412632679865E-2</v>
      </c>
      <c r="D63">
        <v>4.9976412632679865E-2</v>
      </c>
      <c r="E63">
        <v>4.9976412632679865E-2</v>
      </c>
      <c r="F63">
        <v>5.0451952397642968E-2</v>
      </c>
      <c r="G63">
        <v>5.0500872867716762E-2</v>
      </c>
      <c r="H63">
        <v>4.9976412632679865E-2</v>
      </c>
      <c r="I63" s="73">
        <v>4.9999999999992495E-2</v>
      </c>
      <c r="J63" s="73">
        <v>4.9996942217282792E-2</v>
      </c>
      <c r="K63" s="73">
        <v>4.9981596859207889E-2</v>
      </c>
      <c r="L63" s="73">
        <v>4.9915035858893786E-2</v>
      </c>
      <c r="M63" s="73">
        <v>5.0412632947327563E-2</v>
      </c>
      <c r="N63" s="73">
        <v>5.0696969828251337E-2</v>
      </c>
      <c r="O63" s="73">
        <v>5.0000000000063327E-2</v>
      </c>
      <c r="P63">
        <v>5.1000847646206937E-2</v>
      </c>
    </row>
    <row r="64" spans="1:16">
      <c r="A64" s="61">
        <v>46815</v>
      </c>
      <c r="B64">
        <v>4.9972069822365968E-2</v>
      </c>
      <c r="C64">
        <v>4.9972069822365968E-2</v>
      </c>
      <c r="D64">
        <v>4.9972069822365968E-2</v>
      </c>
      <c r="E64">
        <v>4.9972069822365968E-2</v>
      </c>
      <c r="F64">
        <v>5.042273940421893E-2</v>
      </c>
      <c r="G64">
        <v>5.0521400240512999E-2</v>
      </c>
      <c r="H64">
        <v>4.9972069822365968E-2</v>
      </c>
      <c r="I64" s="73">
        <v>5.0000000000068212E-2</v>
      </c>
      <c r="J64" s="73">
        <v>4.9997205023069924E-2</v>
      </c>
      <c r="K64" s="73">
        <v>4.9981881458163624E-2</v>
      </c>
      <c r="L64" s="73">
        <v>4.9916291073197838E-2</v>
      </c>
      <c r="M64" s="73">
        <v>5.0376888883653548E-2</v>
      </c>
      <c r="N64" s="73">
        <v>5.0731559332832354E-2</v>
      </c>
      <c r="O64" s="73">
        <v>5.000000000004734E-2</v>
      </c>
      <c r="P64">
        <v>5.1001009016598431E-2</v>
      </c>
    </row>
    <row r="65" spans="1:16">
      <c r="A65" s="61">
        <v>46909</v>
      </c>
      <c r="B65">
        <v>4.9982523010446457E-2</v>
      </c>
      <c r="C65">
        <v>4.9982523010446457E-2</v>
      </c>
      <c r="D65">
        <v>4.9982523010446457E-2</v>
      </c>
      <c r="E65">
        <v>4.9982523010446457E-2</v>
      </c>
      <c r="F65">
        <v>5.0407502513042796E-2</v>
      </c>
      <c r="G65">
        <v>5.055754350785012E-2</v>
      </c>
      <c r="H65">
        <v>4.9982523010446457E-2</v>
      </c>
      <c r="I65" s="73">
        <v>4.9999999999927214E-2</v>
      </c>
      <c r="J65" s="73">
        <v>4.9997234568497806E-2</v>
      </c>
      <c r="K65" s="73">
        <v>4.9982127615391558E-2</v>
      </c>
      <c r="L65" s="73">
        <v>4.9917721073734267E-2</v>
      </c>
      <c r="M65" s="73">
        <v>5.0339261029970439E-2</v>
      </c>
      <c r="N65" s="73">
        <v>5.0767373345821154E-2</v>
      </c>
      <c r="O65" s="73">
        <v>4.9999999999911671E-2</v>
      </c>
      <c r="P65">
        <v>5.100062290794849E-2</v>
      </c>
    </row>
    <row r="66" spans="1:16">
      <c r="A66" s="61">
        <v>47001</v>
      </c>
      <c r="B66">
        <v>4.9994807317381124E-2</v>
      </c>
      <c r="C66">
        <v>4.9994807317381124E-2</v>
      </c>
      <c r="D66">
        <v>4.9994807317381124E-2</v>
      </c>
      <c r="E66">
        <v>4.9994807317381124E-2</v>
      </c>
      <c r="F66">
        <v>5.0394643338151829E-2</v>
      </c>
      <c r="G66">
        <v>5.0594971296610419E-2</v>
      </c>
      <c r="H66">
        <v>4.9994807317381124E-2</v>
      </c>
      <c r="I66" s="73">
        <v>4.9999999999994493E-2</v>
      </c>
      <c r="J66" s="73">
        <v>4.9996934382994684E-2</v>
      </c>
      <c r="K66" s="73">
        <v>4.9982503410444634E-2</v>
      </c>
      <c r="L66" s="73">
        <v>4.9919208746579402E-2</v>
      </c>
      <c r="M66" s="73">
        <v>5.0301803199649608E-2</v>
      </c>
      <c r="N66" s="73">
        <v>5.0802755232993047E-2</v>
      </c>
      <c r="O66" s="73">
        <v>5.0000000000058886E-2</v>
      </c>
      <c r="P66">
        <v>5.1000192784272702E-2</v>
      </c>
    </row>
    <row r="67" spans="1:16">
      <c r="A67" s="61">
        <v>47092</v>
      </c>
      <c r="B67">
        <v>4.997716527689737E-2</v>
      </c>
      <c r="C67">
        <v>4.997716527689737E-2</v>
      </c>
      <c r="D67">
        <v>4.997716527689737E-2</v>
      </c>
      <c r="E67">
        <v>4.997716527689737E-2</v>
      </c>
      <c r="F67">
        <v>5.0352131114557934E-2</v>
      </c>
      <c r="G67">
        <v>5.0602199439236807E-2</v>
      </c>
      <c r="H67">
        <v>4.997716527689737E-2</v>
      </c>
      <c r="I67" s="73">
        <v>4.9999999999992717E-2</v>
      </c>
      <c r="J67" s="73">
        <v>4.9997140403637896E-2</v>
      </c>
      <c r="K67" s="73">
        <v>4.9982714252733373E-2</v>
      </c>
      <c r="L67" s="73">
        <v>4.9920301982554038E-2</v>
      </c>
      <c r="M67" s="73">
        <v>5.0266378432908931E-2</v>
      </c>
      <c r="N67" s="73">
        <v>5.0837846687777244E-2</v>
      </c>
      <c r="O67" s="73">
        <v>4.9999999999916778E-2</v>
      </c>
      <c r="P67">
        <v>5.1000818961162597E-2</v>
      </c>
    </row>
    <row r="68" spans="1:16">
      <c r="A68" s="61">
        <v>47182</v>
      </c>
      <c r="B68">
        <v>4.9973548313188461E-2</v>
      </c>
      <c r="C68">
        <v>4.9973548313188461E-2</v>
      </c>
      <c r="D68">
        <v>4.9973548313188461E-2</v>
      </c>
      <c r="E68">
        <v>4.9973548313188461E-2</v>
      </c>
      <c r="F68">
        <v>5.0323917266454382E-2</v>
      </c>
      <c r="G68">
        <v>5.062317935992254E-2</v>
      </c>
      <c r="H68">
        <v>4.9973548313188461E-2</v>
      </c>
      <c r="I68" s="73">
        <v>5.0000000000064437E-2</v>
      </c>
      <c r="J68" s="73">
        <v>4.9997388689170918E-2</v>
      </c>
      <c r="K68" s="73">
        <v>4.9982970550158434E-2</v>
      </c>
      <c r="L68" s="73">
        <v>4.9921393973505479E-2</v>
      </c>
      <c r="M68" s="73">
        <v>5.0230627704420661E-2</v>
      </c>
      <c r="N68" s="73">
        <v>5.0872753032612517E-2</v>
      </c>
      <c r="O68" s="73">
        <v>5.0000000000044897E-2</v>
      </c>
      <c r="P68">
        <v>5.1000944507891166E-2</v>
      </c>
    </row>
    <row r="69" spans="1:16">
      <c r="A69" s="61">
        <v>47274</v>
      </c>
      <c r="B69">
        <v>4.9983210979060284E-2</v>
      </c>
      <c r="C69">
        <v>4.9983210979060284E-2</v>
      </c>
      <c r="D69">
        <v>4.9983210979060284E-2</v>
      </c>
      <c r="E69">
        <v>4.9983210979060284E-2</v>
      </c>
      <c r="F69">
        <v>5.0308436450500565E-2</v>
      </c>
      <c r="G69">
        <v>5.0657985507619997E-2</v>
      </c>
      <c r="H69">
        <v>4.9983210979060284E-2</v>
      </c>
      <c r="I69" s="73">
        <v>5.0000000000002487E-2</v>
      </c>
      <c r="J69" s="73">
        <v>4.9997399071411985E-2</v>
      </c>
      <c r="K69" s="73">
        <v>4.9983190763366769E-2</v>
      </c>
      <c r="L69" s="73">
        <v>4.9922615337908871E-2</v>
      </c>
      <c r="M69" s="73">
        <v>5.0193530079785997E-2</v>
      </c>
      <c r="N69" s="73">
        <v>5.0908489627161435E-2</v>
      </c>
      <c r="O69" s="73">
        <v>4.9999999999987832E-2</v>
      </c>
      <c r="P69">
        <v>5.1000594837623536E-2</v>
      </c>
    </row>
    <row r="70" spans="1:16">
      <c r="A70" s="61">
        <v>47366</v>
      </c>
      <c r="B70">
        <v>4.9995007382807002E-2</v>
      </c>
      <c r="C70">
        <v>4.9995007382807002E-2</v>
      </c>
      <c r="D70">
        <v>4.9995007382807002E-2</v>
      </c>
      <c r="E70">
        <v>4.9995007382807002E-2</v>
      </c>
      <c r="F70">
        <v>5.029508937242165E-2</v>
      </c>
      <c r="G70">
        <v>5.0694925393192355E-2</v>
      </c>
      <c r="H70">
        <v>4.9995007382807002E-2</v>
      </c>
      <c r="I70" s="73">
        <v>4.9999999999994715E-2</v>
      </c>
      <c r="J70" s="73">
        <v>4.9997114129395781E-2</v>
      </c>
      <c r="K70" s="73">
        <v>4.9983529283896377E-2</v>
      </c>
      <c r="L70" s="73">
        <v>4.9923945627524224E-2</v>
      </c>
      <c r="M70" s="73">
        <v>5.0155788543529756E-2</v>
      </c>
      <c r="N70" s="73">
        <v>5.0944554762292871E-2</v>
      </c>
      <c r="O70" s="73">
        <v>5.0000000000055556E-2</v>
      </c>
      <c r="P70">
        <v>5.100018415866403E-2</v>
      </c>
    </row>
    <row r="71" spans="1:16">
      <c r="A71" s="61">
        <v>47457</v>
      </c>
      <c r="B71">
        <v>4.9978026057426954E-2</v>
      </c>
      <c r="C71">
        <v>4.9978026057426954E-2</v>
      </c>
      <c r="D71">
        <v>4.9978026057426954E-2</v>
      </c>
      <c r="E71">
        <v>4.9978026057426954E-2</v>
      </c>
      <c r="F71">
        <v>5.025323786393146E-2</v>
      </c>
      <c r="G71">
        <v>5.0702814250922441E-2</v>
      </c>
      <c r="H71">
        <v>4.9978026057426954E-2</v>
      </c>
      <c r="I71" s="73">
        <v>4.9999999999922551E-2</v>
      </c>
      <c r="J71" s="73">
        <v>4.9997305567063499E-2</v>
      </c>
      <c r="K71" s="73">
        <v>4.9983712639439792E-2</v>
      </c>
      <c r="L71" s="73">
        <v>4.9924905037058709E-2</v>
      </c>
      <c r="M71" s="73">
        <v>5.0119856156971343E-2</v>
      </c>
      <c r="N71" s="73">
        <v>5.098046593171901E-2</v>
      </c>
      <c r="O71" s="73">
        <v>5.0000000000062661E-2</v>
      </c>
      <c r="P71">
        <v>5.1000783459274501E-2</v>
      </c>
    </row>
    <row r="72" spans="1:16">
      <c r="A72" s="61">
        <v>47547</v>
      </c>
      <c r="B72">
        <v>4.997452435650198E-2</v>
      </c>
      <c r="C72">
        <v>4.997452435650198E-2</v>
      </c>
      <c r="D72">
        <v>4.997452435650198E-2</v>
      </c>
      <c r="E72">
        <v>4.997452435650198E-2</v>
      </c>
      <c r="F72">
        <v>5.0225139278611844E-2</v>
      </c>
      <c r="G72">
        <v>5.0723909434392117E-2</v>
      </c>
      <c r="H72">
        <v>4.997452435650198E-2</v>
      </c>
      <c r="I72" s="73">
        <v>4.9999999999990496E-2</v>
      </c>
      <c r="J72" s="73">
        <v>4.9997537348480003E-2</v>
      </c>
      <c r="K72" s="73">
        <v>4.9983940024989959E-2</v>
      </c>
      <c r="L72" s="73">
        <v>4.992586883826089E-2</v>
      </c>
      <c r="M72" s="73">
        <v>5.008365415874505E-2</v>
      </c>
      <c r="N72" s="73">
        <v>5.1016159995620036E-2</v>
      </c>
      <c r="O72" s="73">
        <v>5.0000000000042233E-2</v>
      </c>
      <c r="P72">
        <v>5.1000904441010242E-2</v>
      </c>
    </row>
    <row r="73" spans="1:16">
      <c r="A73" s="61">
        <v>47639</v>
      </c>
      <c r="B73">
        <v>4.998381765147792E-2</v>
      </c>
      <c r="C73">
        <v>4.998381765147792E-2</v>
      </c>
      <c r="D73">
        <v>4.998381765147792E-2</v>
      </c>
      <c r="E73">
        <v>4.998381765147792E-2</v>
      </c>
      <c r="F73">
        <v>5.0209289091762151E-2</v>
      </c>
      <c r="G73">
        <v>5.075834621119369E-2</v>
      </c>
      <c r="H73">
        <v>4.998381765147792E-2</v>
      </c>
      <c r="I73" s="73">
        <v>5.0000000000002487E-2</v>
      </c>
      <c r="J73" s="73">
        <v>4.9997545099188523E-2</v>
      </c>
      <c r="K73" s="73">
        <v>4.998413451086825E-2</v>
      </c>
      <c r="L73" s="73">
        <v>4.9926959950313599E-2</v>
      </c>
      <c r="M73" s="73">
        <v>5.0046174030432766E-2</v>
      </c>
      <c r="N73" s="73">
        <v>5.1052643913038098E-2</v>
      </c>
      <c r="O73" s="73">
        <v>5.0000000000058886E-2</v>
      </c>
      <c r="P73">
        <v>5.1000570164819514E-2</v>
      </c>
    </row>
    <row r="74" spans="1:16">
      <c r="A74" s="61">
        <v>47731</v>
      </c>
      <c r="B74">
        <v>4.9995184095926133E-2</v>
      </c>
      <c r="C74">
        <v>4.9995184095926133E-2</v>
      </c>
      <c r="D74">
        <v>4.9995184095926133E-2</v>
      </c>
      <c r="E74">
        <v>4.9995184095926133E-2</v>
      </c>
      <c r="F74">
        <v>5.0195512054384731E-2</v>
      </c>
      <c r="G74">
        <v>5.0794856137467537E-2</v>
      </c>
      <c r="H74">
        <v>4.9995184095926133E-2</v>
      </c>
      <c r="I74" s="73">
        <v>5.0000000000065326E-2</v>
      </c>
      <c r="J74" s="73">
        <v>4.9997273964075939E-2</v>
      </c>
      <c r="K74" s="73">
        <v>4.9984441515512179E-2</v>
      </c>
      <c r="L74" s="73">
        <v>4.9928157790709138E-2</v>
      </c>
      <c r="M74" s="73">
        <v>5.0008074075564402E-2</v>
      </c>
      <c r="N74" s="73">
        <v>5.1089454799080558E-2</v>
      </c>
      <c r="O74" s="73">
        <v>5.0000000000052447E-2</v>
      </c>
      <c r="P74">
        <v>5.1000176561445176E-2</v>
      </c>
    </row>
    <row r="75" spans="1:16">
      <c r="A75" s="61">
        <v>47822</v>
      </c>
      <c r="B75">
        <v>4.997878760509035E-2</v>
      </c>
      <c r="C75">
        <v>4.997878760509035E-2</v>
      </c>
      <c r="D75">
        <v>4.997878760509035E-2</v>
      </c>
      <c r="E75">
        <v>4.997878760509035E-2</v>
      </c>
      <c r="F75">
        <v>5.0154245380438806E-2</v>
      </c>
      <c r="G75">
        <v>5.0803329829741894E-2</v>
      </c>
      <c r="H75">
        <v>4.997878760509035E-2</v>
      </c>
      <c r="I75" s="73">
        <v>4.9999999999996714E-2</v>
      </c>
      <c r="J75" s="73">
        <v>4.999745268954392E-2</v>
      </c>
      <c r="K75" s="73">
        <v>4.9984601971851728E-2</v>
      </c>
      <c r="L75" s="73">
        <v>4.9929005311015073E-2</v>
      </c>
      <c r="M75" s="73">
        <v>4.9971577458721939E-2</v>
      </c>
      <c r="N75" s="73">
        <v>5.1126242841154301E-2</v>
      </c>
      <c r="O75" s="73">
        <v>4.9999999999989164E-2</v>
      </c>
      <c r="P75">
        <v>5.1000752156183493E-2</v>
      </c>
    </row>
    <row r="76" spans="1:16">
      <c r="A76" s="61">
        <v>47912</v>
      </c>
      <c r="B76">
        <v>4.9975389228137539E-2</v>
      </c>
      <c r="C76">
        <v>4.9975389228137539E-2</v>
      </c>
      <c r="D76">
        <v>4.9975389228137539E-2</v>
      </c>
      <c r="E76">
        <v>4.9975389228137539E-2</v>
      </c>
      <c r="F76">
        <v>5.0126250119091352E-2</v>
      </c>
      <c r="G76">
        <v>5.0824528337183726E-2</v>
      </c>
      <c r="H76">
        <v>4.9975389228137539E-2</v>
      </c>
      <c r="I76" s="73">
        <v>4.9999999999990941E-2</v>
      </c>
      <c r="J76" s="73">
        <v>4.9997669989401805E-2</v>
      </c>
      <c r="K76" s="73">
        <v>4.9984805036856761E-2</v>
      </c>
      <c r="L76" s="73">
        <v>4.9929861539564246E-2</v>
      </c>
      <c r="M76" s="73">
        <v>4.9934865339134493E-2</v>
      </c>
      <c r="N76" s="73">
        <v>5.1162782869168089E-2</v>
      </c>
      <c r="O76" s="73">
        <v>4.9999999999900124E-2</v>
      </c>
      <c r="P76">
        <v>5.1000869063610565E-2</v>
      </c>
    </row>
    <row r="77" spans="1:16">
      <c r="A77" s="61">
        <v>48004</v>
      </c>
      <c r="B77">
        <v>4.9984356028596487E-2</v>
      </c>
      <c r="C77">
        <v>4.9984356028596487E-2</v>
      </c>
      <c r="D77">
        <v>4.9984356028596487E-2</v>
      </c>
      <c r="E77">
        <v>4.9984356028596487E-2</v>
      </c>
      <c r="F77">
        <v>5.0110073437724667E-2</v>
      </c>
      <c r="G77">
        <v>5.0858638619468308E-2</v>
      </c>
      <c r="H77">
        <v>4.9984356028596487E-2</v>
      </c>
      <c r="I77" s="73">
        <v>5.0000000000002265E-2</v>
      </c>
      <c r="J77" s="73">
        <v>4.9997675598983493E-2</v>
      </c>
      <c r="K77" s="73">
        <v>4.9984977903666961E-2</v>
      </c>
      <c r="L77" s="73">
        <v>4.9930842583499446E-2</v>
      </c>
      <c r="M77" s="73">
        <v>4.9896940596561024E-2</v>
      </c>
      <c r="N77" s="73">
        <v>5.12000744941008E-2</v>
      </c>
      <c r="O77" s="73">
        <v>5.0000000000055556E-2</v>
      </c>
      <c r="P77">
        <v>5.1000548351875619E-2</v>
      </c>
    </row>
    <row r="78" spans="1:16">
      <c r="A78" s="61">
        <v>48096</v>
      </c>
      <c r="B78">
        <v>4.9995341143264801E-2</v>
      </c>
      <c r="C78">
        <v>4.9995341143264801E-2</v>
      </c>
      <c r="D78">
        <v>4.9995341143264801E-2</v>
      </c>
      <c r="E78">
        <v>4.9995341143264801E-2</v>
      </c>
      <c r="F78">
        <v>5.0095915070567341E-2</v>
      </c>
      <c r="G78">
        <v>5.0894767215962262E-2</v>
      </c>
      <c r="H78">
        <v>4.9995341143264801E-2</v>
      </c>
      <c r="I78" s="73">
        <v>4.9999999999992051E-2</v>
      </c>
      <c r="J78" s="73">
        <v>4.999741702223881E-2</v>
      </c>
      <c r="K78" s="73">
        <v>4.9985257997350319E-2</v>
      </c>
      <c r="L78" s="73">
        <v>4.9931927847636004E-2</v>
      </c>
      <c r="M78" s="73">
        <v>4.9858419004270349E-2</v>
      </c>
      <c r="N78" s="73">
        <v>5.123769245491272E-2</v>
      </c>
      <c r="O78" s="73">
        <v>4.9999999999979838E-2</v>
      </c>
      <c r="P78">
        <v>5.1000169831801889E-2</v>
      </c>
    </row>
    <row r="79" spans="1:16">
      <c r="A79" s="61">
        <v>48187</v>
      </c>
      <c r="B79">
        <v>4.9979465381493247E-2</v>
      </c>
      <c r="C79">
        <v>4.9979465381493247E-2</v>
      </c>
      <c r="D79">
        <v>4.9979465381493247E-2</v>
      </c>
      <c r="E79">
        <v>4.9979465381493247E-2</v>
      </c>
      <c r="F79">
        <v>5.0055169125685653E-2</v>
      </c>
      <c r="G79">
        <v>5.0903761637300843E-2</v>
      </c>
      <c r="H79">
        <v>4.9979465381493247E-2</v>
      </c>
      <c r="I79" s="73">
        <v>4.9999999999996936E-2</v>
      </c>
      <c r="J79" s="73">
        <v>4.9997584574212883E-2</v>
      </c>
      <c r="K79" s="73">
        <v>4.9985399193450686E-2</v>
      </c>
      <c r="L79" s="73">
        <v>4.993268091712677E-2</v>
      </c>
      <c r="M79" s="73">
        <v>4.9821309711486572E-2</v>
      </c>
      <c r="N79" s="73">
        <v>5.1275414970886501E-2</v>
      </c>
      <c r="O79" s="73">
        <v>4.999999999998983E-2</v>
      </c>
      <c r="P79">
        <v>5.1000724405165343E-2</v>
      </c>
    </row>
    <row r="80" spans="1:16">
      <c r="A80" s="61">
        <v>48278</v>
      </c>
      <c r="B80">
        <v>4.997616003024323E-2</v>
      </c>
      <c r="C80">
        <v>4.997616003024323E-2</v>
      </c>
      <c r="D80">
        <v>4.997616003024323E-2</v>
      </c>
      <c r="E80">
        <v>4.997616003024323E-2</v>
      </c>
      <c r="F80">
        <v>5.0026993591325494E-2</v>
      </c>
      <c r="G80">
        <v>5.0925326469160967E-2</v>
      </c>
      <c r="H80">
        <v>4.997616003024323E-2</v>
      </c>
      <c r="I80" s="73">
        <v>4.9999999999991385E-2</v>
      </c>
      <c r="J80" s="73">
        <v>4.9997789068741749E-2</v>
      </c>
      <c r="K80" s="73">
        <v>4.9985581607335794E-2</v>
      </c>
      <c r="L80" s="73">
        <v>4.9933446025401729E-2</v>
      </c>
      <c r="M80" s="73">
        <v>4.97835942114353E-2</v>
      </c>
      <c r="N80" s="73">
        <v>5.131331522858873E-2</v>
      </c>
      <c r="O80" s="73">
        <v>5.0000000000044675E-2</v>
      </c>
      <c r="P80">
        <v>5.1000837663082832E-2</v>
      </c>
    </row>
    <row r="81" spans="1:16">
      <c r="A81" s="61">
        <v>48372</v>
      </c>
      <c r="B81">
        <v>4.9985191177254314E-2</v>
      </c>
      <c r="C81">
        <v>4.9985191177254314E-2</v>
      </c>
      <c r="D81">
        <v>4.9985191177254314E-2</v>
      </c>
      <c r="E81">
        <v>4.9985191177254314E-2</v>
      </c>
      <c r="F81">
        <v>5.0010334659079947E-2</v>
      </c>
      <c r="G81">
        <v>5.0960047695428681E-2</v>
      </c>
      <c r="H81">
        <v>4.9985191177254314E-2</v>
      </c>
      <c r="I81" s="73">
        <v>5.0000000000002265E-2</v>
      </c>
      <c r="J81" s="73">
        <v>4.9997845151420917E-2</v>
      </c>
      <c r="K81" s="73">
        <v>4.9985666643117765E-2</v>
      </c>
      <c r="L81" s="73">
        <v>4.993435563762616E-2</v>
      </c>
      <c r="M81" s="73">
        <v>4.9744362282327037E-2</v>
      </c>
      <c r="N81" s="73">
        <v>5.1352285786178786E-2</v>
      </c>
      <c r="O81" s="73">
        <v>4.9999999999983169E-2</v>
      </c>
      <c r="P81">
        <v>5.1000514894226745E-2</v>
      </c>
    </row>
    <row r="82" spans="1:16">
      <c r="A82" s="61">
        <v>48464</v>
      </c>
      <c r="B82">
        <v>4.9995029254991705E-2</v>
      </c>
      <c r="C82">
        <v>4.9995029254991705E-2</v>
      </c>
      <c r="D82">
        <v>4.9995029254991705E-2</v>
      </c>
      <c r="E82">
        <v>4.9995029254991705E-2</v>
      </c>
      <c r="F82">
        <v>4.9995029254991705E-2</v>
      </c>
      <c r="G82">
        <v>5.0995029254991706E-2</v>
      </c>
      <c r="H82">
        <v>4.9995029254991705E-2</v>
      </c>
      <c r="I82" s="73">
        <v>4.9999999999992495E-2</v>
      </c>
      <c r="J82" s="73">
        <v>4.9997524327185516E-2</v>
      </c>
      <c r="K82" s="73">
        <v>4.9986020288748989E-2</v>
      </c>
      <c r="L82" s="73">
        <v>4.9935337341604491E-2</v>
      </c>
      <c r="M82" s="73">
        <v>4.9705346838269771E-2</v>
      </c>
      <c r="N82" s="73">
        <v>5.1390809510270863E-2</v>
      </c>
      <c r="O82" s="73">
        <v>5.0000000000051115E-2</v>
      </c>
      <c r="P82">
        <v>5.1000181672637979E-2</v>
      </c>
    </row>
    <row r="83" spans="1:16">
      <c r="A83" s="61">
        <v>48555</v>
      </c>
      <c r="B83">
        <v>4.9979896343336369E-2</v>
      </c>
      <c r="C83">
        <v>4.9979896343336369E-2</v>
      </c>
      <c r="D83">
        <v>4.9979896343336369E-2</v>
      </c>
      <c r="E83">
        <v>4.9979896343336369E-2</v>
      </c>
      <c r="F83">
        <v>4.9979896343336369E-2</v>
      </c>
      <c r="G83">
        <v>5.095500575252674E-2</v>
      </c>
      <c r="H83">
        <v>5.0004786934145999E-2</v>
      </c>
      <c r="I83" s="73">
        <v>4.9999999999997158E-2</v>
      </c>
      <c r="J83" s="73">
        <v>4.9997708648173766E-2</v>
      </c>
      <c r="K83" s="73">
        <v>4.9986118552038494E-2</v>
      </c>
      <c r="L83" s="73">
        <v>4.9936010709303869E-2</v>
      </c>
      <c r="M83" s="73">
        <v>4.9708670533456623E-2</v>
      </c>
      <c r="N83" s="73">
        <v>5.1344589464629831E-2</v>
      </c>
      <c r="O83" s="73">
        <v>5.0041543152409496E-2</v>
      </c>
      <c r="P83">
        <v>5.1000708683658136E-2</v>
      </c>
    </row>
    <row r="84" spans="1:16">
      <c r="A84" s="61">
        <v>48645</v>
      </c>
      <c r="B84">
        <v>4.9976928907991755E-2</v>
      </c>
      <c r="C84">
        <v>4.9976928907991755E-2</v>
      </c>
      <c r="D84">
        <v>4.9976928907991755E-2</v>
      </c>
      <c r="E84">
        <v>4.9976928907991755E-2</v>
      </c>
      <c r="F84">
        <v>4.9976928907991755E-2</v>
      </c>
      <c r="G84">
        <v>5.0927421249348431E-2</v>
      </c>
      <c r="H84">
        <v>5.002643656663508E-2</v>
      </c>
      <c r="I84" s="73">
        <v>4.9999999999991829E-2</v>
      </c>
      <c r="J84" s="73">
        <v>4.9997905024738554E-2</v>
      </c>
      <c r="K84" s="73">
        <v>4.9986273171914952E-2</v>
      </c>
      <c r="L84" s="73">
        <v>4.9936691801675259E-2</v>
      </c>
      <c r="M84" s="73">
        <v>4.9712036728626785E-2</v>
      </c>
      <c r="N84" s="73">
        <v>5.1297727978988128E-2</v>
      </c>
      <c r="O84" s="73">
        <v>5.0083257596523101E-2</v>
      </c>
      <c r="P84">
        <v>5.1000811699959181E-2</v>
      </c>
    </row>
    <row r="85" spans="1:16">
      <c r="A85" s="61">
        <v>48737</v>
      </c>
      <c r="B85">
        <v>4.9985611843315424E-2</v>
      </c>
      <c r="C85">
        <v>4.9985611843315424E-2</v>
      </c>
      <c r="D85">
        <v>4.9985611843315424E-2</v>
      </c>
      <c r="E85">
        <v>4.9985611843315424E-2</v>
      </c>
      <c r="F85">
        <v>4.9985611843315424E-2</v>
      </c>
      <c r="G85">
        <v>5.0910940070886541E-2</v>
      </c>
      <c r="H85">
        <v>5.0060283615744307E-2</v>
      </c>
      <c r="I85" s="73">
        <v>5.0000000000071765E-2</v>
      </c>
      <c r="J85" s="73">
        <v>4.9997948662166003E-2</v>
      </c>
      <c r="K85" s="73">
        <v>4.9986355164603591E-2</v>
      </c>
      <c r="L85" s="73">
        <v>4.9937508877549108E-2</v>
      </c>
      <c r="M85" s="73">
        <v>4.9715679394273238E-2</v>
      </c>
      <c r="N85" s="73">
        <v>5.1248561952857541E-2</v>
      </c>
      <c r="O85" s="73">
        <v>5.0126487501787498E-2</v>
      </c>
      <c r="P85">
        <v>5.1000498089807333E-2</v>
      </c>
    </row>
    <row r="86" spans="1:16">
      <c r="A86" s="61">
        <v>48829</v>
      </c>
      <c r="B86">
        <v>4.999516781638267E-2</v>
      </c>
      <c r="C86">
        <v>4.999516781638267E-2</v>
      </c>
      <c r="D86">
        <v>4.999516781638267E-2</v>
      </c>
      <c r="E86">
        <v>4.999516781638267E-2</v>
      </c>
      <c r="F86">
        <v>4.999516781638267E-2</v>
      </c>
      <c r="G86">
        <v>5.0895331930168229E-2</v>
      </c>
      <c r="H86">
        <v>5.0095003702597111E-2</v>
      </c>
      <c r="I86" s="73">
        <v>4.9999999999992717E-2</v>
      </c>
      <c r="J86" s="73">
        <v>4.9997641872096876E-2</v>
      </c>
      <c r="K86" s="73">
        <v>4.9986684042717666E-2</v>
      </c>
      <c r="L86" s="73">
        <v>4.9938407442319921E-2</v>
      </c>
      <c r="M86" s="73">
        <v>4.9719335140398391E-2</v>
      </c>
      <c r="N86" s="73">
        <v>5.1198508919313657E-2</v>
      </c>
      <c r="O86" s="73">
        <v>5.0170364670506729E-2</v>
      </c>
      <c r="P86">
        <v>5.1000175715375295E-2</v>
      </c>
    </row>
    <row r="87" spans="1:16">
      <c r="A87" s="61">
        <v>48920</v>
      </c>
      <c r="B87">
        <v>4.9980446067483496E-2</v>
      </c>
      <c r="C87">
        <v>4.9980446067483496E-2</v>
      </c>
      <c r="D87">
        <v>4.9980446067483496E-2</v>
      </c>
      <c r="E87">
        <v>4.9980446067483496E-2</v>
      </c>
      <c r="F87">
        <v>4.9980446067483496E-2</v>
      </c>
      <c r="G87">
        <v>5.0855719590459425E-2</v>
      </c>
      <c r="H87">
        <v>5.0105172544507567E-2</v>
      </c>
      <c r="I87" s="73">
        <v>4.9999999999927658E-2</v>
      </c>
      <c r="J87" s="73">
        <v>4.9997816115483262E-2</v>
      </c>
      <c r="K87" s="73">
        <v>4.9986769612525128E-2</v>
      </c>
      <c r="L87" s="73">
        <v>4.9939011833870062E-2</v>
      </c>
      <c r="M87" s="73">
        <v>4.9722332615641074E-2</v>
      </c>
      <c r="N87" s="73">
        <v>5.1152355662361426E-2</v>
      </c>
      <c r="O87" s="73">
        <v>5.0212542316047548E-2</v>
      </c>
      <c r="P87">
        <v>5.1000686257950401E-2</v>
      </c>
    </row>
    <row r="88" spans="1:16">
      <c r="A88" s="61">
        <v>49010</v>
      </c>
      <c r="B88">
        <v>4.9977547984505051E-2</v>
      </c>
      <c r="C88">
        <v>4.9977547984505051E-2</v>
      </c>
      <c r="D88">
        <v>4.9977547984505051E-2</v>
      </c>
      <c r="E88">
        <v>4.9977547984505051E-2</v>
      </c>
      <c r="F88">
        <v>4.9977547984505051E-2</v>
      </c>
      <c r="G88">
        <v>5.0828204439647286E-2</v>
      </c>
      <c r="H88">
        <v>5.0126891529362817E-2</v>
      </c>
      <c r="I88" s="73">
        <v>4.9999999999992273E-2</v>
      </c>
      <c r="J88" s="73">
        <v>4.9998002133079034E-2</v>
      </c>
      <c r="K88" s="73">
        <v>4.9986909455573603E-2</v>
      </c>
      <c r="L88" s="73">
        <v>4.9939626279684957E-2</v>
      </c>
      <c r="M88" s="73">
        <v>4.9725383134953338E-2</v>
      </c>
      <c r="N88" s="73">
        <v>5.1105601540076595E-2</v>
      </c>
      <c r="O88" s="73">
        <v>5.0254863954938056E-2</v>
      </c>
      <c r="P88">
        <v>5.1000786511071539E-2</v>
      </c>
    </row>
    <row r="89" spans="1:16">
      <c r="A89" s="61">
        <v>49102</v>
      </c>
      <c r="B89">
        <v>4.9985990843675485E-2</v>
      </c>
      <c r="C89">
        <v>4.9985990843675485E-2</v>
      </c>
      <c r="D89">
        <v>4.9985990843675485E-2</v>
      </c>
      <c r="E89">
        <v>4.9985990843675485E-2</v>
      </c>
      <c r="F89">
        <v>4.9985990843675485E-2</v>
      </c>
      <c r="G89">
        <v>5.0811483185032161E-2</v>
      </c>
      <c r="H89">
        <v>5.0160498502318809E-2</v>
      </c>
      <c r="I89" s="73">
        <v>4.9999999999998712E-2</v>
      </c>
      <c r="J89" s="73">
        <v>4.9998042682527499E-2</v>
      </c>
      <c r="K89" s="73">
        <v>4.9986980558983207E-2</v>
      </c>
      <c r="L89" s="73">
        <v>4.9940373019172535E-2</v>
      </c>
      <c r="M89" s="73">
        <v>4.9728709296148699E-2</v>
      </c>
      <c r="N89" s="73">
        <v>5.1056629271559961E-2</v>
      </c>
      <c r="O89" s="73">
        <v>5.0298654122504782E-2</v>
      </c>
      <c r="P89">
        <v>5.1000483036037547E-2</v>
      </c>
    </row>
    <row r="90" spans="1:16">
      <c r="A90" s="61">
        <v>49194</v>
      </c>
      <c r="B90">
        <v>4.9995292783464047E-2</v>
      </c>
      <c r="C90">
        <v>4.9995292783464047E-2</v>
      </c>
      <c r="D90">
        <v>4.9995292783464047E-2</v>
      </c>
      <c r="E90">
        <v>4.9995292783464047E-2</v>
      </c>
      <c r="F90">
        <v>4.9995292783464047E-2</v>
      </c>
      <c r="G90">
        <v>5.0795621011035165E-2</v>
      </c>
      <c r="H90">
        <v>5.0194964555892931E-2</v>
      </c>
      <c r="I90" s="73">
        <v>4.9999999999923217E-2</v>
      </c>
      <c r="J90" s="73">
        <v>4.9997748760134408E-2</v>
      </c>
      <c r="K90" s="73">
        <v>4.9987287620524956E-2</v>
      </c>
      <c r="L90" s="73">
        <v>4.9941199211953391E-2</v>
      </c>
      <c r="M90" s="73">
        <v>4.9732055407663234E-2</v>
      </c>
      <c r="N90" s="73">
        <v>5.1006783390343813E-2</v>
      </c>
      <c r="O90" s="73">
        <v>5.0343095623573753E-2</v>
      </c>
      <c r="P90">
        <v>5.10001703687335E-2</v>
      </c>
    </row>
    <row r="91" spans="1:16">
      <c r="A91" s="61">
        <v>49285</v>
      </c>
      <c r="B91">
        <v>4.9980942373196668E-2</v>
      </c>
      <c r="C91">
        <v>4.9980942373196668E-2</v>
      </c>
      <c r="D91">
        <v>4.9980942373196668E-2</v>
      </c>
      <c r="E91">
        <v>4.9980942373196668E-2</v>
      </c>
      <c r="F91">
        <v>4.9980942373196668E-2</v>
      </c>
      <c r="G91">
        <v>5.0756380009958156E-2</v>
      </c>
      <c r="H91">
        <v>5.0205504736435182E-2</v>
      </c>
      <c r="I91" s="73">
        <v>5.0000000000000711E-2</v>
      </c>
      <c r="J91" s="73">
        <v>4.9997913951343786E-2</v>
      </c>
      <c r="K91" s="73">
        <v>4.9987362323294926E-2</v>
      </c>
      <c r="L91" s="73">
        <v>4.994174399698359E-2</v>
      </c>
      <c r="M91" s="73">
        <v>4.9734770418674357E-2</v>
      </c>
      <c r="N91" s="73">
        <v>5.0960553562221955E-2</v>
      </c>
      <c r="O91" s="73">
        <v>5.0386018804196464E-2</v>
      </c>
      <c r="P91">
        <v>5.1000666127592353E-2</v>
      </c>
    </row>
    <row r="92" spans="1:16">
      <c r="A92" s="61">
        <v>49375</v>
      </c>
      <c r="B92">
        <v>4.9978107462462562E-2</v>
      </c>
      <c r="C92">
        <v>4.9978107462462562E-2</v>
      </c>
      <c r="D92">
        <v>4.9978107462462562E-2</v>
      </c>
      <c r="E92">
        <v>4.9978107462462562E-2</v>
      </c>
      <c r="F92">
        <v>4.9978107462462562E-2</v>
      </c>
      <c r="G92">
        <v>5.0728928031390355E-2</v>
      </c>
      <c r="H92">
        <v>5.022728689353477E-2</v>
      </c>
      <c r="I92" s="73">
        <v>4.9999999999992495E-2</v>
      </c>
      <c r="J92" s="73">
        <v>4.9998090635244186E-2</v>
      </c>
      <c r="K92" s="73">
        <v>4.9987489348847669E-2</v>
      </c>
      <c r="L92" s="73">
        <v>4.9942300696150799E-2</v>
      </c>
      <c r="M92" s="73">
        <v>4.9737546860770809E-2</v>
      </c>
      <c r="N92" s="73">
        <v>5.0913766080056488E-2</v>
      </c>
      <c r="O92" s="73">
        <v>5.0429057934468835E-2</v>
      </c>
      <c r="P92">
        <v>5.100076388229513E-2</v>
      </c>
    </row>
    <row r="93" spans="1:16">
      <c r="A93" s="61">
        <v>49467</v>
      </c>
      <c r="B93">
        <v>4.9986333687639446E-2</v>
      </c>
      <c r="C93">
        <v>4.9986333687639446E-2</v>
      </c>
      <c r="D93">
        <v>4.9986333687639446E-2</v>
      </c>
      <c r="E93">
        <v>4.9986333687639446E-2</v>
      </c>
      <c r="F93">
        <v>4.9986333687639446E-2</v>
      </c>
      <c r="G93">
        <v>5.0711990142781681E-2</v>
      </c>
      <c r="H93">
        <v>5.0260677232497213E-2</v>
      </c>
      <c r="I93" s="73">
        <v>4.9999999999998712E-2</v>
      </c>
      <c r="J93" s="73">
        <v>4.9998128460507552E-2</v>
      </c>
      <c r="K93" s="73">
        <v>4.998755112770481E-2</v>
      </c>
      <c r="L93" s="73">
        <v>4.9942986078774565E-2</v>
      </c>
      <c r="M93" s="73">
        <v>4.9740597054162894E-2</v>
      </c>
      <c r="N93" s="73">
        <v>5.0864845738721964E-2</v>
      </c>
      <c r="O93" s="73">
        <v>5.0473520043035291E-2</v>
      </c>
      <c r="P93">
        <v>5.1000469506298884E-2</v>
      </c>
    </row>
    <row r="94" spans="1:16">
      <c r="A94" s="61">
        <v>49559</v>
      </c>
      <c r="B94">
        <v>4.9995405934893537E-2</v>
      </c>
      <c r="C94">
        <v>4.9995405934893537E-2</v>
      </c>
      <c r="D94">
        <v>4.9995405934893537E-2</v>
      </c>
      <c r="E94">
        <v>4.9995405934893537E-2</v>
      </c>
      <c r="F94">
        <v>4.9995405934893537E-2</v>
      </c>
      <c r="G94">
        <v>5.0695898276250213E-2</v>
      </c>
      <c r="H94">
        <v>5.0294913593536862E-2</v>
      </c>
      <c r="I94" s="73">
        <v>4.9999999999996714E-2</v>
      </c>
      <c r="J94" s="73">
        <v>4.9997846377901611E-2</v>
      </c>
      <c r="K94" s="73">
        <v>4.9987838850502619E-2</v>
      </c>
      <c r="L94" s="73">
        <v>4.9943748858777504E-2</v>
      </c>
      <c r="M94" s="73">
        <v>4.9743672585721432E-2</v>
      </c>
      <c r="N94" s="73">
        <v>5.0815066895293137E-2</v>
      </c>
      <c r="O94" s="73">
        <v>5.0518637866448168E-2</v>
      </c>
      <c r="P94">
        <v>5.100016555439546E-2</v>
      </c>
    </row>
    <row r="95" spans="1:16">
      <c r="A95" s="61">
        <v>49650</v>
      </c>
      <c r="B95">
        <v>4.9981392175287444E-2</v>
      </c>
      <c r="C95">
        <v>4.9981392175287444E-2</v>
      </c>
      <c r="D95">
        <v>4.9981392175287444E-2</v>
      </c>
      <c r="E95">
        <v>4.9981392175287444E-2</v>
      </c>
      <c r="F95">
        <v>4.9981392175287444E-2</v>
      </c>
      <c r="G95">
        <v>5.065699392583449E-2</v>
      </c>
      <c r="H95">
        <v>5.0305790424740399E-2</v>
      </c>
      <c r="I95" s="73">
        <v>5.0000000000000711E-2</v>
      </c>
      <c r="J95" s="73">
        <v>4.9998003395041124E-2</v>
      </c>
      <c r="K95" s="73">
        <v>4.9987904192645427E-2</v>
      </c>
      <c r="L95" s="73">
        <v>4.9944241805333522E-2</v>
      </c>
      <c r="M95" s="73">
        <v>4.9746141453675063E-2</v>
      </c>
      <c r="N95" s="73">
        <v>5.0768638658941656E-2</v>
      </c>
      <c r="O95" s="73">
        <v>5.0562411961026621E-2</v>
      </c>
      <c r="P95">
        <v>5.1000648001779281E-2</v>
      </c>
    </row>
    <row r="96" spans="1:16">
      <c r="A96" s="61">
        <v>49741</v>
      </c>
      <c r="B96">
        <v>4.9978614976524241E-2</v>
      </c>
      <c r="C96">
        <v>4.9978614976524241E-2</v>
      </c>
      <c r="D96">
        <v>4.9978614976524241E-2</v>
      </c>
      <c r="E96">
        <v>4.9978614976524241E-2</v>
      </c>
      <c r="F96">
        <v>4.9978614976524241E-2</v>
      </c>
      <c r="G96">
        <v>5.0629326136261657E-2</v>
      </c>
      <c r="H96">
        <v>5.0327903816786826E-2</v>
      </c>
      <c r="I96" s="73">
        <v>5.0000000000063327E-2</v>
      </c>
      <c r="J96" s="73">
        <v>4.9998171626727483E-2</v>
      </c>
      <c r="K96" s="73">
        <v>4.9988020030152791E-2</v>
      </c>
      <c r="L96" s="73">
        <v>4.9944748156520724E-2</v>
      </c>
      <c r="M96" s="73">
        <v>4.9748678443991778E-2</v>
      </c>
      <c r="N96" s="73">
        <v>5.0721191641187158E-2</v>
      </c>
      <c r="O96" s="73">
        <v>5.0606780959569386E-2</v>
      </c>
      <c r="P96">
        <v>5.1000743493151424E-2</v>
      </c>
    </row>
    <row r="97" spans="1:16">
      <c r="A97" s="61">
        <v>49835</v>
      </c>
      <c r="B97">
        <v>4.9986852142374714E-2</v>
      </c>
      <c r="C97">
        <v>4.9986852142374714E-2</v>
      </c>
      <c r="D97">
        <v>4.9986852142374714E-2</v>
      </c>
      <c r="E97">
        <v>4.9986852142374714E-2</v>
      </c>
      <c r="F97">
        <v>4.9986852142374714E-2</v>
      </c>
      <c r="G97">
        <v>5.0611852142374715E-2</v>
      </c>
      <c r="H97">
        <v>5.0361852142374715E-2</v>
      </c>
      <c r="I97" s="73">
        <v>5.00000000000691E-2</v>
      </c>
      <c r="J97" s="73">
        <v>4.9998129074672715E-2</v>
      </c>
      <c r="K97" s="73">
        <v>4.9988178796438243E-2</v>
      </c>
      <c r="L97" s="73">
        <v>4.9945363548606903E-2</v>
      </c>
      <c r="M97" s="73">
        <v>4.9751552842009827E-2</v>
      </c>
      <c r="N97" s="73">
        <v>5.0671122036165972E-2</v>
      </c>
      <c r="O97" s="73">
        <v>5.0653010995520331E-2</v>
      </c>
      <c r="P97">
        <v>5.1000453248266853E-2</v>
      </c>
    </row>
    <row r="98" spans="1:16">
      <c r="A98" s="61">
        <v>49927</v>
      </c>
      <c r="B98">
        <v>4.9994618629373891E-2</v>
      </c>
      <c r="C98">
        <v>4.9994618629373891E-2</v>
      </c>
      <c r="D98">
        <v>4.9994618629373891E-2</v>
      </c>
      <c r="E98">
        <v>4.9994618629373891E-2</v>
      </c>
      <c r="F98">
        <v>4.9994618629373891E-2</v>
      </c>
      <c r="G98">
        <v>5.0594454515588333E-2</v>
      </c>
      <c r="H98">
        <v>5.039478274315945E-2</v>
      </c>
      <c r="I98" s="73">
        <v>4.9999999999996936E-2</v>
      </c>
      <c r="J98" s="73">
        <v>4.9997980693120558E-2</v>
      </c>
      <c r="K98" s="73">
        <v>4.9988331755473903E-2</v>
      </c>
      <c r="L98" s="73">
        <v>4.9946088024168445E-2</v>
      </c>
      <c r="M98" s="73">
        <v>4.9754381689934402E-2</v>
      </c>
      <c r="N98" s="73">
        <v>5.0621359985756342E-2</v>
      </c>
      <c r="O98" s="73">
        <v>5.0698912174065303E-2</v>
      </c>
      <c r="P98">
        <v>5.1000226463871368E-2</v>
      </c>
    </row>
    <row r="99" spans="1:16">
      <c r="A99" s="61">
        <v>50018</v>
      </c>
      <c r="B99">
        <v>4.9981288859722806E-2</v>
      </c>
      <c r="C99">
        <v>4.9981288859722806E-2</v>
      </c>
      <c r="D99">
        <v>4.9981288859722806E-2</v>
      </c>
      <c r="E99">
        <v>4.9981288859722806E-2</v>
      </c>
      <c r="F99">
        <v>4.9981288859722806E-2</v>
      </c>
      <c r="G99">
        <v>5.0556234155127618E-2</v>
      </c>
      <c r="H99">
        <v>5.0406343564317994E-2</v>
      </c>
      <c r="I99" s="73">
        <v>5.0000000000071099E-2</v>
      </c>
      <c r="J99" s="73">
        <v>4.9998106689069344E-2</v>
      </c>
      <c r="K99" s="73">
        <v>4.9988422011473688E-2</v>
      </c>
      <c r="L99" s="73">
        <v>4.9946530547098966E-2</v>
      </c>
      <c r="M99" s="73">
        <v>4.9756629117327922E-2</v>
      </c>
      <c r="N99" s="73">
        <v>5.0574611626018173E-2</v>
      </c>
      <c r="O99" s="73">
        <v>5.0743648668154284E-2</v>
      </c>
      <c r="P99">
        <v>5.1000675736478263E-2</v>
      </c>
    </row>
    <row r="100" spans="1:16">
      <c r="A100" s="61">
        <v>50108</v>
      </c>
      <c r="B100">
        <v>4.9978747945344348E-2</v>
      </c>
      <c r="C100">
        <v>4.9978747945344348E-2</v>
      </c>
      <c r="D100">
        <v>4.9978747945344348E-2</v>
      </c>
      <c r="E100">
        <v>4.9978747945344348E-2</v>
      </c>
      <c r="F100">
        <v>4.9978747945344348E-2</v>
      </c>
      <c r="G100">
        <v>5.0529076172915466E-2</v>
      </c>
      <c r="H100">
        <v>5.0428419717773232E-2</v>
      </c>
      <c r="I100" s="73">
        <v>4.999999999998983E-2</v>
      </c>
      <c r="J100" s="73">
        <v>4.9998251052960185E-2</v>
      </c>
      <c r="K100" s="73">
        <v>4.9988530524270658E-2</v>
      </c>
      <c r="L100" s="73">
        <v>4.9947009930518371E-2</v>
      </c>
      <c r="M100" s="73">
        <v>4.9758955163740737E-2</v>
      </c>
      <c r="N100" s="73">
        <v>5.0527427298133976E-2</v>
      </c>
      <c r="O100" s="73">
        <v>5.078841660494704E-2</v>
      </c>
      <c r="P100">
        <v>5.1000765755658151E-2</v>
      </c>
    </row>
    <row r="101" spans="1:16">
      <c r="A101" s="61">
        <v>50200</v>
      </c>
      <c r="B101">
        <v>4.9987131183895327E-2</v>
      </c>
      <c r="C101">
        <v>4.9987131183895327E-2</v>
      </c>
      <c r="D101">
        <v>4.9987131183895327E-2</v>
      </c>
      <c r="E101">
        <v>4.9987131183895327E-2</v>
      </c>
      <c r="F101">
        <v>4.9987131183895327E-2</v>
      </c>
      <c r="G101">
        <v>5.0512295297680886E-2</v>
      </c>
      <c r="H101">
        <v>5.0461967070109769E-2</v>
      </c>
      <c r="I101" s="73">
        <v>5.0000000000066436E-2</v>
      </c>
      <c r="J101" s="73">
        <v>4.9998204440291127E-2</v>
      </c>
      <c r="K101" s="73">
        <v>4.998865498608307E-2</v>
      </c>
      <c r="L101" s="73">
        <v>4.9947564408476364E-2</v>
      </c>
      <c r="M101" s="73">
        <v>4.9761559887448792E-2</v>
      </c>
      <c r="N101" s="73">
        <v>5.0478205704654444E-2</v>
      </c>
      <c r="O101" s="73">
        <v>5.0834559275331204E-2</v>
      </c>
      <c r="P101">
        <v>5.1000442284296232E-2</v>
      </c>
    </row>
    <row r="102" spans="1:16">
      <c r="A102" s="61">
        <v>50292</v>
      </c>
      <c r="B102">
        <v>4.9994730894718981E-2</v>
      </c>
      <c r="C102">
        <v>4.9994730894718981E-2</v>
      </c>
      <c r="D102">
        <v>4.9994730894718981E-2</v>
      </c>
      <c r="E102">
        <v>4.9994730894718981E-2</v>
      </c>
      <c r="F102">
        <v>4.9994730894718981E-2</v>
      </c>
      <c r="G102">
        <v>5.0494730894718981E-2</v>
      </c>
      <c r="H102">
        <v>5.0494730894718981E-2</v>
      </c>
      <c r="I102" s="73">
        <v>4.9999999999996936E-2</v>
      </c>
      <c r="J102" s="73">
        <v>4.9998061245205339E-2</v>
      </c>
      <c r="K102" s="73">
        <v>4.9988797211553138E-2</v>
      </c>
      <c r="L102" s="73">
        <v>4.9948238577418591E-2</v>
      </c>
      <c r="M102" s="73">
        <v>4.9764178570208761E-2</v>
      </c>
      <c r="N102" s="73">
        <v>5.042827897924762E-2</v>
      </c>
      <c r="O102" s="73">
        <v>5.0881353668928542E-2</v>
      </c>
      <c r="P102">
        <v>5.1000220422305897E-2</v>
      </c>
    </row>
    <row r="103" spans="1:16">
      <c r="A103" s="61">
        <v>50383</v>
      </c>
      <c r="B103">
        <v>4.9981672435154917E-2</v>
      </c>
      <c r="C103">
        <v>4.9981672435154917E-2</v>
      </c>
      <c r="D103">
        <v>4.9981672435154917E-2</v>
      </c>
      <c r="E103">
        <v>4.9981672435154917E-2</v>
      </c>
      <c r="F103">
        <v>4.9981672435154917E-2</v>
      </c>
      <c r="G103">
        <v>5.0456781844345287E-2</v>
      </c>
      <c r="H103">
        <v>5.0506563025964547E-2</v>
      </c>
      <c r="I103" s="73">
        <v>4.9999999999925659E-2</v>
      </c>
      <c r="J103" s="73">
        <v>4.9998181435870093E-2</v>
      </c>
      <c r="K103" s="73">
        <v>4.9988879106624529E-2</v>
      </c>
      <c r="L103" s="73">
        <v>4.9948641463159582E-2</v>
      </c>
      <c r="M103" s="73">
        <v>4.9766236314552348E-2</v>
      </c>
      <c r="N103" s="73">
        <v>5.0381138417085358E-2</v>
      </c>
      <c r="O103" s="73">
        <v>5.092714258675568E-2</v>
      </c>
      <c r="P103">
        <v>5.1000659480834543E-2</v>
      </c>
    </row>
    <row r="104" spans="1:16">
      <c r="A104" s="61">
        <v>50473</v>
      </c>
      <c r="B104">
        <v>4.9979176176540754E-2</v>
      </c>
      <c r="C104">
        <v>4.9979176176540754E-2</v>
      </c>
      <c r="D104">
        <v>4.9979176176540754E-2</v>
      </c>
      <c r="E104">
        <v>4.9979176176540754E-2</v>
      </c>
      <c r="F104">
        <v>4.9979176176540754E-2</v>
      </c>
      <c r="G104">
        <v>5.042966851789743E-2</v>
      </c>
      <c r="H104">
        <v>5.0528683835184079E-2</v>
      </c>
      <c r="I104" s="73">
        <v>4.9999999999990274E-2</v>
      </c>
      <c r="J104" s="73">
        <v>4.9998319419108928E-2</v>
      </c>
      <c r="K104" s="73">
        <v>4.9988978868155343E-2</v>
      </c>
      <c r="L104" s="73">
        <v>4.9949081283614971E-2</v>
      </c>
      <c r="M104" s="73">
        <v>4.9768376679305559E-2</v>
      </c>
      <c r="N104" s="73">
        <v>5.0333607470367303E-2</v>
      </c>
      <c r="O104" s="73">
        <v>5.0972935707589206E-2</v>
      </c>
      <c r="P104">
        <v>5.1000747683173087E-2</v>
      </c>
    </row>
    <row r="105" spans="1:16">
      <c r="A105" s="61">
        <v>50565</v>
      </c>
      <c r="B105">
        <v>4.99873861441026E-2</v>
      </c>
      <c r="C105">
        <v>4.99873861441026E-2</v>
      </c>
      <c r="D105">
        <v>4.99873861441026E-2</v>
      </c>
      <c r="E105">
        <v>4.99873861441026E-2</v>
      </c>
      <c r="F105">
        <v>4.99873861441026E-2</v>
      </c>
      <c r="G105">
        <v>5.0412714371673717E-2</v>
      </c>
      <c r="H105">
        <v>5.0562057916531483E-2</v>
      </c>
      <c r="I105" s="73">
        <v>4.9999999999992273E-2</v>
      </c>
      <c r="J105" s="73">
        <v>4.999827396817258E-2</v>
      </c>
      <c r="K105" s="73">
        <v>4.9989094289820457E-2</v>
      </c>
      <c r="L105" s="73">
        <v>4.994959479135197E-2</v>
      </c>
      <c r="M105" s="73">
        <v>4.9770791860431762E-2</v>
      </c>
      <c r="N105" s="73">
        <v>5.0284125083087883E-2</v>
      </c>
      <c r="O105" s="73">
        <v>5.102005918218655E-2</v>
      </c>
      <c r="P105">
        <v>5.1000432356659964E-2</v>
      </c>
    </row>
    <row r="106" spans="1:16">
      <c r="A106" s="61">
        <v>50657</v>
      </c>
      <c r="B106">
        <v>4.9994833544077869E-2</v>
      </c>
      <c r="C106">
        <v>4.9994833544077869E-2</v>
      </c>
      <c r="D106">
        <v>4.9994833544077869E-2</v>
      </c>
      <c r="E106">
        <v>4.9994833544077869E-2</v>
      </c>
      <c r="F106">
        <v>4.9994833544077869E-2</v>
      </c>
      <c r="G106">
        <v>5.0394997657863427E-2</v>
      </c>
      <c r="H106">
        <v>5.0594669430292311E-2</v>
      </c>
      <c r="I106" s="73">
        <v>5.0000000000068878E-2</v>
      </c>
      <c r="J106" s="73">
        <v>4.9998135616650341E-2</v>
      </c>
      <c r="K106" s="73">
        <v>4.9989226954527677E-2</v>
      </c>
      <c r="L106" s="73">
        <v>4.9950224127476739E-2</v>
      </c>
      <c r="M106" s="73">
        <v>4.9773223838267988E-2</v>
      </c>
      <c r="N106" s="73">
        <v>5.0233943407784754E-2</v>
      </c>
      <c r="O106" s="73">
        <v>5.1067849753820616E-2</v>
      </c>
      <c r="P106">
        <v>5.1000214920715159E-2</v>
      </c>
    </row>
    <row r="107" spans="1:16">
      <c r="A107" s="61">
        <v>50748</v>
      </c>
      <c r="B107">
        <v>4.9982023404095875E-2</v>
      </c>
      <c r="C107">
        <v>4.9982023404095875E-2</v>
      </c>
      <c r="D107">
        <v>4.9982023404095875E-2</v>
      </c>
      <c r="E107">
        <v>4.9982023404095875E-2</v>
      </c>
      <c r="F107">
        <v>4.9982023404095875E-2</v>
      </c>
      <c r="G107">
        <v>5.0357296927071804E-2</v>
      </c>
      <c r="H107">
        <v>5.0606749881119947E-2</v>
      </c>
      <c r="I107" s="73">
        <v>5.0000000000000488E-2</v>
      </c>
      <c r="J107" s="73">
        <v>4.9998250503401787E-2</v>
      </c>
      <c r="K107" s="73">
        <v>4.9989301470691139E-2</v>
      </c>
      <c r="L107" s="73">
        <v>4.99505919906853E-2</v>
      </c>
      <c r="M107" s="73">
        <v>4.9775113611376209E-2</v>
      </c>
      <c r="N107" s="73">
        <v>5.0186331482387603E-2</v>
      </c>
      <c r="O107" s="73">
        <v>5.1114791845241037E-2</v>
      </c>
      <c r="P107">
        <v>5.1000644726345579E-2</v>
      </c>
    </row>
    <row r="108" spans="1:16">
      <c r="A108" s="61">
        <v>50838</v>
      </c>
      <c r="B108">
        <v>4.9979568273208687E-2</v>
      </c>
      <c r="C108">
        <v>4.9979568273208687E-2</v>
      </c>
      <c r="D108">
        <v>4.9979568273208687E-2</v>
      </c>
      <c r="E108">
        <v>4.9979568273208687E-2</v>
      </c>
      <c r="F108">
        <v>4.9979568273208687E-2</v>
      </c>
      <c r="G108">
        <v>5.0330224728350921E-2</v>
      </c>
      <c r="H108">
        <v>5.0628911818066454E-2</v>
      </c>
      <c r="I108" s="73">
        <v>5.0000000000062883E-2</v>
      </c>
      <c r="J108" s="73">
        <v>4.9998382639692585E-2</v>
      </c>
      <c r="K108" s="73">
        <v>4.9989393468007348E-2</v>
      </c>
      <c r="L108" s="73">
        <v>4.9950996741384701E-2</v>
      </c>
      <c r="M108" s="73">
        <v>4.9777089166106903E-2</v>
      </c>
      <c r="N108" s="73">
        <v>5.0138375671873847E-2</v>
      </c>
      <c r="O108" s="73">
        <v>5.116171074899567E-2</v>
      </c>
      <c r="P108">
        <v>5.1000731273215694E-2</v>
      </c>
    </row>
    <row r="109" spans="1:16">
      <c r="A109" s="61">
        <v>50930</v>
      </c>
      <c r="B109">
        <v>4.998761974478505E-2</v>
      </c>
      <c r="C109">
        <v>4.998761974478505E-2</v>
      </c>
      <c r="D109">
        <v>4.998761974478505E-2</v>
      </c>
      <c r="E109">
        <v>4.998761974478505E-2</v>
      </c>
      <c r="F109">
        <v>4.998761974478505E-2</v>
      </c>
      <c r="G109">
        <v>5.0313112086141726E-2</v>
      </c>
      <c r="H109">
        <v>5.0662127403428375E-2</v>
      </c>
      <c r="I109" s="73">
        <v>5.0000000000064881E-2</v>
      </c>
      <c r="J109" s="73">
        <v>4.9998338311125545E-2</v>
      </c>
      <c r="K109" s="73">
        <v>4.9989500833659939E-2</v>
      </c>
      <c r="L109" s="73">
        <v>4.9951473766738141E-2</v>
      </c>
      <c r="M109" s="73">
        <v>4.977933545230373E-2</v>
      </c>
      <c r="N109" s="73">
        <v>5.0088552740920944E-2</v>
      </c>
      <c r="O109" s="73">
        <v>5.1209917007594807E-2</v>
      </c>
      <c r="P109">
        <v>5.1000423352236757E-2</v>
      </c>
    </row>
    <row r="110" spans="1:16">
      <c r="A110" s="61">
        <v>51022</v>
      </c>
      <c r="B110">
        <v>4.9994927654749374E-2</v>
      </c>
      <c r="C110">
        <v>4.9994927654749374E-2</v>
      </c>
      <c r="D110">
        <v>4.9994927654749374E-2</v>
      </c>
      <c r="E110">
        <v>4.9994927654749374E-2</v>
      </c>
      <c r="F110">
        <v>4.9994927654749374E-2</v>
      </c>
      <c r="G110">
        <v>5.0295255882320491E-2</v>
      </c>
      <c r="H110">
        <v>5.0694599427178258E-2</v>
      </c>
      <c r="I110" s="73">
        <v>4.9999999999993827E-2</v>
      </c>
      <c r="J110" s="73">
        <v>4.9998204492511134E-2</v>
      </c>
      <c r="K110" s="73">
        <v>4.9989624942839317E-2</v>
      </c>
      <c r="L110" s="73">
        <v>4.995206296263599E-2</v>
      </c>
      <c r="M110" s="73">
        <v>4.9781600794447378E-2</v>
      </c>
      <c r="N110" s="73">
        <v>5.0038036885149406E-2</v>
      </c>
      <c r="O110" s="73">
        <v>5.1258807154294761E-2</v>
      </c>
      <c r="P110">
        <v>5.1000209900666782E-2</v>
      </c>
    </row>
    <row r="111" spans="1:16">
      <c r="A111" s="61">
        <v>51113</v>
      </c>
      <c r="B111">
        <v>4.9982345387007424E-2</v>
      </c>
      <c r="C111">
        <v>4.9982345387007424E-2</v>
      </c>
      <c r="D111">
        <v>4.9982345387007424E-2</v>
      </c>
      <c r="E111">
        <v>4.9982345387007424E-2</v>
      </c>
      <c r="F111">
        <v>4.9982345387007424E-2</v>
      </c>
      <c r="G111">
        <v>5.0257783023768911E-2</v>
      </c>
      <c r="H111">
        <v>5.0706907750245937E-2</v>
      </c>
      <c r="I111" s="73">
        <v>5.0000000000000488E-2</v>
      </c>
      <c r="J111" s="73">
        <v>4.9998314515065756E-2</v>
      </c>
      <c r="K111" s="73">
        <v>4.9989692917278949E-2</v>
      </c>
      <c r="L111" s="73">
        <v>4.9952399740255116E-2</v>
      </c>
      <c r="M111" s="73">
        <v>4.9783341145919868E-2</v>
      </c>
      <c r="N111" s="73">
        <v>4.9989883946468083E-2</v>
      </c>
      <c r="O111" s="73">
        <v>5.1307004743320617E-2</v>
      </c>
      <c r="P111">
        <v>5.1000631312538625E-2</v>
      </c>
    </row>
    <row r="112" spans="1:16">
      <c r="A112" s="61">
        <v>51204</v>
      </c>
      <c r="B112">
        <v>4.9979928212640481E-2</v>
      </c>
      <c r="C112">
        <v>4.9979928212640481E-2</v>
      </c>
      <c r="D112">
        <v>4.9979928212640481E-2</v>
      </c>
      <c r="E112">
        <v>4.9979928212640481E-2</v>
      </c>
      <c r="F112">
        <v>4.9979928212640481E-2</v>
      </c>
      <c r="G112">
        <v>5.0230475258592339E-2</v>
      </c>
      <c r="H112">
        <v>5.0729381166688618E-2</v>
      </c>
      <c r="I112" s="73">
        <v>4.9999999999987388E-2</v>
      </c>
      <c r="J112" s="73">
        <v>4.9998441274707872E-2</v>
      </c>
      <c r="K112" s="73">
        <v>4.9989777995250728E-2</v>
      </c>
      <c r="L112" s="73">
        <v>4.9952773265730777E-2</v>
      </c>
      <c r="M112" s="73">
        <v>4.9785169761765724E-2</v>
      </c>
      <c r="N112" s="73">
        <v>4.9940875220664482E-2</v>
      </c>
      <c r="O112" s="73">
        <v>5.1355734151383947E-2</v>
      </c>
      <c r="P112">
        <v>5.1000716349585584E-2</v>
      </c>
    </row>
    <row r="113" spans="1:16">
      <c r="A113" s="61">
        <v>51298</v>
      </c>
      <c r="B113">
        <v>4.9988204739978948E-2</v>
      </c>
      <c r="C113">
        <v>4.9988204739978948E-2</v>
      </c>
      <c r="D113">
        <v>4.9988204739978948E-2</v>
      </c>
      <c r="E113">
        <v>4.9988204739978948E-2</v>
      </c>
      <c r="F113">
        <v>4.9988204739978948E-2</v>
      </c>
      <c r="G113">
        <v>5.0213040626193389E-2</v>
      </c>
      <c r="H113">
        <v>5.0763368853764507E-2</v>
      </c>
      <c r="I113" s="73">
        <v>4.9999999999989386E-2</v>
      </c>
      <c r="J113" s="73">
        <v>4.9998431624276973E-2</v>
      </c>
      <c r="K113" s="73">
        <v>4.9989870775920542E-2</v>
      </c>
      <c r="L113" s="73">
        <v>4.9953246120024719E-2</v>
      </c>
      <c r="M113" s="73">
        <v>4.978725282861185E-2</v>
      </c>
      <c r="N113" s="73">
        <v>4.9889563037146978E-2</v>
      </c>
      <c r="O113" s="73">
        <v>5.140619480165487E-2</v>
      </c>
      <c r="P113">
        <v>5.100039268695622E-2</v>
      </c>
    </row>
    <row r="114" spans="1:16">
      <c r="A114" s="61">
        <v>51390</v>
      </c>
      <c r="B114">
        <v>4.9995033540974329E-2</v>
      </c>
      <c r="C114">
        <v>4.9995033540974329E-2</v>
      </c>
      <c r="D114">
        <v>4.9995033540974329E-2</v>
      </c>
      <c r="E114">
        <v>4.9995033540974329E-2</v>
      </c>
      <c r="F114">
        <v>4.9995033540974329E-2</v>
      </c>
      <c r="G114">
        <v>5.0194705313403212E-2</v>
      </c>
      <c r="H114">
        <v>5.0795361768545447E-2</v>
      </c>
      <c r="I114" s="73">
        <v>4.9999999999994271E-2</v>
      </c>
      <c r="J114" s="73">
        <v>4.9998253983503771E-2</v>
      </c>
      <c r="K114" s="73">
        <v>4.9989991866423278E-2</v>
      </c>
      <c r="L114" s="73">
        <v>4.9953786084756091E-2</v>
      </c>
      <c r="M114" s="73">
        <v>4.9789412408314915E-2</v>
      </c>
      <c r="N114" s="73">
        <v>4.9838645658818459E-2</v>
      </c>
      <c r="O114" s="73">
        <v>5.1456292500991152E-2</v>
      </c>
      <c r="P114">
        <v>5.100018166188125E-2</v>
      </c>
    </row>
    <row r="115" spans="1:16">
      <c r="A115" s="61">
        <v>51481</v>
      </c>
      <c r="B115">
        <v>4.9982773000378143E-2</v>
      </c>
      <c r="C115">
        <v>4.9982773000378143E-2</v>
      </c>
      <c r="D115">
        <v>4.9982773000378143E-2</v>
      </c>
      <c r="E115">
        <v>4.9982773000378143E-2</v>
      </c>
      <c r="F115">
        <v>4.9982773000378143E-2</v>
      </c>
      <c r="G115">
        <v>5.0157554181997396E-2</v>
      </c>
      <c r="H115">
        <v>5.0807991818758884E-2</v>
      </c>
      <c r="I115" s="73">
        <v>5.0000000000073763E-2</v>
      </c>
      <c r="J115" s="73">
        <v>4.999837231486759E-2</v>
      </c>
      <c r="K115" s="73">
        <v>4.9990056561974416E-2</v>
      </c>
      <c r="L115" s="73">
        <v>4.9954096695780548E-2</v>
      </c>
      <c r="M115" s="73">
        <v>4.9791004204743583E-2</v>
      </c>
      <c r="N115" s="73">
        <v>4.9789878921933539E-2</v>
      </c>
      <c r="O115" s="73">
        <v>5.1505872019784738E-2</v>
      </c>
      <c r="P115">
        <v>5.1000600075526981E-2</v>
      </c>
    </row>
    <row r="116" spans="1:16">
      <c r="A116" s="61">
        <v>51571</v>
      </c>
      <c r="B116">
        <v>4.9980688739055368E-2</v>
      </c>
      <c r="C116">
        <v>4.9980688739055368E-2</v>
      </c>
      <c r="D116">
        <v>4.9980688739055368E-2</v>
      </c>
      <c r="E116">
        <v>4.9980688739055368E-2</v>
      </c>
      <c r="F116">
        <v>4.9980688739055368E-2</v>
      </c>
      <c r="G116">
        <v>5.0130852852840926E-2</v>
      </c>
      <c r="H116">
        <v>5.083052462526981E-2</v>
      </c>
      <c r="I116" s="73">
        <v>5.0000000000062217E-2</v>
      </c>
      <c r="J116" s="73">
        <v>4.999850698057684E-2</v>
      </c>
      <c r="K116" s="73">
        <v>4.9990150894844154E-2</v>
      </c>
      <c r="L116" s="73">
        <v>4.9954383188397289E-2</v>
      </c>
      <c r="M116" s="73">
        <v>4.9792746348145123E-2</v>
      </c>
      <c r="N116" s="73">
        <v>4.9740879346326095E-2</v>
      </c>
      <c r="O116" s="73">
        <v>5.1555323776303341E-2</v>
      </c>
      <c r="P116">
        <v>5.1000668281197425E-2</v>
      </c>
    </row>
    <row r="117" spans="1:16">
      <c r="A117" s="61">
        <v>51663</v>
      </c>
      <c r="B117">
        <v>4.9988396209267184E-2</v>
      </c>
      <c r="C117">
        <v>4.9988396209267184E-2</v>
      </c>
      <c r="D117">
        <v>4.9988396209267184E-2</v>
      </c>
      <c r="E117">
        <v>4.9988396209267184E-2</v>
      </c>
      <c r="F117">
        <v>4.9988396209267184E-2</v>
      </c>
      <c r="G117">
        <v>5.0113396209267184E-2</v>
      </c>
      <c r="H117">
        <v>5.0863396209267185E-2</v>
      </c>
      <c r="I117" s="73">
        <v>4.999999999998983E-2</v>
      </c>
      <c r="J117" s="73">
        <v>4.9998486022001742E-2</v>
      </c>
      <c r="K117" s="73">
        <v>4.9990222100740667E-2</v>
      </c>
      <c r="L117" s="73">
        <v>4.9954867717334039E-2</v>
      </c>
      <c r="M117" s="73">
        <v>4.9794631129953526E-2</v>
      </c>
      <c r="N117" s="73">
        <v>4.9690178357554515E-2</v>
      </c>
      <c r="O117" s="73">
        <v>5.1606034477881035E-2</v>
      </c>
      <c r="P117">
        <v>5.1000385823053884E-2</v>
      </c>
    </row>
    <row r="118" spans="1:16">
      <c r="A118" s="61">
        <v>51755</v>
      </c>
      <c r="B118">
        <v>4.9995112881137754E-2</v>
      </c>
      <c r="C118">
        <v>4.9995112881137754E-2</v>
      </c>
      <c r="D118">
        <v>4.9995112881137754E-2</v>
      </c>
      <c r="E118">
        <v>4.9995112881137754E-2</v>
      </c>
      <c r="F118">
        <v>4.9995112881137754E-2</v>
      </c>
      <c r="G118">
        <v>5.0094948767352196E-2</v>
      </c>
      <c r="H118">
        <v>5.0895276994923314E-2</v>
      </c>
      <c r="I118" s="73">
        <v>5.00000000000691E-2</v>
      </c>
      <c r="J118" s="73">
        <v>4.9998314036410196E-2</v>
      </c>
      <c r="K118" s="73">
        <v>4.9990336088301168E-2</v>
      </c>
      <c r="L118" s="73">
        <v>4.9955375549057601E-2</v>
      </c>
      <c r="M118" s="73">
        <v>4.9796654734986401E-2</v>
      </c>
      <c r="N118" s="73">
        <v>4.9638792646818475E-2</v>
      </c>
      <c r="O118" s="73">
        <v>5.1657448060126843E-2</v>
      </c>
      <c r="P118">
        <v>5.1000178264233975E-2</v>
      </c>
    </row>
    <row r="119" spans="1:16">
      <c r="A119" s="61">
        <v>51846</v>
      </c>
      <c r="B119">
        <v>4.9983043754171168E-2</v>
      </c>
      <c r="C119">
        <v>4.9983043754171168E-2</v>
      </c>
      <c r="D119">
        <v>4.9983043754171168E-2</v>
      </c>
      <c r="E119">
        <v>4.9983043754171168E-2</v>
      </c>
      <c r="F119">
        <v>4.9983043754171168E-2</v>
      </c>
      <c r="G119">
        <v>5.0057989049575979E-2</v>
      </c>
      <c r="H119">
        <v>5.0908098458766357E-2</v>
      </c>
      <c r="I119" s="73">
        <v>5.0000000000071321E-2</v>
      </c>
      <c r="J119" s="73">
        <v>4.9998427795856726E-2</v>
      </c>
      <c r="K119" s="73">
        <v>4.999039549474471E-2</v>
      </c>
      <c r="L119" s="73">
        <v>4.9955661333816792E-2</v>
      </c>
      <c r="M119" s="73">
        <v>4.9798127410548787E-2</v>
      </c>
      <c r="N119" s="73">
        <v>4.9589368941596268E-2</v>
      </c>
      <c r="O119" s="73">
        <v>5.1708497236130357E-2</v>
      </c>
      <c r="P119">
        <v>5.1000589524963891E-2</v>
      </c>
    </row>
    <row r="120" spans="1:16">
      <c r="A120" s="61">
        <v>51936</v>
      </c>
      <c r="B120">
        <v>4.9980987420265882E-2</v>
      </c>
      <c r="C120">
        <v>4.9980987420265882E-2</v>
      </c>
      <c r="D120">
        <v>4.9980987420265882E-2</v>
      </c>
      <c r="E120">
        <v>4.9980987420265882E-2</v>
      </c>
      <c r="F120">
        <v>4.9980987420265882E-2</v>
      </c>
      <c r="G120">
        <v>5.0031315647836999E-2</v>
      </c>
      <c r="H120">
        <v>5.0930659192694766E-2</v>
      </c>
      <c r="I120" s="73">
        <v>4.9999999999909894E-2</v>
      </c>
      <c r="J120" s="73">
        <v>4.9998557437169966E-2</v>
      </c>
      <c r="K120" s="73">
        <v>4.9990483748062475E-2</v>
      </c>
      <c r="L120" s="73">
        <v>4.9955924796239559E-2</v>
      </c>
      <c r="M120" s="73">
        <v>4.979974991904168E-2</v>
      </c>
      <c r="N120" s="73">
        <v>4.9539761131176085E-2</v>
      </c>
      <c r="O120" s="73">
        <v>5.1759391263203058E-2</v>
      </c>
      <c r="P120">
        <v>5.1000656818647849E-2</v>
      </c>
    </row>
    <row r="121" spans="1:16">
      <c r="A121" s="61">
        <v>52028</v>
      </c>
      <c r="B121">
        <v>4.9988572869777738E-2</v>
      </c>
      <c r="C121">
        <v>4.9988572869777738E-2</v>
      </c>
      <c r="D121">
        <v>4.9988572869777738E-2</v>
      </c>
      <c r="E121">
        <v>4.9988572869777738E-2</v>
      </c>
      <c r="F121">
        <v>4.9988572869777738E-2</v>
      </c>
      <c r="G121">
        <v>5.0013736983563296E-2</v>
      </c>
      <c r="H121">
        <v>5.096340875599218E-2</v>
      </c>
      <c r="I121" s="73">
        <v>4.9999999999990052E-2</v>
      </c>
      <c r="J121" s="73">
        <v>4.9998536772093871E-2</v>
      </c>
      <c r="K121" s="73">
        <v>4.9990549866434808E-2</v>
      </c>
      <c r="L121" s="73">
        <v>4.9956380576001269E-2</v>
      </c>
      <c r="M121" s="73">
        <v>4.9801514704756356E-2</v>
      </c>
      <c r="N121" s="73">
        <v>4.9488530777851203E-2</v>
      </c>
      <c r="O121" s="73">
        <v>5.1811505716143458E-2</v>
      </c>
      <c r="P121">
        <v>5.100037958669934E-2</v>
      </c>
    </row>
    <row r="122" spans="1:16">
      <c r="A122" s="61">
        <v>52120</v>
      </c>
      <c r="B122">
        <v>4.9995186121761764E-2</v>
      </c>
      <c r="C122">
        <v>4.9995186121761764E-2</v>
      </c>
      <c r="D122">
        <v>4.9995186121761764E-2</v>
      </c>
      <c r="E122">
        <v>4.9995186121761764E-2</v>
      </c>
      <c r="F122">
        <v>4.9995186121761764E-2</v>
      </c>
      <c r="G122">
        <v>4.9995186121761764E-2</v>
      </c>
      <c r="H122">
        <v>5.0995186121761765E-2</v>
      </c>
      <c r="I122" s="73">
        <v>4.9999999999991163E-2</v>
      </c>
      <c r="J122" s="73">
        <v>4.9998370095279743E-2</v>
      </c>
      <c r="K122" s="73">
        <v>4.9990657416724593E-2</v>
      </c>
      <c r="L122" s="73">
        <v>4.9956859304083112E-2</v>
      </c>
      <c r="M122" s="73">
        <v>4.9803415437535303E-2</v>
      </c>
      <c r="N122" s="73">
        <v>4.9436621575088546E-2</v>
      </c>
      <c r="O122" s="73">
        <v>5.1864347733348026E-2</v>
      </c>
      <c r="P122">
        <v>5.1000175162978278E-2</v>
      </c>
    </row>
    <row r="123" spans="1:16">
      <c r="A123" s="61">
        <v>52211</v>
      </c>
      <c r="B123">
        <v>4.9983293819099425E-2</v>
      </c>
      <c r="C123">
        <v>4.9983293819099425E-2</v>
      </c>
      <c r="D123">
        <v>4.9983293819099425E-2</v>
      </c>
      <c r="E123">
        <v>4.9983293819099425E-2</v>
      </c>
      <c r="F123">
        <v>4.9983293819099425E-2</v>
      </c>
      <c r="G123">
        <v>4.9983293819099425E-2</v>
      </c>
      <c r="H123">
        <v>5.0970853627711865E-2</v>
      </c>
      <c r="I123" s="73">
        <v>4.9999999999992939E-2</v>
      </c>
      <c r="J123" s="73">
        <v>4.9998479618088565E-2</v>
      </c>
      <c r="K123" s="73">
        <v>4.9990712076213084E-2</v>
      </c>
      <c r="L123" s="73">
        <v>4.9957122791676856E-2</v>
      </c>
      <c r="M123" s="73">
        <v>4.9804780909643576E-2</v>
      </c>
      <c r="N123" s="73">
        <v>4.9440932244640967E-2</v>
      </c>
      <c r="O123" s="73">
        <v>5.1829182205753277E-2</v>
      </c>
      <c r="P123">
        <v>5.100057991423701E-2</v>
      </c>
    </row>
    <row r="124" spans="1:16">
      <c r="A124" s="61">
        <v>52301</v>
      </c>
      <c r="B124">
        <v>4.9981263413505131E-2</v>
      </c>
      <c r="C124">
        <v>4.9981263413505131E-2</v>
      </c>
      <c r="D124">
        <v>4.9981263413505131E-2</v>
      </c>
      <c r="E124">
        <v>4.9981263413505131E-2</v>
      </c>
      <c r="F124">
        <v>4.9981263413505131E-2</v>
      </c>
      <c r="G124">
        <v>4.9981263413505131E-2</v>
      </c>
      <c r="H124">
        <v>5.0956519736129878E-2</v>
      </c>
      <c r="I124" s="73">
        <v>4.9999999999989164E-2</v>
      </c>
      <c r="J124" s="73">
        <v>4.9998604593668894E-2</v>
      </c>
      <c r="K124" s="73">
        <v>4.9990794831263008E-2</v>
      </c>
      <c r="L124" s="73">
        <v>4.9957365577325552E-2</v>
      </c>
      <c r="M124" s="73">
        <v>4.9806295463239225E-2</v>
      </c>
      <c r="N124" s="73">
        <v>4.9445255772866181E-2</v>
      </c>
      <c r="O124" s="73">
        <v>5.1793376395520285E-2</v>
      </c>
      <c r="P124">
        <v>5.1000646379469661E-2</v>
      </c>
    </row>
    <row r="125" spans="1:16">
      <c r="A125" s="61">
        <v>52393</v>
      </c>
      <c r="B125">
        <v>4.9988736188386798E-2</v>
      </c>
      <c r="C125">
        <v>4.9988736188386798E-2</v>
      </c>
      <c r="D125">
        <v>4.9988736188386798E-2</v>
      </c>
      <c r="E125">
        <v>4.9988736188386798E-2</v>
      </c>
      <c r="F125">
        <v>4.9988736188386798E-2</v>
      </c>
      <c r="G125">
        <v>4.9988736188386798E-2</v>
      </c>
      <c r="H125">
        <v>5.0951415614224116E-2</v>
      </c>
      <c r="I125" s="73">
        <v>5.0000000000067102E-2</v>
      </c>
      <c r="J125" s="73">
        <v>4.9998584229264953E-2</v>
      </c>
      <c r="K125" s="73">
        <v>4.9990856366173064E-2</v>
      </c>
      <c r="L125" s="73">
        <v>4.9957795278853689E-2</v>
      </c>
      <c r="M125" s="73">
        <v>4.9807951697885766E-2</v>
      </c>
      <c r="N125" s="73">
        <v>4.9449961771837359E-2</v>
      </c>
      <c r="O125" s="73">
        <v>5.1755414976930147E-2</v>
      </c>
      <c r="P125">
        <v>5.1000373919038555E-2</v>
      </c>
    </row>
    <row r="126" spans="1:16">
      <c r="A126" s="61">
        <v>52485</v>
      </c>
      <c r="B126">
        <v>4.9995253862534714E-2</v>
      </c>
      <c r="C126">
        <v>4.9995253862534714E-2</v>
      </c>
      <c r="D126">
        <v>4.9995253862534714E-2</v>
      </c>
      <c r="E126">
        <v>4.9995253862534714E-2</v>
      </c>
      <c r="F126">
        <v>4.9995253862534714E-2</v>
      </c>
      <c r="G126">
        <v>4.9995253862534714E-2</v>
      </c>
      <c r="H126">
        <v>5.0945356391584609E-2</v>
      </c>
      <c r="I126" s="73">
        <v>4.9999999999991385E-2</v>
      </c>
      <c r="J126" s="73">
        <v>4.9998422545887378E-2</v>
      </c>
      <c r="K126" s="73">
        <v>4.999095806243492E-2</v>
      </c>
      <c r="L126" s="73">
        <v>4.9958247556191493E-2</v>
      </c>
      <c r="M126" s="73">
        <v>4.980974101331137E-2</v>
      </c>
      <c r="N126" s="73">
        <v>4.9454746566727881E-2</v>
      </c>
      <c r="O126" s="73">
        <v>5.1716752308378355E-2</v>
      </c>
      <c r="P126">
        <v>5.1000172330532667E-2</v>
      </c>
    </row>
    <row r="127" spans="1:16">
      <c r="A127" s="61">
        <v>52576</v>
      </c>
      <c r="B127">
        <v>4.9983525213884834E-2</v>
      </c>
      <c r="C127">
        <v>4.9983525213884834E-2</v>
      </c>
      <c r="D127">
        <v>4.9983525213884834E-2</v>
      </c>
      <c r="E127">
        <v>4.9983525213884834E-2</v>
      </c>
      <c r="F127">
        <v>4.9983525213884834E-2</v>
      </c>
      <c r="G127">
        <v>4.9983525213884834E-2</v>
      </c>
      <c r="H127">
        <v>5.0921187551547169E-2</v>
      </c>
      <c r="I127" s="73">
        <v>4.9999999999993161E-2</v>
      </c>
      <c r="J127" s="73">
        <v>4.9998528132015219E-2</v>
      </c>
      <c r="K127" s="73">
        <v>4.9991008446892415E-2</v>
      </c>
      <c r="L127" s="73">
        <v>4.9958490950088308E-2</v>
      </c>
      <c r="M127" s="73">
        <v>4.9811009679028739E-2</v>
      </c>
      <c r="N127" s="73">
        <v>4.9458767237200663E-2</v>
      </c>
      <c r="O127" s="73">
        <v>5.1681704255388983E-2</v>
      </c>
      <c r="P127">
        <v>5.1000571156884611E-2</v>
      </c>
    </row>
    <row r="128" spans="1:16">
      <c r="A128" s="61">
        <v>52667</v>
      </c>
      <c r="B128">
        <v>4.9981518916227499E-2</v>
      </c>
      <c r="C128">
        <v>4.9981518916227499E-2</v>
      </c>
      <c r="D128">
        <v>4.9981518916227499E-2</v>
      </c>
      <c r="E128">
        <v>4.9981518916227499E-2</v>
      </c>
      <c r="F128">
        <v>4.9981518916227499E-2</v>
      </c>
      <c r="G128">
        <v>4.9981518916227499E-2</v>
      </c>
      <c r="H128">
        <v>5.090674106250228E-2</v>
      </c>
      <c r="I128" s="73">
        <v>4.9999999999989608E-2</v>
      </c>
      <c r="J128" s="73">
        <v>4.9998648763589948E-2</v>
      </c>
      <c r="K128" s="73">
        <v>4.9991086212351377E-2</v>
      </c>
      <c r="L128" s="73">
        <v>4.9958715110050456E-2</v>
      </c>
      <c r="M128" s="73">
        <v>4.9812426490700723E-2</v>
      </c>
      <c r="N128" s="73">
        <v>4.9462811365544868E-2</v>
      </c>
      <c r="O128" s="73">
        <v>5.1645698881095603E-2</v>
      </c>
      <c r="P128">
        <v>5.1000636870162763E-2</v>
      </c>
    </row>
    <row r="129" spans="1:16">
      <c r="A129" s="61">
        <v>52761</v>
      </c>
      <c r="B129">
        <v>4.998916429468938E-2</v>
      </c>
      <c r="C129">
        <v>4.998916429468938E-2</v>
      </c>
      <c r="D129">
        <v>4.998916429468938E-2</v>
      </c>
      <c r="E129">
        <v>4.998916429468938E-2</v>
      </c>
      <c r="F129">
        <v>4.998916429468938E-2</v>
      </c>
      <c r="G129">
        <v>4.998916429468938E-2</v>
      </c>
      <c r="H129">
        <v>5.0901536133377008E-2</v>
      </c>
      <c r="I129" s="73">
        <v>5.0000000000065103E-2</v>
      </c>
      <c r="J129" s="73">
        <v>4.9998631248248326E-2</v>
      </c>
      <c r="K129" s="73">
        <v>4.9991120837928227E-2</v>
      </c>
      <c r="L129" s="73">
        <v>4.9959116216644839E-2</v>
      </c>
      <c r="M129" s="73">
        <v>4.9814103079195649E-2</v>
      </c>
      <c r="N129" s="73">
        <v>4.9467270062343083E-2</v>
      </c>
      <c r="O129" s="73">
        <v>5.1607103203513249E-2</v>
      </c>
      <c r="P129">
        <v>5.1000353895761297E-2</v>
      </c>
    </row>
    <row r="130" spans="1:16">
      <c r="A130" s="61">
        <v>52853</v>
      </c>
      <c r="B130">
        <v>4.9994971814300043E-2</v>
      </c>
      <c r="C130">
        <v>4.9994971814300043E-2</v>
      </c>
      <c r="D130">
        <v>4.9994971814300043E-2</v>
      </c>
      <c r="E130">
        <v>4.9994971814300043E-2</v>
      </c>
      <c r="F130">
        <v>4.9994971814300043E-2</v>
      </c>
      <c r="G130">
        <v>4.9994971814300043E-2</v>
      </c>
      <c r="H130">
        <v>5.0894766756200249E-2</v>
      </c>
      <c r="I130" s="73">
        <v>4.9999999999991607E-2</v>
      </c>
      <c r="J130" s="73">
        <v>4.9998473424561984E-2</v>
      </c>
      <c r="K130" s="73">
        <v>4.9991225598916555E-2</v>
      </c>
      <c r="L130" s="73">
        <v>4.9959567508934821E-2</v>
      </c>
      <c r="M130" s="73">
        <v>4.9815701921458677E-2</v>
      </c>
      <c r="N130" s="73">
        <v>4.9471825614233245E-2</v>
      </c>
      <c r="O130" s="73">
        <v>5.1568686492937221E-2</v>
      </c>
      <c r="P130">
        <v>5.1000185076142568E-2</v>
      </c>
    </row>
    <row r="131" spans="1:16">
      <c r="A131" s="61">
        <v>52944</v>
      </c>
      <c r="B131">
        <v>4.9983611218518555E-2</v>
      </c>
      <c r="C131">
        <v>4.9983611218518555E-2</v>
      </c>
      <c r="D131">
        <v>4.9983611218518555E-2</v>
      </c>
      <c r="E131">
        <v>4.9983611218518555E-2</v>
      </c>
      <c r="F131">
        <v>4.9983611218518555E-2</v>
      </c>
      <c r="G131">
        <v>4.9983611218518555E-2</v>
      </c>
      <c r="H131">
        <v>5.08709659690312E-2</v>
      </c>
      <c r="I131" s="73">
        <v>4.9999999999993383E-2</v>
      </c>
      <c r="J131" s="73">
        <v>4.9998580282524685E-2</v>
      </c>
      <c r="K131" s="73">
        <v>4.9991266930139222E-2</v>
      </c>
      <c r="L131" s="73">
        <v>4.9959789002501198E-2</v>
      </c>
      <c r="M131" s="73">
        <v>4.9816914512268662E-2</v>
      </c>
      <c r="N131" s="73">
        <v>4.9475551633610282E-2</v>
      </c>
      <c r="O131" s="73">
        <v>5.1533660023955763E-2</v>
      </c>
      <c r="P131">
        <v>5.1000571953346174E-2</v>
      </c>
    </row>
    <row r="132" spans="1:16">
      <c r="A132" s="61">
        <v>53034</v>
      </c>
      <c r="B132">
        <v>4.9981814670508169E-2</v>
      </c>
      <c r="C132">
        <v>4.9981814670508169E-2</v>
      </c>
      <c r="D132">
        <v>4.9981814670508169E-2</v>
      </c>
      <c r="E132">
        <v>4.9981814670508169E-2</v>
      </c>
      <c r="F132">
        <v>4.9981814670508169E-2</v>
      </c>
      <c r="G132">
        <v>4.9981814670508169E-2</v>
      </c>
      <c r="H132">
        <v>5.0856865935033121E-2</v>
      </c>
      <c r="I132" s="73">
        <v>4.999999999991056E-2</v>
      </c>
      <c r="J132" s="73">
        <v>4.9998698423493471E-2</v>
      </c>
      <c r="K132" s="73">
        <v>4.999132975457643E-2</v>
      </c>
      <c r="L132" s="73">
        <v>4.9960060059213829E-2</v>
      </c>
      <c r="M132" s="73">
        <v>4.9818196926167735E-2</v>
      </c>
      <c r="N132" s="73">
        <v>4.947934049342817E-2</v>
      </c>
      <c r="O132" s="73">
        <v>5.1498032744744959E-2</v>
      </c>
      <c r="P132">
        <v>5.1000634781033671E-2</v>
      </c>
    </row>
    <row r="133" spans="1:16">
      <c r="A133" s="61">
        <v>53126</v>
      </c>
      <c r="B133">
        <v>4.9989301080582638E-2</v>
      </c>
      <c r="C133">
        <v>4.9989301080582638E-2</v>
      </c>
      <c r="D133">
        <v>4.9989301080582638E-2</v>
      </c>
      <c r="E133">
        <v>4.9989301080582638E-2</v>
      </c>
      <c r="F133">
        <v>4.9989301080582638E-2</v>
      </c>
      <c r="G133">
        <v>4.9989301080582638E-2</v>
      </c>
      <c r="H133">
        <v>5.0851775448320161E-2</v>
      </c>
      <c r="I133" s="73">
        <v>4.9999999999983835E-2</v>
      </c>
      <c r="J133" s="73">
        <v>4.9998672929312482E-2</v>
      </c>
      <c r="K133" s="73">
        <v>4.9991391225467696E-2</v>
      </c>
      <c r="L133" s="73">
        <v>4.9960361188512437E-2</v>
      </c>
      <c r="M133" s="73">
        <v>4.9819763542549467E-2</v>
      </c>
      <c r="N133" s="73">
        <v>4.948348884538345E-2</v>
      </c>
      <c r="O133" s="73">
        <v>5.1460330399857757E-2</v>
      </c>
      <c r="P133">
        <v>5.100034951012411E-2</v>
      </c>
    </row>
    <row r="134" spans="1:16">
      <c r="A134" s="61">
        <v>53218</v>
      </c>
      <c r="B134">
        <v>4.999503433449979E-2</v>
      </c>
      <c r="C134">
        <v>4.999503433449979E-2</v>
      </c>
      <c r="D134">
        <v>4.999503433449979E-2</v>
      </c>
      <c r="E134">
        <v>4.999503433449979E-2</v>
      </c>
      <c r="F134">
        <v>4.999503433449979E-2</v>
      </c>
      <c r="G134">
        <v>4.999503433449979E-2</v>
      </c>
      <c r="H134">
        <v>5.084493180544989E-2</v>
      </c>
      <c r="I134" s="73">
        <v>4.9999999999912115E-2</v>
      </c>
      <c r="J134" s="73">
        <v>4.9998519570587874E-2</v>
      </c>
      <c r="K134" s="73">
        <v>4.9991490834980779E-2</v>
      </c>
      <c r="L134" s="73">
        <v>4.9960789700501218E-2</v>
      </c>
      <c r="M134" s="73">
        <v>4.982127250780799E-2</v>
      </c>
      <c r="N134" s="73">
        <v>4.9487787672295225E-2</v>
      </c>
      <c r="O134" s="73">
        <v>5.1422019079713444E-2</v>
      </c>
      <c r="P134">
        <v>5.1000182452817899E-2</v>
      </c>
    </row>
    <row r="135" spans="1:16">
      <c r="A135" s="61">
        <v>53309</v>
      </c>
      <c r="B135">
        <v>4.9983811875095319E-2</v>
      </c>
      <c r="C135">
        <v>4.9983811875095319E-2</v>
      </c>
      <c r="D135">
        <v>4.9983811875095319E-2</v>
      </c>
      <c r="E135">
        <v>4.9983811875095319E-2</v>
      </c>
      <c r="F135">
        <v>4.9983811875095319E-2</v>
      </c>
      <c r="G135">
        <v>4.9983811875095319E-2</v>
      </c>
      <c r="H135">
        <v>5.0821269154657858E-2</v>
      </c>
      <c r="I135" s="73">
        <v>4.9999999999993605E-2</v>
      </c>
      <c r="J135" s="73">
        <v>4.9998622857402752E-2</v>
      </c>
      <c r="K135" s="73">
        <v>4.9991528822186382E-2</v>
      </c>
      <c r="L135" s="73">
        <v>4.9960994854141738E-2</v>
      </c>
      <c r="M135" s="73">
        <v>4.9822404544699328E-2</v>
      </c>
      <c r="N135" s="73">
        <v>4.9491275402517632E-2</v>
      </c>
      <c r="O135" s="73">
        <v>5.138694273650346E-2</v>
      </c>
      <c r="P135">
        <v>5.1000564500589762E-2</v>
      </c>
    </row>
    <row r="136" spans="1:16">
      <c r="A136" s="61">
        <v>53399</v>
      </c>
      <c r="B136">
        <v>4.9982033964810949E-2</v>
      </c>
      <c r="C136">
        <v>4.9982033964810949E-2</v>
      </c>
      <c r="D136">
        <v>4.9982033964810949E-2</v>
      </c>
      <c r="E136">
        <v>4.9982033964810949E-2</v>
      </c>
      <c r="F136">
        <v>4.9982033964810949E-2</v>
      </c>
      <c r="G136">
        <v>4.9982033964810949E-2</v>
      </c>
      <c r="H136">
        <v>5.0807187758385795E-2</v>
      </c>
      <c r="I136" s="73">
        <v>4.9999999999993605E-2</v>
      </c>
      <c r="J136" s="73">
        <v>4.9998737162010753E-2</v>
      </c>
      <c r="K136" s="73">
        <v>4.9991587807960869E-2</v>
      </c>
      <c r="L136" s="73">
        <v>4.9961248778698675E-2</v>
      </c>
      <c r="M136" s="73">
        <v>4.982360752491366E-2</v>
      </c>
      <c r="N136" s="73">
        <v>4.9494833349053469E-2</v>
      </c>
      <c r="O136" s="73">
        <v>5.1351284657412011E-2</v>
      </c>
      <c r="P136">
        <v>5.1000626668803228E-2</v>
      </c>
    </row>
    <row r="137" spans="1:16">
      <c r="A137" s="61">
        <v>53491</v>
      </c>
      <c r="B137">
        <v>4.9989428180296919E-2</v>
      </c>
      <c r="C137">
        <v>4.9989428180296919E-2</v>
      </c>
      <c r="D137">
        <v>4.9989428180296919E-2</v>
      </c>
      <c r="E137">
        <v>4.9989428180296919E-2</v>
      </c>
      <c r="F137">
        <v>4.9989428180296919E-2</v>
      </c>
      <c r="G137">
        <v>4.9989428180296919E-2</v>
      </c>
      <c r="H137">
        <v>5.0802005077084343E-2</v>
      </c>
      <c r="I137" s="73">
        <v>4.9999999999984279E-2</v>
      </c>
      <c r="J137" s="73">
        <v>4.9998712146200885E-2</v>
      </c>
      <c r="K137" s="73">
        <v>4.9991645628338244E-2</v>
      </c>
      <c r="L137" s="73">
        <v>4.9961532561292765E-2</v>
      </c>
      <c r="M137" s="73">
        <v>4.9825089397853795E-2</v>
      </c>
      <c r="N137" s="73">
        <v>4.949874903178042E-2</v>
      </c>
      <c r="O137" s="73">
        <v>5.1313609494550327E-2</v>
      </c>
      <c r="P137">
        <v>5.1000345536066138E-2</v>
      </c>
    </row>
    <row r="138" spans="1:16">
      <c r="A138" s="61">
        <v>53583</v>
      </c>
      <c r="B138">
        <v>4.9995092449008384E-2</v>
      </c>
      <c r="C138">
        <v>4.9995092449008384E-2</v>
      </c>
      <c r="D138">
        <v>4.9995092449008384E-2</v>
      </c>
      <c r="E138">
        <v>4.9995092449008384E-2</v>
      </c>
      <c r="F138">
        <v>4.9995092449008384E-2</v>
      </c>
      <c r="G138">
        <v>4.9995092449008384E-2</v>
      </c>
      <c r="H138">
        <v>5.0795092449008386E-2</v>
      </c>
      <c r="I138" s="73">
        <v>4.9999999999995826E-2</v>
      </c>
      <c r="J138" s="73">
        <v>4.9998563008331498E-2</v>
      </c>
      <c r="K138" s="73">
        <v>4.9991740504510274E-2</v>
      </c>
      <c r="L138" s="73">
        <v>4.9961940163441909E-2</v>
      </c>
      <c r="M138" s="73">
        <v>4.9826516185739855E-2</v>
      </c>
      <c r="N138" s="73">
        <v>4.9502813144954194E-2</v>
      </c>
      <c r="O138" s="73">
        <v>5.1275326245644237E-2</v>
      </c>
      <c r="P138">
        <v>5.1000180054108224E-2</v>
      </c>
    </row>
    <row r="139" spans="1:16">
      <c r="A139" s="61">
        <v>53674</v>
      </c>
      <c r="B139">
        <v>4.9983998461151563E-2</v>
      </c>
      <c r="C139">
        <v>4.9983998461151563E-2</v>
      </c>
      <c r="D139">
        <v>4.9983998461151563E-2</v>
      </c>
      <c r="E139">
        <v>4.9983998461151563E-2</v>
      </c>
      <c r="F139">
        <v>4.9983998461151563E-2</v>
      </c>
      <c r="G139">
        <v>4.9983998461151563E-2</v>
      </c>
      <c r="H139">
        <v>5.0771558269764004E-2</v>
      </c>
      <c r="I139" s="73">
        <v>4.9999999999912115E-2</v>
      </c>
      <c r="J139" s="73">
        <v>4.9998662952373429E-2</v>
      </c>
      <c r="K139" s="73">
        <v>4.9991775458356313E-2</v>
      </c>
      <c r="L139" s="73">
        <v>4.9962130463653054E-2</v>
      </c>
      <c r="M139" s="73">
        <v>4.9827574797069341E-2</v>
      </c>
      <c r="N139" s="73">
        <v>4.9506083441425597E-2</v>
      </c>
      <c r="O139" s="73">
        <v>5.124012773214548E-2</v>
      </c>
      <c r="P139">
        <v>5.1000557712222339E-2</v>
      </c>
    </row>
    <row r="140" spans="1:16">
      <c r="A140" s="61">
        <v>53764</v>
      </c>
      <c r="B140">
        <v>4.9982237955260606E-2</v>
      </c>
      <c r="C140">
        <v>4.9982237955260606E-2</v>
      </c>
      <c r="D140">
        <v>4.9982237955260606E-2</v>
      </c>
      <c r="E140">
        <v>4.9982237955260606E-2</v>
      </c>
      <c r="F140">
        <v>4.9982237955260606E-2</v>
      </c>
      <c r="G140">
        <v>4.9982237955260606E-2</v>
      </c>
      <c r="H140">
        <v>5.0757494277885347E-2</v>
      </c>
      <c r="I140" s="73">
        <v>5.0000000000075984E-2</v>
      </c>
      <c r="J140" s="73">
        <v>4.9998773660391516E-2</v>
      </c>
      <c r="K140" s="73">
        <v>4.9991830938161064E-2</v>
      </c>
      <c r="L140" s="73">
        <v>4.9962368756270692E-2</v>
      </c>
      <c r="M140" s="73">
        <v>4.9828705257145112E-2</v>
      </c>
      <c r="N140" s="73">
        <v>4.9509430469031335E-2</v>
      </c>
      <c r="O140" s="73">
        <v>5.1204368318228832E-2</v>
      </c>
      <c r="P140">
        <v>5.1000619281209136E-2</v>
      </c>
    </row>
    <row r="141" spans="1:16">
      <c r="A141" s="61">
        <v>53856</v>
      </c>
      <c r="B141">
        <v>4.9989546451522253E-2</v>
      </c>
      <c r="C141">
        <v>4.9989546451522253E-2</v>
      </c>
      <c r="D141">
        <v>4.9989546451522253E-2</v>
      </c>
      <c r="E141">
        <v>4.9989546451522253E-2</v>
      </c>
      <c r="F141">
        <v>4.9989546451522253E-2</v>
      </c>
      <c r="G141">
        <v>4.9989546451522253E-2</v>
      </c>
      <c r="H141">
        <v>5.0752225877359572E-2</v>
      </c>
      <c r="I141" s="73">
        <v>4.9999999999984723E-2</v>
      </c>
      <c r="J141" s="73">
        <v>4.9998749111232588E-2</v>
      </c>
      <c r="K141" s="73">
        <v>4.9991885423252391E-2</v>
      </c>
      <c r="L141" s="73">
        <v>4.9962636674278027E-2</v>
      </c>
      <c r="M141" s="73">
        <v>4.9830109462637884E-2</v>
      </c>
      <c r="N141" s="73">
        <v>4.9513133168219037E-2</v>
      </c>
      <c r="O141" s="73">
        <v>5.1166649597391922E-2</v>
      </c>
      <c r="P141">
        <v>5.1000341940282246E-2</v>
      </c>
    </row>
    <row r="142" spans="1:16">
      <c r="A142" s="61">
        <v>53948</v>
      </c>
      <c r="B142">
        <v>4.9995146545459612E-2</v>
      </c>
      <c r="C142">
        <v>4.9995146545459612E-2</v>
      </c>
      <c r="D142">
        <v>4.9995146545459612E-2</v>
      </c>
      <c r="E142">
        <v>4.9995146545459612E-2</v>
      </c>
      <c r="F142">
        <v>4.9995146545459612E-2</v>
      </c>
      <c r="G142">
        <v>4.9995146545459612E-2</v>
      </c>
      <c r="H142">
        <v>5.0745249074509509E-2</v>
      </c>
      <c r="I142" s="73">
        <v>4.9999999999996048E-2</v>
      </c>
      <c r="J142" s="73">
        <v>4.9998603969252153E-2</v>
      </c>
      <c r="K142" s="73">
        <v>4.9991975938827649E-2</v>
      </c>
      <c r="L142" s="73">
        <v>4.996302503224137E-2</v>
      </c>
      <c r="M142" s="73">
        <v>4.9831460911877068E-2</v>
      </c>
      <c r="N142" s="73">
        <v>4.9516982115246355E-2</v>
      </c>
      <c r="O142" s="73">
        <v>5.1128323908834705E-2</v>
      </c>
      <c r="P142">
        <v>5.1000177861758367E-2</v>
      </c>
    </row>
    <row r="143" spans="1:16">
      <c r="A143" s="61">
        <v>54039</v>
      </c>
      <c r="B143">
        <v>4.9984172206709247E-2</v>
      </c>
      <c r="C143">
        <v>4.9984172206709247E-2</v>
      </c>
      <c r="D143">
        <v>4.9984172206709247E-2</v>
      </c>
      <c r="E143">
        <v>4.9984172206709247E-2</v>
      </c>
      <c r="F143">
        <v>4.9984172206709247E-2</v>
      </c>
      <c r="G143">
        <v>4.9984172206709247E-2</v>
      </c>
      <c r="H143">
        <v>5.0721834544371583E-2</v>
      </c>
      <c r="I143" s="73">
        <v>5.0000000000081313E-2</v>
      </c>
      <c r="J143" s="73">
        <v>4.9998700777760696E-2</v>
      </c>
      <c r="K143" s="73">
        <v>4.999200813436544E-2</v>
      </c>
      <c r="L143" s="73">
        <v>4.9963201794945178E-2</v>
      </c>
      <c r="M143" s="73">
        <v>4.9832452418371975E-2</v>
      </c>
      <c r="N143" s="73">
        <v>4.9520053483959048E-2</v>
      </c>
      <c r="O143" s="73">
        <v>5.1092937115729153E-2</v>
      </c>
      <c r="P143">
        <v>5.1000551534926108E-2</v>
      </c>
    </row>
    <row r="144" spans="1:16">
      <c r="A144" s="61">
        <v>54130</v>
      </c>
      <c r="B144">
        <v>4.9982427971270796E-2</v>
      </c>
      <c r="C144">
        <v>4.9982427971270796E-2</v>
      </c>
      <c r="D144">
        <v>4.9982427971270796E-2</v>
      </c>
      <c r="E144">
        <v>4.9982427971270796E-2</v>
      </c>
      <c r="F144">
        <v>4.9982427971270796E-2</v>
      </c>
      <c r="G144">
        <v>4.9982427971270796E-2</v>
      </c>
      <c r="H144">
        <v>5.070765011754557E-2</v>
      </c>
      <c r="I144" s="73">
        <v>4.9999999999990052E-2</v>
      </c>
      <c r="J144" s="73">
        <v>4.9998808107503345E-2</v>
      </c>
      <c r="K144" s="73">
        <v>4.9992060403630578E-2</v>
      </c>
      <c r="L144" s="73">
        <v>4.9963425787368454E-2</v>
      </c>
      <c r="M144" s="73">
        <v>4.9833516497510555E-2</v>
      </c>
      <c r="N144" s="73">
        <v>4.9523207353685983E-2</v>
      </c>
      <c r="O144" s="73">
        <v>5.1056641988078022E-2</v>
      </c>
      <c r="P144">
        <v>5.1000612560327507E-2</v>
      </c>
    </row>
    <row r="145" spans="1:16">
      <c r="A145" s="61">
        <v>54224</v>
      </c>
      <c r="B145">
        <v>4.9989797965661324E-2</v>
      </c>
      <c r="C145">
        <v>4.9989797965661324E-2</v>
      </c>
      <c r="D145">
        <v>4.9989797965661324E-2</v>
      </c>
      <c r="E145">
        <v>4.9989797965661324E-2</v>
      </c>
      <c r="F145">
        <v>4.9989797965661324E-2</v>
      </c>
      <c r="G145">
        <v>4.9989797965661324E-2</v>
      </c>
      <c r="H145">
        <v>5.0702169804348954E-2</v>
      </c>
      <c r="I145" s="73">
        <v>5.0000000000069322E-2</v>
      </c>
      <c r="J145" s="73">
        <v>4.9998742320760403E-2</v>
      </c>
      <c r="K145" s="73">
        <v>4.99921357427211E-2</v>
      </c>
      <c r="L145" s="73">
        <v>4.9963690681537498E-2</v>
      </c>
      <c r="M145" s="73">
        <v>4.9834860973247297E-2</v>
      </c>
      <c r="N145" s="73">
        <v>4.952686117662175E-2</v>
      </c>
      <c r="O145" s="73">
        <v>5.1017914077538862E-2</v>
      </c>
      <c r="P145">
        <v>5.1000339842119713E-2</v>
      </c>
    </row>
    <row r="146" spans="1:16">
      <c r="A146" s="61">
        <v>54316</v>
      </c>
      <c r="B146">
        <v>4.9994120327597917E-2</v>
      </c>
      <c r="C146">
        <v>4.9994120327597917E-2</v>
      </c>
      <c r="D146">
        <v>4.9994120327597917E-2</v>
      </c>
      <c r="E146">
        <v>4.9994120327597917E-2</v>
      </c>
      <c r="F146">
        <v>4.9994120327597917E-2</v>
      </c>
      <c r="G146">
        <v>4.9994120327597917E-2</v>
      </c>
      <c r="H146">
        <v>5.0693915269498124E-2</v>
      </c>
      <c r="I146" s="73">
        <v>4.9999999999996048E-2</v>
      </c>
      <c r="J146" s="73">
        <v>4.9998667323584822E-2</v>
      </c>
      <c r="K146" s="73">
        <v>4.99922342000505E-2</v>
      </c>
      <c r="L146" s="73">
        <v>4.9964034666726498E-2</v>
      </c>
      <c r="M146" s="73">
        <v>4.9836160100977356E-2</v>
      </c>
      <c r="N146" s="73">
        <v>4.9530440467473236E-2</v>
      </c>
      <c r="O146" s="73">
        <v>5.0979641489427907E-2</v>
      </c>
      <c r="P146">
        <v>5.1000301659428926E-2</v>
      </c>
    </row>
    <row r="147" spans="1:16">
      <c r="A147" s="61">
        <v>54407</v>
      </c>
      <c r="B147">
        <v>4.9983675789538148E-2</v>
      </c>
      <c r="C147">
        <v>4.9983675789538148E-2</v>
      </c>
      <c r="D147">
        <v>4.9983675789538148E-2</v>
      </c>
      <c r="E147">
        <v>4.9983675789538148E-2</v>
      </c>
      <c r="F147">
        <v>4.9983675789538148E-2</v>
      </c>
      <c r="G147">
        <v>4.9983675789538148E-2</v>
      </c>
      <c r="H147">
        <v>5.0671030540050795E-2</v>
      </c>
      <c r="I147" s="73">
        <v>4.9999999999993827E-2</v>
      </c>
      <c r="J147" s="73">
        <v>4.9998761335521946E-2</v>
      </c>
      <c r="K147" s="73">
        <v>4.999225974700483E-2</v>
      </c>
      <c r="L147" s="73">
        <v>4.9964206327204774E-2</v>
      </c>
      <c r="M147" s="73">
        <v>4.9837074990481511E-2</v>
      </c>
      <c r="N147" s="73">
        <v>4.9533364763908017E-2</v>
      </c>
      <c r="O147" s="73">
        <v>5.0943944470708269E-2</v>
      </c>
      <c r="P147">
        <v>5.1000634037127179E-2</v>
      </c>
    </row>
    <row r="148" spans="1:16">
      <c r="A148" s="61">
        <v>54497</v>
      </c>
      <c r="B148">
        <v>4.9982686757732812E-2</v>
      </c>
      <c r="C148">
        <v>4.9982686757732812E-2</v>
      </c>
      <c r="D148">
        <v>4.9982686757732812E-2</v>
      </c>
      <c r="E148">
        <v>4.9982686757732812E-2</v>
      </c>
      <c r="F148">
        <v>4.9982686757732812E-2</v>
      </c>
      <c r="G148">
        <v>4.9982686757732812E-2</v>
      </c>
      <c r="H148">
        <v>5.0657738022257759E-2</v>
      </c>
      <c r="I148" s="73">
        <v>4.999999999998983E-2</v>
      </c>
      <c r="J148" s="73">
        <v>4.999887384826085E-2</v>
      </c>
      <c r="K148" s="73">
        <v>4.9992231336057014E-2</v>
      </c>
      <c r="L148" s="73">
        <v>4.9964434920711343E-2</v>
      </c>
      <c r="M148" s="73">
        <v>4.9838092930594158E-2</v>
      </c>
      <c r="N148" s="73">
        <v>4.9536386819068579E-2</v>
      </c>
      <c r="O148" s="73">
        <v>5.0907700801428035E-2</v>
      </c>
      <c r="P148">
        <v>5.1000610416083392E-2</v>
      </c>
    </row>
    <row r="149" spans="1:16">
      <c r="A149" s="61">
        <v>54589</v>
      </c>
      <c r="B149">
        <v>4.9989899346556343E-2</v>
      </c>
      <c r="C149">
        <v>4.9989899346556343E-2</v>
      </c>
      <c r="D149">
        <v>4.9989899346556343E-2</v>
      </c>
      <c r="E149">
        <v>4.9989899346556343E-2</v>
      </c>
      <c r="F149">
        <v>4.9989899346556343E-2</v>
      </c>
      <c r="G149">
        <v>4.9989899346556343E-2</v>
      </c>
      <c r="H149">
        <v>5.0652373714293868E-2</v>
      </c>
      <c r="I149" s="73">
        <v>4.9999999999981615E-2</v>
      </c>
      <c r="J149" s="73">
        <v>4.9998776453969551E-2</v>
      </c>
      <c r="K149" s="73">
        <v>4.9992349178277218E-2</v>
      </c>
      <c r="L149" s="73">
        <v>4.9964676101474259E-2</v>
      </c>
      <c r="M149" s="73">
        <v>4.9839342515047402E-2</v>
      </c>
      <c r="N149" s="73">
        <v>4.9539699409865356E-2</v>
      </c>
      <c r="O149" s="73">
        <v>5.0869706695284123E-2</v>
      </c>
      <c r="P149">
        <v>5.1000336801729551E-2</v>
      </c>
    </row>
    <row r="150" spans="1:16">
      <c r="A150" s="61">
        <v>54681</v>
      </c>
      <c r="B150">
        <v>4.9994177913600425E-2</v>
      </c>
      <c r="C150">
        <v>4.9994177913600425E-2</v>
      </c>
      <c r="D150">
        <v>4.9994177913600425E-2</v>
      </c>
      <c r="E150">
        <v>4.9994177913600425E-2</v>
      </c>
      <c r="F150">
        <v>4.9994177913600425E-2</v>
      </c>
      <c r="G150">
        <v>4.9994177913600425E-2</v>
      </c>
      <c r="H150">
        <v>5.0644075384550527E-2</v>
      </c>
      <c r="I150" s="73">
        <v>4.9999999999909672E-2</v>
      </c>
      <c r="J150" s="73">
        <v>4.9998703254866328E-2</v>
      </c>
      <c r="K150" s="73">
        <v>4.9992443579045753E-2</v>
      </c>
      <c r="L150" s="73">
        <v>4.9965004340607466E-2</v>
      </c>
      <c r="M150" s="73">
        <v>4.9840577186472501E-2</v>
      </c>
      <c r="N150" s="73">
        <v>4.9543097905403011E-2</v>
      </c>
      <c r="O150" s="73">
        <v>5.0831259433810061E-2</v>
      </c>
      <c r="P150">
        <v>5.1000297095640912E-2</v>
      </c>
    </row>
    <row r="151" spans="1:16">
      <c r="A151" s="61">
        <v>54772</v>
      </c>
      <c r="B151">
        <v>4.9983833325078962E-2</v>
      </c>
      <c r="C151">
        <v>4.9983833325078962E-2</v>
      </c>
      <c r="D151">
        <v>4.9983833325078962E-2</v>
      </c>
      <c r="E151">
        <v>4.9983833325078962E-2</v>
      </c>
      <c r="F151">
        <v>4.9983833325078962E-2</v>
      </c>
      <c r="G151">
        <v>4.9983833325078962E-2</v>
      </c>
      <c r="H151">
        <v>5.0621290604641503E-2</v>
      </c>
      <c r="I151" s="73">
        <v>4.9999999999994049E-2</v>
      </c>
      <c r="J151" s="73">
        <v>4.9998794493845811E-2</v>
      </c>
      <c r="K151" s="73">
        <v>4.9992466950185666E-2</v>
      </c>
      <c r="L151" s="73">
        <v>4.9965164495997527E-2</v>
      </c>
      <c r="M151" s="73">
        <v>4.9841436115702464E-2</v>
      </c>
      <c r="N151" s="73">
        <v>4.9545853794192407E-2</v>
      </c>
      <c r="O151" s="73">
        <v>5.0795259864652387E-2</v>
      </c>
      <c r="P151">
        <v>5.100062698884833E-2</v>
      </c>
    </row>
    <row r="152" spans="1:16">
      <c r="A152" s="61">
        <v>54862</v>
      </c>
      <c r="B152">
        <v>4.998285142358791E-2</v>
      </c>
      <c r="C152">
        <v>4.998285142358791E-2</v>
      </c>
      <c r="D152">
        <v>4.998285142358791E-2</v>
      </c>
      <c r="E152">
        <v>4.998285142358791E-2</v>
      </c>
      <c r="F152">
        <v>4.998285142358791E-2</v>
      </c>
      <c r="G152">
        <v>4.998285142358791E-2</v>
      </c>
      <c r="H152">
        <v>5.0608005217162758E-2</v>
      </c>
      <c r="I152" s="73">
        <v>4.9999999999990052E-2</v>
      </c>
      <c r="J152" s="73">
        <v>4.9998903792775051E-2</v>
      </c>
      <c r="K152" s="73">
        <v>4.9992437907135256E-2</v>
      </c>
      <c r="L152" s="73">
        <v>4.9965380595349274E-2</v>
      </c>
      <c r="M152" s="73">
        <v>4.9842397790002213E-2</v>
      </c>
      <c r="N152" s="73">
        <v>4.954871190102117E-2</v>
      </c>
      <c r="O152" s="73">
        <v>5.0758740655281631E-2</v>
      </c>
      <c r="P152">
        <v>5.1000604728004495E-2</v>
      </c>
    </row>
    <row r="153" spans="1:16">
      <c r="A153" s="61">
        <v>54954</v>
      </c>
      <c r="B153">
        <v>4.9989994044080853E-2</v>
      </c>
      <c r="C153">
        <v>4.9989994044080853E-2</v>
      </c>
      <c r="D153">
        <v>4.9989994044080853E-2</v>
      </c>
      <c r="E153">
        <v>4.9989994044080853E-2</v>
      </c>
      <c r="F153">
        <v>4.9989994044080853E-2</v>
      </c>
      <c r="G153">
        <v>4.9989994044080853E-2</v>
      </c>
      <c r="H153">
        <v>5.0602570940868279E-2</v>
      </c>
      <c r="I153" s="73">
        <v>5.0000000000069988E-2</v>
      </c>
      <c r="J153" s="73">
        <v>4.9998808782919513E-2</v>
      </c>
      <c r="K153" s="73">
        <v>4.9992551331778712E-2</v>
      </c>
      <c r="L153" s="73">
        <v>4.996560943344508E-2</v>
      </c>
      <c r="M153" s="73">
        <v>4.9843587182032634E-2</v>
      </c>
      <c r="N153" s="73">
        <v>4.9551859164576717E-2</v>
      </c>
      <c r="O153" s="73">
        <v>5.0720523716100141E-2</v>
      </c>
      <c r="P153">
        <v>5.1000334064074115E-2</v>
      </c>
    </row>
    <row r="154" spans="1:16">
      <c r="A154" s="61">
        <v>55046</v>
      </c>
      <c r="B154">
        <v>4.9994231718392575E-2</v>
      </c>
      <c r="C154">
        <v>4.9994231718392575E-2</v>
      </c>
      <c r="D154">
        <v>4.9994231718392575E-2</v>
      </c>
      <c r="E154">
        <v>4.9994231718392575E-2</v>
      </c>
      <c r="F154">
        <v>4.9994231718392575E-2</v>
      </c>
      <c r="G154">
        <v>4.9994231718392575E-2</v>
      </c>
      <c r="H154">
        <v>5.0594231718392578E-2</v>
      </c>
      <c r="I154" s="73">
        <v>5.0000000000000488E-2</v>
      </c>
      <c r="J154" s="73">
        <v>4.9998737299107532E-2</v>
      </c>
      <c r="K154" s="73">
        <v>4.9992641962545381E-2</v>
      </c>
      <c r="L154" s="73">
        <v>4.9965923092299303E-2</v>
      </c>
      <c r="M154" s="73">
        <v>4.984476232243007E-2</v>
      </c>
      <c r="N154" s="73">
        <v>4.9555090768683252E-2</v>
      </c>
      <c r="O154" s="73">
        <v>5.0681847048331896E-2</v>
      </c>
      <c r="P154">
        <v>5.1000292853282891E-2</v>
      </c>
    </row>
    <row r="155" spans="1:16">
      <c r="A155" s="61">
        <v>55137</v>
      </c>
      <c r="B155">
        <v>4.9983980557838682E-2</v>
      </c>
      <c r="C155">
        <v>4.9983980557838682E-2</v>
      </c>
      <c r="D155">
        <v>4.9983980557838682E-2</v>
      </c>
      <c r="E155">
        <v>4.9983980557838682E-2</v>
      </c>
      <c r="F155">
        <v>4.9983980557838682E-2</v>
      </c>
      <c r="G155">
        <v>4.9983980557838682E-2</v>
      </c>
      <c r="H155">
        <v>5.0571540366451125E-2</v>
      </c>
      <c r="I155" s="73">
        <v>4.9999999999994271E-2</v>
      </c>
      <c r="J155" s="73">
        <v>4.9998825922374035E-2</v>
      </c>
      <c r="K155" s="73">
        <v>4.9992663344736066E-2</v>
      </c>
      <c r="L155" s="73">
        <v>4.9966072682379625E-2</v>
      </c>
      <c r="M155" s="73">
        <v>4.9845569757465347E-2</v>
      </c>
      <c r="N155" s="73">
        <v>4.9557691464645615E-2</v>
      </c>
      <c r="O155" s="73">
        <v>5.0645493033196098E-2</v>
      </c>
      <c r="P155">
        <v>5.1000620535071928E-2</v>
      </c>
    </row>
    <row r="156" spans="1:16">
      <c r="A156" s="61">
        <v>55227</v>
      </c>
      <c r="B156">
        <v>4.9983005362268441E-2</v>
      </c>
      <c r="C156">
        <v>4.9983005362268441E-2</v>
      </c>
      <c r="D156">
        <v>4.9983005362268441E-2</v>
      </c>
      <c r="E156">
        <v>4.9983005362268441E-2</v>
      </c>
      <c r="F156">
        <v>4.9983005362268441E-2</v>
      </c>
      <c r="G156">
        <v>4.9983005362268441E-2</v>
      </c>
      <c r="H156">
        <v>5.0558261684893184E-2</v>
      </c>
      <c r="I156" s="73">
        <v>5.0000000000079758E-2</v>
      </c>
      <c r="J156" s="73">
        <v>4.999893218528606E-2</v>
      </c>
      <c r="K156" s="73">
        <v>4.9992633772524497E-2</v>
      </c>
      <c r="L156" s="73">
        <v>4.9966277259469116E-2</v>
      </c>
      <c r="M156" s="73">
        <v>4.9846479558999457E-2</v>
      </c>
      <c r="N156" s="73">
        <v>4.9560398346929047E-2</v>
      </c>
      <c r="O156" s="73">
        <v>5.0608647625123293E-2</v>
      </c>
      <c r="P156">
        <v>5.1000599574542615E-2</v>
      </c>
    </row>
    <row r="157" spans="1:16">
      <c r="A157" s="61">
        <v>55319</v>
      </c>
      <c r="B157">
        <v>4.9990082595976537E-2</v>
      </c>
      <c r="C157">
        <v>4.9990082595976537E-2</v>
      </c>
      <c r="D157">
        <v>4.9990082595976537E-2</v>
      </c>
      <c r="E157">
        <v>4.9990082595976537E-2</v>
      </c>
      <c r="F157">
        <v>4.9990082595976537E-2</v>
      </c>
      <c r="G157">
        <v>4.9990082595976537E-2</v>
      </c>
      <c r="H157">
        <v>5.0552762021813857E-2</v>
      </c>
      <c r="I157" s="73">
        <v>4.9999999999978284E-2</v>
      </c>
      <c r="J157" s="73">
        <v>4.9998839446985022E-2</v>
      </c>
      <c r="K157" s="73">
        <v>4.9992743074649848E-2</v>
      </c>
      <c r="L157" s="73">
        <v>4.9966494700990793E-2</v>
      </c>
      <c r="M157" s="73">
        <v>4.9847613271514435E-2</v>
      </c>
      <c r="N157" s="73">
        <v>4.9563392840734632E-2</v>
      </c>
      <c r="O157" s="73">
        <v>5.0570157137874494E-2</v>
      </c>
      <c r="P157">
        <v>5.1000331607374827E-2</v>
      </c>
    </row>
    <row r="158" spans="1:16">
      <c r="A158" s="61">
        <v>55411</v>
      </c>
      <c r="B158">
        <v>4.9994282044550961E-2</v>
      </c>
      <c r="C158">
        <v>4.9994282044550961E-2</v>
      </c>
      <c r="D158">
        <v>4.9994282044550961E-2</v>
      </c>
      <c r="E158">
        <v>4.9994282044550961E-2</v>
      </c>
      <c r="F158">
        <v>4.9994282044550961E-2</v>
      </c>
      <c r="G158">
        <v>4.9994282044550961E-2</v>
      </c>
      <c r="H158">
        <v>5.0544384573600859E-2</v>
      </c>
      <c r="I158" s="73">
        <v>5.0000000000000488E-2</v>
      </c>
      <c r="J158" s="73">
        <v>4.9998769601236948E-2</v>
      </c>
      <c r="K158" s="73">
        <v>4.9992830194469651E-2</v>
      </c>
      <c r="L158" s="73">
        <v>4.9966794830102579E-2</v>
      </c>
      <c r="M158" s="73">
        <v>4.984873331156825E-2</v>
      </c>
      <c r="N158" s="73">
        <v>4.9566470058000522E-2</v>
      </c>
      <c r="O158" s="73">
        <v>5.0531200368495899E-2</v>
      </c>
      <c r="P158">
        <v>5.1000288908521263E-2</v>
      </c>
    </row>
    <row r="159" spans="1:16">
      <c r="A159" s="61">
        <v>55502</v>
      </c>
      <c r="B159">
        <v>4.9984118307717325E-2</v>
      </c>
      <c r="C159">
        <v>4.9984118307717325E-2</v>
      </c>
      <c r="D159">
        <v>4.9984118307717325E-2</v>
      </c>
      <c r="E159">
        <v>4.9984118307717325E-2</v>
      </c>
      <c r="F159">
        <v>4.9984118307717325E-2</v>
      </c>
      <c r="G159">
        <v>4.9984118307717325E-2</v>
      </c>
      <c r="H159">
        <v>5.0521780645379662E-2</v>
      </c>
      <c r="I159" s="73">
        <v>5.000000000008531E-2</v>
      </c>
      <c r="J159" s="73">
        <v>4.9998855753103033E-2</v>
      </c>
      <c r="K159" s="73">
        <v>4.9992849754480151E-2</v>
      </c>
      <c r="L159" s="73">
        <v>4.996693469758462E-2</v>
      </c>
      <c r="M159" s="73">
        <v>4.9849493262463129E-2</v>
      </c>
      <c r="N159" s="73">
        <v>4.9568927437616539E-2</v>
      </c>
      <c r="O159" s="73">
        <v>5.0494443698406277E-2</v>
      </c>
      <c r="P159">
        <v>5.1000614633002872E-2</v>
      </c>
    </row>
    <row r="160" spans="1:16">
      <c r="A160" s="61">
        <v>55593</v>
      </c>
      <c r="B160">
        <v>4.9983149422851515E-2</v>
      </c>
      <c r="C160">
        <v>4.9983149422851515E-2</v>
      </c>
      <c r="D160">
        <v>4.9983149422851515E-2</v>
      </c>
      <c r="E160">
        <v>4.9983149422851515E-2</v>
      </c>
      <c r="F160">
        <v>4.9983149422851515E-2</v>
      </c>
      <c r="G160">
        <v>4.9983149422851515E-2</v>
      </c>
      <c r="H160">
        <v>5.0508371569126291E-2</v>
      </c>
      <c r="I160" s="73">
        <v>4.9999999999986278E-2</v>
      </c>
      <c r="J160" s="73">
        <v>4.9998959143390698E-2</v>
      </c>
      <c r="K160" s="73">
        <v>4.9992819743027495E-2</v>
      </c>
      <c r="L160" s="73">
        <v>4.9967128626971169E-2</v>
      </c>
      <c r="M160" s="73">
        <v>4.9850355141190628E-2</v>
      </c>
      <c r="N160" s="73">
        <v>4.9571494540827876E-2</v>
      </c>
      <c r="O160" s="73">
        <v>5.0456813670567202E-2</v>
      </c>
      <c r="P160">
        <v>5.1000594918773956E-2</v>
      </c>
    </row>
    <row r="161" spans="1:16">
      <c r="A161" s="61">
        <v>55687</v>
      </c>
      <c r="B161">
        <v>4.9990534309244265E-2</v>
      </c>
      <c r="C161">
        <v>4.9990534309244265E-2</v>
      </c>
      <c r="D161">
        <v>4.9990534309244265E-2</v>
      </c>
      <c r="E161">
        <v>4.9990534309244265E-2</v>
      </c>
      <c r="F161">
        <v>4.9990534309244265E-2</v>
      </c>
      <c r="G161">
        <v>4.9990534309244265E-2</v>
      </c>
      <c r="H161">
        <v>5.0502906147931896E-2</v>
      </c>
      <c r="I161" s="73">
        <v>4.9999999999979172E-2</v>
      </c>
      <c r="J161" s="73">
        <v>4.9998918948007454E-2</v>
      </c>
      <c r="K161" s="73">
        <v>4.9992965667274403E-2</v>
      </c>
      <c r="L161" s="73">
        <v>4.9967230218205927E-2</v>
      </c>
      <c r="M161" s="73">
        <v>4.9851498192815757E-2</v>
      </c>
      <c r="N161" s="73">
        <v>4.9574385744403759E-2</v>
      </c>
      <c r="O161" s="73">
        <v>5.0417178382817562E-2</v>
      </c>
      <c r="P161">
        <v>5.100029206506651E-2</v>
      </c>
    </row>
    <row r="162" spans="1:16">
      <c r="A162" s="61">
        <v>55779</v>
      </c>
      <c r="B162">
        <v>4.9994710953980434E-2</v>
      </c>
      <c r="C162">
        <v>4.9994710953980434E-2</v>
      </c>
      <c r="D162">
        <v>4.9994710953980434E-2</v>
      </c>
      <c r="E162">
        <v>4.9994710953980434E-2</v>
      </c>
      <c r="F162">
        <v>4.9994710953980434E-2</v>
      </c>
      <c r="G162">
        <v>4.9994710953980434E-2</v>
      </c>
      <c r="H162">
        <v>5.0494505895880643E-2</v>
      </c>
      <c r="I162" s="73">
        <v>5.0000000000000044E-2</v>
      </c>
      <c r="J162" s="73">
        <v>4.9998775877730717E-2</v>
      </c>
      <c r="K162" s="73">
        <v>4.9992986163180486E-2</v>
      </c>
      <c r="L162" s="73">
        <v>4.9967630510939776E-2</v>
      </c>
      <c r="M162" s="73">
        <v>4.9852517987329481E-2</v>
      </c>
      <c r="N162" s="73">
        <v>4.9577329598861741E-2</v>
      </c>
      <c r="O162" s="73">
        <v>5.0377868287326821E-2</v>
      </c>
      <c r="P162">
        <v>5.1000187808687203E-2</v>
      </c>
    </row>
    <row r="163" spans="1:16">
      <c r="A163" s="61">
        <v>55870</v>
      </c>
      <c r="B163">
        <v>4.9984624014483149E-2</v>
      </c>
      <c r="C163">
        <v>4.9984624014483149E-2</v>
      </c>
      <c r="D163">
        <v>4.9984624014483149E-2</v>
      </c>
      <c r="E163">
        <v>4.9984624014483149E-2</v>
      </c>
      <c r="F163">
        <v>4.9984624014483149E-2</v>
      </c>
      <c r="G163">
        <v>4.9984624014483149E-2</v>
      </c>
      <c r="H163">
        <v>5.0471978764995797E-2</v>
      </c>
      <c r="I163" s="73">
        <v>4.9999999999990274E-2</v>
      </c>
      <c r="J163" s="73">
        <v>4.9998870927527639E-2</v>
      </c>
      <c r="K163" s="73">
        <v>4.9993027263548706E-2</v>
      </c>
      <c r="L163" s="73">
        <v>4.9967726386308087E-2</v>
      </c>
      <c r="M163" s="73">
        <v>4.9853247809698242E-2</v>
      </c>
      <c r="N163" s="73">
        <v>4.9579648843312674E-2</v>
      </c>
      <c r="O163" s="73">
        <v>5.0340669553105233E-2</v>
      </c>
      <c r="P163">
        <v>5.1000539331868211E-2</v>
      </c>
    </row>
    <row r="164" spans="1:16">
      <c r="A164" s="61">
        <v>55960</v>
      </c>
      <c r="B164">
        <v>4.99831864468019E-2</v>
      </c>
      <c r="C164">
        <v>4.99831864468019E-2</v>
      </c>
      <c r="D164">
        <v>4.99831864468019E-2</v>
      </c>
      <c r="E164">
        <v>4.99831864468019E-2</v>
      </c>
      <c r="F164">
        <v>4.99831864468019E-2</v>
      </c>
      <c r="G164">
        <v>4.99831864468019E-2</v>
      </c>
      <c r="H164">
        <v>5.0458237711326848E-2</v>
      </c>
      <c r="I164" s="73">
        <v>4.9999999999986944E-2</v>
      </c>
      <c r="J164" s="73">
        <v>4.9998955853628013E-2</v>
      </c>
      <c r="K164" s="73">
        <v>4.9993074791752301E-2</v>
      </c>
      <c r="L164" s="73">
        <v>4.9967910024625306E-2</v>
      </c>
      <c r="M164" s="73">
        <v>4.9854070820427365E-2</v>
      </c>
      <c r="N164" s="73">
        <v>4.9582070717262061E-2</v>
      </c>
      <c r="O164" s="73">
        <v>5.0303112008103446E-2</v>
      </c>
      <c r="P164">
        <v>5.1000626574742691E-2</v>
      </c>
    </row>
    <row r="165" spans="1:16">
      <c r="A165" s="61">
        <v>56052</v>
      </c>
      <c r="B165">
        <v>4.9990609038633373E-2</v>
      </c>
      <c r="C165">
        <v>4.9990609038633373E-2</v>
      </c>
      <c r="D165">
        <v>4.9990609038633373E-2</v>
      </c>
      <c r="E165">
        <v>4.9990609038633373E-2</v>
      </c>
      <c r="F165">
        <v>4.9990609038633373E-2</v>
      </c>
      <c r="G165">
        <v>4.9990609038633373E-2</v>
      </c>
      <c r="H165">
        <v>5.0453083406370898E-2</v>
      </c>
      <c r="I165" s="73">
        <v>4.9999999999979838E-2</v>
      </c>
      <c r="J165" s="73">
        <v>4.999894540992833E-2</v>
      </c>
      <c r="K165" s="73">
        <v>4.9993137852744507E-2</v>
      </c>
      <c r="L165" s="73">
        <v>4.9968032343276958E-2</v>
      </c>
      <c r="M165" s="73">
        <v>4.9855132965748172E-2</v>
      </c>
      <c r="N165" s="73">
        <v>4.9584801882384788E-2</v>
      </c>
      <c r="O165" s="73">
        <v>5.026387958233336E-2</v>
      </c>
      <c r="P165">
        <v>5.1000290799665393E-2</v>
      </c>
    </row>
    <row r="166" spans="1:16">
      <c r="A166" s="61">
        <v>56144</v>
      </c>
      <c r="B166">
        <v>4.9994752128110269E-2</v>
      </c>
      <c r="C166">
        <v>4.9994752128110269E-2</v>
      </c>
      <c r="D166">
        <v>4.9994752128110269E-2</v>
      </c>
      <c r="E166">
        <v>4.9994752128110269E-2</v>
      </c>
      <c r="F166">
        <v>4.9994752128110269E-2</v>
      </c>
      <c r="G166">
        <v>4.9994752128110269E-2</v>
      </c>
      <c r="H166">
        <v>5.0444649599060372E-2</v>
      </c>
      <c r="I166" s="73">
        <v>5.0000000000095079E-2</v>
      </c>
      <c r="J166" s="73">
        <v>4.9998805664722257E-2</v>
      </c>
      <c r="K166" s="73">
        <v>4.9993156833444186E-2</v>
      </c>
      <c r="L166" s="73">
        <v>4.9968418160303285E-2</v>
      </c>
      <c r="M166" s="73">
        <v>4.985610648915717E-2</v>
      </c>
      <c r="N166" s="73">
        <v>4.9587612625116018E-2</v>
      </c>
      <c r="O166" s="73">
        <v>5.0224199057416152E-2</v>
      </c>
      <c r="P166">
        <v>5.1000186531771963E-2</v>
      </c>
    </row>
    <row r="167" spans="1:16">
      <c r="A167" s="61">
        <v>56235</v>
      </c>
      <c r="B167">
        <v>4.9984742015752898E-2</v>
      </c>
      <c r="C167">
        <v>4.9984742015752898E-2</v>
      </c>
      <c r="D167">
        <v>4.9984742015752898E-2</v>
      </c>
      <c r="E167">
        <v>4.9984742015752898E-2</v>
      </c>
      <c r="F167">
        <v>4.9984742015752898E-2</v>
      </c>
      <c r="G167">
        <v>4.9984742015752898E-2</v>
      </c>
      <c r="H167">
        <v>5.042219929531544E-2</v>
      </c>
      <c r="I167" s="73">
        <v>4.9999999999990274E-2</v>
      </c>
      <c r="J167" s="73">
        <v>4.9998898223035049E-2</v>
      </c>
      <c r="K167" s="73">
        <v>4.9993195831885773E-2</v>
      </c>
      <c r="L167" s="73">
        <v>4.9968506603805363E-2</v>
      </c>
      <c r="M167" s="73">
        <v>4.9856795373064644E-2</v>
      </c>
      <c r="N167" s="73">
        <v>4.9589809087406733E-2</v>
      </c>
      <c r="O167" s="73">
        <v>5.0186510360180847E-2</v>
      </c>
      <c r="P167">
        <v>5.1000535879423881E-2</v>
      </c>
    </row>
    <row r="168" spans="1:16">
      <c r="A168" s="61">
        <v>56325</v>
      </c>
      <c r="B168">
        <v>4.9983313675726233E-2</v>
      </c>
      <c r="C168">
        <v>4.9983313675726233E-2</v>
      </c>
      <c r="D168">
        <v>4.9983313675726233E-2</v>
      </c>
      <c r="E168">
        <v>4.9983313675726233E-2</v>
      </c>
      <c r="F168">
        <v>4.9983313675726233E-2</v>
      </c>
      <c r="G168">
        <v>4.9983313675726233E-2</v>
      </c>
      <c r="H168">
        <v>5.0408467469301083E-2</v>
      </c>
      <c r="I168" s="73">
        <v>4.9999999999987388E-2</v>
      </c>
      <c r="J168" s="73">
        <v>4.9998980942556726E-2</v>
      </c>
      <c r="K168" s="73">
        <v>4.9993241193570404E-2</v>
      </c>
      <c r="L168" s="73">
        <v>4.9968681087225297E-2</v>
      </c>
      <c r="M168" s="73">
        <v>4.9857577048673329E-2</v>
      </c>
      <c r="N168" s="73">
        <v>4.9592111038900377E-2</v>
      </c>
      <c r="O168" s="73">
        <v>5.0148490734166939E-2</v>
      </c>
      <c r="P168">
        <v>5.1000622017386199E-2</v>
      </c>
    </row>
    <row r="169" spans="1:16">
      <c r="A169" s="61">
        <v>56417</v>
      </c>
      <c r="B169">
        <v>4.9990679120668763E-2</v>
      </c>
      <c r="C169">
        <v>4.9990679120668763E-2</v>
      </c>
      <c r="D169">
        <v>4.9990679120668763E-2</v>
      </c>
      <c r="E169">
        <v>4.9990679120668763E-2</v>
      </c>
      <c r="F169">
        <v>4.9990679120668763E-2</v>
      </c>
      <c r="G169">
        <v>4.9990679120668763E-2</v>
      </c>
      <c r="H169">
        <v>5.0403256017456183E-2</v>
      </c>
      <c r="I169" s="73">
        <v>4.999999999998006E-2</v>
      </c>
      <c r="J169" s="73">
        <v>4.9998970606805138E-2</v>
      </c>
      <c r="K169" s="73">
        <v>4.9993301807785606E-2</v>
      </c>
      <c r="L169" s="73">
        <v>4.9968796127740189E-2</v>
      </c>
      <c r="M169" s="73">
        <v>4.9858594010419033E-2</v>
      </c>
      <c r="N169" s="73">
        <v>4.9594720230782263E-2</v>
      </c>
      <c r="O169" s="73">
        <v>5.0108856132972335E-2</v>
      </c>
      <c r="P169">
        <v>5.1000289724768777E-2</v>
      </c>
    </row>
    <row r="170" spans="1:16">
      <c r="A170" s="61">
        <v>56509</v>
      </c>
      <c r="B170">
        <v>4.9994790749952819E-2</v>
      </c>
      <c r="C170">
        <v>4.9994790749952819E-2</v>
      </c>
      <c r="D170">
        <v>4.9994790749952819E-2</v>
      </c>
      <c r="E170">
        <v>4.9994790749952819E-2</v>
      </c>
      <c r="F170">
        <v>4.9994790749952819E-2</v>
      </c>
      <c r="G170">
        <v>4.9994790749952819E-2</v>
      </c>
      <c r="H170">
        <v>5.0394790749952817E-2</v>
      </c>
      <c r="I170" s="73">
        <v>5.0000000000092859E-2</v>
      </c>
      <c r="J170" s="73">
        <v>4.9998834036291795E-2</v>
      </c>
      <c r="K170" s="73">
        <v>4.9993319393792923E-2</v>
      </c>
      <c r="L170" s="73">
        <v>4.9969168382740348E-2</v>
      </c>
      <c r="M170" s="73">
        <v>4.9859524483375273E-2</v>
      </c>
      <c r="N170" s="73">
        <v>4.9597407114269965E-2</v>
      </c>
      <c r="O170" s="73">
        <v>5.0068764317890313E-2</v>
      </c>
      <c r="P170">
        <v>5.1000185387542141E-2</v>
      </c>
    </row>
    <row r="171" spans="1:16">
      <c r="A171" s="61">
        <v>56600</v>
      </c>
      <c r="B171">
        <v>4.9984852726273739E-2</v>
      </c>
      <c r="C171">
        <v>4.9984852726273739E-2</v>
      </c>
      <c r="D171">
        <v>4.9984852726273739E-2</v>
      </c>
      <c r="E171">
        <v>4.9984852726273739E-2</v>
      </c>
      <c r="F171">
        <v>4.9984852726273739E-2</v>
      </c>
      <c r="G171">
        <v>4.9984852726273739E-2</v>
      </c>
      <c r="H171">
        <v>5.0372412534886182E-2</v>
      </c>
      <c r="I171" s="73">
        <v>4.9999999999990719E-2</v>
      </c>
      <c r="J171" s="73">
        <v>4.999892422935126E-2</v>
      </c>
      <c r="K171" s="73">
        <v>4.9993356438575498E-2</v>
      </c>
      <c r="L171" s="73">
        <v>4.996924997121277E-2</v>
      </c>
      <c r="M171" s="73">
        <v>4.986017539234866E-2</v>
      </c>
      <c r="N171" s="73">
        <v>4.9599489542669462E-2</v>
      </c>
      <c r="O171" s="73">
        <v>5.0030546500797524E-2</v>
      </c>
      <c r="P171">
        <v>5.100053280050032E-2</v>
      </c>
    </row>
    <row r="172" spans="1:16">
      <c r="A172" s="61">
        <v>56690</v>
      </c>
      <c r="B172">
        <v>4.9983433068797142E-2</v>
      </c>
      <c r="C172">
        <v>4.9983433068797142E-2</v>
      </c>
      <c r="D172">
        <v>4.9983433068797142E-2</v>
      </c>
      <c r="E172">
        <v>4.9983433068797142E-2</v>
      </c>
      <c r="F172">
        <v>4.9983433068797142E-2</v>
      </c>
      <c r="G172">
        <v>4.9983433068797142E-2</v>
      </c>
      <c r="H172">
        <v>5.0358689391421886E-2</v>
      </c>
      <c r="I172" s="73">
        <v>4.999999999998761E-2</v>
      </c>
      <c r="J172" s="73">
        <v>4.9999004853491291E-2</v>
      </c>
      <c r="K172" s="73">
        <v>4.9993399782454651E-2</v>
      </c>
      <c r="L172" s="73">
        <v>4.9969415946774509E-2</v>
      </c>
      <c r="M172" s="73">
        <v>4.9860918659940801E-2</v>
      </c>
      <c r="N172" s="73">
        <v>4.9601680026310158E-2</v>
      </c>
      <c r="O172" s="73">
        <v>4.9992026720716343E-2</v>
      </c>
      <c r="P172">
        <v>5.1000617903726564E-2</v>
      </c>
    </row>
    <row r="173" spans="1:16">
      <c r="A173" s="61">
        <v>56782</v>
      </c>
      <c r="B173">
        <v>4.9990744899851912E-2</v>
      </c>
      <c r="C173">
        <v>4.9990744899851912E-2</v>
      </c>
      <c r="D173">
        <v>4.9990744899851912E-2</v>
      </c>
      <c r="E173">
        <v>4.9990744899851912E-2</v>
      </c>
      <c r="F173">
        <v>4.9990744899851912E-2</v>
      </c>
      <c r="G173">
        <v>4.9990744899851912E-2</v>
      </c>
      <c r="H173">
        <v>5.0353424325689233E-2</v>
      </c>
      <c r="I173" s="73">
        <v>4.9999999999980727E-2</v>
      </c>
      <c r="J173" s="73">
        <v>4.9998994627204585E-2</v>
      </c>
      <c r="K173" s="73">
        <v>4.9993458108825495E-2</v>
      </c>
      <c r="L173" s="73">
        <v>4.9969524256372688E-2</v>
      </c>
      <c r="M173" s="73">
        <v>4.9861893491267795E-2</v>
      </c>
      <c r="N173" s="73">
        <v>4.9604175641269954E-2</v>
      </c>
      <c r="O173" s="73">
        <v>4.9951951914047221E-2</v>
      </c>
      <c r="P173">
        <v>5.1000288828042972E-2</v>
      </c>
    </row>
    <row r="174" spans="1:16">
      <c r="A174" s="61">
        <v>56874</v>
      </c>
      <c r="B174">
        <v>4.9994827007822769E-2</v>
      </c>
      <c r="C174">
        <v>4.9994827007822769E-2</v>
      </c>
      <c r="D174">
        <v>4.9994827007822769E-2</v>
      </c>
      <c r="E174">
        <v>4.9994827007822769E-2</v>
      </c>
      <c r="F174">
        <v>4.9994827007822769E-2</v>
      </c>
      <c r="G174">
        <v>4.9994827007822769E-2</v>
      </c>
      <c r="H174">
        <v>5.0344929536872668E-2</v>
      </c>
      <c r="I174" s="73">
        <v>4.9999999999891021E-2</v>
      </c>
      <c r="J174" s="73">
        <v>4.9998861090986502E-2</v>
      </c>
      <c r="K174" s="73">
        <v>4.9993474408764449E-2</v>
      </c>
      <c r="L174" s="73">
        <v>4.9969883783715474E-2</v>
      </c>
      <c r="M174" s="73">
        <v>4.9862783840301628E-2</v>
      </c>
      <c r="N174" s="73">
        <v>4.96067470731969E-2</v>
      </c>
      <c r="O174" s="73">
        <v>4.9911410677686341E-2</v>
      </c>
      <c r="P174">
        <v>5.1000184368172219E-2</v>
      </c>
    </row>
    <row r="175" spans="1:16">
      <c r="A175" s="61">
        <v>56965</v>
      </c>
      <c r="B175">
        <v>4.998495668144181E-2</v>
      </c>
      <c r="C175">
        <v>4.998495668144181E-2</v>
      </c>
      <c r="D175">
        <v>4.998495668144181E-2</v>
      </c>
      <c r="E175">
        <v>4.998495668144181E-2</v>
      </c>
      <c r="F175">
        <v>4.998495668144181E-2</v>
      </c>
      <c r="G175">
        <v>4.998495668144181E-2</v>
      </c>
      <c r="H175">
        <v>5.0322619019104148E-2</v>
      </c>
      <c r="I175" s="73">
        <v>4.9999999999990941E-2</v>
      </c>
      <c r="J175" s="73">
        <v>4.99989490357029E-2</v>
      </c>
      <c r="K175" s="73">
        <v>4.9993509634860267E-2</v>
      </c>
      <c r="L175" s="73">
        <v>4.996995903896595E-2</v>
      </c>
      <c r="M175" s="73">
        <v>4.9863399462643621E-2</v>
      </c>
      <c r="N175" s="73">
        <v>4.9608723410386801E-2</v>
      </c>
      <c r="O175" s="73">
        <v>4.9872627099979416E-2</v>
      </c>
      <c r="P175">
        <v>5.1000530071650063E-2</v>
      </c>
    </row>
    <row r="176" spans="1:16">
      <c r="A176" s="61">
        <v>57056</v>
      </c>
      <c r="B176">
        <v>4.9983545198787456E-2</v>
      </c>
      <c r="C176">
        <v>4.9983545198787456E-2</v>
      </c>
      <c r="D176">
        <v>4.9983545198787456E-2</v>
      </c>
      <c r="E176">
        <v>4.9983545198787456E-2</v>
      </c>
      <c r="F176">
        <v>4.9983545198787456E-2</v>
      </c>
      <c r="G176">
        <v>4.9983545198787456E-2</v>
      </c>
      <c r="H176">
        <v>5.0308767345062233E-2</v>
      </c>
      <c r="I176" s="73">
        <v>4.9999999999886802E-2</v>
      </c>
      <c r="J176" s="73">
        <v>4.9999027667494422E-2</v>
      </c>
      <c r="K176" s="73">
        <v>4.9993551095649291E-2</v>
      </c>
      <c r="L176" s="73">
        <v>4.9970117094427335E-2</v>
      </c>
      <c r="M176" s="73">
        <v>4.9864106981675427E-2</v>
      </c>
      <c r="N176" s="73">
        <v>4.9610810107984404E-2</v>
      </c>
      <c r="O176" s="73">
        <v>4.9833114985682991E-2</v>
      </c>
      <c r="P176">
        <v>5.1000614206032857E-2</v>
      </c>
    </row>
    <row r="177" spans="1:16">
      <c r="A177" s="61">
        <v>57150</v>
      </c>
      <c r="B177">
        <v>4.9991053169126144E-2</v>
      </c>
      <c r="C177">
        <v>4.9991053169126144E-2</v>
      </c>
      <c r="D177">
        <v>4.9991053169126144E-2</v>
      </c>
      <c r="E177">
        <v>4.9991053169126144E-2</v>
      </c>
      <c r="F177">
        <v>4.9991053169126144E-2</v>
      </c>
      <c r="G177">
        <v>4.9991053169126144E-2</v>
      </c>
      <c r="H177">
        <v>5.0303425007813769E-2</v>
      </c>
      <c r="I177" s="73">
        <v>4.9999999999981615E-2</v>
      </c>
      <c r="J177" s="73">
        <v>4.9999019024463687E-2</v>
      </c>
      <c r="K177" s="73">
        <v>4.9993541836388378E-2</v>
      </c>
      <c r="L177" s="73">
        <v>4.997036132271182E-2</v>
      </c>
      <c r="M177" s="73">
        <v>4.9865025612505054E-2</v>
      </c>
      <c r="N177" s="73">
        <v>4.9613170448379318E-2</v>
      </c>
      <c r="O177" s="73">
        <v>4.9791719059013584E-2</v>
      </c>
      <c r="P177">
        <v>5.1000267040775649E-2</v>
      </c>
    </row>
    <row r="178" spans="1:16">
      <c r="A178" s="61">
        <v>57242</v>
      </c>
      <c r="B178">
        <v>4.9994554287849803E-2</v>
      </c>
      <c r="C178">
        <v>4.9994554287849803E-2</v>
      </c>
      <c r="D178">
        <v>4.9994554287849803E-2</v>
      </c>
      <c r="E178">
        <v>4.9994554287849803E-2</v>
      </c>
      <c r="F178">
        <v>4.9994554287849803E-2</v>
      </c>
      <c r="G178">
        <v>4.9994554287849803E-2</v>
      </c>
      <c r="H178">
        <v>5.0294349229750006E-2</v>
      </c>
      <c r="I178" s="73">
        <v>4.999999999999627E-2</v>
      </c>
      <c r="J178" s="73">
        <v>4.9998887442383788E-2</v>
      </c>
      <c r="K178" s="73">
        <v>4.9993614159021371E-2</v>
      </c>
      <c r="L178" s="73">
        <v>4.9970579772648183E-2</v>
      </c>
      <c r="M178" s="73">
        <v>4.9865907793901876E-2</v>
      </c>
      <c r="N178" s="73">
        <v>4.9615705913514718E-2</v>
      </c>
      <c r="O178" s="73">
        <v>4.9750676923982162E-2</v>
      </c>
      <c r="P178">
        <v>5.1000202920662874E-2</v>
      </c>
    </row>
    <row r="179" spans="1:16">
      <c r="A179" s="61">
        <v>57333</v>
      </c>
      <c r="B179">
        <v>4.998494043416931E-2</v>
      </c>
      <c r="C179">
        <v>4.998494043416931E-2</v>
      </c>
      <c r="D179">
        <v>4.998494043416931E-2</v>
      </c>
      <c r="E179">
        <v>4.998494043416931E-2</v>
      </c>
      <c r="F179">
        <v>4.998494043416931E-2</v>
      </c>
      <c r="G179">
        <v>4.998494043416931E-2</v>
      </c>
      <c r="H179">
        <v>5.0272295184681959E-2</v>
      </c>
      <c r="I179" s="73">
        <v>4.9999999999990719E-2</v>
      </c>
      <c r="J179" s="73">
        <v>4.9998979002869648E-2</v>
      </c>
      <c r="K179" s="73">
        <v>4.9993629205910439E-2</v>
      </c>
      <c r="L179" s="73">
        <v>4.9970690225420888E-2</v>
      </c>
      <c r="M179" s="73">
        <v>4.9866464597666305E-2</v>
      </c>
      <c r="N179" s="73">
        <v>4.9617589653420113E-2</v>
      </c>
      <c r="O179" s="73">
        <v>4.9711277025019207E-2</v>
      </c>
      <c r="P179">
        <v>5.1000540713853848E-2</v>
      </c>
    </row>
    <row r="180" spans="1:16">
      <c r="A180" s="61">
        <v>57423</v>
      </c>
      <c r="B180">
        <v>4.9983876675460254E-2</v>
      </c>
      <c r="C180">
        <v>4.9983876675460254E-2</v>
      </c>
      <c r="D180">
        <v>4.9983876675460254E-2</v>
      </c>
      <c r="E180">
        <v>4.9983876675460254E-2</v>
      </c>
      <c r="F180">
        <v>4.9983876675460254E-2</v>
      </c>
      <c r="G180">
        <v>4.9983876675460254E-2</v>
      </c>
      <c r="H180">
        <v>5.0258927939985203E-2</v>
      </c>
      <c r="I180" s="73">
        <v>4.9999999999992495E-2</v>
      </c>
      <c r="J180" s="73">
        <v>4.9999070182531247E-2</v>
      </c>
      <c r="K180" s="73">
        <v>4.9993679102007027E-2</v>
      </c>
      <c r="L180" s="73">
        <v>4.9970824607619813E-2</v>
      </c>
      <c r="M180" s="73">
        <v>4.9867109430002943E-2</v>
      </c>
      <c r="N180" s="73">
        <v>4.9619605051859361E-2</v>
      </c>
      <c r="O180" s="73">
        <v>4.9671655451048569E-2</v>
      </c>
      <c r="P180">
        <v>5.1000589595950441E-2</v>
      </c>
    </row>
    <row r="181" spans="1:16">
      <c r="A181" s="61">
        <v>57515</v>
      </c>
      <c r="B181">
        <v>4.9991109679726232E-2</v>
      </c>
      <c r="C181">
        <v>4.9991109679726232E-2</v>
      </c>
      <c r="D181">
        <v>4.9991109679726232E-2</v>
      </c>
      <c r="E181">
        <v>4.9991109679726232E-2</v>
      </c>
      <c r="F181">
        <v>4.9991109679726232E-2</v>
      </c>
      <c r="G181">
        <v>4.9991109679726232E-2</v>
      </c>
      <c r="H181">
        <v>5.0253584047463759E-2</v>
      </c>
      <c r="I181" s="73">
        <v>4.9999999999981837E-2</v>
      </c>
      <c r="J181" s="73">
        <v>4.9999040891312241E-2</v>
      </c>
      <c r="K181" s="73">
        <v>4.9993685796853482E-2</v>
      </c>
      <c r="L181" s="73">
        <v>4.9971021998433507E-2</v>
      </c>
      <c r="M181" s="73">
        <v>4.9868034182320775E-2</v>
      </c>
      <c r="N181" s="73">
        <v>4.9621791859458142E-2</v>
      </c>
      <c r="O181" s="73">
        <v>4.9630623126736939E-2</v>
      </c>
      <c r="P181">
        <v>5.1000266783012282E-2</v>
      </c>
    </row>
    <row r="182" spans="1:16">
      <c r="A182" s="61">
        <v>57607</v>
      </c>
      <c r="B182">
        <v>4.999458821782448E-2</v>
      </c>
      <c r="C182">
        <v>4.999458821782448E-2</v>
      </c>
      <c r="D182">
        <v>4.999458821782448E-2</v>
      </c>
      <c r="E182">
        <v>4.999458821782448E-2</v>
      </c>
      <c r="F182">
        <v>4.999458821782448E-2</v>
      </c>
      <c r="G182">
        <v>4.999458821782448E-2</v>
      </c>
      <c r="H182">
        <v>5.0244485688774584E-2</v>
      </c>
      <c r="I182" s="73">
        <v>5.0000000000101519E-2</v>
      </c>
      <c r="J182" s="73">
        <v>4.9998912109173288E-2</v>
      </c>
      <c r="K182" s="73">
        <v>4.9993755741278179E-2</v>
      </c>
      <c r="L182" s="73">
        <v>4.9971232049777825E-2</v>
      </c>
      <c r="M182" s="73">
        <v>4.9868880614650557E-2</v>
      </c>
      <c r="N182" s="73">
        <v>4.9624224722421451E-2</v>
      </c>
      <c r="O182" s="73">
        <v>4.958906078407721E-2</v>
      </c>
      <c r="P182">
        <v>5.100020189299781E-2</v>
      </c>
    </row>
    <row r="183" spans="1:16">
      <c r="A183" s="61">
        <v>57698</v>
      </c>
      <c r="B183">
        <v>4.9985032969012341E-2</v>
      </c>
      <c r="C183">
        <v>4.9985032969012341E-2</v>
      </c>
      <c r="D183">
        <v>4.9985032969012341E-2</v>
      </c>
      <c r="E183">
        <v>4.9985032969012341E-2</v>
      </c>
      <c r="F183">
        <v>4.9985032969012341E-2</v>
      </c>
      <c r="G183">
        <v>4.9985032969012341E-2</v>
      </c>
      <c r="H183">
        <v>5.0222490248574884E-2</v>
      </c>
      <c r="I183" s="73">
        <v>4.9999999999990941E-2</v>
      </c>
      <c r="J183" s="73">
        <v>4.9999001504478668E-2</v>
      </c>
      <c r="K183" s="73">
        <v>4.9993769611663685E-2</v>
      </c>
      <c r="L183" s="73">
        <v>4.9971336175561154E-2</v>
      </c>
      <c r="M183" s="73">
        <v>4.986940740990442E-2</v>
      </c>
      <c r="N183" s="73">
        <v>4.9626016149502572E-2</v>
      </c>
      <c r="O183" s="73">
        <v>4.9549029714167414E-2</v>
      </c>
      <c r="P183">
        <v>5.1000538409673002E-2</v>
      </c>
    </row>
    <row r="184" spans="1:16">
      <c r="A184" s="61">
        <v>57788</v>
      </c>
      <c r="B184">
        <v>4.9983974397868162E-2</v>
      </c>
      <c r="C184">
        <v>4.9983974397868162E-2</v>
      </c>
      <c r="D184">
        <v>4.9983974397868162E-2</v>
      </c>
      <c r="E184">
        <v>4.9983974397868162E-2</v>
      </c>
      <c r="F184">
        <v>4.9983974397868162E-2</v>
      </c>
      <c r="G184">
        <v>4.9983974397868162E-2</v>
      </c>
      <c r="H184">
        <v>5.0209128191443006E-2</v>
      </c>
      <c r="I184" s="73">
        <v>4.9999999999992717E-2</v>
      </c>
      <c r="J184" s="73">
        <v>4.9999090561153814E-2</v>
      </c>
      <c r="K184" s="73">
        <v>4.9993817636688753E-2</v>
      </c>
      <c r="L184" s="73">
        <v>4.9971464035992508E-2</v>
      </c>
      <c r="M184" s="73">
        <v>4.987002181768907E-2</v>
      </c>
      <c r="N184" s="73">
        <v>4.9627940739277232E-2</v>
      </c>
      <c r="O184" s="73">
        <v>4.9508809091342032E-2</v>
      </c>
      <c r="P184">
        <v>5.1000586979911944E-2</v>
      </c>
    </row>
    <row r="185" spans="1:16">
      <c r="A185" s="61">
        <v>57880</v>
      </c>
      <c r="B185">
        <v>4.9991162839623016E-2</v>
      </c>
      <c r="C185">
        <v>4.9991162839623016E-2</v>
      </c>
      <c r="D185">
        <v>4.9991162839623016E-2</v>
      </c>
      <c r="E185">
        <v>4.9991162839623016E-2</v>
      </c>
      <c r="F185">
        <v>4.9991162839623016E-2</v>
      </c>
      <c r="G185">
        <v>4.9991162839623016E-2</v>
      </c>
      <c r="H185">
        <v>5.0203739736410437E-2</v>
      </c>
      <c r="I185" s="73">
        <v>4.9999999999982281E-2</v>
      </c>
      <c r="J185" s="73">
        <v>4.9999061804567591E-2</v>
      </c>
      <c r="K185" s="73">
        <v>4.9993823477293198E-2</v>
      </c>
      <c r="L185" s="73">
        <v>4.9971653853837728E-2</v>
      </c>
      <c r="M185" s="73">
        <v>4.987091151584333E-2</v>
      </c>
      <c r="N185" s="73">
        <v>4.9630037241383151E-2</v>
      </c>
      <c r="O185" s="73">
        <v>4.9467236108525992E-2</v>
      </c>
      <c r="P185">
        <v>5.100026665706725E-2</v>
      </c>
    </row>
    <row r="186" spans="1:16">
      <c r="A186" s="61">
        <v>57972</v>
      </c>
      <c r="B186">
        <v>4.999462014131878E-2</v>
      </c>
      <c r="C186">
        <v>4.999462014131878E-2</v>
      </c>
      <c r="D186">
        <v>4.999462014131878E-2</v>
      </c>
      <c r="E186">
        <v>4.999462014131878E-2</v>
      </c>
      <c r="F186">
        <v>4.999462014131878E-2</v>
      </c>
      <c r="G186">
        <v>4.999462014131878E-2</v>
      </c>
      <c r="H186">
        <v>5.0194620141318778E-2</v>
      </c>
      <c r="I186" s="73">
        <v>5.0000000000099076E-2</v>
      </c>
      <c r="J186" s="73">
        <v>4.9998935705594771E-2</v>
      </c>
      <c r="K186" s="73">
        <v>4.9993891180475369E-2</v>
      </c>
      <c r="L186" s="73">
        <v>4.9971856025795791E-2</v>
      </c>
      <c r="M186" s="73">
        <v>4.9871724456485023E-2</v>
      </c>
      <c r="N186" s="73">
        <v>4.9632373975357247E-2</v>
      </c>
      <c r="O186" s="73">
        <v>4.942512252186182E-2</v>
      </c>
      <c r="P186">
        <v>5.1000200983440491E-2</v>
      </c>
    </row>
    <row r="187" spans="1:16">
      <c r="A187" s="61">
        <v>58063</v>
      </c>
      <c r="B187">
        <v>4.9985120046345692E-2</v>
      </c>
      <c r="C187">
        <v>4.9985120046345692E-2</v>
      </c>
      <c r="D187">
        <v>4.9985120046345692E-2</v>
      </c>
      <c r="E187">
        <v>4.9985120046345692E-2</v>
      </c>
      <c r="F187">
        <v>4.9985120046345692E-2</v>
      </c>
      <c r="G187">
        <v>4.9985120046345692E-2</v>
      </c>
      <c r="H187">
        <v>5.017267985495813E-2</v>
      </c>
      <c r="I187" s="73">
        <v>5.0000000000099964E-2</v>
      </c>
      <c r="J187" s="73">
        <v>4.9999023035057322E-2</v>
      </c>
      <c r="K187" s="73">
        <v>4.9993903958801766E-2</v>
      </c>
      <c r="L187" s="73">
        <v>4.9971954253616557E-2</v>
      </c>
      <c r="M187" s="73">
        <v>4.9872223248966563E-2</v>
      </c>
      <c r="N187" s="73">
        <v>4.9634079110312479E-2</v>
      </c>
      <c r="O187" s="73">
        <v>4.9384430314389993E-2</v>
      </c>
      <c r="P187">
        <v>5.1000536407463049E-2</v>
      </c>
    </row>
    <row r="188" spans="1:16">
      <c r="A188" s="61">
        <v>58153</v>
      </c>
      <c r="B188">
        <v>4.9984066371840191E-2</v>
      </c>
      <c r="C188">
        <v>4.9984066371840191E-2</v>
      </c>
      <c r="D188">
        <v>4.9984066371840191E-2</v>
      </c>
      <c r="E188">
        <v>4.9984066371840191E-2</v>
      </c>
      <c r="F188">
        <v>4.9984066371840191E-2</v>
      </c>
      <c r="G188">
        <v>4.9984066371840191E-2</v>
      </c>
      <c r="H188">
        <v>5.0159322694464936E-2</v>
      </c>
      <c r="I188" s="73">
        <v>4.9999999999992939E-2</v>
      </c>
      <c r="J188" s="73">
        <v>4.9999110065080954E-2</v>
      </c>
      <c r="K188" s="73">
        <v>4.9993950225854178E-2</v>
      </c>
      <c r="L188" s="73">
        <v>4.9972076022402945E-2</v>
      </c>
      <c r="M188" s="73">
        <v>4.9872809221172876E-2</v>
      </c>
      <c r="N188" s="73">
        <v>4.9635918743037077E-2</v>
      </c>
      <c r="O188" s="73">
        <v>4.9343581709207607E-2</v>
      </c>
      <c r="P188">
        <v>5.1000584692764583E-2</v>
      </c>
    </row>
    <row r="189" spans="1:16">
      <c r="A189" s="61">
        <v>58245</v>
      </c>
      <c r="B189">
        <v>4.999121288039042E-2</v>
      </c>
      <c r="C189">
        <v>4.999121288039042E-2</v>
      </c>
      <c r="D189">
        <v>4.999121288039042E-2</v>
      </c>
      <c r="E189">
        <v>4.999121288039042E-2</v>
      </c>
      <c r="F189">
        <v>4.999121288039042E-2</v>
      </c>
      <c r="G189">
        <v>4.999121288039042E-2</v>
      </c>
      <c r="H189">
        <v>5.0153892306227743E-2</v>
      </c>
      <c r="I189" s="73">
        <v>4.9999999999982725E-2</v>
      </c>
      <c r="J189" s="73">
        <v>4.9999081824777525E-2</v>
      </c>
      <c r="K189" s="73">
        <v>4.9993955279758584E-2</v>
      </c>
      <c r="L189" s="73">
        <v>4.9972258734193753E-2</v>
      </c>
      <c r="M189" s="73">
        <v>4.9873666017008045E-2</v>
      </c>
      <c r="N189" s="73">
        <v>4.9637930670167973E-2</v>
      </c>
      <c r="O189" s="73">
        <v>4.9301439376351563E-2</v>
      </c>
      <c r="P189">
        <v>5.1000266655770288E-2</v>
      </c>
    </row>
    <row r="190" spans="1:16">
      <c r="A190" s="61">
        <v>58337</v>
      </c>
      <c r="B190">
        <v>4.9994650196451496E-2</v>
      </c>
      <c r="C190">
        <v>4.9994650196451496E-2</v>
      </c>
      <c r="D190">
        <v>4.9994650196451496E-2</v>
      </c>
      <c r="E190">
        <v>4.9994650196451496E-2</v>
      </c>
      <c r="F190">
        <v>4.9994650196451496E-2</v>
      </c>
      <c r="G190">
        <v>4.9994650196451496E-2</v>
      </c>
      <c r="H190">
        <v>5.0144752725501396E-2</v>
      </c>
      <c r="I190" s="73">
        <v>4.99999999999865E-2</v>
      </c>
      <c r="J190" s="73">
        <v>4.999895830015455E-2</v>
      </c>
      <c r="K190" s="73">
        <v>4.9994020867931921E-2</v>
      </c>
      <c r="L190" s="73">
        <v>4.9972453503602354E-2</v>
      </c>
      <c r="M190" s="73">
        <v>4.9874447534707933E-2</v>
      </c>
      <c r="N190" s="73">
        <v>4.9640177209430814E-2</v>
      </c>
      <c r="O190" s="73">
        <v>4.9258745649273905E-2</v>
      </c>
      <c r="P190">
        <v>5.1000200184793565E-2</v>
      </c>
    </row>
    <row r="191" spans="1:16">
      <c r="A191" s="61">
        <v>58428</v>
      </c>
      <c r="B191">
        <v>4.9985202040332417E-2</v>
      </c>
      <c r="C191">
        <v>4.9985202040332417E-2</v>
      </c>
      <c r="D191">
        <v>4.9985202040332417E-2</v>
      </c>
      <c r="E191">
        <v>4.9985202040332417E-2</v>
      </c>
      <c r="F191">
        <v>4.9985202040332417E-2</v>
      </c>
      <c r="G191">
        <v>4.9985202040332417E-2</v>
      </c>
      <c r="H191">
        <v>5.0122864377994757E-2</v>
      </c>
      <c r="I191" s="73">
        <v>4.9999999999985834E-2</v>
      </c>
      <c r="J191" s="73">
        <v>4.9999043656228315E-2</v>
      </c>
      <c r="K191" s="73">
        <v>4.9994032631492713E-2</v>
      </c>
      <c r="L191" s="73">
        <v>4.9972546225779402E-2</v>
      </c>
      <c r="M191" s="73">
        <v>4.9874920159763025E-2</v>
      </c>
      <c r="N191" s="73">
        <v>4.9641801564459076E-2</v>
      </c>
      <c r="O191" s="73">
        <v>4.9217364356951565E-2</v>
      </c>
      <c r="P191">
        <v>5.100053469008814E-2</v>
      </c>
    </row>
    <row r="192" spans="1:16">
      <c r="A192" s="61">
        <v>58519</v>
      </c>
      <c r="B192">
        <v>4.9984152989933771E-2</v>
      </c>
      <c r="C192">
        <v>4.9984152989933771E-2</v>
      </c>
      <c r="D192">
        <v>4.9984152989933771E-2</v>
      </c>
      <c r="E192">
        <v>4.9984152989933771E-2</v>
      </c>
      <c r="F192">
        <v>4.9984152989933771E-2</v>
      </c>
      <c r="G192">
        <v>4.9984152989933771E-2</v>
      </c>
      <c r="H192">
        <v>5.0109375136208549E-2</v>
      </c>
      <c r="I192" s="73">
        <v>5.0000000000105294E-2</v>
      </c>
      <c r="J192" s="73">
        <v>4.9999128749539601E-2</v>
      </c>
      <c r="K192" s="73">
        <v>4.9994077244207125E-2</v>
      </c>
      <c r="L192" s="73">
        <v>4.9972662295884041E-2</v>
      </c>
      <c r="M192" s="73">
        <v>4.9875479516588772E-2</v>
      </c>
      <c r="N192" s="73">
        <v>4.9643561601782737E-2</v>
      </c>
      <c r="O192" s="73">
        <v>4.9175355656531083E-2</v>
      </c>
      <c r="P192">
        <v>5.1000582716144383E-2</v>
      </c>
    </row>
    <row r="193" spans="1:16">
      <c r="A193" s="61">
        <v>58613</v>
      </c>
      <c r="B193">
        <v>4.999152422299491E-2</v>
      </c>
      <c r="C193">
        <v>4.999152422299491E-2</v>
      </c>
      <c r="D193">
        <v>4.999152422299491E-2</v>
      </c>
      <c r="E193">
        <v>4.999152422299491E-2</v>
      </c>
      <c r="F193">
        <v>4.999152422299491E-2</v>
      </c>
      <c r="G193">
        <v>4.999152422299491E-2</v>
      </c>
      <c r="H193">
        <v>5.0103896061682536E-2</v>
      </c>
      <c r="I193" s="73">
        <v>4.9999999999983169E-2</v>
      </c>
      <c r="J193" s="73">
        <v>4.9999188057227029E-2</v>
      </c>
      <c r="K193" s="73">
        <v>4.9993955312019667E-2</v>
      </c>
      <c r="L193" s="73">
        <v>4.9972844732640187E-2</v>
      </c>
      <c r="M193" s="73">
        <v>4.9876323810579715E-2</v>
      </c>
      <c r="N193" s="73">
        <v>4.9645703583460987E-2</v>
      </c>
      <c r="O193" s="73">
        <v>4.9131520538714168E-2</v>
      </c>
      <c r="P193">
        <v>5.1000239190469143E-2</v>
      </c>
    </row>
    <row r="194" spans="1:16">
      <c r="A194" s="61">
        <v>58705</v>
      </c>
      <c r="B194">
        <v>4.9994390998942734E-2</v>
      </c>
      <c r="C194">
        <v>4.9994390998942734E-2</v>
      </c>
      <c r="D194">
        <v>4.9994390998942734E-2</v>
      </c>
      <c r="E194">
        <v>4.9994390998942734E-2</v>
      </c>
      <c r="F194">
        <v>4.9994390998942734E-2</v>
      </c>
      <c r="G194">
        <v>4.9994390998942734E-2</v>
      </c>
      <c r="H194">
        <v>5.0094185940842938E-2</v>
      </c>
      <c r="I194" s="73">
        <v>4.9999999999872147E-2</v>
      </c>
      <c r="J194" s="73">
        <v>4.9998939109350715E-2</v>
      </c>
      <c r="K194" s="73">
        <v>4.9994183661210778E-2</v>
      </c>
      <c r="L194" s="73">
        <v>4.9973027597466135E-2</v>
      </c>
      <c r="M194" s="73">
        <v>4.9877070050094119E-2</v>
      </c>
      <c r="N194" s="73">
        <v>4.9647692022693812E-2</v>
      </c>
      <c r="O194" s="73">
        <v>4.9088393299036026E-2</v>
      </c>
      <c r="P194">
        <v>5.1000215678521199E-2</v>
      </c>
    </row>
    <row r="195" spans="1:16">
      <c r="A195" s="61">
        <v>58796</v>
      </c>
      <c r="B195">
        <v>4.9985179901163634E-2</v>
      </c>
      <c r="C195">
        <v>4.9985179901163634E-2</v>
      </c>
      <c r="D195">
        <v>4.9985179901163634E-2</v>
      </c>
      <c r="E195">
        <v>4.9985179901163634E-2</v>
      </c>
      <c r="F195">
        <v>4.9985179901163634E-2</v>
      </c>
      <c r="G195">
        <v>4.9985179901163634E-2</v>
      </c>
      <c r="H195">
        <v>5.0072534651676277E-2</v>
      </c>
      <c r="I195" s="73">
        <v>5.0000000000101963E-2</v>
      </c>
      <c r="J195" s="73">
        <v>4.9999064760936296E-2</v>
      </c>
      <c r="K195" s="73">
        <v>4.9994148817754658E-2</v>
      </c>
      <c r="L195" s="73">
        <v>4.9973116350106483E-2</v>
      </c>
      <c r="M195" s="73">
        <v>4.9877543091356058E-2</v>
      </c>
      <c r="N195" s="73">
        <v>4.9649241333852512E-2</v>
      </c>
      <c r="O195" s="73">
        <v>4.9046258164250567E-2</v>
      </c>
      <c r="P195">
        <v>5.1000543796294817E-2</v>
      </c>
    </row>
    <row r="196" spans="1:16">
      <c r="A196" s="61">
        <v>58886</v>
      </c>
      <c r="B196">
        <v>4.998431023397612E-2</v>
      </c>
      <c r="C196">
        <v>4.998431023397612E-2</v>
      </c>
      <c r="D196">
        <v>4.998431023397612E-2</v>
      </c>
      <c r="E196">
        <v>4.998431023397612E-2</v>
      </c>
      <c r="F196">
        <v>4.998431023397612E-2</v>
      </c>
      <c r="G196">
        <v>4.998431023397612E-2</v>
      </c>
      <c r="H196">
        <v>5.005936149850107E-2</v>
      </c>
      <c r="I196" s="73">
        <v>4.9999999999987166E-2</v>
      </c>
      <c r="J196" s="73">
        <v>4.9999155927003658E-2</v>
      </c>
      <c r="K196" s="73">
        <v>4.9994176534839951E-2</v>
      </c>
      <c r="L196" s="73">
        <v>4.997321339826355E-2</v>
      </c>
      <c r="M196" s="73">
        <v>4.98781434622102E-2</v>
      </c>
      <c r="N196" s="73">
        <v>4.9650867221916251E-2</v>
      </c>
      <c r="O196" s="73">
        <v>4.9004140215720415E-2</v>
      </c>
      <c r="P196">
        <v>5.10005910002862E-2</v>
      </c>
    </row>
    <row r="197" spans="1:16">
      <c r="A197" s="61">
        <v>58978</v>
      </c>
      <c r="B197">
        <v>4.9991567289137333E-2</v>
      </c>
      <c r="C197">
        <v>4.9991567289137333E-2</v>
      </c>
      <c r="D197">
        <v>4.9991567289137333E-2</v>
      </c>
      <c r="E197">
        <v>4.9991567289137333E-2</v>
      </c>
      <c r="F197">
        <v>4.9991567289137333E-2</v>
      </c>
      <c r="G197">
        <v>4.9991567289137333E-2</v>
      </c>
      <c r="H197">
        <v>5.0054041656874861E-2</v>
      </c>
      <c r="I197" s="73">
        <v>4.9999999999983613E-2</v>
      </c>
      <c r="J197" s="73">
        <v>4.9999204672101172E-2</v>
      </c>
      <c r="K197" s="73">
        <v>4.9994079005719172E-2</v>
      </c>
      <c r="L197" s="73">
        <v>4.9973400411772229E-2</v>
      </c>
      <c r="M197" s="73">
        <v>4.9878854488411895E-2</v>
      </c>
      <c r="N197" s="73">
        <v>4.9652952477742263E-2</v>
      </c>
      <c r="O197" s="73">
        <v>4.8960584238349147E-2</v>
      </c>
      <c r="P197">
        <v>5.1000239812543535E-2</v>
      </c>
    </row>
    <row r="198" spans="1:16">
      <c r="A198" s="61">
        <v>59070</v>
      </c>
      <c r="B198">
        <v>4.9994419120191841E-2</v>
      </c>
      <c r="C198">
        <v>4.9994419120191841E-2</v>
      </c>
      <c r="D198">
        <v>4.9994419120191841E-2</v>
      </c>
      <c r="E198">
        <v>4.9994419120191841E-2</v>
      </c>
      <c r="F198">
        <v>4.9994419120191841E-2</v>
      </c>
      <c r="G198">
        <v>4.9994419120191841E-2</v>
      </c>
      <c r="H198">
        <v>5.0044316591141946E-2</v>
      </c>
      <c r="I198" s="73">
        <v>4.9999999999991829E-2</v>
      </c>
      <c r="J198" s="73">
        <v>4.9998960710982754E-2</v>
      </c>
      <c r="K198" s="73">
        <v>4.9994302093379073E-2</v>
      </c>
      <c r="L198" s="73">
        <v>4.9973576802409436E-2</v>
      </c>
      <c r="M198" s="73">
        <v>4.9879573007097333E-2</v>
      </c>
      <c r="N198" s="73">
        <v>4.965486455246082E-2</v>
      </c>
      <c r="O198" s="73">
        <v>4.8916817018477499E-2</v>
      </c>
      <c r="P198">
        <v>5.1000214942722666E-2</v>
      </c>
    </row>
    <row r="199" spans="1:16">
      <c r="A199" s="61">
        <v>59161</v>
      </c>
      <c r="B199">
        <v>4.9985253199741057E-2</v>
      </c>
      <c r="C199">
        <v>4.9985253199741057E-2</v>
      </c>
      <c r="D199">
        <v>4.9985253199741057E-2</v>
      </c>
      <c r="E199">
        <v>4.9985253199741057E-2</v>
      </c>
      <c r="F199">
        <v>4.9985253199741057E-2</v>
      </c>
      <c r="G199">
        <v>4.9985253199741057E-2</v>
      </c>
      <c r="H199">
        <v>5.0022710479303602E-2</v>
      </c>
      <c r="I199" s="73">
        <v>4.9999999999981837E-2</v>
      </c>
      <c r="J199" s="73">
        <v>4.9999083698815561E-2</v>
      </c>
      <c r="K199" s="73">
        <v>4.9994267300187634E-2</v>
      </c>
      <c r="L199" s="73">
        <v>4.9973660720459057E-2</v>
      </c>
      <c r="M199" s="73">
        <v>4.9880022630078624E-2</v>
      </c>
      <c r="N199" s="73">
        <v>4.9656342855745939E-2</v>
      </c>
      <c r="O199" s="73">
        <v>4.887394458134664E-2</v>
      </c>
      <c r="P199">
        <v>5.1000542455968301E-2</v>
      </c>
    </row>
    <row r="200" spans="1:16">
      <c r="A200" s="61">
        <v>59251</v>
      </c>
      <c r="B200">
        <v>4.9984386799877989E-2</v>
      </c>
      <c r="C200">
        <v>4.9984386799877989E-2</v>
      </c>
      <c r="D200">
        <v>4.9984386799877989E-2</v>
      </c>
      <c r="E200">
        <v>4.9984386799877989E-2</v>
      </c>
      <c r="F200">
        <v>4.9984386799877989E-2</v>
      </c>
      <c r="G200">
        <v>4.9984386799877989E-2</v>
      </c>
      <c r="H200">
        <v>5.0009540593452834E-2</v>
      </c>
      <c r="I200" s="73">
        <v>4.999999999998761E-2</v>
      </c>
      <c r="J200" s="73">
        <v>4.9999172931623814E-2</v>
      </c>
      <c r="K200" s="73">
        <v>4.999429385633003E-2</v>
      </c>
      <c r="L200" s="73">
        <v>4.9973753043759617E-2</v>
      </c>
      <c r="M200" s="73">
        <v>4.988059829240199E-2</v>
      </c>
      <c r="N200" s="73">
        <v>4.9657899871646149E-2</v>
      </c>
      <c r="O200" s="73">
        <v>4.8831122336212562E-2</v>
      </c>
      <c r="P200">
        <v>5.1000589346109182E-2</v>
      </c>
    </row>
    <row r="201" spans="1:16">
      <c r="A201" s="61">
        <v>59343</v>
      </c>
      <c r="B201">
        <v>4.9991607899589299E-2</v>
      </c>
      <c r="C201">
        <v>4.9991607899589299E-2</v>
      </c>
      <c r="D201">
        <v>4.9991607899589299E-2</v>
      </c>
      <c r="E201">
        <v>4.9991607899589299E-2</v>
      </c>
      <c r="F201">
        <v>4.9991607899589299E-2</v>
      </c>
      <c r="G201">
        <v>4.9991607899589299E-2</v>
      </c>
      <c r="H201">
        <v>5.0004184796376722E-2</v>
      </c>
      <c r="I201" s="73">
        <v>5.0000000000103961E-2</v>
      </c>
      <c r="J201" s="73">
        <v>4.9999220620293272E-2</v>
      </c>
      <c r="K201" s="73">
        <v>4.9994197737263324E-2</v>
      </c>
      <c r="L201" s="73">
        <v>4.9973933797942793E-2</v>
      </c>
      <c r="M201" s="73">
        <v>4.988128364511879E-2</v>
      </c>
      <c r="N201" s="73">
        <v>4.9659910604244351E-2</v>
      </c>
      <c r="O201" s="73">
        <v>4.8786929688622305E-2</v>
      </c>
      <c r="P201">
        <v>5.1000240521634321E-2</v>
      </c>
    </row>
    <row r="202" spans="1:16">
      <c r="A202" s="61">
        <v>59435</v>
      </c>
      <c r="B202">
        <v>4.9994445641424162E-2</v>
      </c>
      <c r="C202">
        <v>4.9994445641424162E-2</v>
      </c>
      <c r="D202">
        <v>4.9994445641424162E-2</v>
      </c>
      <c r="E202">
        <v>4.9994445641424162E-2</v>
      </c>
      <c r="F202">
        <v>4.9994445641424162E-2</v>
      </c>
      <c r="G202">
        <v>4.9994445641424162E-2</v>
      </c>
      <c r="H202">
        <v>4.9994445641424162E-2</v>
      </c>
      <c r="I202" s="73">
        <v>4.9999999999992051E-2</v>
      </c>
      <c r="J202" s="73">
        <v>4.9998981450642521E-2</v>
      </c>
      <c r="K202" s="73">
        <v>4.9994415797435465E-2</v>
      </c>
      <c r="L202" s="73">
        <v>4.9974104083654325E-2</v>
      </c>
      <c r="M202" s="73">
        <v>4.9881976052814858E-2</v>
      </c>
      <c r="N202" s="73">
        <v>4.9661750803132954E-2</v>
      </c>
      <c r="O202" s="73">
        <v>4.8742499748229973E-2</v>
      </c>
      <c r="P202">
        <v>5.1000214310001901E-2</v>
      </c>
    </row>
    <row r="203" spans="1:16">
      <c r="I203" s="61"/>
    </row>
    <row r="204" spans="1:16">
      <c r="I204" s="61"/>
    </row>
  </sheetData>
  <phoneticPr fontId="4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076"/>
  <sheetViews>
    <sheetView workbookViewId="0">
      <selection activeCell="H7" sqref="H7"/>
    </sheetView>
  </sheetViews>
  <sheetFormatPr defaultRowHeight="13.5"/>
  <cols>
    <col min="1" max="1" width="10.5" bestFit="1" customWidth="1"/>
    <col min="2" max="2" width="19.875" customWidth="1"/>
    <col min="3" max="3" width="2.5" bestFit="1" customWidth="1"/>
    <col min="5" max="5" width="2.5" bestFit="1" customWidth="1"/>
    <col min="6" max="7" width="3.5" bestFit="1" customWidth="1"/>
    <col min="8" max="8" width="58.25" bestFit="1" customWidth="1"/>
    <col min="10" max="10" width="10.5" bestFit="1" customWidth="1"/>
  </cols>
  <sheetData>
    <row r="1" spans="1:9">
      <c r="A1" t="s">
        <v>115</v>
      </c>
      <c r="B1" t="s">
        <v>1032</v>
      </c>
      <c r="I1" t="b">
        <f ca="1">_xll.ohRepositoryDeleteAllObjects(TRUE)</f>
        <v>1</v>
      </c>
    </row>
    <row r="2" spans="1:9">
      <c r="A2" t="s">
        <v>114</v>
      </c>
      <c r="B2" t="s">
        <v>1033</v>
      </c>
    </row>
    <row r="3" spans="1:9">
      <c r="A3" s="61"/>
    </row>
    <row r="4" spans="1:9">
      <c r="A4" s="61"/>
    </row>
    <row r="5" spans="1:9">
      <c r="A5" s="61" t="s">
        <v>116</v>
      </c>
    </row>
    <row r="6" spans="1:9">
      <c r="A6" s="61" t="s">
        <v>108</v>
      </c>
      <c r="B6" t="s">
        <v>117</v>
      </c>
      <c r="C6">
        <v>1</v>
      </c>
      <c r="D6">
        <v>2</v>
      </c>
      <c r="E6">
        <v>5</v>
      </c>
      <c r="F6">
        <v>10</v>
      </c>
      <c r="G6">
        <v>20</v>
      </c>
      <c r="H6">
        <v>30</v>
      </c>
    </row>
    <row r="7" spans="1:9">
      <c r="A7" s="61">
        <v>41100</v>
      </c>
      <c r="B7" t="s">
        <v>1892</v>
      </c>
      <c r="C7" t="s">
        <v>1893</v>
      </c>
      <c r="D7" t="s">
        <v>1894</v>
      </c>
      <c r="E7" t="s">
        <v>1895</v>
      </c>
      <c r="F7" t="s">
        <v>1896</v>
      </c>
      <c r="G7" t="s">
        <v>1897</v>
      </c>
      <c r="H7" t="s">
        <v>1898</v>
      </c>
      <c r="I7" t="s">
        <v>2148</v>
      </c>
    </row>
    <row r="8" spans="1:9">
      <c r="A8" s="61">
        <v>41101</v>
      </c>
      <c r="B8" t="s">
        <v>1899</v>
      </c>
      <c r="C8" t="s">
        <v>1900</v>
      </c>
      <c r="D8" t="s">
        <v>1901</v>
      </c>
      <c r="E8" t="s">
        <v>1902</v>
      </c>
      <c r="F8" t="s">
        <v>1903</v>
      </c>
      <c r="G8" t="s">
        <v>1904</v>
      </c>
      <c r="H8" t="s">
        <v>1905</v>
      </c>
      <c r="I8" t="s">
        <v>2149</v>
      </c>
    </row>
    <row r="9" spans="1:9">
      <c r="A9" s="61">
        <v>41102</v>
      </c>
      <c r="B9" t="s">
        <v>1906</v>
      </c>
      <c r="C9" t="s">
        <v>1907</v>
      </c>
      <c r="D9" t="s">
        <v>1908</v>
      </c>
      <c r="E9" t="s">
        <v>1909</v>
      </c>
      <c r="F9" t="s">
        <v>1910</v>
      </c>
      <c r="G9" t="s">
        <v>1911</v>
      </c>
      <c r="H9" t="s">
        <v>1912</v>
      </c>
      <c r="I9" t="s">
        <v>2150</v>
      </c>
    </row>
    <row r="10" spans="1:9">
      <c r="A10" s="61">
        <v>41103</v>
      </c>
      <c r="B10" t="s">
        <v>1913</v>
      </c>
      <c r="C10" t="s">
        <v>1914</v>
      </c>
      <c r="D10" t="s">
        <v>1915</v>
      </c>
      <c r="E10" t="s">
        <v>1916</v>
      </c>
      <c r="F10" t="s">
        <v>1917</v>
      </c>
      <c r="G10" t="s">
        <v>1918</v>
      </c>
      <c r="H10" t="s">
        <v>1919</v>
      </c>
      <c r="I10" t="s">
        <v>2151</v>
      </c>
    </row>
    <row r="11" spans="1:9">
      <c r="A11" s="61">
        <v>41106</v>
      </c>
      <c r="B11" t="s">
        <v>1920</v>
      </c>
      <c r="C11" t="s">
        <v>1921</v>
      </c>
      <c r="D11" t="s">
        <v>1922</v>
      </c>
      <c r="E11" t="s">
        <v>1923</v>
      </c>
      <c r="F11" t="s">
        <v>1924</v>
      </c>
      <c r="G11" t="s">
        <v>1925</v>
      </c>
      <c r="H11" t="s">
        <v>1926</v>
      </c>
      <c r="I11" t="s">
        <v>2152</v>
      </c>
    </row>
    <row r="12" spans="1:9">
      <c r="A12" s="61">
        <v>41107</v>
      </c>
      <c r="B12" t="s">
        <v>1927</v>
      </c>
      <c r="C12" t="s">
        <v>1928</v>
      </c>
      <c r="D12" t="s">
        <v>1929</v>
      </c>
      <c r="E12" t="s">
        <v>1930</v>
      </c>
      <c r="F12" t="s">
        <v>1931</v>
      </c>
      <c r="G12" t="s">
        <v>1932</v>
      </c>
      <c r="H12" t="s">
        <v>1933</v>
      </c>
      <c r="I12" t="s">
        <v>2153</v>
      </c>
    </row>
    <row r="13" spans="1:9">
      <c r="A13" s="61">
        <v>41108</v>
      </c>
      <c r="B13" t="s">
        <v>1934</v>
      </c>
      <c r="C13" t="s">
        <v>1935</v>
      </c>
      <c r="D13" t="s">
        <v>1936</v>
      </c>
      <c r="E13" t="s">
        <v>1937</v>
      </c>
      <c r="F13" t="s">
        <v>1938</v>
      </c>
      <c r="G13" t="s">
        <v>1939</v>
      </c>
      <c r="H13" t="s">
        <v>1940</v>
      </c>
      <c r="I13" t="s">
        <v>2154</v>
      </c>
    </row>
    <row r="14" spans="1:9">
      <c r="A14" s="61">
        <v>41109</v>
      </c>
      <c r="B14" t="s">
        <v>1941</v>
      </c>
      <c r="C14" t="s">
        <v>1942</v>
      </c>
      <c r="D14" t="s">
        <v>1943</v>
      </c>
      <c r="E14" t="s">
        <v>1944</v>
      </c>
      <c r="F14" t="s">
        <v>1945</v>
      </c>
      <c r="G14" t="s">
        <v>1946</v>
      </c>
      <c r="H14" t="s">
        <v>1947</v>
      </c>
      <c r="I14" t="s">
        <v>2155</v>
      </c>
    </row>
    <row r="15" spans="1:9">
      <c r="A15" s="61">
        <v>41110</v>
      </c>
      <c r="B15" t="s">
        <v>1948</v>
      </c>
      <c r="C15" t="s">
        <v>1949</v>
      </c>
      <c r="D15" t="s">
        <v>1950</v>
      </c>
      <c r="E15" t="s">
        <v>1951</v>
      </c>
      <c r="F15" t="s">
        <v>1952</v>
      </c>
      <c r="G15" t="s">
        <v>1953</v>
      </c>
      <c r="H15" t="s">
        <v>1954</v>
      </c>
      <c r="I15" t="s">
        <v>2156</v>
      </c>
    </row>
    <row r="16" spans="1:9">
      <c r="A16" s="61">
        <v>41113</v>
      </c>
      <c r="B16" t="s">
        <v>1955</v>
      </c>
      <c r="C16" t="s">
        <v>1956</v>
      </c>
      <c r="D16" t="s">
        <v>1957</v>
      </c>
      <c r="E16" t="s">
        <v>1958</v>
      </c>
      <c r="F16" t="s">
        <v>1959</v>
      </c>
      <c r="G16" t="s">
        <v>1960</v>
      </c>
      <c r="H16" t="s">
        <v>1961</v>
      </c>
      <c r="I16" t="s">
        <v>2157</v>
      </c>
    </row>
    <row r="17" spans="1:9">
      <c r="A17" s="61">
        <v>41114</v>
      </c>
      <c r="B17" t="s">
        <v>1962</v>
      </c>
      <c r="C17" t="s">
        <v>1963</v>
      </c>
      <c r="D17" t="s">
        <v>1964</v>
      </c>
      <c r="E17" t="s">
        <v>1965</v>
      </c>
      <c r="F17" t="s">
        <v>1966</v>
      </c>
      <c r="G17" t="s">
        <v>1967</v>
      </c>
      <c r="H17" t="s">
        <v>1968</v>
      </c>
      <c r="I17" t="s">
        <v>2158</v>
      </c>
    </row>
    <row r="18" spans="1:9">
      <c r="A18" s="61">
        <v>41115</v>
      </c>
      <c r="B18" t="s">
        <v>1969</v>
      </c>
      <c r="C18" t="s">
        <v>1970</v>
      </c>
      <c r="D18" t="s">
        <v>1971</v>
      </c>
      <c r="E18" t="s">
        <v>1972</v>
      </c>
      <c r="F18" t="s">
        <v>1973</v>
      </c>
      <c r="G18" t="s">
        <v>1974</v>
      </c>
      <c r="H18" t="s">
        <v>1975</v>
      </c>
      <c r="I18" t="s">
        <v>2159</v>
      </c>
    </row>
    <row r="19" spans="1:9">
      <c r="A19" s="61">
        <v>41116</v>
      </c>
      <c r="B19" t="s">
        <v>1976</v>
      </c>
      <c r="C19" t="s">
        <v>1977</v>
      </c>
      <c r="D19" t="s">
        <v>1978</v>
      </c>
      <c r="E19" t="s">
        <v>1979</v>
      </c>
      <c r="F19" t="s">
        <v>1980</v>
      </c>
      <c r="G19" t="s">
        <v>1981</v>
      </c>
      <c r="H19" t="s">
        <v>1982</v>
      </c>
      <c r="I19" t="s">
        <v>2160</v>
      </c>
    </row>
    <row r="20" spans="1:9">
      <c r="A20" s="61">
        <v>41117</v>
      </c>
      <c r="B20" t="s">
        <v>1983</v>
      </c>
      <c r="C20" t="s">
        <v>1984</v>
      </c>
      <c r="D20" t="s">
        <v>1985</v>
      </c>
      <c r="E20" t="s">
        <v>1986</v>
      </c>
      <c r="F20" t="s">
        <v>1987</v>
      </c>
      <c r="G20" t="s">
        <v>1988</v>
      </c>
      <c r="H20" t="s">
        <v>1989</v>
      </c>
      <c r="I20" t="s">
        <v>2161</v>
      </c>
    </row>
    <row r="21" spans="1:9">
      <c r="A21">
        <v>41120</v>
      </c>
      <c r="B21" t="s">
        <v>1990</v>
      </c>
      <c r="C21" t="s">
        <v>1991</v>
      </c>
      <c r="D21" t="s">
        <v>1992</v>
      </c>
      <c r="E21" t="s">
        <v>1993</v>
      </c>
      <c r="F21" t="s">
        <v>1994</v>
      </c>
      <c r="G21" t="s">
        <v>1995</v>
      </c>
      <c r="H21" t="s">
        <v>1996</v>
      </c>
      <c r="I21" t="s">
        <v>2162</v>
      </c>
    </row>
    <row r="22" spans="1:9">
      <c r="A22">
        <v>41121</v>
      </c>
      <c r="B22" t="s">
        <v>1997</v>
      </c>
      <c r="C22" t="s">
        <v>1998</v>
      </c>
      <c r="D22" t="s">
        <v>1999</v>
      </c>
      <c r="E22" t="s">
        <v>2000</v>
      </c>
      <c r="F22" t="s">
        <v>2001</v>
      </c>
      <c r="G22" t="s">
        <v>2002</v>
      </c>
      <c r="H22" t="s">
        <v>2003</v>
      </c>
      <c r="I22" t="s">
        <v>2163</v>
      </c>
    </row>
    <row r="23" spans="1:9">
      <c r="A23">
        <v>41095</v>
      </c>
      <c r="B23" t="s">
        <v>2004</v>
      </c>
      <c r="C23" t="s">
        <v>2005</v>
      </c>
      <c r="D23" t="s">
        <v>2006</v>
      </c>
      <c r="E23" t="s">
        <v>2007</v>
      </c>
      <c r="F23" t="s">
        <v>2008</v>
      </c>
      <c r="G23" t="s">
        <v>2009</v>
      </c>
      <c r="H23" t="s">
        <v>2010</v>
      </c>
      <c r="I23" t="s">
        <v>2164</v>
      </c>
    </row>
    <row r="24" spans="1:9">
      <c r="A24">
        <v>41096</v>
      </c>
      <c r="B24" t="s">
        <v>2011</v>
      </c>
      <c r="C24" t="s">
        <v>2012</v>
      </c>
      <c r="D24" t="s">
        <v>2013</v>
      </c>
      <c r="E24" t="s">
        <v>2014</v>
      </c>
      <c r="F24" t="s">
        <v>2015</v>
      </c>
      <c r="G24" t="s">
        <v>2016</v>
      </c>
      <c r="H24" t="s">
        <v>2017</v>
      </c>
      <c r="I24" t="s">
        <v>2165</v>
      </c>
    </row>
    <row r="25" spans="1:9">
      <c r="A25">
        <v>41099</v>
      </c>
      <c r="B25" t="s">
        <v>2018</v>
      </c>
      <c r="C25" t="s">
        <v>2019</v>
      </c>
      <c r="D25" t="s">
        <v>2020</v>
      </c>
      <c r="E25" t="s">
        <v>2021</v>
      </c>
      <c r="F25" t="s">
        <v>2022</v>
      </c>
      <c r="G25" t="s">
        <v>2023</v>
      </c>
      <c r="H25" t="s">
        <v>2024</v>
      </c>
      <c r="I25" t="s">
        <v>2166</v>
      </c>
    </row>
    <row r="26" spans="1:9">
      <c r="A26">
        <v>41122</v>
      </c>
      <c r="B26" t="s">
        <v>2025</v>
      </c>
      <c r="C26" t="s">
        <v>2026</v>
      </c>
      <c r="D26" t="s">
        <v>2027</v>
      </c>
      <c r="E26" t="s">
        <v>2028</v>
      </c>
      <c r="F26" t="s">
        <v>2029</v>
      </c>
      <c r="G26" t="s">
        <v>2030</v>
      </c>
      <c r="H26" t="s">
        <v>2031</v>
      </c>
      <c r="I26" t="s">
        <v>2167</v>
      </c>
    </row>
    <row r="27" spans="1:9">
      <c r="A27">
        <v>41131</v>
      </c>
      <c r="B27" t="s">
        <v>2032</v>
      </c>
      <c r="C27" t="s">
        <v>2033</v>
      </c>
      <c r="D27" t="s">
        <v>2034</v>
      </c>
      <c r="E27" t="s">
        <v>2035</v>
      </c>
      <c r="F27" t="s">
        <v>2036</v>
      </c>
      <c r="G27" t="s">
        <v>2037</v>
      </c>
      <c r="H27" t="s">
        <v>2038</v>
      </c>
      <c r="I27" t="s">
        <v>2168</v>
      </c>
    </row>
    <row r="28" spans="1:9">
      <c r="A28">
        <v>41134</v>
      </c>
      <c r="B28" t="s">
        <v>2039</v>
      </c>
      <c r="C28" t="s">
        <v>2040</v>
      </c>
      <c r="D28" t="s">
        <v>2041</v>
      </c>
      <c r="E28" t="s">
        <v>2042</v>
      </c>
      <c r="F28" t="s">
        <v>2043</v>
      </c>
      <c r="G28" t="s">
        <v>2044</v>
      </c>
      <c r="H28" t="s">
        <v>2045</v>
      </c>
      <c r="I28" t="s">
        <v>2169</v>
      </c>
    </row>
    <row r="29" spans="1:9">
      <c r="A29">
        <v>41135</v>
      </c>
      <c r="B29" t="s">
        <v>2046</v>
      </c>
      <c r="C29" t="s">
        <v>2047</v>
      </c>
      <c r="D29" t="s">
        <v>2048</v>
      </c>
      <c r="E29" t="s">
        <v>2049</v>
      </c>
      <c r="F29" t="s">
        <v>2050</v>
      </c>
      <c r="G29" t="s">
        <v>2051</v>
      </c>
      <c r="H29" t="s">
        <v>2052</v>
      </c>
      <c r="I29" t="s">
        <v>2170</v>
      </c>
    </row>
    <row r="30" spans="1:9">
      <c r="A30">
        <v>41136</v>
      </c>
      <c r="B30" t="s">
        <v>2053</v>
      </c>
      <c r="C30" t="s">
        <v>2054</v>
      </c>
      <c r="D30" t="s">
        <v>2055</v>
      </c>
      <c r="E30" t="s">
        <v>2056</v>
      </c>
      <c r="F30" t="s">
        <v>2057</v>
      </c>
      <c r="G30" t="s">
        <v>2058</v>
      </c>
      <c r="H30" t="s">
        <v>2059</v>
      </c>
      <c r="I30" t="s">
        <v>2171</v>
      </c>
    </row>
    <row r="31" spans="1:9">
      <c r="A31">
        <v>41137</v>
      </c>
      <c r="B31" t="s">
        <v>2060</v>
      </c>
      <c r="C31" t="s">
        <v>2061</v>
      </c>
      <c r="D31" t="s">
        <v>2062</v>
      </c>
      <c r="E31" t="s">
        <v>2063</v>
      </c>
      <c r="F31" t="s">
        <v>2064</v>
      </c>
      <c r="G31" t="s">
        <v>2065</v>
      </c>
      <c r="H31" t="s">
        <v>2066</v>
      </c>
      <c r="I31" t="s">
        <v>2172</v>
      </c>
    </row>
    <row r="32" spans="1:9">
      <c r="A32">
        <v>41138</v>
      </c>
      <c r="B32" t="s">
        <v>2067</v>
      </c>
      <c r="C32" t="s">
        <v>2068</v>
      </c>
      <c r="D32" t="s">
        <v>2069</v>
      </c>
      <c r="E32" t="s">
        <v>2070</v>
      </c>
      <c r="F32" t="s">
        <v>2071</v>
      </c>
      <c r="G32" t="s">
        <v>2072</v>
      </c>
      <c r="H32" t="s">
        <v>2073</v>
      </c>
      <c r="I32" t="s">
        <v>2173</v>
      </c>
    </row>
    <row r="33" spans="1:9">
      <c r="A33">
        <v>41123</v>
      </c>
      <c r="B33" t="s">
        <v>2074</v>
      </c>
      <c r="C33" t="s">
        <v>2075</v>
      </c>
      <c r="D33" t="s">
        <v>2076</v>
      </c>
      <c r="E33" t="s">
        <v>2077</v>
      </c>
      <c r="F33" t="s">
        <v>2078</v>
      </c>
      <c r="G33" t="s">
        <v>2079</v>
      </c>
      <c r="H33" t="s">
        <v>2080</v>
      </c>
      <c r="I33" t="s">
        <v>2174</v>
      </c>
    </row>
    <row r="34" spans="1:9">
      <c r="A34">
        <v>41141</v>
      </c>
      <c r="B34" t="s">
        <v>2081</v>
      </c>
      <c r="C34" t="s">
        <v>2082</v>
      </c>
      <c r="D34" t="s">
        <v>2083</v>
      </c>
      <c r="E34" t="s">
        <v>2084</v>
      </c>
      <c r="F34" t="s">
        <v>2085</v>
      </c>
      <c r="G34" t="s">
        <v>2086</v>
      </c>
      <c r="H34" t="s">
        <v>2087</v>
      </c>
      <c r="I34" t="s">
        <v>2175</v>
      </c>
    </row>
    <row r="35" spans="1:9">
      <c r="A35">
        <v>41142</v>
      </c>
      <c r="B35" t="s">
        <v>2088</v>
      </c>
      <c r="C35" t="s">
        <v>2089</v>
      </c>
      <c r="D35" t="s">
        <v>2090</v>
      </c>
      <c r="E35" t="s">
        <v>2091</v>
      </c>
      <c r="F35" t="s">
        <v>2092</v>
      </c>
      <c r="G35" t="s">
        <v>2093</v>
      </c>
      <c r="H35" t="s">
        <v>2094</v>
      </c>
      <c r="I35" t="s">
        <v>2176</v>
      </c>
    </row>
    <row r="36" spans="1:9">
      <c r="A36">
        <v>41124</v>
      </c>
      <c r="B36" t="s">
        <v>2095</v>
      </c>
      <c r="C36" t="s">
        <v>2096</v>
      </c>
      <c r="D36" t="s">
        <v>2097</v>
      </c>
      <c r="E36" t="s">
        <v>2098</v>
      </c>
      <c r="F36" t="s">
        <v>2099</v>
      </c>
      <c r="G36" t="s">
        <v>2100</v>
      </c>
      <c r="H36" t="s">
        <v>2101</v>
      </c>
      <c r="I36" t="s">
        <v>2177</v>
      </c>
    </row>
    <row r="37" spans="1:9">
      <c r="A37">
        <v>41127</v>
      </c>
      <c r="B37" t="s">
        <v>2102</v>
      </c>
      <c r="C37" t="s">
        <v>2103</v>
      </c>
      <c r="D37" t="s">
        <v>2104</v>
      </c>
      <c r="E37" t="s">
        <v>2105</v>
      </c>
      <c r="F37" t="s">
        <v>2106</v>
      </c>
      <c r="G37" t="s">
        <v>2107</v>
      </c>
      <c r="H37" t="s">
        <v>2108</v>
      </c>
      <c r="I37" t="s">
        <v>2178</v>
      </c>
    </row>
    <row r="38" spans="1:9">
      <c r="A38">
        <v>41128</v>
      </c>
      <c r="B38" t="s">
        <v>2109</v>
      </c>
      <c r="C38" t="s">
        <v>2110</v>
      </c>
      <c r="D38" t="s">
        <v>2111</v>
      </c>
      <c r="E38" t="s">
        <v>2112</v>
      </c>
      <c r="F38" t="s">
        <v>2113</v>
      </c>
      <c r="G38" t="s">
        <v>2114</v>
      </c>
      <c r="H38" t="s">
        <v>2115</v>
      </c>
      <c r="I38" t="s">
        <v>2179</v>
      </c>
    </row>
    <row r="39" spans="1:9">
      <c r="A39">
        <v>41129</v>
      </c>
      <c r="B39" t="s">
        <v>2116</v>
      </c>
      <c r="C39" t="s">
        <v>2117</v>
      </c>
      <c r="D39" t="s">
        <v>2118</v>
      </c>
      <c r="E39" t="s">
        <v>2119</v>
      </c>
      <c r="F39" t="s">
        <v>2120</v>
      </c>
      <c r="G39" t="s">
        <v>2121</v>
      </c>
      <c r="H39" t="s">
        <v>2122</v>
      </c>
      <c r="I39" t="s">
        <v>2180</v>
      </c>
    </row>
    <row r="40" spans="1:9">
      <c r="A40">
        <v>41130</v>
      </c>
      <c r="B40" t="s">
        <v>2123</v>
      </c>
      <c r="C40" t="s">
        <v>2124</v>
      </c>
      <c r="D40" t="s">
        <v>2125</v>
      </c>
      <c r="E40" t="s">
        <v>2126</v>
      </c>
      <c r="F40" t="s">
        <v>2127</v>
      </c>
      <c r="G40" t="s">
        <v>2128</v>
      </c>
      <c r="H40" t="s">
        <v>2129</v>
      </c>
      <c r="I40" t="s">
        <v>2181</v>
      </c>
    </row>
    <row r="41" spans="1:9">
      <c r="A41">
        <v>40945</v>
      </c>
      <c r="B41" t="s">
        <v>1034</v>
      </c>
      <c r="C41" t="s">
        <v>1035</v>
      </c>
      <c r="D41" t="s">
        <v>1036</v>
      </c>
      <c r="E41" t="s">
        <v>1037</v>
      </c>
      <c r="F41" t="s">
        <v>1038</v>
      </c>
      <c r="G41" t="s">
        <v>1039</v>
      </c>
      <c r="H41" t="s">
        <v>1040</v>
      </c>
    </row>
    <row r="42" spans="1:9">
      <c r="A42">
        <v>40946</v>
      </c>
      <c r="B42" t="s">
        <v>1041</v>
      </c>
      <c r="C42" t="s">
        <v>1042</v>
      </c>
      <c r="D42" t="s">
        <v>1043</v>
      </c>
      <c r="E42" t="s">
        <v>1044</v>
      </c>
      <c r="F42" t="s">
        <v>1045</v>
      </c>
      <c r="G42" t="s">
        <v>1046</v>
      </c>
      <c r="H42" t="s">
        <v>1047</v>
      </c>
    </row>
    <row r="43" spans="1:9">
      <c r="A43">
        <v>40947</v>
      </c>
      <c r="B43" t="s">
        <v>1048</v>
      </c>
      <c r="C43" t="s">
        <v>1049</v>
      </c>
      <c r="D43" t="s">
        <v>1050</v>
      </c>
      <c r="E43" t="s">
        <v>1051</v>
      </c>
      <c r="F43" t="s">
        <v>1052</v>
      </c>
      <c r="G43" t="s">
        <v>1053</v>
      </c>
      <c r="H43" t="s">
        <v>1054</v>
      </c>
    </row>
    <row r="44" spans="1:9">
      <c r="A44">
        <v>40948</v>
      </c>
      <c r="B44" t="s">
        <v>1055</v>
      </c>
      <c r="C44" t="s">
        <v>1056</v>
      </c>
      <c r="D44" t="s">
        <v>1057</v>
      </c>
      <c r="E44" t="s">
        <v>1058</v>
      </c>
      <c r="F44" t="s">
        <v>1059</v>
      </c>
      <c r="G44" t="s">
        <v>1060</v>
      </c>
      <c r="H44" t="s">
        <v>1061</v>
      </c>
    </row>
    <row r="45" spans="1:9">
      <c r="A45">
        <v>40969</v>
      </c>
      <c r="B45" t="s">
        <v>1062</v>
      </c>
      <c r="C45" t="s">
        <v>1063</v>
      </c>
      <c r="D45" t="s">
        <v>1064</v>
      </c>
      <c r="E45" t="s">
        <v>1065</v>
      </c>
      <c r="F45" t="s">
        <v>1066</v>
      </c>
      <c r="G45" t="s">
        <v>1067</v>
      </c>
      <c r="H45" t="s">
        <v>1068</v>
      </c>
    </row>
    <row r="46" spans="1:9">
      <c r="A46">
        <v>40980</v>
      </c>
      <c r="B46" t="s">
        <v>1069</v>
      </c>
      <c r="C46" t="s">
        <v>1070</v>
      </c>
      <c r="D46" t="s">
        <v>1071</v>
      </c>
      <c r="E46" t="s">
        <v>1072</v>
      </c>
      <c r="F46" t="s">
        <v>1073</v>
      </c>
      <c r="G46" t="s">
        <v>1074</v>
      </c>
      <c r="H46" t="s">
        <v>1075</v>
      </c>
    </row>
    <row r="47" spans="1:9">
      <c r="A47">
        <v>40981</v>
      </c>
      <c r="B47" t="s">
        <v>1076</v>
      </c>
      <c r="C47" t="s">
        <v>1077</v>
      </c>
      <c r="D47" t="s">
        <v>1078</v>
      </c>
      <c r="E47" t="s">
        <v>1079</v>
      </c>
      <c r="F47" t="s">
        <v>1080</v>
      </c>
      <c r="G47" t="s">
        <v>1081</v>
      </c>
      <c r="H47" t="s">
        <v>1082</v>
      </c>
    </row>
    <row r="48" spans="1:9">
      <c r="A48">
        <v>40982</v>
      </c>
      <c r="B48" t="s">
        <v>1083</v>
      </c>
      <c r="C48" t="s">
        <v>1084</v>
      </c>
      <c r="D48" t="s">
        <v>1085</v>
      </c>
      <c r="E48" t="s">
        <v>1086</v>
      </c>
      <c r="F48" t="s">
        <v>1087</v>
      </c>
      <c r="G48" t="s">
        <v>1088</v>
      </c>
      <c r="H48" t="s">
        <v>1089</v>
      </c>
    </row>
    <row r="49" spans="1:8">
      <c r="A49">
        <v>40983</v>
      </c>
      <c r="B49" t="s">
        <v>1090</v>
      </c>
      <c r="C49" t="s">
        <v>1091</v>
      </c>
      <c r="D49" t="s">
        <v>1092</v>
      </c>
      <c r="E49" t="s">
        <v>1093</v>
      </c>
      <c r="F49" t="s">
        <v>1094</v>
      </c>
      <c r="G49" t="s">
        <v>1095</v>
      </c>
      <c r="H49" t="s">
        <v>1096</v>
      </c>
    </row>
    <row r="50" spans="1:8">
      <c r="A50">
        <v>40984</v>
      </c>
      <c r="B50" t="s">
        <v>1097</v>
      </c>
      <c r="C50" t="s">
        <v>1098</v>
      </c>
      <c r="D50" t="s">
        <v>1099</v>
      </c>
      <c r="E50" t="s">
        <v>1100</v>
      </c>
      <c r="F50" t="s">
        <v>1101</v>
      </c>
      <c r="G50" t="s">
        <v>1102</v>
      </c>
      <c r="H50" t="s">
        <v>1103</v>
      </c>
    </row>
    <row r="51" spans="1:8">
      <c r="A51">
        <v>40987</v>
      </c>
      <c r="B51" t="s">
        <v>1104</v>
      </c>
      <c r="C51" t="s">
        <v>1105</v>
      </c>
      <c r="D51" t="s">
        <v>1106</v>
      </c>
      <c r="E51" t="s">
        <v>1107</v>
      </c>
      <c r="F51" t="s">
        <v>1108</v>
      </c>
      <c r="G51" t="s">
        <v>1109</v>
      </c>
      <c r="H51" t="s">
        <v>1110</v>
      </c>
    </row>
    <row r="52" spans="1:8">
      <c r="A52">
        <v>40970</v>
      </c>
      <c r="B52" t="s">
        <v>1111</v>
      </c>
      <c r="C52" t="s">
        <v>1112</v>
      </c>
      <c r="D52" t="s">
        <v>1113</v>
      </c>
      <c r="E52" t="s">
        <v>1114</v>
      </c>
      <c r="F52" t="s">
        <v>1115</v>
      </c>
      <c r="G52" t="s">
        <v>1116</v>
      </c>
      <c r="H52" t="s">
        <v>1117</v>
      </c>
    </row>
    <row r="53" spans="1:8">
      <c r="A53">
        <v>40988</v>
      </c>
      <c r="B53" t="s">
        <v>1118</v>
      </c>
      <c r="C53" t="s">
        <v>1119</v>
      </c>
      <c r="D53" t="s">
        <v>1120</v>
      </c>
      <c r="E53" t="s">
        <v>1121</v>
      </c>
      <c r="F53" t="s">
        <v>1122</v>
      </c>
      <c r="G53" t="s">
        <v>1123</v>
      </c>
      <c r="H53" t="s">
        <v>1124</v>
      </c>
    </row>
    <row r="54" spans="1:8">
      <c r="A54">
        <v>40989</v>
      </c>
      <c r="B54" t="s">
        <v>1125</v>
      </c>
      <c r="C54" t="s">
        <v>1126</v>
      </c>
      <c r="D54" t="s">
        <v>1127</v>
      </c>
      <c r="E54" t="s">
        <v>1128</v>
      </c>
      <c r="F54" t="s">
        <v>1129</v>
      </c>
      <c r="G54" t="s">
        <v>1130</v>
      </c>
      <c r="H54" t="s">
        <v>1131</v>
      </c>
    </row>
    <row r="55" spans="1:8">
      <c r="A55">
        <v>40990</v>
      </c>
      <c r="B55" t="s">
        <v>1132</v>
      </c>
      <c r="C55" t="s">
        <v>1133</v>
      </c>
      <c r="D55" t="s">
        <v>1134</v>
      </c>
      <c r="E55" t="s">
        <v>1135</v>
      </c>
      <c r="F55" t="s">
        <v>1136</v>
      </c>
      <c r="G55" t="s">
        <v>1137</v>
      </c>
      <c r="H55" t="s">
        <v>1138</v>
      </c>
    </row>
    <row r="56" spans="1:8">
      <c r="A56">
        <v>40991</v>
      </c>
      <c r="B56" t="s">
        <v>1139</v>
      </c>
      <c r="C56" t="s">
        <v>1140</v>
      </c>
      <c r="D56" t="s">
        <v>1141</v>
      </c>
      <c r="E56" t="s">
        <v>1142</v>
      </c>
      <c r="F56" t="s">
        <v>1143</v>
      </c>
      <c r="G56" t="s">
        <v>1144</v>
      </c>
      <c r="H56" t="s">
        <v>1145</v>
      </c>
    </row>
    <row r="57" spans="1:8">
      <c r="A57">
        <v>40994</v>
      </c>
      <c r="B57" t="s">
        <v>1146</v>
      </c>
      <c r="C57" t="s">
        <v>1147</v>
      </c>
      <c r="D57" t="s">
        <v>1148</v>
      </c>
      <c r="E57" t="s">
        <v>1149</v>
      </c>
      <c r="F57" t="s">
        <v>1150</v>
      </c>
      <c r="G57" t="s">
        <v>1151</v>
      </c>
      <c r="H57" t="s">
        <v>1152</v>
      </c>
    </row>
    <row r="58" spans="1:8">
      <c r="A58">
        <v>40995</v>
      </c>
      <c r="B58" t="s">
        <v>1153</v>
      </c>
      <c r="C58" t="s">
        <v>1154</v>
      </c>
      <c r="D58" t="s">
        <v>1155</v>
      </c>
      <c r="E58" t="s">
        <v>1156</v>
      </c>
      <c r="F58" t="s">
        <v>1157</v>
      </c>
      <c r="G58" t="s">
        <v>1158</v>
      </c>
      <c r="H58" t="s">
        <v>1159</v>
      </c>
    </row>
    <row r="59" spans="1:8">
      <c r="A59">
        <v>40996</v>
      </c>
      <c r="B59" t="s">
        <v>1160</v>
      </c>
      <c r="C59" t="s">
        <v>1161</v>
      </c>
      <c r="D59" t="s">
        <v>1162</v>
      </c>
      <c r="E59" t="s">
        <v>1163</v>
      </c>
      <c r="F59" t="s">
        <v>1164</v>
      </c>
      <c r="G59" t="s">
        <v>1165</v>
      </c>
      <c r="H59" t="s">
        <v>1166</v>
      </c>
    </row>
    <row r="60" spans="1:8">
      <c r="A60">
        <v>40997</v>
      </c>
      <c r="B60" t="s">
        <v>1167</v>
      </c>
      <c r="C60" t="s">
        <v>1168</v>
      </c>
      <c r="D60" t="s">
        <v>1169</v>
      </c>
      <c r="E60" t="s">
        <v>1170</v>
      </c>
      <c r="F60" t="s">
        <v>1171</v>
      </c>
      <c r="G60" t="s">
        <v>1172</v>
      </c>
      <c r="H60" t="s">
        <v>1173</v>
      </c>
    </row>
    <row r="61" spans="1:8">
      <c r="A61">
        <v>40998</v>
      </c>
      <c r="B61" t="s">
        <v>1174</v>
      </c>
      <c r="C61" t="s">
        <v>1175</v>
      </c>
      <c r="D61" t="s">
        <v>1176</v>
      </c>
      <c r="E61" t="s">
        <v>1177</v>
      </c>
      <c r="F61" t="s">
        <v>1178</v>
      </c>
      <c r="G61" t="s">
        <v>1179</v>
      </c>
      <c r="H61" t="s">
        <v>1180</v>
      </c>
    </row>
    <row r="62" spans="1:8">
      <c r="A62">
        <v>40999</v>
      </c>
      <c r="B62" t="s">
        <v>1181</v>
      </c>
      <c r="C62" t="s">
        <v>1182</v>
      </c>
      <c r="D62" t="s">
        <v>1183</v>
      </c>
      <c r="E62" t="s">
        <v>1184</v>
      </c>
      <c r="F62" t="s">
        <v>1185</v>
      </c>
      <c r="G62" t="s">
        <v>1186</v>
      </c>
      <c r="H62" t="s">
        <v>1187</v>
      </c>
    </row>
    <row r="63" spans="1:8">
      <c r="A63">
        <v>40973</v>
      </c>
      <c r="B63" t="s">
        <v>1188</v>
      </c>
      <c r="C63" t="s">
        <v>1189</v>
      </c>
      <c r="D63" t="s">
        <v>1190</v>
      </c>
      <c r="E63" t="s">
        <v>1191</v>
      </c>
      <c r="F63" t="s">
        <v>1192</v>
      </c>
      <c r="G63" t="s">
        <v>1193</v>
      </c>
      <c r="H63" t="s">
        <v>1194</v>
      </c>
    </row>
    <row r="64" spans="1:8">
      <c r="A64">
        <v>40974</v>
      </c>
      <c r="B64" t="s">
        <v>1195</v>
      </c>
      <c r="C64" t="s">
        <v>1196</v>
      </c>
      <c r="D64" t="s">
        <v>1197</v>
      </c>
      <c r="E64" t="s">
        <v>1198</v>
      </c>
      <c r="F64" t="s">
        <v>1199</v>
      </c>
      <c r="G64" t="s">
        <v>1200</v>
      </c>
      <c r="H64" t="s">
        <v>1201</v>
      </c>
    </row>
    <row r="65" spans="1:8">
      <c r="A65">
        <v>40975</v>
      </c>
      <c r="B65" t="s">
        <v>1202</v>
      </c>
      <c r="C65" t="s">
        <v>1203</v>
      </c>
      <c r="D65" t="s">
        <v>1204</v>
      </c>
      <c r="E65" t="s">
        <v>1205</v>
      </c>
      <c r="F65" t="s">
        <v>1206</v>
      </c>
      <c r="G65" t="s">
        <v>1207</v>
      </c>
      <c r="H65" t="s">
        <v>1208</v>
      </c>
    </row>
    <row r="66" spans="1:8">
      <c r="A66">
        <v>40976</v>
      </c>
      <c r="B66" t="s">
        <v>1209</v>
      </c>
      <c r="C66" t="s">
        <v>1210</v>
      </c>
      <c r="D66" t="s">
        <v>1211</v>
      </c>
      <c r="E66" t="s">
        <v>1212</v>
      </c>
      <c r="F66" t="s">
        <v>1213</v>
      </c>
      <c r="G66" t="s">
        <v>1214</v>
      </c>
      <c r="H66" t="s">
        <v>1215</v>
      </c>
    </row>
    <row r="67" spans="1:8">
      <c r="A67">
        <v>40977</v>
      </c>
      <c r="B67" t="s">
        <v>1216</v>
      </c>
      <c r="C67" t="s">
        <v>1217</v>
      </c>
      <c r="D67" t="s">
        <v>1218</v>
      </c>
      <c r="E67" t="s">
        <v>1219</v>
      </c>
      <c r="F67" t="s">
        <v>1220</v>
      </c>
      <c r="G67" t="s">
        <v>1221</v>
      </c>
      <c r="H67" t="s">
        <v>1222</v>
      </c>
    </row>
    <row r="68" spans="1:8">
      <c r="A68">
        <v>41000</v>
      </c>
      <c r="B68" t="s">
        <v>1223</v>
      </c>
      <c r="C68" t="s">
        <v>1224</v>
      </c>
      <c r="D68" t="s">
        <v>1225</v>
      </c>
      <c r="E68" t="s">
        <v>1226</v>
      </c>
      <c r="F68" t="s">
        <v>1227</v>
      </c>
      <c r="G68" t="s">
        <v>1228</v>
      </c>
      <c r="H68" t="s">
        <v>1229</v>
      </c>
    </row>
    <row r="69" spans="1:8">
      <c r="A69">
        <v>41009</v>
      </c>
      <c r="B69" t="s">
        <v>1230</v>
      </c>
      <c r="C69" t="s">
        <v>1231</v>
      </c>
      <c r="D69" t="s">
        <v>1232</v>
      </c>
      <c r="E69" t="s">
        <v>1233</v>
      </c>
      <c r="F69" t="s">
        <v>1234</v>
      </c>
      <c r="G69" t="s">
        <v>1235</v>
      </c>
      <c r="H69" t="s">
        <v>1236</v>
      </c>
    </row>
    <row r="70" spans="1:8">
      <c r="A70">
        <v>41010</v>
      </c>
      <c r="B70" t="s">
        <v>1237</v>
      </c>
      <c r="C70" t="s">
        <v>1238</v>
      </c>
      <c r="D70" t="s">
        <v>1239</v>
      </c>
      <c r="E70" t="s">
        <v>1240</v>
      </c>
      <c r="F70" t="s">
        <v>1241</v>
      </c>
      <c r="G70" t="s">
        <v>1242</v>
      </c>
      <c r="H70" t="s">
        <v>1243</v>
      </c>
    </row>
    <row r="71" spans="1:8">
      <c r="A71">
        <v>41011</v>
      </c>
      <c r="B71" t="s">
        <v>1244</v>
      </c>
      <c r="C71" t="s">
        <v>1245</v>
      </c>
      <c r="D71" t="s">
        <v>1246</v>
      </c>
      <c r="E71" t="s">
        <v>1247</v>
      </c>
      <c r="F71" t="s">
        <v>1248</v>
      </c>
      <c r="G71" t="s">
        <v>1249</v>
      </c>
      <c r="H71" t="s">
        <v>1250</v>
      </c>
    </row>
    <row r="72" spans="1:8">
      <c r="A72">
        <v>41012</v>
      </c>
      <c r="B72" t="s">
        <v>1251</v>
      </c>
      <c r="C72" t="s">
        <v>1252</v>
      </c>
      <c r="D72" t="s">
        <v>1253</v>
      </c>
      <c r="E72" t="s">
        <v>1254</v>
      </c>
      <c r="F72" t="s">
        <v>1255</v>
      </c>
      <c r="G72" t="s">
        <v>1256</v>
      </c>
      <c r="H72" t="s">
        <v>1257</v>
      </c>
    </row>
    <row r="73" spans="1:8">
      <c r="A73">
        <v>41015</v>
      </c>
      <c r="B73" t="s">
        <v>1258</v>
      </c>
      <c r="C73" t="s">
        <v>1259</v>
      </c>
      <c r="D73" t="s">
        <v>1260</v>
      </c>
      <c r="E73" t="s">
        <v>1261</v>
      </c>
      <c r="F73" t="s">
        <v>1262</v>
      </c>
      <c r="G73" t="s">
        <v>1263</v>
      </c>
      <c r="H73" t="s">
        <v>1264</v>
      </c>
    </row>
    <row r="74" spans="1:8">
      <c r="A74">
        <v>41016</v>
      </c>
      <c r="B74" t="s">
        <v>1265</v>
      </c>
      <c r="C74" t="s">
        <v>1266</v>
      </c>
      <c r="D74" t="s">
        <v>1267</v>
      </c>
      <c r="E74" t="s">
        <v>1268</v>
      </c>
      <c r="F74" t="s">
        <v>1269</v>
      </c>
      <c r="G74" t="s">
        <v>1270</v>
      </c>
      <c r="H74" t="s">
        <v>1271</v>
      </c>
    </row>
    <row r="75" spans="1:8">
      <c r="A75">
        <v>41017</v>
      </c>
      <c r="B75" t="s">
        <v>1272</v>
      </c>
      <c r="C75" t="s">
        <v>1273</v>
      </c>
      <c r="D75" t="s">
        <v>1274</v>
      </c>
      <c r="E75" t="s">
        <v>1275</v>
      </c>
      <c r="F75" t="s">
        <v>1276</v>
      </c>
      <c r="G75" t="s">
        <v>1277</v>
      </c>
      <c r="H75" t="s">
        <v>1278</v>
      </c>
    </row>
    <row r="76" spans="1:8">
      <c r="A76">
        <v>41018</v>
      </c>
      <c r="B76" t="s">
        <v>1279</v>
      </c>
      <c r="C76" t="s">
        <v>1280</v>
      </c>
      <c r="D76" t="s">
        <v>1281</v>
      </c>
      <c r="E76" t="s">
        <v>1282</v>
      </c>
      <c r="F76" t="s">
        <v>1283</v>
      </c>
      <c r="G76" t="s">
        <v>1284</v>
      </c>
      <c r="H76" t="s">
        <v>1285</v>
      </c>
    </row>
    <row r="77" spans="1:8">
      <c r="A77">
        <v>41019</v>
      </c>
      <c r="B77" t="s">
        <v>1286</v>
      </c>
      <c r="C77" t="s">
        <v>1287</v>
      </c>
      <c r="D77" t="s">
        <v>1288</v>
      </c>
      <c r="E77" t="s">
        <v>1289</v>
      </c>
      <c r="F77" t="s">
        <v>1290</v>
      </c>
      <c r="G77" t="s">
        <v>1291</v>
      </c>
      <c r="H77" t="s">
        <v>1292</v>
      </c>
    </row>
    <row r="78" spans="1:8">
      <c r="A78">
        <v>41022</v>
      </c>
      <c r="B78" t="s">
        <v>1293</v>
      </c>
      <c r="C78" t="s">
        <v>1294</v>
      </c>
      <c r="D78" t="s">
        <v>1295</v>
      </c>
      <c r="E78" t="s">
        <v>1296</v>
      </c>
      <c r="F78" t="s">
        <v>1297</v>
      </c>
      <c r="G78" t="s">
        <v>1298</v>
      </c>
      <c r="H78" t="s">
        <v>1299</v>
      </c>
    </row>
    <row r="79" spans="1:8">
      <c r="A79">
        <v>41023</v>
      </c>
      <c r="B79" t="s">
        <v>1300</v>
      </c>
      <c r="C79" t="s">
        <v>1301</v>
      </c>
      <c r="D79" t="s">
        <v>1302</v>
      </c>
      <c r="E79" t="s">
        <v>1303</v>
      </c>
      <c r="F79" t="s">
        <v>1304</v>
      </c>
      <c r="G79" t="s">
        <v>1305</v>
      </c>
      <c r="H79" t="s">
        <v>1306</v>
      </c>
    </row>
    <row r="80" spans="1:8">
      <c r="A80">
        <v>41024</v>
      </c>
      <c r="B80" t="s">
        <v>1307</v>
      </c>
      <c r="C80" t="s">
        <v>1308</v>
      </c>
      <c r="D80" t="s">
        <v>1309</v>
      </c>
      <c r="E80" t="s">
        <v>1310</v>
      </c>
      <c r="F80" t="s">
        <v>1311</v>
      </c>
      <c r="G80" t="s">
        <v>1312</v>
      </c>
      <c r="H80" t="s">
        <v>1313</v>
      </c>
    </row>
    <row r="81" spans="1:8">
      <c r="A81">
        <v>41025</v>
      </c>
      <c r="B81" t="s">
        <v>1314</v>
      </c>
      <c r="C81" t="s">
        <v>1315</v>
      </c>
      <c r="D81" t="s">
        <v>1316</v>
      </c>
      <c r="E81" t="s">
        <v>1317</v>
      </c>
      <c r="F81" t="s">
        <v>1318</v>
      </c>
      <c r="G81" t="s">
        <v>1319</v>
      </c>
      <c r="H81" t="s">
        <v>1320</v>
      </c>
    </row>
    <row r="82" spans="1:8">
      <c r="A82">
        <v>41026</v>
      </c>
      <c r="B82" t="s">
        <v>1321</v>
      </c>
      <c r="C82" t="s">
        <v>1322</v>
      </c>
      <c r="D82" t="s">
        <v>1323</v>
      </c>
      <c r="E82" t="s">
        <v>1324</v>
      </c>
      <c r="F82" t="s">
        <v>1325</v>
      </c>
      <c r="G82" t="s">
        <v>1326</v>
      </c>
      <c r="H82" t="s">
        <v>1327</v>
      </c>
    </row>
    <row r="83" spans="1:8">
      <c r="A83">
        <v>41027</v>
      </c>
      <c r="B83" t="s">
        <v>1328</v>
      </c>
      <c r="C83" t="s">
        <v>1329</v>
      </c>
      <c r="D83" t="s">
        <v>1330</v>
      </c>
      <c r="E83" t="s">
        <v>1331</v>
      </c>
      <c r="F83" t="s">
        <v>1332</v>
      </c>
      <c r="G83" t="s">
        <v>1333</v>
      </c>
      <c r="H83" t="s">
        <v>1334</v>
      </c>
    </row>
    <row r="84" spans="1:8">
      <c r="A84">
        <v>41004</v>
      </c>
      <c r="B84" t="s">
        <v>1335</v>
      </c>
      <c r="C84" t="s">
        <v>1336</v>
      </c>
      <c r="D84" t="s">
        <v>1337</v>
      </c>
      <c r="E84" t="s">
        <v>1338</v>
      </c>
      <c r="F84" t="s">
        <v>1339</v>
      </c>
      <c r="G84" t="s">
        <v>1340</v>
      </c>
      <c r="H84" t="s">
        <v>1341</v>
      </c>
    </row>
    <row r="85" spans="1:8">
      <c r="A85">
        <v>41005</v>
      </c>
      <c r="B85" t="s">
        <v>1342</v>
      </c>
      <c r="C85" t="s">
        <v>1343</v>
      </c>
      <c r="D85" t="s">
        <v>1344</v>
      </c>
      <c r="E85" t="s">
        <v>1345</v>
      </c>
      <c r="F85" t="s">
        <v>1346</v>
      </c>
      <c r="G85" t="s">
        <v>1347</v>
      </c>
      <c r="H85" t="s">
        <v>1348</v>
      </c>
    </row>
    <row r="86" spans="1:8">
      <c r="A86">
        <v>41008</v>
      </c>
      <c r="B86" t="s">
        <v>1349</v>
      </c>
      <c r="C86" t="s">
        <v>1350</v>
      </c>
      <c r="D86" t="s">
        <v>1351</v>
      </c>
      <c r="E86" t="s">
        <v>1352</v>
      </c>
      <c r="F86" t="s">
        <v>1353</v>
      </c>
      <c r="G86" t="s">
        <v>1354</v>
      </c>
      <c r="H86" t="s">
        <v>1355</v>
      </c>
    </row>
    <row r="87" spans="1:8">
      <c r="A87">
        <v>41039</v>
      </c>
      <c r="B87" t="s">
        <v>1356</v>
      </c>
      <c r="C87" t="s">
        <v>1357</v>
      </c>
      <c r="D87" t="s">
        <v>1358</v>
      </c>
      <c r="E87" t="s">
        <v>1359</v>
      </c>
      <c r="F87" t="s">
        <v>1360</v>
      </c>
      <c r="G87" t="s">
        <v>1361</v>
      </c>
      <c r="H87" t="s">
        <v>1362</v>
      </c>
    </row>
    <row r="88" spans="1:8">
      <c r="A88">
        <v>41040</v>
      </c>
      <c r="B88" t="s">
        <v>1363</v>
      </c>
      <c r="C88" t="s">
        <v>1364</v>
      </c>
      <c r="D88" t="s">
        <v>1365</v>
      </c>
      <c r="E88" t="s">
        <v>1366</v>
      </c>
      <c r="F88" t="s">
        <v>1367</v>
      </c>
      <c r="G88" t="s">
        <v>1368</v>
      </c>
      <c r="H88" t="s">
        <v>1369</v>
      </c>
    </row>
    <row r="89" spans="1:8">
      <c r="A89">
        <v>41043</v>
      </c>
      <c r="B89" t="s">
        <v>1370</v>
      </c>
      <c r="C89" t="s">
        <v>1371</v>
      </c>
      <c r="D89" t="s">
        <v>1372</v>
      </c>
      <c r="E89" t="s">
        <v>1373</v>
      </c>
      <c r="F89" t="s">
        <v>1374</v>
      </c>
      <c r="G89" t="s">
        <v>1375</v>
      </c>
      <c r="H89" t="s">
        <v>1376</v>
      </c>
    </row>
    <row r="90" spans="1:8">
      <c r="A90">
        <v>41044</v>
      </c>
      <c r="B90" t="s">
        <v>1377</v>
      </c>
      <c r="C90" t="s">
        <v>1378</v>
      </c>
      <c r="D90" t="s">
        <v>1379</v>
      </c>
      <c r="E90" t="s">
        <v>1380</v>
      </c>
      <c r="F90" t="s">
        <v>1381</v>
      </c>
      <c r="G90" t="s">
        <v>1382</v>
      </c>
      <c r="H90" t="s">
        <v>1383</v>
      </c>
    </row>
    <row r="91" spans="1:8">
      <c r="A91">
        <v>41045</v>
      </c>
      <c r="B91" t="s">
        <v>1384</v>
      </c>
      <c r="C91" t="s">
        <v>1385</v>
      </c>
      <c r="D91" t="s">
        <v>1386</v>
      </c>
      <c r="E91" t="s">
        <v>1387</v>
      </c>
      <c r="F91" t="s">
        <v>1388</v>
      </c>
      <c r="G91" t="s">
        <v>1389</v>
      </c>
      <c r="H91" t="s">
        <v>1390</v>
      </c>
    </row>
    <row r="92" spans="1:8">
      <c r="A92">
        <v>41046</v>
      </c>
      <c r="B92" t="s">
        <v>1391</v>
      </c>
      <c r="C92" t="s">
        <v>1392</v>
      </c>
      <c r="D92" t="s">
        <v>1393</v>
      </c>
      <c r="E92" t="s">
        <v>1394</v>
      </c>
      <c r="F92" t="s">
        <v>1395</v>
      </c>
      <c r="G92" t="s">
        <v>1396</v>
      </c>
      <c r="H92" t="s">
        <v>1397</v>
      </c>
    </row>
    <row r="93" spans="1:8">
      <c r="A93">
        <v>41047</v>
      </c>
      <c r="B93" t="s">
        <v>1398</v>
      </c>
      <c r="C93" t="s">
        <v>1399</v>
      </c>
      <c r="D93" t="s">
        <v>1400</v>
      </c>
      <c r="E93" t="s">
        <v>1401</v>
      </c>
      <c r="F93" t="s">
        <v>1402</v>
      </c>
      <c r="G93" t="s">
        <v>1403</v>
      </c>
      <c r="H93" t="s">
        <v>1404</v>
      </c>
    </row>
    <row r="94" spans="1:8">
      <c r="A94">
        <v>41031</v>
      </c>
      <c r="B94" t="s">
        <v>1405</v>
      </c>
      <c r="C94" t="s">
        <v>1406</v>
      </c>
      <c r="D94" t="s">
        <v>1407</v>
      </c>
      <c r="E94" t="s">
        <v>1408</v>
      </c>
      <c r="F94" t="s">
        <v>1409</v>
      </c>
      <c r="G94" t="s">
        <v>1410</v>
      </c>
      <c r="H94" t="s">
        <v>1411</v>
      </c>
    </row>
    <row r="95" spans="1:8">
      <c r="A95">
        <v>41050</v>
      </c>
      <c r="B95" t="s">
        <v>1412</v>
      </c>
      <c r="C95" t="s">
        <v>1413</v>
      </c>
      <c r="D95" t="s">
        <v>1414</v>
      </c>
      <c r="E95" t="s">
        <v>1415</v>
      </c>
      <c r="F95" t="s">
        <v>1416</v>
      </c>
      <c r="G95" t="s">
        <v>1417</v>
      </c>
      <c r="H95" t="s">
        <v>1418</v>
      </c>
    </row>
    <row r="96" spans="1:8">
      <c r="A96">
        <v>41051</v>
      </c>
      <c r="B96" t="s">
        <v>1419</v>
      </c>
      <c r="C96" t="s">
        <v>1420</v>
      </c>
      <c r="D96" t="s">
        <v>1421</v>
      </c>
      <c r="E96" t="s">
        <v>1422</v>
      </c>
      <c r="F96" t="s">
        <v>1423</v>
      </c>
      <c r="G96" t="s">
        <v>1424</v>
      </c>
      <c r="H96" t="s">
        <v>1425</v>
      </c>
    </row>
    <row r="97" spans="1:8">
      <c r="A97">
        <v>41052</v>
      </c>
      <c r="B97" t="s">
        <v>1426</v>
      </c>
      <c r="C97" t="s">
        <v>1427</v>
      </c>
      <c r="D97" t="s">
        <v>1428</v>
      </c>
      <c r="E97" t="s">
        <v>1429</v>
      </c>
      <c r="F97" t="s">
        <v>1430</v>
      </c>
      <c r="G97" t="s">
        <v>1431</v>
      </c>
      <c r="H97" t="s">
        <v>1432</v>
      </c>
    </row>
    <row r="98" spans="1:8">
      <c r="A98">
        <v>41053</v>
      </c>
      <c r="B98" t="s">
        <v>1433</v>
      </c>
      <c r="C98" t="s">
        <v>1434</v>
      </c>
      <c r="D98" t="s">
        <v>1435</v>
      </c>
      <c r="E98" t="s">
        <v>1436</v>
      </c>
      <c r="F98" t="s">
        <v>1437</v>
      </c>
      <c r="G98" t="s">
        <v>1438</v>
      </c>
      <c r="H98" t="s">
        <v>1439</v>
      </c>
    </row>
    <row r="99" spans="1:8">
      <c r="A99">
        <v>41054</v>
      </c>
      <c r="B99" t="s">
        <v>1440</v>
      </c>
      <c r="C99" t="s">
        <v>1441</v>
      </c>
      <c r="D99" t="s">
        <v>1442</v>
      </c>
      <c r="E99" t="s">
        <v>1443</v>
      </c>
      <c r="F99" t="s">
        <v>1444</v>
      </c>
      <c r="G99" t="s">
        <v>1445</v>
      </c>
      <c r="H99" t="s">
        <v>1446</v>
      </c>
    </row>
    <row r="100" spans="1:8">
      <c r="A100">
        <v>41057</v>
      </c>
      <c r="B100" t="s">
        <v>1447</v>
      </c>
      <c r="C100" t="s">
        <v>1448</v>
      </c>
      <c r="D100" t="s">
        <v>1449</v>
      </c>
      <c r="E100" t="s">
        <v>1450</v>
      </c>
      <c r="F100" t="s">
        <v>1451</v>
      </c>
      <c r="G100" t="s">
        <v>1452</v>
      </c>
      <c r="H100" t="s">
        <v>1453</v>
      </c>
    </row>
    <row r="101" spans="1:8">
      <c r="A101">
        <v>41058</v>
      </c>
      <c r="B101" t="s">
        <v>1454</v>
      </c>
      <c r="C101" t="s">
        <v>1455</v>
      </c>
      <c r="D101" t="s">
        <v>1456</v>
      </c>
      <c r="E101" t="s">
        <v>1457</v>
      </c>
      <c r="F101" t="s">
        <v>1458</v>
      </c>
      <c r="G101" t="s">
        <v>1459</v>
      </c>
      <c r="H101" t="s">
        <v>1460</v>
      </c>
    </row>
    <row r="102" spans="1:8">
      <c r="A102">
        <v>41032</v>
      </c>
      <c r="B102" t="s">
        <v>1461</v>
      </c>
      <c r="C102" t="s">
        <v>1462</v>
      </c>
      <c r="D102" t="s">
        <v>1463</v>
      </c>
      <c r="E102" t="s">
        <v>1464</v>
      </c>
      <c r="F102" t="s">
        <v>1465</v>
      </c>
      <c r="G102" t="s">
        <v>1466</v>
      </c>
      <c r="H102" t="s">
        <v>1467</v>
      </c>
    </row>
    <row r="103" spans="1:8">
      <c r="A103">
        <v>41059</v>
      </c>
      <c r="B103" t="s">
        <v>1468</v>
      </c>
      <c r="C103" t="s">
        <v>1469</v>
      </c>
      <c r="D103" t="s">
        <v>1470</v>
      </c>
      <c r="E103" t="s">
        <v>1471</v>
      </c>
      <c r="F103" t="s">
        <v>1472</v>
      </c>
      <c r="G103" t="s">
        <v>1473</v>
      </c>
      <c r="H103" t="s">
        <v>1474</v>
      </c>
    </row>
    <row r="104" spans="1:8">
      <c r="A104">
        <v>41060</v>
      </c>
      <c r="B104" t="s">
        <v>1475</v>
      </c>
      <c r="C104" t="s">
        <v>1476</v>
      </c>
      <c r="D104" t="s">
        <v>1477</v>
      </c>
      <c r="E104" t="s">
        <v>1478</v>
      </c>
      <c r="F104" t="s">
        <v>1479</v>
      </c>
      <c r="G104" t="s">
        <v>1480</v>
      </c>
      <c r="H104" t="s">
        <v>1481</v>
      </c>
    </row>
    <row r="105" spans="1:8">
      <c r="A105">
        <v>41033</v>
      </c>
      <c r="B105" t="s">
        <v>1482</v>
      </c>
      <c r="C105" t="s">
        <v>1483</v>
      </c>
      <c r="D105" t="s">
        <v>1484</v>
      </c>
      <c r="E105" t="s">
        <v>1485</v>
      </c>
      <c r="F105" t="s">
        <v>1486</v>
      </c>
      <c r="G105" t="s">
        <v>1487</v>
      </c>
      <c r="H105" t="s">
        <v>1488</v>
      </c>
    </row>
    <row r="106" spans="1:8">
      <c r="A106">
        <v>41036</v>
      </c>
      <c r="B106" t="s">
        <v>1489</v>
      </c>
      <c r="C106" t="s">
        <v>1490</v>
      </c>
      <c r="D106" t="s">
        <v>1491</v>
      </c>
      <c r="E106" t="s">
        <v>1492</v>
      </c>
      <c r="F106" t="s">
        <v>1493</v>
      </c>
      <c r="G106" t="s">
        <v>1494</v>
      </c>
      <c r="H106" t="s">
        <v>1495</v>
      </c>
    </row>
    <row r="107" spans="1:8">
      <c r="A107">
        <v>41037</v>
      </c>
      <c r="B107" t="s">
        <v>1496</v>
      </c>
      <c r="C107" t="s">
        <v>1497</v>
      </c>
      <c r="D107" t="s">
        <v>1498</v>
      </c>
      <c r="E107" t="s">
        <v>1499</v>
      </c>
      <c r="F107" t="s">
        <v>1500</v>
      </c>
      <c r="G107" t="s">
        <v>1501</v>
      </c>
      <c r="H107" t="s">
        <v>1502</v>
      </c>
    </row>
    <row r="108" spans="1:8">
      <c r="A108">
        <v>41038</v>
      </c>
      <c r="B108" t="s">
        <v>1503</v>
      </c>
      <c r="C108" t="s">
        <v>1504</v>
      </c>
      <c r="D108" t="s">
        <v>1505</v>
      </c>
      <c r="E108" t="s">
        <v>1506</v>
      </c>
      <c r="F108" t="s">
        <v>1507</v>
      </c>
      <c r="G108" t="s">
        <v>1508</v>
      </c>
      <c r="H108" t="s">
        <v>1509</v>
      </c>
    </row>
    <row r="109" spans="1:8">
      <c r="A109">
        <v>41061</v>
      </c>
      <c r="B109" t="s">
        <v>1510</v>
      </c>
      <c r="C109" t="s">
        <v>1511</v>
      </c>
      <c r="D109" t="s">
        <v>1512</v>
      </c>
      <c r="E109" t="s">
        <v>1513</v>
      </c>
      <c r="F109" t="s">
        <v>1514</v>
      </c>
      <c r="G109" t="s">
        <v>1515</v>
      </c>
      <c r="H109" t="s">
        <v>1516</v>
      </c>
    </row>
    <row r="110" spans="1:8">
      <c r="A110">
        <v>41071</v>
      </c>
      <c r="B110" t="s">
        <v>1517</v>
      </c>
      <c r="C110" t="s">
        <v>1518</v>
      </c>
      <c r="D110" t="s">
        <v>1519</v>
      </c>
      <c r="E110" t="s">
        <v>1520</v>
      </c>
      <c r="F110" t="s">
        <v>1521</v>
      </c>
      <c r="G110" t="s">
        <v>1522</v>
      </c>
      <c r="H110" t="s">
        <v>1523</v>
      </c>
    </row>
    <row r="111" spans="1:8">
      <c r="A111">
        <v>41072</v>
      </c>
      <c r="B111" t="s">
        <v>1524</v>
      </c>
      <c r="C111" t="s">
        <v>1525</v>
      </c>
      <c r="D111" t="s">
        <v>1526</v>
      </c>
      <c r="E111" t="s">
        <v>1527</v>
      </c>
      <c r="F111" t="s">
        <v>1528</v>
      </c>
      <c r="G111" t="s">
        <v>1529</v>
      </c>
      <c r="H111" t="s">
        <v>1530</v>
      </c>
    </row>
    <row r="112" spans="1:8">
      <c r="A112">
        <v>41073</v>
      </c>
      <c r="B112" t="s">
        <v>1531</v>
      </c>
      <c r="C112" t="s">
        <v>1532</v>
      </c>
      <c r="D112" t="s">
        <v>1533</v>
      </c>
      <c r="E112" t="s">
        <v>1534</v>
      </c>
      <c r="F112" t="s">
        <v>1535</v>
      </c>
      <c r="G112" t="s">
        <v>1536</v>
      </c>
      <c r="H112" t="s">
        <v>1537</v>
      </c>
    </row>
    <row r="113" spans="1:8">
      <c r="A113">
        <v>41074</v>
      </c>
      <c r="B113" t="s">
        <v>1538</v>
      </c>
      <c r="C113" t="s">
        <v>1539</v>
      </c>
      <c r="D113" t="s">
        <v>1540</v>
      </c>
      <c r="E113" t="s">
        <v>1541</v>
      </c>
      <c r="F113" t="s">
        <v>1542</v>
      </c>
      <c r="G113" t="s">
        <v>1543</v>
      </c>
      <c r="H113" t="s">
        <v>1544</v>
      </c>
    </row>
    <row r="114" spans="1:8">
      <c r="A114">
        <v>41075</v>
      </c>
      <c r="B114" t="s">
        <v>1545</v>
      </c>
      <c r="C114" t="s">
        <v>1546</v>
      </c>
      <c r="D114" t="s">
        <v>1547</v>
      </c>
      <c r="E114" t="s">
        <v>1548</v>
      </c>
      <c r="F114" t="s">
        <v>1549</v>
      </c>
      <c r="G114" t="s">
        <v>1550</v>
      </c>
      <c r="H114" t="s">
        <v>1551</v>
      </c>
    </row>
    <row r="115" spans="1:8">
      <c r="A115">
        <v>41078</v>
      </c>
      <c r="B115" t="s">
        <v>1552</v>
      </c>
      <c r="C115" t="s">
        <v>1553</v>
      </c>
      <c r="D115" t="s">
        <v>1554</v>
      </c>
      <c r="E115" t="s">
        <v>1555</v>
      </c>
      <c r="F115" t="s">
        <v>1556</v>
      </c>
      <c r="G115" t="s">
        <v>1557</v>
      </c>
      <c r="H115" t="s">
        <v>1558</v>
      </c>
    </row>
    <row r="116" spans="1:8">
      <c r="A116">
        <v>41079</v>
      </c>
      <c r="B116" t="s">
        <v>1559</v>
      </c>
      <c r="C116" t="s">
        <v>1560</v>
      </c>
      <c r="D116" t="s">
        <v>1561</v>
      </c>
      <c r="E116" t="s">
        <v>1562</v>
      </c>
      <c r="F116" t="s">
        <v>1563</v>
      </c>
      <c r="G116" t="s">
        <v>1564</v>
      </c>
      <c r="H116" t="s">
        <v>1565</v>
      </c>
    </row>
    <row r="117" spans="1:8">
      <c r="A117">
        <v>41080</v>
      </c>
      <c r="B117" t="s">
        <v>1566</v>
      </c>
      <c r="C117" t="s">
        <v>1567</v>
      </c>
      <c r="D117" t="s">
        <v>1568</v>
      </c>
      <c r="E117" t="s">
        <v>1569</v>
      </c>
      <c r="F117" t="s">
        <v>1570</v>
      </c>
      <c r="G117" t="s">
        <v>1571</v>
      </c>
      <c r="H117" t="s">
        <v>1572</v>
      </c>
    </row>
    <row r="118" spans="1:8">
      <c r="A118">
        <v>41081</v>
      </c>
      <c r="B118" t="s">
        <v>1573</v>
      </c>
      <c r="C118" t="s">
        <v>1574</v>
      </c>
      <c r="D118" t="s">
        <v>1575</v>
      </c>
      <c r="E118" t="s">
        <v>1576</v>
      </c>
      <c r="F118" t="s">
        <v>1577</v>
      </c>
      <c r="G118" t="s">
        <v>1578</v>
      </c>
      <c r="H118" t="s">
        <v>1579</v>
      </c>
    </row>
    <row r="119" spans="1:8">
      <c r="A119">
        <v>41085</v>
      </c>
      <c r="B119" t="s">
        <v>1580</v>
      </c>
      <c r="C119" t="s">
        <v>1581</v>
      </c>
      <c r="D119" t="s">
        <v>1582</v>
      </c>
      <c r="E119" t="s">
        <v>1583</v>
      </c>
      <c r="F119" t="s">
        <v>1584</v>
      </c>
      <c r="G119" t="s">
        <v>1585</v>
      </c>
      <c r="H119" t="s">
        <v>1586</v>
      </c>
    </row>
    <row r="120" spans="1:8">
      <c r="A120">
        <v>41086</v>
      </c>
      <c r="B120" t="s">
        <v>1587</v>
      </c>
      <c r="C120" t="s">
        <v>1588</v>
      </c>
      <c r="D120" t="s">
        <v>1589</v>
      </c>
      <c r="E120" t="s">
        <v>1590</v>
      </c>
      <c r="F120" t="s">
        <v>1591</v>
      </c>
      <c r="G120" t="s">
        <v>1592</v>
      </c>
      <c r="H120" t="s">
        <v>1593</v>
      </c>
    </row>
    <row r="121" spans="1:8">
      <c r="A121">
        <v>41087</v>
      </c>
      <c r="B121" t="s">
        <v>1594</v>
      </c>
      <c r="C121" t="s">
        <v>1595</v>
      </c>
      <c r="D121" t="s">
        <v>1596</v>
      </c>
      <c r="E121" t="s">
        <v>1597</v>
      </c>
      <c r="F121" t="s">
        <v>1598</v>
      </c>
      <c r="G121" t="s">
        <v>1599</v>
      </c>
      <c r="H121" t="s">
        <v>1600</v>
      </c>
    </row>
    <row r="122" spans="1:8">
      <c r="A122">
        <v>41088</v>
      </c>
      <c r="B122" t="s">
        <v>1601</v>
      </c>
      <c r="C122" t="s">
        <v>1602</v>
      </c>
      <c r="D122" t="s">
        <v>1603</v>
      </c>
      <c r="E122" t="s">
        <v>1604</v>
      </c>
      <c r="F122" t="s">
        <v>1605</v>
      </c>
      <c r="G122" t="s">
        <v>1606</v>
      </c>
      <c r="H122" t="s">
        <v>1607</v>
      </c>
    </row>
    <row r="123" spans="1:8">
      <c r="A123">
        <v>41089</v>
      </c>
      <c r="B123" t="s">
        <v>1608</v>
      </c>
      <c r="C123" t="s">
        <v>1609</v>
      </c>
      <c r="D123" t="s">
        <v>1610</v>
      </c>
      <c r="E123" t="s">
        <v>1611</v>
      </c>
      <c r="F123" t="s">
        <v>1612</v>
      </c>
      <c r="G123" t="s">
        <v>1613</v>
      </c>
      <c r="H123" t="s">
        <v>1614</v>
      </c>
    </row>
    <row r="124" spans="1:8">
      <c r="A124">
        <v>41064</v>
      </c>
      <c r="B124" t="s">
        <v>1615</v>
      </c>
      <c r="C124" t="s">
        <v>1616</v>
      </c>
      <c r="D124" t="s">
        <v>1617</v>
      </c>
      <c r="E124" t="s">
        <v>1618</v>
      </c>
      <c r="F124" t="s">
        <v>1619</v>
      </c>
      <c r="G124" t="s">
        <v>1620</v>
      </c>
      <c r="H124" t="s">
        <v>1621</v>
      </c>
    </row>
    <row r="125" spans="1:8">
      <c r="A125">
        <v>41065</v>
      </c>
      <c r="B125" t="s">
        <v>1622</v>
      </c>
      <c r="C125" t="s">
        <v>1623</v>
      </c>
      <c r="D125" t="s">
        <v>1624</v>
      </c>
      <c r="E125" t="s">
        <v>1625</v>
      </c>
      <c r="F125" t="s">
        <v>1626</v>
      </c>
      <c r="G125" t="s">
        <v>1627</v>
      </c>
      <c r="H125" t="s">
        <v>1628</v>
      </c>
    </row>
    <row r="126" spans="1:8">
      <c r="A126">
        <v>41066</v>
      </c>
      <c r="B126" t="s">
        <v>1629</v>
      </c>
      <c r="C126" t="s">
        <v>1630</v>
      </c>
      <c r="D126" t="s">
        <v>1631</v>
      </c>
      <c r="E126" t="s">
        <v>1632</v>
      </c>
      <c r="F126" t="s">
        <v>1633</v>
      </c>
      <c r="G126" t="s">
        <v>1634</v>
      </c>
      <c r="H126" t="s">
        <v>1635</v>
      </c>
    </row>
    <row r="127" spans="1:8">
      <c r="A127">
        <v>41067</v>
      </c>
      <c r="B127" t="s">
        <v>1636</v>
      </c>
      <c r="C127" t="s">
        <v>1637</v>
      </c>
      <c r="D127" t="s">
        <v>1638</v>
      </c>
      <c r="E127" t="s">
        <v>1639</v>
      </c>
      <c r="F127" t="s">
        <v>1640</v>
      </c>
      <c r="G127" t="s">
        <v>1641</v>
      </c>
      <c r="H127" t="s">
        <v>1642</v>
      </c>
    </row>
    <row r="128" spans="1:8">
      <c r="A128">
        <v>41068</v>
      </c>
      <c r="B128" t="s">
        <v>1643</v>
      </c>
      <c r="C128" t="s">
        <v>1644</v>
      </c>
      <c r="D128" t="s">
        <v>1645</v>
      </c>
      <c r="E128" t="s">
        <v>1646</v>
      </c>
      <c r="F128" t="s">
        <v>1647</v>
      </c>
      <c r="G128" t="s">
        <v>1648</v>
      </c>
      <c r="H128" t="s">
        <v>1649</v>
      </c>
    </row>
    <row r="129" spans="1:8">
      <c r="A129">
        <v>41100</v>
      </c>
      <c r="B129" t="s">
        <v>1650</v>
      </c>
      <c r="C129" t="s">
        <v>1651</v>
      </c>
      <c r="D129" t="s">
        <v>1652</v>
      </c>
      <c r="E129" t="s">
        <v>1653</v>
      </c>
      <c r="F129" t="s">
        <v>1654</v>
      </c>
      <c r="G129" t="s">
        <v>1655</v>
      </c>
      <c r="H129" t="s">
        <v>1656</v>
      </c>
    </row>
    <row r="130" spans="1:8">
      <c r="A130">
        <v>41101</v>
      </c>
      <c r="B130" t="s">
        <v>1657</v>
      </c>
      <c r="C130" t="s">
        <v>1658</v>
      </c>
      <c r="D130" t="s">
        <v>1659</v>
      </c>
      <c r="E130" t="s">
        <v>1660</v>
      </c>
      <c r="F130" t="s">
        <v>1661</v>
      </c>
      <c r="G130" t="s">
        <v>1662</v>
      </c>
      <c r="H130" t="s">
        <v>1663</v>
      </c>
    </row>
    <row r="131" spans="1:8">
      <c r="A131">
        <v>41102</v>
      </c>
      <c r="B131" t="s">
        <v>1664</v>
      </c>
      <c r="C131" t="s">
        <v>1665</v>
      </c>
      <c r="D131" t="s">
        <v>1666</v>
      </c>
      <c r="E131" t="s">
        <v>1667</v>
      </c>
      <c r="F131" t="s">
        <v>1668</v>
      </c>
      <c r="G131" t="s">
        <v>1669</v>
      </c>
      <c r="H131" t="s">
        <v>1670</v>
      </c>
    </row>
    <row r="132" spans="1:8">
      <c r="A132">
        <v>41103</v>
      </c>
      <c r="B132" t="s">
        <v>1671</v>
      </c>
      <c r="C132" t="s">
        <v>1672</v>
      </c>
      <c r="D132" t="s">
        <v>1673</v>
      </c>
      <c r="E132" t="s">
        <v>1674</v>
      </c>
      <c r="F132" t="s">
        <v>1675</v>
      </c>
      <c r="G132" t="s">
        <v>1676</v>
      </c>
      <c r="H132" t="s">
        <v>1677</v>
      </c>
    </row>
    <row r="133" spans="1:8">
      <c r="A133">
        <v>41106</v>
      </c>
      <c r="B133" t="s">
        <v>1678</v>
      </c>
      <c r="C133" t="s">
        <v>1679</v>
      </c>
      <c r="D133" t="s">
        <v>1680</v>
      </c>
      <c r="E133" t="s">
        <v>1681</v>
      </c>
      <c r="F133" t="s">
        <v>1682</v>
      </c>
      <c r="G133" t="s">
        <v>1683</v>
      </c>
      <c r="H133" t="s">
        <v>1684</v>
      </c>
    </row>
    <row r="134" spans="1:8">
      <c r="A134">
        <v>41107</v>
      </c>
      <c r="B134" t="s">
        <v>1685</v>
      </c>
      <c r="C134" t="s">
        <v>1686</v>
      </c>
      <c r="D134" t="s">
        <v>1687</v>
      </c>
      <c r="E134" t="s">
        <v>1688</v>
      </c>
      <c r="F134" t="s">
        <v>1689</v>
      </c>
      <c r="G134" t="s">
        <v>1690</v>
      </c>
      <c r="H134" t="s">
        <v>1691</v>
      </c>
    </row>
    <row r="135" spans="1:8">
      <c r="A135">
        <v>41108</v>
      </c>
      <c r="B135" t="s">
        <v>1692</v>
      </c>
      <c r="C135" t="s">
        <v>1693</v>
      </c>
      <c r="D135" t="s">
        <v>1694</v>
      </c>
      <c r="E135" t="s">
        <v>1695</v>
      </c>
      <c r="F135" t="s">
        <v>1696</v>
      </c>
      <c r="G135" t="s">
        <v>1697</v>
      </c>
      <c r="H135" t="s">
        <v>1698</v>
      </c>
    </row>
    <row r="136" spans="1:8">
      <c r="A136">
        <v>41109</v>
      </c>
      <c r="B136" t="s">
        <v>1699</v>
      </c>
      <c r="C136" t="s">
        <v>1700</v>
      </c>
      <c r="D136" t="s">
        <v>1701</v>
      </c>
      <c r="E136" t="s">
        <v>1702</v>
      </c>
      <c r="F136" t="s">
        <v>1703</v>
      </c>
      <c r="G136" t="s">
        <v>1704</v>
      </c>
      <c r="H136" t="s">
        <v>1705</v>
      </c>
    </row>
    <row r="137" spans="1:8">
      <c r="A137">
        <v>41092</v>
      </c>
      <c r="B137" t="s">
        <v>1706</v>
      </c>
      <c r="C137" t="s">
        <v>1707</v>
      </c>
      <c r="D137" t="s">
        <v>1708</v>
      </c>
      <c r="E137" t="s">
        <v>1709</v>
      </c>
      <c r="F137" t="s">
        <v>1710</v>
      </c>
      <c r="G137" t="s">
        <v>1711</v>
      </c>
      <c r="H137" t="s">
        <v>1712</v>
      </c>
    </row>
    <row r="138" spans="1:8">
      <c r="A138">
        <v>41110</v>
      </c>
      <c r="B138" t="s">
        <v>1713</v>
      </c>
      <c r="C138" t="s">
        <v>1714</v>
      </c>
      <c r="D138" t="s">
        <v>1715</v>
      </c>
      <c r="E138" t="s">
        <v>1716</v>
      </c>
      <c r="F138" t="s">
        <v>1717</v>
      </c>
      <c r="G138" t="s">
        <v>1718</v>
      </c>
      <c r="H138" t="s">
        <v>1719</v>
      </c>
    </row>
    <row r="139" spans="1:8">
      <c r="A139">
        <v>41113</v>
      </c>
      <c r="B139" t="s">
        <v>1720</v>
      </c>
      <c r="C139" t="s">
        <v>1721</v>
      </c>
      <c r="D139" t="s">
        <v>1722</v>
      </c>
      <c r="E139" t="s">
        <v>1723</v>
      </c>
      <c r="F139" t="s">
        <v>1724</v>
      </c>
      <c r="G139" t="s">
        <v>1725</v>
      </c>
      <c r="H139" t="s">
        <v>1726</v>
      </c>
    </row>
    <row r="140" spans="1:8">
      <c r="A140">
        <v>41114</v>
      </c>
      <c r="B140" t="s">
        <v>1727</v>
      </c>
      <c r="C140" t="s">
        <v>1728</v>
      </c>
      <c r="D140" t="s">
        <v>1729</v>
      </c>
      <c r="E140" t="s">
        <v>1730</v>
      </c>
      <c r="F140" t="s">
        <v>1731</v>
      </c>
      <c r="G140" t="s">
        <v>1732</v>
      </c>
      <c r="H140" t="s">
        <v>1733</v>
      </c>
    </row>
    <row r="141" spans="1:8">
      <c r="A141">
        <v>41115</v>
      </c>
      <c r="B141" t="s">
        <v>1734</v>
      </c>
      <c r="C141" t="s">
        <v>1735</v>
      </c>
      <c r="D141" t="s">
        <v>1736</v>
      </c>
      <c r="E141" t="s">
        <v>1737</v>
      </c>
      <c r="F141" t="s">
        <v>1738</v>
      </c>
      <c r="G141" t="s">
        <v>1739</v>
      </c>
      <c r="H141" t="s">
        <v>1740</v>
      </c>
    </row>
    <row r="142" spans="1:8">
      <c r="A142">
        <v>41116</v>
      </c>
      <c r="B142" t="s">
        <v>1741</v>
      </c>
      <c r="C142" t="s">
        <v>1742</v>
      </c>
      <c r="D142" t="s">
        <v>1743</v>
      </c>
      <c r="E142" t="s">
        <v>1744</v>
      </c>
      <c r="F142" t="s">
        <v>1745</v>
      </c>
      <c r="G142" t="s">
        <v>1746</v>
      </c>
      <c r="H142" t="s">
        <v>1747</v>
      </c>
    </row>
    <row r="143" spans="1:8">
      <c r="A143">
        <v>41117</v>
      </c>
      <c r="B143" t="s">
        <v>1748</v>
      </c>
      <c r="C143" t="s">
        <v>1749</v>
      </c>
      <c r="D143" t="s">
        <v>1750</v>
      </c>
      <c r="E143" t="s">
        <v>1751</v>
      </c>
      <c r="F143" t="s">
        <v>1752</v>
      </c>
      <c r="G143" t="s">
        <v>1753</v>
      </c>
      <c r="H143" t="s">
        <v>1754</v>
      </c>
    </row>
    <row r="144" spans="1:8">
      <c r="A144">
        <v>41093</v>
      </c>
      <c r="B144" t="s">
        <v>1755</v>
      </c>
      <c r="C144" t="s">
        <v>1756</v>
      </c>
      <c r="D144" t="s">
        <v>1757</v>
      </c>
      <c r="E144" t="s">
        <v>1758</v>
      </c>
      <c r="F144" t="s">
        <v>1759</v>
      </c>
      <c r="G144" t="s">
        <v>1760</v>
      </c>
      <c r="H144" t="s">
        <v>1761</v>
      </c>
    </row>
    <row r="145" spans="1:8">
      <c r="A145">
        <v>41120</v>
      </c>
      <c r="B145" t="s">
        <v>1762</v>
      </c>
      <c r="C145" t="s">
        <v>1763</v>
      </c>
      <c r="D145" t="s">
        <v>1764</v>
      </c>
      <c r="E145" t="s">
        <v>1765</v>
      </c>
      <c r="F145" t="s">
        <v>1766</v>
      </c>
      <c r="G145" t="s">
        <v>1767</v>
      </c>
      <c r="H145" t="s">
        <v>1768</v>
      </c>
    </row>
    <row r="146" spans="1:8">
      <c r="A146">
        <v>41121</v>
      </c>
      <c r="B146" t="s">
        <v>1769</v>
      </c>
      <c r="C146" t="s">
        <v>1770</v>
      </c>
      <c r="D146" t="s">
        <v>1771</v>
      </c>
      <c r="E146" t="s">
        <v>1772</v>
      </c>
      <c r="F146" t="s">
        <v>1773</v>
      </c>
      <c r="G146" t="s">
        <v>1774</v>
      </c>
      <c r="H146" t="s">
        <v>1775</v>
      </c>
    </row>
    <row r="147" spans="1:8">
      <c r="A147">
        <v>41094</v>
      </c>
      <c r="B147" t="s">
        <v>1776</v>
      </c>
      <c r="C147" t="s">
        <v>1777</v>
      </c>
      <c r="D147" t="s">
        <v>1778</v>
      </c>
      <c r="E147" t="s">
        <v>1779</v>
      </c>
      <c r="F147" t="s">
        <v>1780</v>
      </c>
      <c r="G147" t="s">
        <v>1781</v>
      </c>
      <c r="H147" t="s">
        <v>1782</v>
      </c>
    </row>
    <row r="148" spans="1:8">
      <c r="A148">
        <v>41095</v>
      </c>
      <c r="B148" t="s">
        <v>1783</v>
      </c>
      <c r="C148" t="s">
        <v>1784</v>
      </c>
      <c r="D148" t="s">
        <v>1785</v>
      </c>
      <c r="E148" t="s">
        <v>1786</v>
      </c>
      <c r="F148" t="s">
        <v>1787</v>
      </c>
      <c r="G148" t="s">
        <v>1788</v>
      </c>
      <c r="H148" t="s">
        <v>1789</v>
      </c>
    </row>
    <row r="149" spans="1:8">
      <c r="A149">
        <v>41096</v>
      </c>
      <c r="B149" t="s">
        <v>1790</v>
      </c>
      <c r="C149" t="s">
        <v>1791</v>
      </c>
      <c r="D149" t="s">
        <v>1792</v>
      </c>
      <c r="E149" t="s">
        <v>1793</v>
      </c>
      <c r="F149" t="s">
        <v>1794</v>
      </c>
      <c r="G149" t="s">
        <v>1795</v>
      </c>
      <c r="H149" t="s">
        <v>1796</v>
      </c>
    </row>
    <row r="150" spans="1:8">
      <c r="A150">
        <v>41099</v>
      </c>
      <c r="B150" t="s">
        <v>1797</v>
      </c>
      <c r="C150" t="s">
        <v>1798</v>
      </c>
      <c r="D150" t="s">
        <v>1799</v>
      </c>
      <c r="E150" t="s">
        <v>1800</v>
      </c>
      <c r="F150" t="s">
        <v>1801</v>
      </c>
      <c r="G150" t="s">
        <v>1802</v>
      </c>
      <c r="H150" t="s">
        <v>1803</v>
      </c>
    </row>
    <row r="151" spans="1:8">
      <c r="A151">
        <v>41122</v>
      </c>
      <c r="B151" t="s">
        <v>1804</v>
      </c>
      <c r="C151" t="s">
        <v>1805</v>
      </c>
      <c r="D151" t="s">
        <v>1806</v>
      </c>
      <c r="E151" t="s">
        <v>1807</v>
      </c>
      <c r="F151" t="s">
        <v>1808</v>
      </c>
      <c r="G151" t="s">
        <v>1809</v>
      </c>
      <c r="H151" t="s">
        <v>1810</v>
      </c>
    </row>
    <row r="152" spans="1:8">
      <c r="A152">
        <v>41131</v>
      </c>
      <c r="B152" t="s">
        <v>1811</v>
      </c>
      <c r="C152" t="s">
        <v>1812</v>
      </c>
      <c r="D152" t="s">
        <v>1813</v>
      </c>
      <c r="E152" t="s">
        <v>1814</v>
      </c>
      <c r="F152" t="s">
        <v>1815</v>
      </c>
      <c r="G152" t="s">
        <v>1816</v>
      </c>
      <c r="H152" t="s">
        <v>1817</v>
      </c>
    </row>
    <row r="153" spans="1:8">
      <c r="A153">
        <v>41134</v>
      </c>
      <c r="B153" t="s">
        <v>1818</v>
      </c>
      <c r="C153" t="s">
        <v>1819</v>
      </c>
      <c r="D153" t="s">
        <v>1820</v>
      </c>
      <c r="E153" t="s">
        <v>1821</v>
      </c>
      <c r="F153" t="s">
        <v>1822</v>
      </c>
      <c r="G153" t="s">
        <v>1823</v>
      </c>
      <c r="H153" t="s">
        <v>1824</v>
      </c>
    </row>
    <row r="154" spans="1:8">
      <c r="A154">
        <v>41135</v>
      </c>
      <c r="B154" t="s">
        <v>1825</v>
      </c>
      <c r="C154" t="s">
        <v>1826</v>
      </c>
      <c r="D154" t="s">
        <v>1827</v>
      </c>
      <c r="E154" t="s">
        <v>1828</v>
      </c>
      <c r="F154" t="s">
        <v>1829</v>
      </c>
      <c r="G154" t="s">
        <v>1830</v>
      </c>
      <c r="H154" t="s">
        <v>1831</v>
      </c>
    </row>
    <row r="155" spans="1:8">
      <c r="A155">
        <v>41136</v>
      </c>
      <c r="B155" t="s">
        <v>1832</v>
      </c>
      <c r="C155" t="s">
        <v>1833</v>
      </c>
      <c r="D155" t="s">
        <v>1834</v>
      </c>
      <c r="E155" t="s">
        <v>1835</v>
      </c>
      <c r="F155" t="s">
        <v>1836</v>
      </c>
      <c r="G155" t="s">
        <v>1837</v>
      </c>
      <c r="H155" t="s">
        <v>1838</v>
      </c>
    </row>
    <row r="156" spans="1:8">
      <c r="A156">
        <v>41137</v>
      </c>
      <c r="B156" t="s">
        <v>1839</v>
      </c>
      <c r="C156" t="s">
        <v>1840</v>
      </c>
      <c r="D156" t="s">
        <v>1841</v>
      </c>
      <c r="E156" t="s">
        <v>1842</v>
      </c>
      <c r="F156" t="s">
        <v>1843</v>
      </c>
      <c r="G156" t="s">
        <v>1844</v>
      </c>
      <c r="H156" t="s">
        <v>1845</v>
      </c>
    </row>
    <row r="157" spans="1:8">
      <c r="A157">
        <v>41123</v>
      </c>
      <c r="B157" t="s">
        <v>1846</v>
      </c>
      <c r="C157" t="s">
        <v>1847</v>
      </c>
      <c r="D157" t="s">
        <v>1848</v>
      </c>
      <c r="E157" t="s">
        <v>1849</v>
      </c>
      <c r="F157" t="s">
        <v>1850</v>
      </c>
      <c r="G157" t="s">
        <v>1851</v>
      </c>
      <c r="H157" t="s">
        <v>1852</v>
      </c>
    </row>
    <row r="158" spans="1:8">
      <c r="A158">
        <v>41124</v>
      </c>
      <c r="B158" t="s">
        <v>1853</v>
      </c>
      <c r="C158" t="s">
        <v>1854</v>
      </c>
      <c r="D158" t="s">
        <v>1855</v>
      </c>
      <c r="E158" t="s">
        <v>1856</v>
      </c>
      <c r="F158" t="s">
        <v>1857</v>
      </c>
      <c r="G158" t="s">
        <v>1858</v>
      </c>
      <c r="H158" t="s">
        <v>1859</v>
      </c>
    </row>
    <row r="159" spans="1:8">
      <c r="A159">
        <v>41127</v>
      </c>
      <c r="B159" t="s">
        <v>1860</v>
      </c>
      <c r="C159" t="s">
        <v>1861</v>
      </c>
      <c r="D159" t="s">
        <v>1862</v>
      </c>
      <c r="E159" t="s">
        <v>1863</v>
      </c>
      <c r="F159" t="s">
        <v>1864</v>
      </c>
      <c r="G159" t="s">
        <v>1865</v>
      </c>
      <c r="H159" t="s">
        <v>1866</v>
      </c>
    </row>
    <row r="160" spans="1:8">
      <c r="A160">
        <v>41128</v>
      </c>
      <c r="B160" t="s">
        <v>1867</v>
      </c>
      <c r="C160" t="s">
        <v>1868</v>
      </c>
      <c r="D160" t="s">
        <v>1869</v>
      </c>
      <c r="E160" t="s">
        <v>1870</v>
      </c>
      <c r="F160" t="s">
        <v>1871</v>
      </c>
      <c r="G160" t="s">
        <v>1872</v>
      </c>
      <c r="H160" t="s">
        <v>1873</v>
      </c>
    </row>
    <row r="161" spans="1:8">
      <c r="A161">
        <v>41129</v>
      </c>
      <c r="B161" t="s">
        <v>1874</v>
      </c>
      <c r="C161" t="s">
        <v>1875</v>
      </c>
      <c r="D161" t="s">
        <v>1876</v>
      </c>
      <c r="E161" t="s">
        <v>1877</v>
      </c>
      <c r="F161" t="s">
        <v>1878</v>
      </c>
      <c r="G161" t="s">
        <v>1879</v>
      </c>
      <c r="H161" t="s">
        <v>1880</v>
      </c>
    </row>
    <row r="162" spans="1:8">
      <c r="A162">
        <v>41130</v>
      </c>
      <c r="B162" t="s">
        <v>1881</v>
      </c>
      <c r="C162" t="s">
        <v>1882</v>
      </c>
      <c r="D162" t="s">
        <v>1883</v>
      </c>
      <c r="E162" t="s">
        <v>1884</v>
      </c>
      <c r="F162" t="s">
        <v>1885</v>
      </c>
      <c r="G162" t="s">
        <v>1886</v>
      </c>
      <c r="H162" t="s">
        <v>1887</v>
      </c>
    </row>
    <row r="163" spans="1:8">
      <c r="A163" t="s">
        <v>118</v>
      </c>
    </row>
    <row r="164" spans="1:8">
      <c r="A164" t="s">
        <v>119</v>
      </c>
    </row>
    <row r="165" spans="1:8">
      <c r="A165" t="s">
        <v>120</v>
      </c>
    </row>
    <row r="166" spans="1:8">
      <c r="A166" t="s">
        <v>121</v>
      </c>
    </row>
    <row r="167" spans="1:8">
      <c r="A167" t="s">
        <v>122</v>
      </c>
    </row>
    <row r="168" spans="1:8">
      <c r="A168" t="s">
        <v>123</v>
      </c>
    </row>
    <row r="169" spans="1:8">
      <c r="A169" t="s">
        <v>124</v>
      </c>
    </row>
    <row r="170" spans="1:8">
      <c r="A170" t="s">
        <v>125</v>
      </c>
    </row>
    <row r="171" spans="1:8">
      <c r="A171" t="s">
        <v>126</v>
      </c>
    </row>
    <row r="172" spans="1:8">
      <c r="A172" t="s">
        <v>127</v>
      </c>
    </row>
    <row r="173" spans="1:8">
      <c r="A173" t="s">
        <v>128</v>
      </c>
    </row>
    <row r="174" spans="1:8">
      <c r="A174" t="s">
        <v>129</v>
      </c>
    </row>
    <row r="175" spans="1:8">
      <c r="A175" t="s">
        <v>130</v>
      </c>
    </row>
    <row r="176" spans="1:8">
      <c r="A176" t="s">
        <v>131</v>
      </c>
    </row>
    <row r="177" spans="1:1">
      <c r="A177" t="s">
        <v>132</v>
      </c>
    </row>
    <row r="178" spans="1:1">
      <c r="A178" t="s">
        <v>133</v>
      </c>
    </row>
    <row r="179" spans="1:1">
      <c r="A179" t="s">
        <v>134</v>
      </c>
    </row>
    <row r="180" spans="1:1">
      <c r="A180" t="s">
        <v>135</v>
      </c>
    </row>
    <row r="181" spans="1:1">
      <c r="A181" t="s">
        <v>136</v>
      </c>
    </row>
    <row r="182" spans="1:1">
      <c r="A182" t="s">
        <v>137</v>
      </c>
    </row>
    <row r="183" spans="1:1">
      <c r="A183" t="s">
        <v>138</v>
      </c>
    </row>
    <row r="184" spans="1:1">
      <c r="A184" t="s">
        <v>139</v>
      </c>
    </row>
    <row r="185" spans="1:1">
      <c r="A185" t="s">
        <v>140</v>
      </c>
    </row>
    <row r="186" spans="1:1">
      <c r="A186" t="s">
        <v>141</v>
      </c>
    </row>
    <row r="187" spans="1:1">
      <c r="A187" t="s">
        <v>142</v>
      </c>
    </row>
    <row r="188" spans="1:1">
      <c r="A188" t="s">
        <v>143</v>
      </c>
    </row>
    <row r="189" spans="1:1">
      <c r="A189" t="s">
        <v>144</v>
      </c>
    </row>
    <row r="190" spans="1:1">
      <c r="A190" t="s">
        <v>145</v>
      </c>
    </row>
    <row r="191" spans="1:1">
      <c r="A191" t="s">
        <v>146</v>
      </c>
    </row>
    <row r="192" spans="1:1">
      <c r="A192" t="s">
        <v>147</v>
      </c>
    </row>
    <row r="193" spans="1:1">
      <c r="A193" t="s">
        <v>148</v>
      </c>
    </row>
    <row r="194" spans="1:1">
      <c r="A194" t="s">
        <v>149</v>
      </c>
    </row>
    <row r="195" spans="1:1">
      <c r="A195" t="s">
        <v>150</v>
      </c>
    </row>
    <row r="196" spans="1:1">
      <c r="A196" t="s">
        <v>151</v>
      </c>
    </row>
    <row r="197" spans="1:1">
      <c r="A197" t="s">
        <v>152</v>
      </c>
    </row>
    <row r="198" spans="1:1">
      <c r="A198" t="s">
        <v>153</v>
      </c>
    </row>
    <row r="199" spans="1:1">
      <c r="A199" t="s">
        <v>154</v>
      </c>
    </row>
    <row r="200" spans="1:1">
      <c r="A200" t="s">
        <v>155</v>
      </c>
    </row>
    <row r="201" spans="1:1">
      <c r="A201" t="s">
        <v>156</v>
      </c>
    </row>
    <row r="202" spans="1:1">
      <c r="A202" t="s">
        <v>157</v>
      </c>
    </row>
    <row r="203" spans="1:1">
      <c r="A203" t="s">
        <v>158</v>
      </c>
    </row>
    <row r="204" spans="1:1">
      <c r="A204" t="s">
        <v>159</v>
      </c>
    </row>
    <row r="205" spans="1:1">
      <c r="A205" t="s">
        <v>160</v>
      </c>
    </row>
    <row r="206" spans="1:1">
      <c r="A206" t="s">
        <v>161</v>
      </c>
    </row>
    <row r="207" spans="1:1">
      <c r="A207" t="s">
        <v>162</v>
      </c>
    </row>
    <row r="208" spans="1:1">
      <c r="A208" t="s">
        <v>163</v>
      </c>
    </row>
    <row r="209" spans="1:1">
      <c r="A209" t="s">
        <v>164</v>
      </c>
    </row>
    <row r="210" spans="1:1">
      <c r="A210" t="s">
        <v>165</v>
      </c>
    </row>
    <row r="211" spans="1:1">
      <c r="A211" t="s">
        <v>166</v>
      </c>
    </row>
    <row r="212" spans="1:1">
      <c r="A212" t="s">
        <v>167</v>
      </c>
    </row>
    <row r="213" spans="1:1">
      <c r="A213" t="s">
        <v>168</v>
      </c>
    </row>
    <row r="214" spans="1:1">
      <c r="A214" t="s">
        <v>169</v>
      </c>
    </row>
    <row r="215" spans="1:1">
      <c r="A215" t="s">
        <v>170</v>
      </c>
    </row>
    <row r="216" spans="1:1">
      <c r="A216" t="s">
        <v>171</v>
      </c>
    </row>
    <row r="217" spans="1:1">
      <c r="A217" t="s">
        <v>172</v>
      </c>
    </row>
    <row r="218" spans="1:1">
      <c r="A218" t="s">
        <v>173</v>
      </c>
    </row>
    <row r="219" spans="1:1">
      <c r="A219" t="s">
        <v>174</v>
      </c>
    </row>
    <row r="220" spans="1:1">
      <c r="A220" t="s">
        <v>175</v>
      </c>
    </row>
    <row r="221" spans="1:1">
      <c r="A221" t="s">
        <v>176</v>
      </c>
    </row>
    <row r="222" spans="1:1">
      <c r="A222" t="s">
        <v>177</v>
      </c>
    </row>
    <row r="223" spans="1:1">
      <c r="A223" t="s">
        <v>178</v>
      </c>
    </row>
    <row r="224" spans="1:1">
      <c r="A224" t="s">
        <v>179</v>
      </c>
    </row>
    <row r="225" spans="1:1">
      <c r="A225" t="s">
        <v>180</v>
      </c>
    </row>
    <row r="226" spans="1:1">
      <c r="A226" t="s">
        <v>181</v>
      </c>
    </row>
    <row r="227" spans="1:1">
      <c r="A227" t="s">
        <v>182</v>
      </c>
    </row>
    <row r="228" spans="1:1">
      <c r="A228" t="s">
        <v>183</v>
      </c>
    </row>
    <row r="229" spans="1:1">
      <c r="A229" t="s">
        <v>184</v>
      </c>
    </row>
    <row r="230" spans="1:1">
      <c r="A230" t="s">
        <v>185</v>
      </c>
    </row>
    <row r="231" spans="1:1">
      <c r="A231" t="s">
        <v>186</v>
      </c>
    </row>
    <row r="232" spans="1:1">
      <c r="A232" t="s">
        <v>187</v>
      </c>
    </row>
    <row r="233" spans="1:1">
      <c r="A233" t="s">
        <v>188</v>
      </c>
    </row>
    <row r="234" spans="1:1">
      <c r="A234" t="s">
        <v>189</v>
      </c>
    </row>
    <row r="235" spans="1:1">
      <c r="A235" t="s">
        <v>190</v>
      </c>
    </row>
    <row r="236" spans="1:1">
      <c r="A236" t="s">
        <v>191</v>
      </c>
    </row>
    <row r="237" spans="1:1">
      <c r="A237" t="s">
        <v>192</v>
      </c>
    </row>
    <row r="238" spans="1:1">
      <c r="A238" t="s">
        <v>193</v>
      </c>
    </row>
    <row r="239" spans="1:1">
      <c r="A239" t="s">
        <v>194</v>
      </c>
    </row>
    <row r="240" spans="1:1">
      <c r="A240" t="s">
        <v>195</v>
      </c>
    </row>
    <row r="241" spans="1:1">
      <c r="A241" t="s">
        <v>196</v>
      </c>
    </row>
    <row r="242" spans="1:1">
      <c r="A242" t="s">
        <v>197</v>
      </c>
    </row>
    <row r="243" spans="1:1">
      <c r="A243" t="s">
        <v>198</v>
      </c>
    </row>
    <row r="244" spans="1:1">
      <c r="A244" t="s">
        <v>199</v>
      </c>
    </row>
    <row r="245" spans="1:1">
      <c r="A245" t="s">
        <v>200</v>
      </c>
    </row>
    <row r="246" spans="1:1">
      <c r="A246" t="s">
        <v>201</v>
      </c>
    </row>
    <row r="247" spans="1:1">
      <c r="A247" t="s">
        <v>202</v>
      </c>
    </row>
    <row r="248" spans="1:1">
      <c r="A248" t="s">
        <v>203</v>
      </c>
    </row>
    <row r="249" spans="1:1">
      <c r="A249" t="s">
        <v>204</v>
      </c>
    </row>
    <row r="250" spans="1:1">
      <c r="A250" t="s">
        <v>205</v>
      </c>
    </row>
    <row r="251" spans="1:1">
      <c r="A251" t="s">
        <v>206</v>
      </c>
    </row>
    <row r="252" spans="1:1">
      <c r="A252" t="s">
        <v>207</v>
      </c>
    </row>
    <row r="253" spans="1:1">
      <c r="A253" t="s">
        <v>208</v>
      </c>
    </row>
    <row r="254" spans="1:1">
      <c r="A254" t="s">
        <v>209</v>
      </c>
    </row>
    <row r="255" spans="1:1">
      <c r="A255" t="s">
        <v>210</v>
      </c>
    </row>
    <row r="256" spans="1:1">
      <c r="A256" t="s">
        <v>211</v>
      </c>
    </row>
    <row r="257" spans="1:1">
      <c r="A257" t="s">
        <v>212</v>
      </c>
    </row>
    <row r="258" spans="1:1">
      <c r="A258" t="s">
        <v>213</v>
      </c>
    </row>
    <row r="259" spans="1:1">
      <c r="A259" t="s">
        <v>214</v>
      </c>
    </row>
    <row r="260" spans="1:1">
      <c r="A260" t="s">
        <v>215</v>
      </c>
    </row>
    <row r="261" spans="1:1">
      <c r="A261" t="s">
        <v>216</v>
      </c>
    </row>
    <row r="262" spans="1:1">
      <c r="A262" t="s">
        <v>217</v>
      </c>
    </row>
    <row r="263" spans="1:1">
      <c r="A263" t="s">
        <v>218</v>
      </c>
    </row>
    <row r="264" spans="1:1">
      <c r="A264" t="s">
        <v>219</v>
      </c>
    </row>
    <row r="265" spans="1:1">
      <c r="A265" t="s">
        <v>220</v>
      </c>
    </row>
    <row r="266" spans="1:1">
      <c r="A266" t="s">
        <v>221</v>
      </c>
    </row>
    <row r="267" spans="1:1">
      <c r="A267" t="s">
        <v>222</v>
      </c>
    </row>
    <row r="268" spans="1:1">
      <c r="A268" t="s">
        <v>223</v>
      </c>
    </row>
    <row r="269" spans="1:1">
      <c r="A269" t="s">
        <v>224</v>
      </c>
    </row>
    <row r="270" spans="1:1">
      <c r="A270" t="s">
        <v>225</v>
      </c>
    </row>
    <row r="271" spans="1:1">
      <c r="A271" t="s">
        <v>226</v>
      </c>
    </row>
    <row r="272" spans="1:1">
      <c r="A272" t="s">
        <v>227</v>
      </c>
    </row>
    <row r="273" spans="1:1">
      <c r="A273" t="s">
        <v>228</v>
      </c>
    </row>
    <row r="274" spans="1:1">
      <c r="A274" t="s">
        <v>229</v>
      </c>
    </row>
    <row r="275" spans="1:1">
      <c r="A275" t="s">
        <v>230</v>
      </c>
    </row>
    <row r="276" spans="1:1">
      <c r="A276" t="s">
        <v>231</v>
      </c>
    </row>
    <row r="277" spans="1:1">
      <c r="A277" t="s">
        <v>232</v>
      </c>
    </row>
    <row r="278" spans="1:1">
      <c r="A278" t="s">
        <v>233</v>
      </c>
    </row>
    <row r="279" spans="1:1">
      <c r="A279" t="s">
        <v>234</v>
      </c>
    </row>
    <row r="280" spans="1:1">
      <c r="A280" t="s">
        <v>235</v>
      </c>
    </row>
    <row r="281" spans="1:1">
      <c r="A281" t="s">
        <v>236</v>
      </c>
    </row>
    <row r="282" spans="1:1">
      <c r="A282" t="s">
        <v>237</v>
      </c>
    </row>
    <row r="283" spans="1:1">
      <c r="A283" t="s">
        <v>238</v>
      </c>
    </row>
    <row r="284" spans="1:1">
      <c r="A284" t="s">
        <v>239</v>
      </c>
    </row>
    <row r="285" spans="1:1">
      <c r="A285" t="s">
        <v>240</v>
      </c>
    </row>
    <row r="286" spans="1:1">
      <c r="A286" t="s">
        <v>241</v>
      </c>
    </row>
    <row r="287" spans="1:1">
      <c r="A287" t="s">
        <v>242</v>
      </c>
    </row>
    <row r="288" spans="1:1">
      <c r="A288" t="s">
        <v>243</v>
      </c>
    </row>
    <row r="289" spans="1:1">
      <c r="A289" t="s">
        <v>244</v>
      </c>
    </row>
    <row r="290" spans="1:1">
      <c r="A290" t="s">
        <v>245</v>
      </c>
    </row>
    <row r="291" spans="1:1">
      <c r="A291" t="s">
        <v>246</v>
      </c>
    </row>
    <row r="292" spans="1:1">
      <c r="A292" t="s">
        <v>247</v>
      </c>
    </row>
    <row r="293" spans="1:1">
      <c r="A293" t="s">
        <v>248</v>
      </c>
    </row>
    <row r="294" spans="1:1">
      <c r="A294" t="s">
        <v>249</v>
      </c>
    </row>
    <row r="295" spans="1:1">
      <c r="A295" t="s">
        <v>250</v>
      </c>
    </row>
    <row r="296" spans="1:1">
      <c r="A296" t="s">
        <v>251</v>
      </c>
    </row>
    <row r="297" spans="1:1">
      <c r="A297" t="s">
        <v>252</v>
      </c>
    </row>
    <row r="298" spans="1:1">
      <c r="A298" t="s">
        <v>253</v>
      </c>
    </row>
    <row r="299" spans="1:1">
      <c r="A299" t="s">
        <v>254</v>
      </c>
    </row>
    <row r="300" spans="1:1">
      <c r="A300" t="s">
        <v>255</v>
      </c>
    </row>
    <row r="301" spans="1:1">
      <c r="A301" t="s">
        <v>256</v>
      </c>
    </row>
    <row r="302" spans="1:1">
      <c r="A302" t="s">
        <v>257</v>
      </c>
    </row>
    <row r="303" spans="1:1">
      <c r="A303" t="s">
        <v>258</v>
      </c>
    </row>
    <row r="304" spans="1:1">
      <c r="A304" t="s">
        <v>259</v>
      </c>
    </row>
    <row r="305" spans="1:1">
      <c r="A305" t="s">
        <v>260</v>
      </c>
    </row>
    <row r="306" spans="1:1">
      <c r="A306" t="s">
        <v>261</v>
      </c>
    </row>
    <row r="307" spans="1:1">
      <c r="A307" t="s">
        <v>262</v>
      </c>
    </row>
    <row r="308" spans="1:1">
      <c r="A308" t="s">
        <v>263</v>
      </c>
    </row>
    <row r="309" spans="1:1">
      <c r="A309" t="s">
        <v>264</v>
      </c>
    </row>
    <row r="310" spans="1:1">
      <c r="A310" t="s">
        <v>265</v>
      </c>
    </row>
    <row r="311" spans="1:1">
      <c r="A311" t="s">
        <v>266</v>
      </c>
    </row>
    <row r="312" spans="1:1">
      <c r="A312" t="s">
        <v>267</v>
      </c>
    </row>
    <row r="313" spans="1:1">
      <c r="A313" t="s">
        <v>268</v>
      </c>
    </row>
    <row r="314" spans="1:1">
      <c r="A314" t="s">
        <v>269</v>
      </c>
    </row>
    <row r="315" spans="1:1">
      <c r="A315" t="s">
        <v>270</v>
      </c>
    </row>
    <row r="316" spans="1:1">
      <c r="A316" t="s">
        <v>271</v>
      </c>
    </row>
    <row r="317" spans="1:1">
      <c r="A317" t="s">
        <v>272</v>
      </c>
    </row>
    <row r="318" spans="1:1">
      <c r="A318" t="s">
        <v>273</v>
      </c>
    </row>
    <row r="319" spans="1:1">
      <c r="A319" t="s">
        <v>274</v>
      </c>
    </row>
    <row r="320" spans="1:1">
      <c r="A320" t="s">
        <v>275</v>
      </c>
    </row>
    <row r="321" spans="1:1">
      <c r="A321" t="s">
        <v>276</v>
      </c>
    </row>
    <row r="322" spans="1:1">
      <c r="A322" t="s">
        <v>277</v>
      </c>
    </row>
    <row r="323" spans="1:1">
      <c r="A323" t="s">
        <v>278</v>
      </c>
    </row>
    <row r="324" spans="1:1">
      <c r="A324" t="s">
        <v>279</v>
      </c>
    </row>
    <row r="325" spans="1:1">
      <c r="A325" t="s">
        <v>280</v>
      </c>
    </row>
    <row r="326" spans="1:1">
      <c r="A326" t="s">
        <v>281</v>
      </c>
    </row>
    <row r="327" spans="1:1">
      <c r="A327" t="s">
        <v>282</v>
      </c>
    </row>
    <row r="328" spans="1:1">
      <c r="A328" t="s">
        <v>283</v>
      </c>
    </row>
    <row r="329" spans="1:1">
      <c r="A329" t="s">
        <v>284</v>
      </c>
    </row>
    <row r="330" spans="1:1">
      <c r="A330" t="s">
        <v>285</v>
      </c>
    </row>
    <row r="331" spans="1:1">
      <c r="A331" t="s">
        <v>286</v>
      </c>
    </row>
    <row r="332" spans="1:1">
      <c r="A332" t="s">
        <v>287</v>
      </c>
    </row>
    <row r="333" spans="1:1">
      <c r="A333" t="s">
        <v>288</v>
      </c>
    </row>
    <row r="334" spans="1:1">
      <c r="A334" t="s">
        <v>289</v>
      </c>
    </row>
    <row r="335" spans="1:1">
      <c r="A335" t="s">
        <v>290</v>
      </c>
    </row>
    <row r="336" spans="1:1">
      <c r="A336" t="s">
        <v>291</v>
      </c>
    </row>
    <row r="337" spans="1:1">
      <c r="A337" t="s">
        <v>292</v>
      </c>
    </row>
    <row r="338" spans="1:1">
      <c r="A338" t="s">
        <v>293</v>
      </c>
    </row>
    <row r="339" spans="1:1">
      <c r="A339" t="s">
        <v>294</v>
      </c>
    </row>
    <row r="340" spans="1:1">
      <c r="A340" t="s">
        <v>295</v>
      </c>
    </row>
    <row r="341" spans="1:1">
      <c r="A341" t="s">
        <v>296</v>
      </c>
    </row>
    <row r="342" spans="1:1">
      <c r="A342" t="s">
        <v>297</v>
      </c>
    </row>
    <row r="343" spans="1:1">
      <c r="A343" t="s">
        <v>298</v>
      </c>
    </row>
    <row r="344" spans="1:1">
      <c r="A344" t="s">
        <v>299</v>
      </c>
    </row>
    <row r="345" spans="1:1">
      <c r="A345" t="s">
        <v>300</v>
      </c>
    </row>
    <row r="346" spans="1:1">
      <c r="A346" t="s">
        <v>301</v>
      </c>
    </row>
    <row r="347" spans="1:1">
      <c r="A347" t="s">
        <v>302</v>
      </c>
    </row>
    <row r="348" spans="1:1">
      <c r="A348" t="s">
        <v>303</v>
      </c>
    </row>
    <row r="349" spans="1:1">
      <c r="A349" t="s">
        <v>304</v>
      </c>
    </row>
    <row r="350" spans="1:1">
      <c r="A350" t="s">
        <v>305</v>
      </c>
    </row>
    <row r="351" spans="1:1">
      <c r="A351" t="s">
        <v>306</v>
      </c>
    </row>
    <row r="352" spans="1:1">
      <c r="A352" t="s">
        <v>307</v>
      </c>
    </row>
    <row r="353" spans="1:1">
      <c r="A353" t="s">
        <v>308</v>
      </c>
    </row>
    <row r="354" spans="1:1">
      <c r="A354" t="s">
        <v>309</v>
      </c>
    </row>
    <row r="355" spans="1:1">
      <c r="A355" t="s">
        <v>310</v>
      </c>
    </row>
    <row r="356" spans="1:1">
      <c r="A356" t="s">
        <v>311</v>
      </c>
    </row>
    <row r="357" spans="1:1">
      <c r="A357" t="s">
        <v>312</v>
      </c>
    </row>
    <row r="358" spans="1:1">
      <c r="A358" t="s">
        <v>313</v>
      </c>
    </row>
    <row r="359" spans="1:1">
      <c r="A359" t="s">
        <v>314</v>
      </c>
    </row>
    <row r="360" spans="1:1">
      <c r="A360" t="s">
        <v>315</v>
      </c>
    </row>
    <row r="361" spans="1:1">
      <c r="A361" t="s">
        <v>316</v>
      </c>
    </row>
    <row r="362" spans="1:1">
      <c r="A362" t="s">
        <v>317</v>
      </c>
    </row>
    <row r="363" spans="1:1">
      <c r="A363" t="s">
        <v>318</v>
      </c>
    </row>
    <row r="364" spans="1:1">
      <c r="A364" t="s">
        <v>319</v>
      </c>
    </row>
    <row r="365" spans="1:1">
      <c r="A365" t="s">
        <v>320</v>
      </c>
    </row>
    <row r="366" spans="1:1">
      <c r="A366" t="s">
        <v>321</v>
      </c>
    </row>
    <row r="367" spans="1:1">
      <c r="A367" t="s">
        <v>322</v>
      </c>
    </row>
    <row r="368" spans="1:1">
      <c r="A368" t="s">
        <v>323</v>
      </c>
    </row>
    <row r="369" spans="1:1">
      <c r="A369" t="s">
        <v>324</v>
      </c>
    </row>
    <row r="370" spans="1:1">
      <c r="A370" t="s">
        <v>325</v>
      </c>
    </row>
    <row r="371" spans="1:1">
      <c r="A371" t="s">
        <v>326</v>
      </c>
    </row>
    <row r="372" spans="1:1">
      <c r="A372" t="s">
        <v>327</v>
      </c>
    </row>
    <row r="373" spans="1:1">
      <c r="A373" t="s">
        <v>328</v>
      </c>
    </row>
    <row r="374" spans="1:1">
      <c r="A374" t="s">
        <v>329</v>
      </c>
    </row>
    <row r="375" spans="1:1">
      <c r="A375" t="s">
        <v>330</v>
      </c>
    </row>
    <row r="376" spans="1:1">
      <c r="A376" t="s">
        <v>331</v>
      </c>
    </row>
    <row r="377" spans="1:1">
      <c r="A377" t="s">
        <v>332</v>
      </c>
    </row>
    <row r="378" spans="1:1">
      <c r="A378" t="s">
        <v>333</v>
      </c>
    </row>
    <row r="379" spans="1:1">
      <c r="A379" t="s">
        <v>334</v>
      </c>
    </row>
    <row r="380" spans="1:1">
      <c r="A380" t="s">
        <v>335</v>
      </c>
    </row>
    <row r="381" spans="1:1">
      <c r="A381" t="s">
        <v>336</v>
      </c>
    </row>
    <row r="382" spans="1:1">
      <c r="A382" t="s">
        <v>337</v>
      </c>
    </row>
    <row r="383" spans="1:1">
      <c r="A383" t="s">
        <v>338</v>
      </c>
    </row>
    <row r="384" spans="1:1">
      <c r="A384" t="s">
        <v>339</v>
      </c>
    </row>
    <row r="385" spans="1:1">
      <c r="A385" t="s">
        <v>340</v>
      </c>
    </row>
    <row r="386" spans="1:1">
      <c r="A386" t="s">
        <v>341</v>
      </c>
    </row>
    <row r="387" spans="1:1">
      <c r="A387" t="s">
        <v>342</v>
      </c>
    </row>
    <row r="388" spans="1:1">
      <c r="A388" t="s">
        <v>343</v>
      </c>
    </row>
    <row r="389" spans="1:1">
      <c r="A389" t="s">
        <v>344</v>
      </c>
    </row>
    <row r="390" spans="1:1">
      <c r="A390" t="s">
        <v>345</v>
      </c>
    </row>
    <row r="391" spans="1:1">
      <c r="A391" t="s">
        <v>346</v>
      </c>
    </row>
    <row r="392" spans="1:1">
      <c r="A392" t="s">
        <v>347</v>
      </c>
    </row>
    <row r="393" spans="1:1">
      <c r="A393" t="s">
        <v>348</v>
      </c>
    </row>
    <row r="394" spans="1:1">
      <c r="A394" t="s">
        <v>349</v>
      </c>
    </row>
    <row r="395" spans="1:1">
      <c r="A395" t="s">
        <v>350</v>
      </c>
    </row>
    <row r="396" spans="1:1">
      <c r="A396" t="s">
        <v>351</v>
      </c>
    </row>
    <row r="397" spans="1:1">
      <c r="A397" t="s">
        <v>352</v>
      </c>
    </row>
    <row r="398" spans="1:1">
      <c r="A398" t="s">
        <v>353</v>
      </c>
    </row>
    <row r="399" spans="1:1">
      <c r="A399" t="s">
        <v>354</v>
      </c>
    </row>
    <row r="400" spans="1:1">
      <c r="A400" t="s">
        <v>355</v>
      </c>
    </row>
    <row r="401" spans="1:1">
      <c r="A401" t="s">
        <v>356</v>
      </c>
    </row>
    <row r="402" spans="1:1">
      <c r="A402" t="s">
        <v>357</v>
      </c>
    </row>
    <row r="403" spans="1:1">
      <c r="A403" t="s">
        <v>358</v>
      </c>
    </row>
    <row r="404" spans="1:1">
      <c r="A404" t="s">
        <v>359</v>
      </c>
    </row>
    <row r="405" spans="1:1">
      <c r="A405" t="s">
        <v>360</v>
      </c>
    </row>
    <row r="406" spans="1:1">
      <c r="A406" t="s">
        <v>361</v>
      </c>
    </row>
    <row r="407" spans="1:1">
      <c r="A407" t="s">
        <v>362</v>
      </c>
    </row>
    <row r="408" spans="1:1">
      <c r="A408" t="s">
        <v>363</v>
      </c>
    </row>
    <row r="409" spans="1:1">
      <c r="A409" t="s">
        <v>364</v>
      </c>
    </row>
    <row r="410" spans="1:1">
      <c r="A410" t="s">
        <v>365</v>
      </c>
    </row>
    <row r="411" spans="1:1">
      <c r="A411" t="s">
        <v>366</v>
      </c>
    </row>
    <row r="412" spans="1:1">
      <c r="A412" t="s">
        <v>367</v>
      </c>
    </row>
    <row r="413" spans="1:1">
      <c r="A413" t="s">
        <v>368</v>
      </c>
    </row>
    <row r="414" spans="1:1">
      <c r="A414" t="s">
        <v>369</v>
      </c>
    </row>
    <row r="415" spans="1:1">
      <c r="A415" t="s">
        <v>370</v>
      </c>
    </row>
    <row r="416" spans="1:1">
      <c r="A416" t="s">
        <v>371</v>
      </c>
    </row>
    <row r="417" spans="1:1">
      <c r="A417" t="s">
        <v>372</v>
      </c>
    </row>
    <row r="418" spans="1:1">
      <c r="A418" t="s">
        <v>373</v>
      </c>
    </row>
    <row r="419" spans="1:1">
      <c r="A419" t="s">
        <v>374</v>
      </c>
    </row>
    <row r="420" spans="1:1">
      <c r="A420" t="s">
        <v>375</v>
      </c>
    </row>
    <row r="421" spans="1:1">
      <c r="A421" t="s">
        <v>376</v>
      </c>
    </row>
    <row r="422" spans="1:1">
      <c r="A422" t="s">
        <v>377</v>
      </c>
    </row>
    <row r="423" spans="1:1">
      <c r="A423" t="s">
        <v>378</v>
      </c>
    </row>
    <row r="424" spans="1:1">
      <c r="A424" t="s">
        <v>379</v>
      </c>
    </row>
    <row r="425" spans="1:1">
      <c r="A425" t="s">
        <v>380</v>
      </c>
    </row>
    <row r="426" spans="1:1">
      <c r="A426" t="s">
        <v>381</v>
      </c>
    </row>
    <row r="427" spans="1:1">
      <c r="A427" t="s">
        <v>382</v>
      </c>
    </row>
    <row r="428" spans="1:1">
      <c r="A428" t="s">
        <v>383</v>
      </c>
    </row>
    <row r="429" spans="1:1">
      <c r="A429" t="s">
        <v>384</v>
      </c>
    </row>
    <row r="430" spans="1:1">
      <c r="A430" t="s">
        <v>385</v>
      </c>
    </row>
    <row r="431" spans="1:1">
      <c r="A431" t="s">
        <v>386</v>
      </c>
    </row>
    <row r="432" spans="1:1">
      <c r="A432" t="s">
        <v>387</v>
      </c>
    </row>
    <row r="433" spans="1:1">
      <c r="A433" t="s">
        <v>388</v>
      </c>
    </row>
    <row r="434" spans="1:1">
      <c r="A434" t="s">
        <v>389</v>
      </c>
    </row>
    <row r="435" spans="1:1">
      <c r="A435" t="s">
        <v>390</v>
      </c>
    </row>
    <row r="436" spans="1:1">
      <c r="A436" t="s">
        <v>391</v>
      </c>
    </row>
    <row r="437" spans="1:1">
      <c r="A437" t="s">
        <v>392</v>
      </c>
    </row>
    <row r="438" spans="1:1">
      <c r="A438" t="s">
        <v>393</v>
      </c>
    </row>
    <row r="439" spans="1:1">
      <c r="A439" t="s">
        <v>394</v>
      </c>
    </row>
    <row r="440" spans="1:1">
      <c r="A440" t="s">
        <v>395</v>
      </c>
    </row>
    <row r="441" spans="1:1">
      <c r="A441" t="s">
        <v>396</v>
      </c>
    </row>
    <row r="442" spans="1:1">
      <c r="A442" t="s">
        <v>397</v>
      </c>
    </row>
    <row r="443" spans="1:1">
      <c r="A443" t="s">
        <v>398</v>
      </c>
    </row>
    <row r="444" spans="1:1">
      <c r="A444" t="s">
        <v>399</v>
      </c>
    </row>
    <row r="445" spans="1:1">
      <c r="A445" t="s">
        <v>400</v>
      </c>
    </row>
    <row r="446" spans="1:1">
      <c r="A446" t="s">
        <v>401</v>
      </c>
    </row>
    <row r="447" spans="1:1">
      <c r="A447" t="s">
        <v>402</v>
      </c>
    </row>
    <row r="448" spans="1:1">
      <c r="A448" t="s">
        <v>403</v>
      </c>
    </row>
    <row r="449" spans="1:1">
      <c r="A449" t="s">
        <v>404</v>
      </c>
    </row>
    <row r="450" spans="1:1">
      <c r="A450" t="s">
        <v>405</v>
      </c>
    </row>
    <row r="451" spans="1:1">
      <c r="A451" t="s">
        <v>406</v>
      </c>
    </row>
    <row r="452" spans="1:1">
      <c r="A452" t="s">
        <v>407</v>
      </c>
    </row>
    <row r="453" spans="1:1">
      <c r="A453" t="s">
        <v>408</v>
      </c>
    </row>
    <row r="454" spans="1:1">
      <c r="A454" t="s">
        <v>409</v>
      </c>
    </row>
    <row r="455" spans="1:1">
      <c r="A455" t="s">
        <v>410</v>
      </c>
    </row>
    <row r="456" spans="1:1">
      <c r="A456" t="s">
        <v>411</v>
      </c>
    </row>
    <row r="457" spans="1:1">
      <c r="A457" t="s">
        <v>412</v>
      </c>
    </row>
    <row r="458" spans="1:1">
      <c r="A458" t="s">
        <v>413</v>
      </c>
    </row>
    <row r="459" spans="1:1">
      <c r="A459" t="s">
        <v>414</v>
      </c>
    </row>
    <row r="460" spans="1:1">
      <c r="A460" t="s">
        <v>415</v>
      </c>
    </row>
    <row r="461" spans="1:1">
      <c r="A461" t="s">
        <v>416</v>
      </c>
    </row>
    <row r="462" spans="1:1">
      <c r="A462" t="s">
        <v>417</v>
      </c>
    </row>
    <row r="463" spans="1:1">
      <c r="A463" t="s">
        <v>418</v>
      </c>
    </row>
    <row r="464" spans="1:1">
      <c r="A464" t="s">
        <v>419</v>
      </c>
    </row>
    <row r="465" spans="1:1">
      <c r="A465" t="s">
        <v>420</v>
      </c>
    </row>
    <row r="466" spans="1:1">
      <c r="A466" t="s">
        <v>421</v>
      </c>
    </row>
    <row r="467" spans="1:1">
      <c r="A467" t="s">
        <v>422</v>
      </c>
    </row>
    <row r="468" spans="1:1">
      <c r="A468" t="s">
        <v>423</v>
      </c>
    </row>
    <row r="469" spans="1:1">
      <c r="A469" t="s">
        <v>424</v>
      </c>
    </row>
    <row r="470" spans="1:1">
      <c r="A470" t="s">
        <v>425</v>
      </c>
    </row>
    <row r="471" spans="1:1">
      <c r="A471" t="s">
        <v>426</v>
      </c>
    </row>
    <row r="472" spans="1:1">
      <c r="A472" t="s">
        <v>427</v>
      </c>
    </row>
    <row r="473" spans="1:1">
      <c r="A473" t="s">
        <v>428</v>
      </c>
    </row>
    <row r="474" spans="1:1">
      <c r="A474" t="s">
        <v>429</v>
      </c>
    </row>
    <row r="475" spans="1:1">
      <c r="A475" t="s">
        <v>430</v>
      </c>
    </row>
    <row r="476" spans="1:1">
      <c r="A476" t="s">
        <v>431</v>
      </c>
    </row>
    <row r="477" spans="1:1">
      <c r="A477" t="s">
        <v>432</v>
      </c>
    </row>
    <row r="478" spans="1:1">
      <c r="A478" t="s">
        <v>433</v>
      </c>
    </row>
    <row r="479" spans="1:1">
      <c r="A479" t="s">
        <v>434</v>
      </c>
    </row>
    <row r="480" spans="1:1">
      <c r="A480" t="s">
        <v>435</v>
      </c>
    </row>
    <row r="481" spans="1:1">
      <c r="A481" t="s">
        <v>436</v>
      </c>
    </row>
    <row r="482" spans="1:1">
      <c r="A482" t="s">
        <v>437</v>
      </c>
    </row>
    <row r="483" spans="1:1">
      <c r="A483" t="s">
        <v>438</v>
      </c>
    </row>
    <row r="484" spans="1:1">
      <c r="A484" t="s">
        <v>439</v>
      </c>
    </row>
    <row r="485" spans="1:1">
      <c r="A485" t="s">
        <v>440</v>
      </c>
    </row>
    <row r="486" spans="1:1">
      <c r="A486" t="s">
        <v>441</v>
      </c>
    </row>
    <row r="487" spans="1:1">
      <c r="A487" t="s">
        <v>442</v>
      </c>
    </row>
    <row r="488" spans="1:1">
      <c r="A488" t="s">
        <v>443</v>
      </c>
    </row>
    <row r="489" spans="1:1">
      <c r="A489" t="s">
        <v>444</v>
      </c>
    </row>
    <row r="490" spans="1:1">
      <c r="A490" t="s">
        <v>445</v>
      </c>
    </row>
    <row r="491" spans="1:1">
      <c r="A491" t="s">
        <v>446</v>
      </c>
    </row>
    <row r="492" spans="1:1">
      <c r="A492" t="s">
        <v>447</v>
      </c>
    </row>
    <row r="493" spans="1:1">
      <c r="A493" t="s">
        <v>448</v>
      </c>
    </row>
    <row r="494" spans="1:1">
      <c r="A494" t="s">
        <v>449</v>
      </c>
    </row>
    <row r="495" spans="1:1">
      <c r="A495" t="s">
        <v>450</v>
      </c>
    </row>
    <row r="496" spans="1:1">
      <c r="A496" t="s">
        <v>451</v>
      </c>
    </row>
    <row r="497" spans="1:1">
      <c r="A497" t="s">
        <v>452</v>
      </c>
    </row>
    <row r="498" spans="1:1">
      <c r="A498" t="s">
        <v>453</v>
      </c>
    </row>
    <row r="499" spans="1:1">
      <c r="A499" t="s">
        <v>454</v>
      </c>
    </row>
    <row r="500" spans="1:1">
      <c r="A500" t="s">
        <v>455</v>
      </c>
    </row>
    <row r="501" spans="1:1">
      <c r="A501" t="s">
        <v>456</v>
      </c>
    </row>
    <row r="502" spans="1:1">
      <c r="A502" t="s">
        <v>457</v>
      </c>
    </row>
    <row r="503" spans="1:1">
      <c r="A503" t="s">
        <v>458</v>
      </c>
    </row>
    <row r="504" spans="1:1">
      <c r="A504" t="s">
        <v>459</v>
      </c>
    </row>
    <row r="505" spans="1:1">
      <c r="A505" t="s">
        <v>460</v>
      </c>
    </row>
    <row r="506" spans="1:1">
      <c r="A506" t="s">
        <v>461</v>
      </c>
    </row>
    <row r="507" spans="1:1">
      <c r="A507" t="s">
        <v>462</v>
      </c>
    </row>
    <row r="508" spans="1:1">
      <c r="A508" t="s">
        <v>463</v>
      </c>
    </row>
    <row r="509" spans="1:1">
      <c r="A509" t="s">
        <v>464</v>
      </c>
    </row>
    <row r="510" spans="1:1">
      <c r="A510" t="s">
        <v>465</v>
      </c>
    </row>
    <row r="511" spans="1:1">
      <c r="A511" t="s">
        <v>466</v>
      </c>
    </row>
    <row r="512" spans="1:1">
      <c r="A512" t="s">
        <v>467</v>
      </c>
    </row>
    <row r="513" spans="1:1">
      <c r="A513" t="s">
        <v>468</v>
      </c>
    </row>
    <row r="514" spans="1:1">
      <c r="A514" t="s">
        <v>469</v>
      </c>
    </row>
    <row r="515" spans="1:1">
      <c r="A515" t="s">
        <v>470</v>
      </c>
    </row>
    <row r="516" spans="1:1">
      <c r="A516" t="s">
        <v>471</v>
      </c>
    </row>
    <row r="517" spans="1:1">
      <c r="A517" t="s">
        <v>472</v>
      </c>
    </row>
    <row r="518" spans="1:1">
      <c r="A518" t="s">
        <v>473</v>
      </c>
    </row>
    <row r="519" spans="1:1">
      <c r="A519" t="s">
        <v>474</v>
      </c>
    </row>
    <row r="520" spans="1:1">
      <c r="A520" t="s">
        <v>475</v>
      </c>
    </row>
    <row r="521" spans="1:1">
      <c r="A521" t="s">
        <v>476</v>
      </c>
    </row>
    <row r="522" spans="1:1">
      <c r="A522" t="s">
        <v>477</v>
      </c>
    </row>
    <row r="523" spans="1:1">
      <c r="A523" t="s">
        <v>478</v>
      </c>
    </row>
    <row r="524" spans="1:1">
      <c r="A524" t="s">
        <v>479</v>
      </c>
    </row>
    <row r="525" spans="1:1">
      <c r="A525" t="s">
        <v>480</v>
      </c>
    </row>
    <row r="526" spans="1:1">
      <c r="A526" t="s">
        <v>481</v>
      </c>
    </row>
    <row r="527" spans="1:1">
      <c r="A527" t="s">
        <v>482</v>
      </c>
    </row>
    <row r="528" spans="1:1">
      <c r="A528" t="s">
        <v>483</v>
      </c>
    </row>
    <row r="529" spans="1:1">
      <c r="A529" t="s">
        <v>484</v>
      </c>
    </row>
    <row r="530" spans="1:1">
      <c r="A530" t="s">
        <v>485</v>
      </c>
    </row>
    <row r="531" spans="1:1">
      <c r="A531" t="s">
        <v>486</v>
      </c>
    </row>
    <row r="532" spans="1:1">
      <c r="A532" t="s">
        <v>487</v>
      </c>
    </row>
    <row r="533" spans="1:1">
      <c r="A533" t="s">
        <v>488</v>
      </c>
    </row>
    <row r="534" spans="1:1">
      <c r="A534" t="s">
        <v>489</v>
      </c>
    </row>
    <row r="535" spans="1:1">
      <c r="A535" t="s">
        <v>490</v>
      </c>
    </row>
    <row r="536" spans="1:1">
      <c r="A536" t="s">
        <v>491</v>
      </c>
    </row>
    <row r="537" spans="1:1">
      <c r="A537" t="s">
        <v>492</v>
      </c>
    </row>
    <row r="538" spans="1:1">
      <c r="A538" t="s">
        <v>493</v>
      </c>
    </row>
    <row r="539" spans="1:1">
      <c r="A539" t="s">
        <v>494</v>
      </c>
    </row>
    <row r="540" spans="1:1">
      <c r="A540" t="s">
        <v>495</v>
      </c>
    </row>
    <row r="541" spans="1:1">
      <c r="A541" t="s">
        <v>496</v>
      </c>
    </row>
    <row r="542" spans="1:1">
      <c r="A542" t="s">
        <v>497</v>
      </c>
    </row>
    <row r="543" spans="1:1">
      <c r="A543" t="s">
        <v>498</v>
      </c>
    </row>
    <row r="544" spans="1:1">
      <c r="A544" t="s">
        <v>499</v>
      </c>
    </row>
    <row r="545" spans="1:1">
      <c r="A545" t="s">
        <v>500</v>
      </c>
    </row>
    <row r="546" spans="1:1">
      <c r="A546" t="s">
        <v>501</v>
      </c>
    </row>
    <row r="547" spans="1:1">
      <c r="A547" t="s">
        <v>502</v>
      </c>
    </row>
    <row r="548" spans="1:1">
      <c r="A548" t="s">
        <v>503</v>
      </c>
    </row>
    <row r="549" spans="1:1">
      <c r="A549" t="s">
        <v>504</v>
      </c>
    </row>
    <row r="550" spans="1:1">
      <c r="A550" t="s">
        <v>505</v>
      </c>
    </row>
    <row r="551" spans="1:1">
      <c r="A551" t="s">
        <v>506</v>
      </c>
    </row>
    <row r="552" spans="1:1">
      <c r="A552" t="s">
        <v>507</v>
      </c>
    </row>
    <row r="553" spans="1:1">
      <c r="A553" t="s">
        <v>508</v>
      </c>
    </row>
    <row r="554" spans="1:1">
      <c r="A554" t="s">
        <v>509</v>
      </c>
    </row>
    <row r="555" spans="1:1">
      <c r="A555" t="s">
        <v>510</v>
      </c>
    </row>
    <row r="556" spans="1:1">
      <c r="A556" t="s">
        <v>511</v>
      </c>
    </row>
    <row r="557" spans="1:1">
      <c r="A557" t="s">
        <v>512</v>
      </c>
    </row>
    <row r="558" spans="1:1">
      <c r="A558" t="s">
        <v>513</v>
      </c>
    </row>
    <row r="559" spans="1:1">
      <c r="A559" t="s">
        <v>514</v>
      </c>
    </row>
    <row r="560" spans="1:1">
      <c r="A560" t="s">
        <v>515</v>
      </c>
    </row>
    <row r="561" spans="1:1">
      <c r="A561" t="s">
        <v>516</v>
      </c>
    </row>
    <row r="562" spans="1:1">
      <c r="A562" t="s">
        <v>517</v>
      </c>
    </row>
    <row r="563" spans="1:1">
      <c r="A563" t="s">
        <v>518</v>
      </c>
    </row>
    <row r="564" spans="1:1">
      <c r="A564" t="s">
        <v>519</v>
      </c>
    </row>
    <row r="565" spans="1:1">
      <c r="A565" t="s">
        <v>520</v>
      </c>
    </row>
    <row r="566" spans="1:1">
      <c r="A566" t="s">
        <v>521</v>
      </c>
    </row>
    <row r="567" spans="1:1">
      <c r="A567" t="s">
        <v>522</v>
      </c>
    </row>
    <row r="568" spans="1:1">
      <c r="A568" t="s">
        <v>523</v>
      </c>
    </row>
    <row r="569" spans="1:1">
      <c r="A569" t="s">
        <v>524</v>
      </c>
    </row>
    <row r="570" spans="1:1">
      <c r="A570" t="s">
        <v>525</v>
      </c>
    </row>
    <row r="571" spans="1:1">
      <c r="A571" t="s">
        <v>526</v>
      </c>
    </row>
    <row r="572" spans="1:1">
      <c r="A572" t="s">
        <v>527</v>
      </c>
    </row>
    <row r="573" spans="1:1">
      <c r="A573" t="s">
        <v>528</v>
      </c>
    </row>
    <row r="574" spans="1:1">
      <c r="A574" t="s">
        <v>529</v>
      </c>
    </row>
    <row r="575" spans="1:1">
      <c r="A575" t="s">
        <v>530</v>
      </c>
    </row>
    <row r="576" spans="1:1">
      <c r="A576" t="s">
        <v>531</v>
      </c>
    </row>
    <row r="577" spans="1:1">
      <c r="A577" t="s">
        <v>532</v>
      </c>
    </row>
    <row r="578" spans="1:1">
      <c r="A578" t="s">
        <v>533</v>
      </c>
    </row>
    <row r="579" spans="1:1">
      <c r="A579" t="s">
        <v>534</v>
      </c>
    </row>
    <row r="580" spans="1:1">
      <c r="A580" t="s">
        <v>535</v>
      </c>
    </row>
    <row r="581" spans="1:1">
      <c r="A581" t="s">
        <v>536</v>
      </c>
    </row>
    <row r="582" spans="1:1">
      <c r="A582" t="s">
        <v>537</v>
      </c>
    </row>
    <row r="583" spans="1:1">
      <c r="A583" t="s">
        <v>538</v>
      </c>
    </row>
    <row r="584" spans="1:1">
      <c r="A584" t="s">
        <v>539</v>
      </c>
    </row>
    <row r="585" spans="1:1">
      <c r="A585" t="s">
        <v>540</v>
      </c>
    </row>
    <row r="586" spans="1:1">
      <c r="A586" t="s">
        <v>541</v>
      </c>
    </row>
    <row r="587" spans="1:1">
      <c r="A587" t="s">
        <v>542</v>
      </c>
    </row>
    <row r="588" spans="1:1">
      <c r="A588" t="s">
        <v>543</v>
      </c>
    </row>
    <row r="589" spans="1:1">
      <c r="A589" t="s">
        <v>544</v>
      </c>
    </row>
    <row r="590" spans="1:1">
      <c r="A590" t="s">
        <v>545</v>
      </c>
    </row>
    <row r="591" spans="1:1">
      <c r="A591" t="s">
        <v>546</v>
      </c>
    </row>
    <row r="592" spans="1:1">
      <c r="A592" t="s">
        <v>547</v>
      </c>
    </row>
    <row r="593" spans="1:1">
      <c r="A593" t="s">
        <v>548</v>
      </c>
    </row>
    <row r="594" spans="1:1">
      <c r="A594" t="s">
        <v>549</v>
      </c>
    </row>
    <row r="595" spans="1:1">
      <c r="A595" t="s">
        <v>550</v>
      </c>
    </row>
    <row r="596" spans="1:1">
      <c r="A596" t="s">
        <v>551</v>
      </c>
    </row>
    <row r="597" spans="1:1">
      <c r="A597" t="s">
        <v>552</v>
      </c>
    </row>
    <row r="598" spans="1:1">
      <c r="A598" t="s">
        <v>553</v>
      </c>
    </row>
    <row r="599" spans="1:1">
      <c r="A599" t="s">
        <v>554</v>
      </c>
    </row>
    <row r="600" spans="1:1">
      <c r="A600" t="s">
        <v>555</v>
      </c>
    </row>
    <row r="601" spans="1:1">
      <c r="A601" t="s">
        <v>556</v>
      </c>
    </row>
    <row r="602" spans="1:1">
      <c r="A602" t="s">
        <v>557</v>
      </c>
    </row>
    <row r="603" spans="1:1">
      <c r="A603" t="s">
        <v>558</v>
      </c>
    </row>
    <row r="604" spans="1:1">
      <c r="A604" t="s">
        <v>559</v>
      </c>
    </row>
    <row r="605" spans="1:1">
      <c r="A605" t="s">
        <v>560</v>
      </c>
    </row>
    <row r="606" spans="1:1">
      <c r="A606" t="s">
        <v>561</v>
      </c>
    </row>
    <row r="607" spans="1:1">
      <c r="A607" t="s">
        <v>562</v>
      </c>
    </row>
    <row r="608" spans="1:1">
      <c r="A608" t="s">
        <v>563</v>
      </c>
    </row>
    <row r="609" spans="1:1">
      <c r="A609" t="s">
        <v>564</v>
      </c>
    </row>
    <row r="610" spans="1:1">
      <c r="A610" t="s">
        <v>565</v>
      </c>
    </row>
    <row r="611" spans="1:1">
      <c r="A611" t="s">
        <v>566</v>
      </c>
    </row>
    <row r="612" spans="1:1">
      <c r="A612" t="s">
        <v>567</v>
      </c>
    </row>
    <row r="613" spans="1:1">
      <c r="A613" t="s">
        <v>568</v>
      </c>
    </row>
    <row r="614" spans="1:1">
      <c r="A614" t="s">
        <v>569</v>
      </c>
    </row>
    <row r="615" spans="1:1">
      <c r="A615" t="s">
        <v>570</v>
      </c>
    </row>
    <row r="616" spans="1:1">
      <c r="A616" t="s">
        <v>571</v>
      </c>
    </row>
    <row r="617" spans="1:1">
      <c r="A617" t="s">
        <v>572</v>
      </c>
    </row>
    <row r="618" spans="1:1">
      <c r="A618" t="s">
        <v>573</v>
      </c>
    </row>
    <row r="619" spans="1:1">
      <c r="A619" t="s">
        <v>574</v>
      </c>
    </row>
    <row r="620" spans="1:1">
      <c r="A620" t="s">
        <v>575</v>
      </c>
    </row>
    <row r="621" spans="1:1">
      <c r="A621" t="s">
        <v>576</v>
      </c>
    </row>
    <row r="622" spans="1:1">
      <c r="A622" t="s">
        <v>577</v>
      </c>
    </row>
    <row r="623" spans="1:1">
      <c r="A623" t="s">
        <v>578</v>
      </c>
    </row>
    <row r="624" spans="1:1">
      <c r="A624" t="s">
        <v>579</v>
      </c>
    </row>
    <row r="625" spans="1:1">
      <c r="A625" t="s">
        <v>580</v>
      </c>
    </row>
    <row r="626" spans="1:1">
      <c r="A626" t="s">
        <v>581</v>
      </c>
    </row>
    <row r="627" spans="1:1">
      <c r="A627" t="s">
        <v>582</v>
      </c>
    </row>
    <row r="628" spans="1:1">
      <c r="A628" t="s">
        <v>583</v>
      </c>
    </row>
    <row r="629" spans="1:1">
      <c r="A629" t="s">
        <v>584</v>
      </c>
    </row>
    <row r="630" spans="1:1">
      <c r="A630" t="s">
        <v>585</v>
      </c>
    </row>
    <row r="631" spans="1:1">
      <c r="A631" t="s">
        <v>586</v>
      </c>
    </row>
    <row r="632" spans="1:1">
      <c r="A632" t="s">
        <v>587</v>
      </c>
    </row>
    <row r="633" spans="1:1">
      <c r="A633" t="s">
        <v>588</v>
      </c>
    </row>
    <row r="634" spans="1:1">
      <c r="A634" t="s">
        <v>589</v>
      </c>
    </row>
    <row r="635" spans="1:1">
      <c r="A635" t="s">
        <v>590</v>
      </c>
    </row>
    <row r="636" spans="1:1">
      <c r="A636" t="s">
        <v>591</v>
      </c>
    </row>
    <row r="637" spans="1:1">
      <c r="A637" t="s">
        <v>592</v>
      </c>
    </row>
    <row r="638" spans="1:1">
      <c r="A638" t="s">
        <v>593</v>
      </c>
    </row>
    <row r="639" spans="1:1">
      <c r="A639" t="s">
        <v>594</v>
      </c>
    </row>
    <row r="640" spans="1:1">
      <c r="A640" t="s">
        <v>595</v>
      </c>
    </row>
    <row r="641" spans="1:1">
      <c r="A641" t="s">
        <v>596</v>
      </c>
    </row>
    <row r="642" spans="1:1">
      <c r="A642" t="s">
        <v>597</v>
      </c>
    </row>
    <row r="643" spans="1:1">
      <c r="A643" t="s">
        <v>598</v>
      </c>
    </row>
    <row r="644" spans="1:1">
      <c r="A644" t="s">
        <v>599</v>
      </c>
    </row>
    <row r="645" spans="1:1">
      <c r="A645" t="s">
        <v>600</v>
      </c>
    </row>
    <row r="646" spans="1:1">
      <c r="A646" t="s">
        <v>601</v>
      </c>
    </row>
    <row r="647" spans="1:1">
      <c r="A647" t="s">
        <v>602</v>
      </c>
    </row>
    <row r="648" spans="1:1">
      <c r="A648" t="s">
        <v>603</v>
      </c>
    </row>
    <row r="649" spans="1:1">
      <c r="A649" t="s">
        <v>604</v>
      </c>
    </row>
    <row r="650" spans="1:1">
      <c r="A650" t="s">
        <v>605</v>
      </c>
    </row>
    <row r="651" spans="1:1">
      <c r="A651" t="s">
        <v>606</v>
      </c>
    </row>
    <row r="652" spans="1:1">
      <c r="A652" t="s">
        <v>607</v>
      </c>
    </row>
    <row r="653" spans="1:1">
      <c r="A653" t="s">
        <v>608</v>
      </c>
    </row>
    <row r="654" spans="1:1">
      <c r="A654" t="s">
        <v>609</v>
      </c>
    </row>
    <row r="655" spans="1:1">
      <c r="A655" t="s">
        <v>610</v>
      </c>
    </row>
    <row r="656" spans="1:1">
      <c r="A656" t="s">
        <v>611</v>
      </c>
    </row>
    <row r="657" spans="1:1">
      <c r="A657" t="s">
        <v>612</v>
      </c>
    </row>
    <row r="658" spans="1:1">
      <c r="A658" t="s">
        <v>613</v>
      </c>
    </row>
    <row r="659" spans="1:1">
      <c r="A659" t="s">
        <v>614</v>
      </c>
    </row>
    <row r="660" spans="1:1">
      <c r="A660" t="s">
        <v>615</v>
      </c>
    </row>
    <row r="661" spans="1:1">
      <c r="A661" t="s">
        <v>616</v>
      </c>
    </row>
    <row r="662" spans="1:1">
      <c r="A662" t="s">
        <v>617</v>
      </c>
    </row>
    <row r="663" spans="1:1">
      <c r="A663" t="s">
        <v>618</v>
      </c>
    </row>
    <row r="664" spans="1:1">
      <c r="A664" t="s">
        <v>619</v>
      </c>
    </row>
    <row r="665" spans="1:1">
      <c r="A665" t="s">
        <v>620</v>
      </c>
    </row>
    <row r="666" spans="1:1">
      <c r="A666" t="s">
        <v>621</v>
      </c>
    </row>
    <row r="667" spans="1:1">
      <c r="A667" t="s">
        <v>622</v>
      </c>
    </row>
    <row r="668" spans="1:1">
      <c r="A668" t="s">
        <v>623</v>
      </c>
    </row>
    <row r="669" spans="1:1">
      <c r="A669" t="s">
        <v>624</v>
      </c>
    </row>
    <row r="670" spans="1:1">
      <c r="A670" t="s">
        <v>625</v>
      </c>
    </row>
    <row r="671" spans="1:1">
      <c r="A671" t="s">
        <v>626</v>
      </c>
    </row>
    <row r="672" spans="1:1">
      <c r="A672" t="s">
        <v>627</v>
      </c>
    </row>
    <row r="673" spans="1:1">
      <c r="A673" t="s">
        <v>628</v>
      </c>
    </row>
    <row r="674" spans="1:1">
      <c r="A674" t="s">
        <v>629</v>
      </c>
    </row>
    <row r="675" spans="1:1">
      <c r="A675" t="s">
        <v>630</v>
      </c>
    </row>
    <row r="676" spans="1:1">
      <c r="A676" t="s">
        <v>631</v>
      </c>
    </row>
    <row r="677" spans="1:1">
      <c r="A677" t="s">
        <v>632</v>
      </c>
    </row>
    <row r="678" spans="1:1">
      <c r="A678" t="s">
        <v>633</v>
      </c>
    </row>
    <row r="679" spans="1:1">
      <c r="A679" t="s">
        <v>634</v>
      </c>
    </row>
    <row r="680" spans="1:1">
      <c r="A680" t="s">
        <v>635</v>
      </c>
    </row>
    <row r="681" spans="1:1">
      <c r="A681" t="s">
        <v>636</v>
      </c>
    </row>
    <row r="682" spans="1:1">
      <c r="A682" t="s">
        <v>637</v>
      </c>
    </row>
    <row r="683" spans="1:1">
      <c r="A683" t="s">
        <v>638</v>
      </c>
    </row>
    <row r="684" spans="1:1">
      <c r="A684" t="s">
        <v>639</v>
      </c>
    </row>
    <row r="685" spans="1:1">
      <c r="A685" t="s">
        <v>640</v>
      </c>
    </row>
    <row r="686" spans="1:1">
      <c r="A686" t="s">
        <v>641</v>
      </c>
    </row>
    <row r="687" spans="1:1">
      <c r="A687" t="s">
        <v>642</v>
      </c>
    </row>
    <row r="688" spans="1:1">
      <c r="A688" t="s">
        <v>643</v>
      </c>
    </row>
    <row r="689" spans="1:1">
      <c r="A689" t="s">
        <v>644</v>
      </c>
    </row>
    <row r="690" spans="1:1">
      <c r="A690" t="s">
        <v>645</v>
      </c>
    </row>
    <row r="691" spans="1:1">
      <c r="A691" t="s">
        <v>646</v>
      </c>
    </row>
    <row r="692" spans="1:1">
      <c r="A692" t="s">
        <v>647</v>
      </c>
    </row>
    <row r="693" spans="1:1">
      <c r="A693" t="s">
        <v>648</v>
      </c>
    </row>
    <row r="694" spans="1:1">
      <c r="A694" t="s">
        <v>649</v>
      </c>
    </row>
    <row r="695" spans="1:1">
      <c r="A695" t="s">
        <v>650</v>
      </c>
    </row>
    <row r="696" spans="1:1">
      <c r="A696" t="s">
        <v>651</v>
      </c>
    </row>
    <row r="697" spans="1:1">
      <c r="A697" t="s">
        <v>652</v>
      </c>
    </row>
    <row r="698" spans="1:1">
      <c r="A698" t="s">
        <v>653</v>
      </c>
    </row>
    <row r="699" spans="1:1">
      <c r="A699" t="s">
        <v>654</v>
      </c>
    </row>
    <row r="700" spans="1:1">
      <c r="A700" t="s">
        <v>655</v>
      </c>
    </row>
    <row r="701" spans="1:1">
      <c r="A701" t="s">
        <v>656</v>
      </c>
    </row>
    <row r="702" spans="1:1">
      <c r="A702" t="s">
        <v>657</v>
      </c>
    </row>
    <row r="703" spans="1:1">
      <c r="A703" t="s">
        <v>658</v>
      </c>
    </row>
    <row r="704" spans="1:1">
      <c r="A704" t="s">
        <v>659</v>
      </c>
    </row>
    <row r="705" spans="1:1">
      <c r="A705" t="s">
        <v>660</v>
      </c>
    </row>
    <row r="706" spans="1:1">
      <c r="A706" t="s">
        <v>661</v>
      </c>
    </row>
    <row r="707" spans="1:1">
      <c r="A707" t="s">
        <v>662</v>
      </c>
    </row>
    <row r="708" spans="1:1">
      <c r="A708" t="s">
        <v>663</v>
      </c>
    </row>
    <row r="709" spans="1:1">
      <c r="A709" t="s">
        <v>664</v>
      </c>
    </row>
    <row r="710" spans="1:1">
      <c r="A710" t="s">
        <v>665</v>
      </c>
    </row>
    <row r="711" spans="1:1">
      <c r="A711" t="s">
        <v>666</v>
      </c>
    </row>
    <row r="712" spans="1:1">
      <c r="A712" t="s">
        <v>667</v>
      </c>
    </row>
    <row r="713" spans="1:1">
      <c r="A713" t="s">
        <v>668</v>
      </c>
    </row>
    <row r="714" spans="1:1">
      <c r="A714" t="s">
        <v>669</v>
      </c>
    </row>
    <row r="715" spans="1:1">
      <c r="A715" t="s">
        <v>670</v>
      </c>
    </row>
    <row r="716" spans="1:1">
      <c r="A716" t="s">
        <v>671</v>
      </c>
    </row>
    <row r="717" spans="1:1">
      <c r="A717" t="s">
        <v>672</v>
      </c>
    </row>
    <row r="718" spans="1:1">
      <c r="A718" t="s">
        <v>673</v>
      </c>
    </row>
    <row r="719" spans="1:1">
      <c r="A719" t="s">
        <v>674</v>
      </c>
    </row>
    <row r="720" spans="1:1">
      <c r="A720" t="s">
        <v>675</v>
      </c>
    </row>
    <row r="721" spans="1:1">
      <c r="A721" t="s">
        <v>676</v>
      </c>
    </row>
    <row r="722" spans="1:1">
      <c r="A722" t="s">
        <v>677</v>
      </c>
    </row>
    <row r="723" spans="1:1">
      <c r="A723" t="s">
        <v>678</v>
      </c>
    </row>
    <row r="724" spans="1:1">
      <c r="A724" t="s">
        <v>679</v>
      </c>
    </row>
    <row r="725" spans="1:1">
      <c r="A725" t="s">
        <v>680</v>
      </c>
    </row>
    <row r="726" spans="1:1">
      <c r="A726" t="s">
        <v>681</v>
      </c>
    </row>
    <row r="727" spans="1:1">
      <c r="A727" t="s">
        <v>682</v>
      </c>
    </row>
    <row r="728" spans="1:1">
      <c r="A728" t="s">
        <v>683</v>
      </c>
    </row>
    <row r="729" spans="1:1">
      <c r="A729" t="s">
        <v>684</v>
      </c>
    </row>
    <row r="730" spans="1:1">
      <c r="A730" t="s">
        <v>685</v>
      </c>
    </row>
    <row r="731" spans="1:1">
      <c r="A731" t="s">
        <v>686</v>
      </c>
    </row>
    <row r="732" spans="1:1">
      <c r="A732" t="s">
        <v>687</v>
      </c>
    </row>
    <row r="733" spans="1:1">
      <c r="A733" t="s">
        <v>688</v>
      </c>
    </row>
    <row r="734" spans="1:1">
      <c r="A734" t="s">
        <v>689</v>
      </c>
    </row>
    <row r="735" spans="1:1">
      <c r="A735" t="s">
        <v>690</v>
      </c>
    </row>
    <row r="736" spans="1:1">
      <c r="A736" t="s">
        <v>691</v>
      </c>
    </row>
    <row r="737" spans="1:1">
      <c r="A737" t="s">
        <v>692</v>
      </c>
    </row>
    <row r="738" spans="1:1">
      <c r="A738" t="s">
        <v>693</v>
      </c>
    </row>
    <row r="739" spans="1:1">
      <c r="A739" t="s">
        <v>694</v>
      </c>
    </row>
    <row r="740" spans="1:1">
      <c r="A740" t="s">
        <v>695</v>
      </c>
    </row>
    <row r="741" spans="1:1">
      <c r="A741" t="s">
        <v>696</v>
      </c>
    </row>
    <row r="742" spans="1:1">
      <c r="A742" t="s">
        <v>697</v>
      </c>
    </row>
    <row r="743" spans="1:1">
      <c r="A743" t="s">
        <v>698</v>
      </c>
    </row>
    <row r="744" spans="1:1">
      <c r="A744" t="s">
        <v>699</v>
      </c>
    </row>
    <row r="745" spans="1:1">
      <c r="A745" t="s">
        <v>700</v>
      </c>
    </row>
    <row r="746" spans="1:1">
      <c r="A746" t="s">
        <v>701</v>
      </c>
    </row>
    <row r="747" spans="1:1">
      <c r="A747" t="s">
        <v>702</v>
      </c>
    </row>
    <row r="748" spans="1:1">
      <c r="A748" t="s">
        <v>703</v>
      </c>
    </row>
    <row r="749" spans="1:1">
      <c r="A749" t="s">
        <v>704</v>
      </c>
    </row>
    <row r="750" spans="1:1">
      <c r="A750" t="s">
        <v>705</v>
      </c>
    </row>
    <row r="751" spans="1:1">
      <c r="A751" t="s">
        <v>706</v>
      </c>
    </row>
    <row r="752" spans="1:1">
      <c r="A752" t="s">
        <v>707</v>
      </c>
    </row>
    <row r="753" spans="1:1">
      <c r="A753" t="s">
        <v>708</v>
      </c>
    </row>
    <row r="754" spans="1:1">
      <c r="A754" t="s">
        <v>709</v>
      </c>
    </row>
    <row r="755" spans="1:1">
      <c r="A755" t="s">
        <v>710</v>
      </c>
    </row>
    <row r="756" spans="1:1">
      <c r="A756" t="s">
        <v>711</v>
      </c>
    </row>
    <row r="757" spans="1:1">
      <c r="A757" t="s">
        <v>712</v>
      </c>
    </row>
    <row r="758" spans="1:1">
      <c r="A758" t="s">
        <v>713</v>
      </c>
    </row>
    <row r="759" spans="1:1">
      <c r="A759" t="s">
        <v>714</v>
      </c>
    </row>
    <row r="760" spans="1:1">
      <c r="A760" t="s">
        <v>715</v>
      </c>
    </row>
    <row r="761" spans="1:1">
      <c r="A761" t="s">
        <v>716</v>
      </c>
    </row>
    <row r="762" spans="1:1">
      <c r="A762" t="s">
        <v>717</v>
      </c>
    </row>
    <row r="763" spans="1:1">
      <c r="A763" t="s">
        <v>718</v>
      </c>
    </row>
    <row r="764" spans="1:1">
      <c r="A764" t="s">
        <v>719</v>
      </c>
    </row>
    <row r="765" spans="1:1">
      <c r="A765" t="s">
        <v>720</v>
      </c>
    </row>
    <row r="766" spans="1:1">
      <c r="A766" t="s">
        <v>721</v>
      </c>
    </row>
    <row r="767" spans="1:1">
      <c r="A767" t="s">
        <v>722</v>
      </c>
    </row>
    <row r="768" spans="1:1">
      <c r="A768" t="s">
        <v>723</v>
      </c>
    </row>
    <row r="769" spans="1:1">
      <c r="A769" t="s">
        <v>724</v>
      </c>
    </row>
    <row r="770" spans="1:1">
      <c r="A770" t="s">
        <v>725</v>
      </c>
    </row>
    <row r="771" spans="1:1">
      <c r="A771" t="s">
        <v>726</v>
      </c>
    </row>
    <row r="772" spans="1:1">
      <c r="A772" t="s">
        <v>727</v>
      </c>
    </row>
    <row r="773" spans="1:1">
      <c r="A773" t="s">
        <v>728</v>
      </c>
    </row>
    <row r="774" spans="1:1">
      <c r="A774" t="s">
        <v>729</v>
      </c>
    </row>
    <row r="775" spans="1:1">
      <c r="A775" t="s">
        <v>730</v>
      </c>
    </row>
    <row r="776" spans="1:1">
      <c r="A776" t="s">
        <v>731</v>
      </c>
    </row>
    <row r="777" spans="1:1">
      <c r="A777" t="s">
        <v>732</v>
      </c>
    </row>
    <row r="778" spans="1:1">
      <c r="A778" t="s">
        <v>733</v>
      </c>
    </row>
    <row r="779" spans="1:1">
      <c r="A779" t="s">
        <v>734</v>
      </c>
    </row>
    <row r="780" spans="1:1">
      <c r="A780" t="s">
        <v>735</v>
      </c>
    </row>
    <row r="781" spans="1:1">
      <c r="A781" t="s">
        <v>736</v>
      </c>
    </row>
    <row r="782" spans="1:1">
      <c r="A782" t="s">
        <v>737</v>
      </c>
    </row>
    <row r="783" spans="1:1">
      <c r="A783" t="s">
        <v>738</v>
      </c>
    </row>
    <row r="784" spans="1:1">
      <c r="A784" t="s">
        <v>739</v>
      </c>
    </row>
    <row r="785" spans="1:1">
      <c r="A785" t="s">
        <v>740</v>
      </c>
    </row>
    <row r="786" spans="1:1">
      <c r="A786" t="s">
        <v>741</v>
      </c>
    </row>
    <row r="787" spans="1:1">
      <c r="A787" t="s">
        <v>742</v>
      </c>
    </row>
    <row r="788" spans="1:1">
      <c r="A788" t="s">
        <v>743</v>
      </c>
    </row>
    <row r="789" spans="1:1">
      <c r="A789" t="s">
        <v>744</v>
      </c>
    </row>
    <row r="790" spans="1:1">
      <c r="A790" t="s">
        <v>745</v>
      </c>
    </row>
    <row r="791" spans="1:1">
      <c r="A791" t="s">
        <v>746</v>
      </c>
    </row>
    <row r="792" spans="1:1">
      <c r="A792" t="s">
        <v>747</v>
      </c>
    </row>
    <row r="793" spans="1:1">
      <c r="A793" t="s">
        <v>748</v>
      </c>
    </row>
    <row r="794" spans="1:1">
      <c r="A794" t="s">
        <v>749</v>
      </c>
    </row>
    <row r="795" spans="1:1">
      <c r="A795" t="s">
        <v>750</v>
      </c>
    </row>
    <row r="796" spans="1:1">
      <c r="A796" t="s">
        <v>751</v>
      </c>
    </row>
    <row r="797" spans="1:1">
      <c r="A797" t="s">
        <v>752</v>
      </c>
    </row>
    <row r="798" spans="1:1">
      <c r="A798" t="s">
        <v>753</v>
      </c>
    </row>
    <row r="799" spans="1:1">
      <c r="A799" t="s">
        <v>754</v>
      </c>
    </row>
    <row r="800" spans="1:1">
      <c r="A800" t="s">
        <v>755</v>
      </c>
    </row>
    <row r="801" spans="1:1">
      <c r="A801" t="s">
        <v>756</v>
      </c>
    </row>
    <row r="802" spans="1:1">
      <c r="A802" t="s">
        <v>757</v>
      </c>
    </row>
    <row r="803" spans="1:1">
      <c r="A803" t="s">
        <v>758</v>
      </c>
    </row>
    <row r="804" spans="1:1">
      <c r="A804" t="s">
        <v>759</v>
      </c>
    </row>
    <row r="805" spans="1:1">
      <c r="A805" t="s">
        <v>760</v>
      </c>
    </row>
    <row r="806" spans="1:1">
      <c r="A806" t="s">
        <v>761</v>
      </c>
    </row>
    <row r="807" spans="1:1">
      <c r="A807" t="s">
        <v>762</v>
      </c>
    </row>
    <row r="808" spans="1:1">
      <c r="A808" t="s">
        <v>763</v>
      </c>
    </row>
    <row r="809" spans="1:1">
      <c r="A809" t="s">
        <v>764</v>
      </c>
    </row>
    <row r="810" spans="1:1">
      <c r="A810" t="s">
        <v>765</v>
      </c>
    </row>
    <row r="811" spans="1:1">
      <c r="A811" t="s">
        <v>766</v>
      </c>
    </row>
    <row r="812" spans="1:1">
      <c r="A812" t="s">
        <v>767</v>
      </c>
    </row>
    <row r="813" spans="1:1">
      <c r="A813" t="s">
        <v>768</v>
      </c>
    </row>
    <row r="814" spans="1:1">
      <c r="A814" t="s">
        <v>769</v>
      </c>
    </row>
    <row r="815" spans="1:1">
      <c r="A815" t="s">
        <v>770</v>
      </c>
    </row>
    <row r="816" spans="1:1">
      <c r="A816" t="s">
        <v>771</v>
      </c>
    </row>
    <row r="817" spans="1:1">
      <c r="A817" t="s">
        <v>772</v>
      </c>
    </row>
    <row r="818" spans="1:1">
      <c r="A818" t="s">
        <v>773</v>
      </c>
    </row>
    <row r="819" spans="1:1">
      <c r="A819" t="s">
        <v>774</v>
      </c>
    </row>
    <row r="820" spans="1:1">
      <c r="A820" t="s">
        <v>775</v>
      </c>
    </row>
    <row r="821" spans="1:1">
      <c r="A821" t="s">
        <v>776</v>
      </c>
    </row>
    <row r="822" spans="1:1">
      <c r="A822" t="s">
        <v>777</v>
      </c>
    </row>
    <row r="823" spans="1:1">
      <c r="A823" t="s">
        <v>778</v>
      </c>
    </row>
    <row r="824" spans="1:1">
      <c r="A824" t="s">
        <v>779</v>
      </c>
    </row>
    <row r="825" spans="1:1">
      <c r="A825" t="s">
        <v>780</v>
      </c>
    </row>
    <row r="826" spans="1:1">
      <c r="A826" t="s">
        <v>781</v>
      </c>
    </row>
    <row r="827" spans="1:1">
      <c r="A827" t="s">
        <v>782</v>
      </c>
    </row>
    <row r="828" spans="1:1">
      <c r="A828" t="s">
        <v>783</v>
      </c>
    </row>
    <row r="829" spans="1:1">
      <c r="A829" t="s">
        <v>784</v>
      </c>
    </row>
    <row r="830" spans="1:1">
      <c r="A830" t="s">
        <v>785</v>
      </c>
    </row>
    <row r="831" spans="1:1">
      <c r="A831" t="s">
        <v>786</v>
      </c>
    </row>
    <row r="832" spans="1:1">
      <c r="A832" t="s">
        <v>787</v>
      </c>
    </row>
    <row r="833" spans="1:1">
      <c r="A833" t="s">
        <v>788</v>
      </c>
    </row>
    <row r="834" spans="1:1">
      <c r="A834" t="s">
        <v>789</v>
      </c>
    </row>
    <row r="835" spans="1:1">
      <c r="A835" t="s">
        <v>790</v>
      </c>
    </row>
    <row r="836" spans="1:1">
      <c r="A836" t="s">
        <v>791</v>
      </c>
    </row>
    <row r="837" spans="1:1">
      <c r="A837" t="s">
        <v>792</v>
      </c>
    </row>
    <row r="838" spans="1:1">
      <c r="A838" t="s">
        <v>793</v>
      </c>
    </row>
    <row r="839" spans="1:1">
      <c r="A839" t="s">
        <v>794</v>
      </c>
    </row>
    <row r="840" spans="1:1">
      <c r="A840" t="s">
        <v>795</v>
      </c>
    </row>
    <row r="841" spans="1:1">
      <c r="A841" t="s">
        <v>796</v>
      </c>
    </row>
    <row r="842" spans="1:1">
      <c r="A842" t="s">
        <v>797</v>
      </c>
    </row>
    <row r="843" spans="1:1">
      <c r="A843" t="s">
        <v>798</v>
      </c>
    </row>
    <row r="844" spans="1:1">
      <c r="A844" t="s">
        <v>799</v>
      </c>
    </row>
    <row r="845" spans="1:1">
      <c r="A845" t="s">
        <v>800</v>
      </c>
    </row>
    <row r="846" spans="1:1">
      <c r="A846" t="s">
        <v>801</v>
      </c>
    </row>
    <row r="847" spans="1:1">
      <c r="A847" t="s">
        <v>802</v>
      </c>
    </row>
    <row r="848" spans="1:1">
      <c r="A848" t="s">
        <v>803</v>
      </c>
    </row>
    <row r="849" spans="1:1">
      <c r="A849" t="s">
        <v>804</v>
      </c>
    </row>
    <row r="850" spans="1:1">
      <c r="A850" t="s">
        <v>805</v>
      </c>
    </row>
    <row r="851" spans="1:1">
      <c r="A851" t="s">
        <v>806</v>
      </c>
    </row>
    <row r="852" spans="1:1">
      <c r="A852" t="s">
        <v>807</v>
      </c>
    </row>
    <row r="853" spans="1:1">
      <c r="A853" t="s">
        <v>808</v>
      </c>
    </row>
    <row r="854" spans="1:1">
      <c r="A854" t="s">
        <v>809</v>
      </c>
    </row>
    <row r="855" spans="1:1">
      <c r="A855" t="s">
        <v>810</v>
      </c>
    </row>
    <row r="856" spans="1:1">
      <c r="A856" t="s">
        <v>811</v>
      </c>
    </row>
    <row r="857" spans="1:1">
      <c r="A857" t="s">
        <v>812</v>
      </c>
    </row>
    <row r="858" spans="1:1">
      <c r="A858" t="s">
        <v>813</v>
      </c>
    </row>
    <row r="859" spans="1:1">
      <c r="A859" t="s">
        <v>814</v>
      </c>
    </row>
    <row r="860" spans="1:1">
      <c r="A860" t="s">
        <v>815</v>
      </c>
    </row>
    <row r="861" spans="1:1">
      <c r="A861" t="s">
        <v>816</v>
      </c>
    </row>
    <row r="862" spans="1:1">
      <c r="A862" t="s">
        <v>817</v>
      </c>
    </row>
    <row r="863" spans="1:1">
      <c r="A863" t="s">
        <v>818</v>
      </c>
    </row>
    <row r="864" spans="1:1">
      <c r="A864" t="s">
        <v>819</v>
      </c>
    </row>
    <row r="865" spans="1:1">
      <c r="A865" t="s">
        <v>820</v>
      </c>
    </row>
    <row r="866" spans="1:1">
      <c r="A866" t="s">
        <v>821</v>
      </c>
    </row>
    <row r="867" spans="1:1">
      <c r="A867" t="s">
        <v>822</v>
      </c>
    </row>
    <row r="868" spans="1:1">
      <c r="A868" t="s">
        <v>823</v>
      </c>
    </row>
    <row r="869" spans="1:1">
      <c r="A869" t="s">
        <v>824</v>
      </c>
    </row>
    <row r="870" spans="1:1">
      <c r="A870" t="s">
        <v>825</v>
      </c>
    </row>
    <row r="871" spans="1:1">
      <c r="A871" t="s">
        <v>826</v>
      </c>
    </row>
    <row r="872" spans="1:1">
      <c r="A872" t="s">
        <v>827</v>
      </c>
    </row>
    <row r="873" spans="1:1">
      <c r="A873" t="s">
        <v>828</v>
      </c>
    </row>
    <row r="874" spans="1:1">
      <c r="A874" t="s">
        <v>829</v>
      </c>
    </row>
    <row r="875" spans="1:1">
      <c r="A875" t="s">
        <v>830</v>
      </c>
    </row>
    <row r="876" spans="1:1">
      <c r="A876" t="s">
        <v>831</v>
      </c>
    </row>
    <row r="877" spans="1:1">
      <c r="A877" t="s">
        <v>832</v>
      </c>
    </row>
    <row r="878" spans="1:1">
      <c r="A878" t="s">
        <v>833</v>
      </c>
    </row>
    <row r="879" spans="1:1">
      <c r="A879" t="s">
        <v>834</v>
      </c>
    </row>
    <row r="880" spans="1:1">
      <c r="A880" t="s">
        <v>835</v>
      </c>
    </row>
    <row r="881" spans="1:1">
      <c r="A881" t="s">
        <v>836</v>
      </c>
    </row>
    <row r="882" spans="1:1">
      <c r="A882" t="s">
        <v>837</v>
      </c>
    </row>
    <row r="883" spans="1:1">
      <c r="A883" t="s">
        <v>838</v>
      </c>
    </row>
    <row r="884" spans="1:1">
      <c r="A884" t="s">
        <v>839</v>
      </c>
    </row>
    <row r="885" spans="1:1">
      <c r="A885" t="s">
        <v>840</v>
      </c>
    </row>
    <row r="886" spans="1:1">
      <c r="A886" t="s">
        <v>841</v>
      </c>
    </row>
    <row r="887" spans="1:1">
      <c r="A887" t="s">
        <v>842</v>
      </c>
    </row>
    <row r="888" spans="1:1">
      <c r="A888" t="s">
        <v>843</v>
      </c>
    </row>
    <row r="889" spans="1:1">
      <c r="A889" t="s">
        <v>844</v>
      </c>
    </row>
    <row r="890" spans="1:1">
      <c r="A890" t="s">
        <v>845</v>
      </c>
    </row>
    <row r="891" spans="1:1">
      <c r="A891" t="s">
        <v>846</v>
      </c>
    </row>
    <row r="892" spans="1:1">
      <c r="A892" t="s">
        <v>847</v>
      </c>
    </row>
    <row r="893" spans="1:1">
      <c r="A893" t="s">
        <v>848</v>
      </c>
    </row>
    <row r="894" spans="1:1">
      <c r="A894" t="s">
        <v>849</v>
      </c>
    </row>
    <row r="895" spans="1:1">
      <c r="A895" t="s">
        <v>850</v>
      </c>
    </row>
    <row r="896" spans="1:1">
      <c r="A896" t="s">
        <v>851</v>
      </c>
    </row>
    <row r="897" spans="1:1">
      <c r="A897" t="s">
        <v>852</v>
      </c>
    </row>
    <row r="898" spans="1:1">
      <c r="A898" t="s">
        <v>853</v>
      </c>
    </row>
    <row r="899" spans="1:1">
      <c r="A899" t="s">
        <v>854</v>
      </c>
    </row>
    <row r="900" spans="1:1">
      <c r="A900" t="s">
        <v>855</v>
      </c>
    </row>
    <row r="901" spans="1:1">
      <c r="A901" t="s">
        <v>856</v>
      </c>
    </row>
    <row r="902" spans="1:1">
      <c r="A902" t="s">
        <v>857</v>
      </c>
    </row>
    <row r="903" spans="1:1">
      <c r="A903" t="s">
        <v>858</v>
      </c>
    </row>
    <row r="904" spans="1:1">
      <c r="A904" t="s">
        <v>859</v>
      </c>
    </row>
    <row r="905" spans="1:1">
      <c r="A905" t="s">
        <v>860</v>
      </c>
    </row>
    <row r="906" spans="1:1">
      <c r="A906" t="s">
        <v>861</v>
      </c>
    </row>
    <row r="907" spans="1:1">
      <c r="A907" t="s">
        <v>862</v>
      </c>
    </row>
    <row r="908" spans="1:1">
      <c r="A908" t="s">
        <v>863</v>
      </c>
    </row>
    <row r="909" spans="1:1">
      <c r="A909" t="s">
        <v>864</v>
      </c>
    </row>
    <row r="910" spans="1:1">
      <c r="A910" t="s">
        <v>865</v>
      </c>
    </row>
    <row r="911" spans="1:1">
      <c r="A911" t="s">
        <v>866</v>
      </c>
    </row>
    <row r="912" spans="1:1">
      <c r="A912" t="s">
        <v>867</v>
      </c>
    </row>
    <row r="913" spans="1:1">
      <c r="A913" t="s">
        <v>868</v>
      </c>
    </row>
    <row r="914" spans="1:1">
      <c r="A914" t="s">
        <v>869</v>
      </c>
    </row>
    <row r="915" spans="1:1">
      <c r="A915" t="s">
        <v>870</v>
      </c>
    </row>
    <row r="916" spans="1:1">
      <c r="A916" t="s">
        <v>871</v>
      </c>
    </row>
    <row r="917" spans="1:1">
      <c r="A917" t="s">
        <v>872</v>
      </c>
    </row>
    <row r="918" spans="1:1">
      <c r="A918" t="s">
        <v>873</v>
      </c>
    </row>
    <row r="919" spans="1:1">
      <c r="A919" t="s">
        <v>874</v>
      </c>
    </row>
    <row r="920" spans="1:1">
      <c r="A920" t="s">
        <v>875</v>
      </c>
    </row>
    <row r="921" spans="1:1">
      <c r="A921" t="s">
        <v>876</v>
      </c>
    </row>
    <row r="922" spans="1:1">
      <c r="A922" t="s">
        <v>877</v>
      </c>
    </row>
    <row r="923" spans="1:1">
      <c r="A923" t="s">
        <v>878</v>
      </c>
    </row>
    <row r="924" spans="1:1">
      <c r="A924" t="s">
        <v>879</v>
      </c>
    </row>
    <row r="925" spans="1:1">
      <c r="A925" t="s">
        <v>880</v>
      </c>
    </row>
    <row r="926" spans="1:1">
      <c r="A926" t="s">
        <v>881</v>
      </c>
    </row>
    <row r="927" spans="1:1">
      <c r="A927" t="s">
        <v>882</v>
      </c>
    </row>
    <row r="928" spans="1:1">
      <c r="A928" t="s">
        <v>883</v>
      </c>
    </row>
    <row r="929" spans="1:1">
      <c r="A929" t="s">
        <v>884</v>
      </c>
    </row>
    <row r="930" spans="1:1">
      <c r="A930" t="s">
        <v>885</v>
      </c>
    </row>
    <row r="931" spans="1:1">
      <c r="A931" t="s">
        <v>886</v>
      </c>
    </row>
    <row r="932" spans="1:1">
      <c r="A932" t="s">
        <v>887</v>
      </c>
    </row>
    <row r="933" spans="1:1">
      <c r="A933" t="s">
        <v>888</v>
      </c>
    </row>
    <row r="934" spans="1:1">
      <c r="A934" t="s">
        <v>889</v>
      </c>
    </row>
    <row r="935" spans="1:1">
      <c r="A935" t="s">
        <v>890</v>
      </c>
    </row>
    <row r="936" spans="1:1">
      <c r="A936" t="s">
        <v>891</v>
      </c>
    </row>
    <row r="937" spans="1:1">
      <c r="A937" t="s">
        <v>892</v>
      </c>
    </row>
    <row r="938" spans="1:1">
      <c r="A938" t="s">
        <v>893</v>
      </c>
    </row>
    <row r="939" spans="1:1">
      <c r="A939" t="s">
        <v>894</v>
      </c>
    </row>
    <row r="940" spans="1:1">
      <c r="A940" t="s">
        <v>895</v>
      </c>
    </row>
    <row r="941" spans="1:1">
      <c r="A941" t="s">
        <v>896</v>
      </c>
    </row>
    <row r="942" spans="1:1">
      <c r="A942" t="s">
        <v>897</v>
      </c>
    </row>
    <row r="943" spans="1:1">
      <c r="A943" t="s">
        <v>898</v>
      </c>
    </row>
    <row r="944" spans="1:1">
      <c r="A944" t="s">
        <v>899</v>
      </c>
    </row>
    <row r="945" spans="1:1">
      <c r="A945" t="s">
        <v>900</v>
      </c>
    </row>
    <row r="946" spans="1:1">
      <c r="A946" t="s">
        <v>901</v>
      </c>
    </row>
    <row r="947" spans="1:1">
      <c r="A947" t="s">
        <v>902</v>
      </c>
    </row>
    <row r="948" spans="1:1">
      <c r="A948" t="s">
        <v>903</v>
      </c>
    </row>
    <row r="949" spans="1:1">
      <c r="A949" t="s">
        <v>904</v>
      </c>
    </row>
    <row r="950" spans="1:1">
      <c r="A950" t="s">
        <v>905</v>
      </c>
    </row>
    <row r="951" spans="1:1">
      <c r="A951" t="s">
        <v>906</v>
      </c>
    </row>
    <row r="952" spans="1:1">
      <c r="A952" t="s">
        <v>907</v>
      </c>
    </row>
    <row r="953" spans="1:1">
      <c r="A953" t="s">
        <v>908</v>
      </c>
    </row>
    <row r="954" spans="1:1">
      <c r="A954" t="s">
        <v>909</v>
      </c>
    </row>
    <row r="955" spans="1:1">
      <c r="A955" t="s">
        <v>910</v>
      </c>
    </row>
    <row r="956" spans="1:1">
      <c r="A956" t="s">
        <v>911</v>
      </c>
    </row>
    <row r="957" spans="1:1">
      <c r="A957" t="s">
        <v>912</v>
      </c>
    </row>
    <row r="958" spans="1:1">
      <c r="A958" t="s">
        <v>913</v>
      </c>
    </row>
    <row r="959" spans="1:1">
      <c r="A959" t="s">
        <v>914</v>
      </c>
    </row>
    <row r="960" spans="1:1">
      <c r="A960" t="s">
        <v>915</v>
      </c>
    </row>
    <row r="961" spans="1:1">
      <c r="A961" t="s">
        <v>916</v>
      </c>
    </row>
    <row r="962" spans="1:1">
      <c r="A962" t="s">
        <v>917</v>
      </c>
    </row>
    <row r="963" spans="1:1">
      <c r="A963" t="s">
        <v>918</v>
      </c>
    </row>
    <row r="964" spans="1:1">
      <c r="A964" t="s">
        <v>919</v>
      </c>
    </row>
    <row r="965" spans="1:1">
      <c r="A965" t="s">
        <v>920</v>
      </c>
    </row>
    <row r="966" spans="1:1">
      <c r="A966" t="s">
        <v>921</v>
      </c>
    </row>
    <row r="967" spans="1:1">
      <c r="A967" t="s">
        <v>922</v>
      </c>
    </row>
    <row r="968" spans="1:1">
      <c r="A968" t="s">
        <v>923</v>
      </c>
    </row>
    <row r="969" spans="1:1">
      <c r="A969" t="s">
        <v>924</v>
      </c>
    </row>
    <row r="970" spans="1:1">
      <c r="A970" t="s">
        <v>925</v>
      </c>
    </row>
    <row r="971" spans="1:1">
      <c r="A971" t="s">
        <v>926</v>
      </c>
    </row>
    <row r="972" spans="1:1">
      <c r="A972" t="s">
        <v>927</v>
      </c>
    </row>
    <row r="973" spans="1:1">
      <c r="A973" t="s">
        <v>928</v>
      </c>
    </row>
    <row r="974" spans="1:1">
      <c r="A974" t="s">
        <v>929</v>
      </c>
    </row>
    <row r="975" spans="1:1">
      <c r="A975" t="s">
        <v>930</v>
      </c>
    </row>
    <row r="976" spans="1:1">
      <c r="A976" t="s">
        <v>931</v>
      </c>
    </row>
    <row r="977" spans="1:1">
      <c r="A977" t="s">
        <v>932</v>
      </c>
    </row>
    <row r="978" spans="1:1">
      <c r="A978" t="s">
        <v>933</v>
      </c>
    </row>
    <row r="979" spans="1:1">
      <c r="A979" t="s">
        <v>934</v>
      </c>
    </row>
    <row r="980" spans="1:1">
      <c r="A980" t="s">
        <v>935</v>
      </c>
    </row>
    <row r="981" spans="1:1">
      <c r="A981" t="s">
        <v>936</v>
      </c>
    </row>
    <row r="982" spans="1:1">
      <c r="A982" t="s">
        <v>937</v>
      </c>
    </row>
    <row r="983" spans="1:1">
      <c r="A983" t="s">
        <v>938</v>
      </c>
    </row>
    <row r="984" spans="1:1">
      <c r="A984" t="s">
        <v>939</v>
      </c>
    </row>
    <row r="985" spans="1:1">
      <c r="A985" t="s">
        <v>940</v>
      </c>
    </row>
    <row r="986" spans="1:1">
      <c r="A986" t="s">
        <v>941</v>
      </c>
    </row>
    <row r="987" spans="1:1">
      <c r="A987" t="s">
        <v>942</v>
      </c>
    </row>
    <row r="988" spans="1:1">
      <c r="A988" t="s">
        <v>943</v>
      </c>
    </row>
    <row r="989" spans="1:1">
      <c r="A989" t="s">
        <v>944</v>
      </c>
    </row>
    <row r="990" spans="1:1">
      <c r="A990" t="s">
        <v>945</v>
      </c>
    </row>
    <row r="991" spans="1:1">
      <c r="A991" t="s">
        <v>946</v>
      </c>
    </row>
    <row r="992" spans="1:1">
      <c r="A992" t="s">
        <v>947</v>
      </c>
    </row>
    <row r="993" spans="1:1">
      <c r="A993" t="s">
        <v>948</v>
      </c>
    </row>
    <row r="994" spans="1:1">
      <c r="A994" t="s">
        <v>949</v>
      </c>
    </row>
    <row r="995" spans="1:1">
      <c r="A995" t="s">
        <v>950</v>
      </c>
    </row>
    <row r="996" spans="1:1">
      <c r="A996" t="s">
        <v>951</v>
      </c>
    </row>
    <row r="997" spans="1:1">
      <c r="A997" t="s">
        <v>952</v>
      </c>
    </row>
    <row r="998" spans="1:1">
      <c r="A998" t="s">
        <v>953</v>
      </c>
    </row>
    <row r="999" spans="1:1">
      <c r="A999" t="s">
        <v>954</v>
      </c>
    </row>
    <row r="1000" spans="1:1">
      <c r="A1000" t="s">
        <v>955</v>
      </c>
    </row>
    <row r="1001" spans="1:1">
      <c r="A1001" t="s">
        <v>956</v>
      </c>
    </row>
    <row r="1002" spans="1:1">
      <c r="A1002" t="s">
        <v>957</v>
      </c>
    </row>
    <row r="1003" spans="1:1">
      <c r="A1003" t="s">
        <v>958</v>
      </c>
    </row>
    <row r="1004" spans="1:1">
      <c r="A1004" t="s">
        <v>959</v>
      </c>
    </row>
    <row r="1005" spans="1:1">
      <c r="A1005" t="s">
        <v>960</v>
      </c>
    </row>
    <row r="1006" spans="1:1">
      <c r="A1006" t="s">
        <v>961</v>
      </c>
    </row>
    <row r="1007" spans="1:1">
      <c r="A1007" t="s">
        <v>962</v>
      </c>
    </row>
    <row r="1008" spans="1:1">
      <c r="A1008" t="s">
        <v>963</v>
      </c>
    </row>
    <row r="1009" spans="1:1">
      <c r="A1009" t="s">
        <v>964</v>
      </c>
    </row>
    <row r="1010" spans="1:1">
      <c r="A1010" t="s">
        <v>965</v>
      </c>
    </row>
    <row r="1011" spans="1:1">
      <c r="A1011" t="s">
        <v>966</v>
      </c>
    </row>
    <row r="1012" spans="1:1">
      <c r="A1012" t="s">
        <v>967</v>
      </c>
    </row>
    <row r="1013" spans="1:1">
      <c r="A1013" t="s">
        <v>968</v>
      </c>
    </row>
    <row r="1014" spans="1:1">
      <c r="A1014" t="s">
        <v>969</v>
      </c>
    </row>
    <row r="1015" spans="1:1">
      <c r="A1015" t="s">
        <v>970</v>
      </c>
    </row>
    <row r="1016" spans="1:1">
      <c r="A1016" t="s">
        <v>971</v>
      </c>
    </row>
    <row r="1017" spans="1:1">
      <c r="A1017" t="s">
        <v>972</v>
      </c>
    </row>
    <row r="1018" spans="1:1">
      <c r="A1018" t="s">
        <v>973</v>
      </c>
    </row>
    <row r="1019" spans="1:1">
      <c r="A1019" t="s">
        <v>974</v>
      </c>
    </row>
    <row r="1020" spans="1:1">
      <c r="A1020" t="s">
        <v>975</v>
      </c>
    </row>
    <row r="1021" spans="1:1">
      <c r="A1021" t="s">
        <v>976</v>
      </c>
    </row>
    <row r="1022" spans="1:1">
      <c r="A1022" t="s">
        <v>977</v>
      </c>
    </row>
    <row r="1023" spans="1:1">
      <c r="A1023" t="s">
        <v>978</v>
      </c>
    </row>
    <row r="1024" spans="1:1">
      <c r="A1024" t="s">
        <v>979</v>
      </c>
    </row>
    <row r="1025" spans="1:1">
      <c r="A1025" t="s">
        <v>980</v>
      </c>
    </row>
    <row r="1026" spans="1:1">
      <c r="A1026" t="s">
        <v>981</v>
      </c>
    </row>
    <row r="1027" spans="1:1">
      <c r="A1027" t="s">
        <v>982</v>
      </c>
    </row>
    <row r="1028" spans="1:1">
      <c r="A1028" t="s">
        <v>983</v>
      </c>
    </row>
    <row r="1029" spans="1:1">
      <c r="A1029" t="s">
        <v>984</v>
      </c>
    </row>
    <row r="1030" spans="1:1">
      <c r="A1030" t="s">
        <v>985</v>
      </c>
    </row>
    <row r="1031" spans="1:1">
      <c r="A1031" t="s">
        <v>986</v>
      </c>
    </row>
    <row r="1032" spans="1:1">
      <c r="A1032" t="s">
        <v>987</v>
      </c>
    </row>
    <row r="1033" spans="1:1">
      <c r="A1033" t="s">
        <v>988</v>
      </c>
    </row>
    <row r="1034" spans="1:1">
      <c r="A1034" t="s">
        <v>989</v>
      </c>
    </row>
    <row r="1035" spans="1:1">
      <c r="A1035" t="s">
        <v>990</v>
      </c>
    </row>
    <row r="1036" spans="1:1">
      <c r="A1036" t="s">
        <v>991</v>
      </c>
    </row>
    <row r="1037" spans="1:1">
      <c r="A1037" t="s">
        <v>992</v>
      </c>
    </row>
    <row r="1038" spans="1:1">
      <c r="A1038" t="s">
        <v>993</v>
      </c>
    </row>
    <row r="1039" spans="1:1">
      <c r="A1039" t="s">
        <v>994</v>
      </c>
    </row>
    <row r="1040" spans="1:1">
      <c r="A1040" t="s">
        <v>995</v>
      </c>
    </row>
    <row r="1041" spans="1:1">
      <c r="A1041" t="s">
        <v>996</v>
      </c>
    </row>
    <row r="1042" spans="1:1">
      <c r="A1042" t="s">
        <v>997</v>
      </c>
    </row>
    <row r="1043" spans="1:1">
      <c r="A1043" t="s">
        <v>998</v>
      </c>
    </row>
    <row r="1044" spans="1:1">
      <c r="A1044" t="s">
        <v>999</v>
      </c>
    </row>
    <row r="1045" spans="1:1">
      <c r="A1045" t="s">
        <v>1000</v>
      </c>
    </row>
    <row r="1046" spans="1:1">
      <c r="A1046" t="s">
        <v>1001</v>
      </c>
    </row>
    <row r="1047" spans="1:1">
      <c r="A1047" t="s">
        <v>1002</v>
      </c>
    </row>
    <row r="1048" spans="1:1">
      <c r="A1048" t="s">
        <v>1003</v>
      </c>
    </row>
    <row r="1049" spans="1:1">
      <c r="A1049" t="s">
        <v>1004</v>
      </c>
    </row>
    <row r="1050" spans="1:1">
      <c r="A1050" t="s">
        <v>1005</v>
      </c>
    </row>
    <row r="1051" spans="1:1">
      <c r="A1051" t="s">
        <v>1006</v>
      </c>
    </row>
    <row r="1052" spans="1:1">
      <c r="A1052" t="s">
        <v>1007</v>
      </c>
    </row>
    <row r="1053" spans="1:1">
      <c r="A1053" t="s">
        <v>1008</v>
      </c>
    </row>
    <row r="1054" spans="1:1">
      <c r="A1054" t="s">
        <v>1009</v>
      </c>
    </row>
    <row r="1055" spans="1:1">
      <c r="A1055" t="s">
        <v>1010</v>
      </c>
    </row>
    <row r="1056" spans="1:1">
      <c r="A1056" t="s">
        <v>1011</v>
      </c>
    </row>
    <row r="1057" spans="1:1">
      <c r="A1057" t="s">
        <v>1012</v>
      </c>
    </row>
    <row r="1058" spans="1:1">
      <c r="A1058" t="s">
        <v>1013</v>
      </c>
    </row>
    <row r="1059" spans="1:1">
      <c r="A1059" t="s">
        <v>1014</v>
      </c>
    </row>
    <row r="1060" spans="1:1">
      <c r="A1060" t="s">
        <v>1015</v>
      </c>
    </row>
    <row r="1061" spans="1:1">
      <c r="A1061" t="s">
        <v>1016</v>
      </c>
    </row>
    <row r="1062" spans="1:1">
      <c r="A1062" t="s">
        <v>1017</v>
      </c>
    </row>
    <row r="1063" spans="1:1">
      <c r="A1063" t="s">
        <v>1018</v>
      </c>
    </row>
    <row r="1064" spans="1:1">
      <c r="A1064" t="s">
        <v>1019</v>
      </c>
    </row>
    <row r="1065" spans="1:1">
      <c r="A1065" t="s">
        <v>1020</v>
      </c>
    </row>
    <row r="1066" spans="1:1">
      <c r="A1066" t="s">
        <v>1021</v>
      </c>
    </row>
    <row r="1067" spans="1:1">
      <c r="A1067" t="s">
        <v>1022</v>
      </c>
    </row>
    <row r="1068" spans="1:1">
      <c r="A1068" t="s">
        <v>1023</v>
      </c>
    </row>
    <row r="1069" spans="1:1">
      <c r="A1069" t="s">
        <v>1024</v>
      </c>
    </row>
    <row r="1070" spans="1:1">
      <c r="A1070" t="s">
        <v>1025</v>
      </c>
    </row>
    <row r="1071" spans="1:1">
      <c r="A1071" t="s">
        <v>1026</v>
      </c>
    </row>
    <row r="1072" spans="1:1">
      <c r="A1072" t="s">
        <v>1027</v>
      </c>
    </row>
    <row r="1073" spans="1:1">
      <c r="A1073" t="s">
        <v>1028</v>
      </c>
    </row>
    <row r="1074" spans="1:1">
      <c r="A1074" t="s">
        <v>1029</v>
      </c>
    </row>
    <row r="1075" spans="1:1">
      <c r="A1075" t="s">
        <v>1030</v>
      </c>
    </row>
    <row r="1076" spans="1:1">
      <c r="A1076" t="s">
        <v>1031</v>
      </c>
    </row>
  </sheetData>
  <phoneticPr fontId="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218"/>
  <sheetViews>
    <sheetView workbookViewId="0">
      <selection activeCell="B8" sqref="B8"/>
    </sheetView>
  </sheetViews>
  <sheetFormatPr defaultRowHeight="13.5"/>
  <cols>
    <col min="1" max="1" width="56" bestFit="1" customWidth="1"/>
    <col min="2" max="2" width="37.125" bestFit="1" customWidth="1"/>
    <col min="3" max="9" width="58.25" bestFit="1" customWidth="1"/>
    <col min="11" max="11" width="12.75" bestFit="1" customWidth="1"/>
  </cols>
  <sheetData>
    <row r="1" spans="1:11">
      <c r="B1" t="b">
        <f ca="1">_xll.qlSettingsSetEvaluationDate(B3)</f>
        <v>1</v>
      </c>
    </row>
    <row r="2" spans="1:11">
      <c r="A2" t="str">
        <f ca="1">LEFT(A3,LEN(A3)-18)</f>
        <v>CNY_Treasury_Live_Curve_2012-7-5</v>
      </c>
      <c r="K2" s="74">
        <f t="shared" ref="K2:K65" ca="1" si="0">J4-C4</f>
        <v>9.9415194394072287E-5</v>
      </c>
    </row>
    <row r="3" spans="1:11">
      <c r="A3" t="str">
        <f ca="1">"CNY_Treasury_Live_Curve_"&amp;YEAR(B3)&amp;"-"&amp;MONTH(B3)&amp;"-"&amp;DAY(B3)&amp;"_Calibrated_Curve_"</f>
        <v>CNY_Treasury_Live_Curve_2012-7-5_Calibrated_Curve_</v>
      </c>
      <c r="B3" s="61">
        <v>41095</v>
      </c>
      <c r="C3" t="str">
        <f ca="1">$A$3&amp;1</f>
        <v>CNY_Treasury_Live_Curve_2012-7-5_Calibrated_Curve_1</v>
      </c>
      <c r="D3" t="str">
        <f ca="1">$A$3&amp;2</f>
        <v>CNY_Treasury_Live_Curve_2012-7-5_Calibrated_Curve_2</v>
      </c>
      <c r="E3" t="str">
        <f ca="1">$A$3&amp;3</f>
        <v>CNY_Treasury_Live_Curve_2012-7-5_Calibrated_Curve_3</v>
      </c>
      <c r="F3" t="str">
        <f ca="1">$A$3&amp;4</f>
        <v>CNY_Treasury_Live_Curve_2012-7-5_Calibrated_Curve_4</v>
      </c>
      <c r="G3" t="str">
        <f ca="1">$A$3&amp;5</f>
        <v>CNY_Treasury_Live_Curve_2012-7-5_Calibrated_Curve_5</v>
      </c>
      <c r="H3" t="str">
        <f ca="1">$A$3&amp;6</f>
        <v>CNY_Treasury_Live_Curve_2012-7-5_Calibrated_Curve_6</v>
      </c>
      <c r="I3" t="str">
        <f ca="1">$A$3&amp;7</f>
        <v>CNY_Treasury_Live_Curve_2012-7-5_Calibrated_Curve_7</v>
      </c>
      <c r="J3" t="str">
        <f ca="1">$A$3&amp;8</f>
        <v>CNY_Treasury_Live_Curve_2012-7-5_Calibrated_Curve_8</v>
      </c>
      <c r="K3" s="74">
        <f t="shared" ca="1" si="0"/>
        <v>9.94151944114334E-5</v>
      </c>
    </row>
    <row r="4" spans="1:11">
      <c r="A4" s="61">
        <f ca="1">B3</f>
        <v>41095</v>
      </c>
      <c r="C4">
        <f t="array" aca="1" ref="C4:C215" ca="1">_xll.qlYieldTSZeroRate(C$3,$A$4:$A$215,"Bond Basis",,,TRUE)</f>
        <v>2.2901163845572833E-2</v>
      </c>
      <c r="D4">
        <f t="array" aca="1" ref="D4:D215" ca="1">_xll.qlYieldTSZeroRate(D$3,$A$4:$A$215,"Bond Basis",,,TRUE)</f>
        <v>2.2926627378461455E-2</v>
      </c>
      <c r="E4">
        <f t="array" aca="1" ref="E4:E215" ca="1">_xll.qlYieldTSZeroRate(E$3,$A$4:$A$215,"Bond Basis",,,TRUE)</f>
        <v>2.2901163845572833E-2</v>
      </c>
      <c r="F4">
        <f t="array" aca="1" ref="F4:F215" ca="1">_xll.qlYieldTSZeroRate(F$3,$A$4:$A$215,"Bond Basis",,,TRUE)</f>
        <v>2.2901163845572833E-2</v>
      </c>
      <c r="G4">
        <f t="array" aca="1" ref="G4:G215" ca="1">_xll.qlYieldTSZeroRate(G$3,$A$4:$A$215,"Bond Basis",,,TRUE)</f>
        <v>2.2901163845572833E-2</v>
      </c>
      <c r="H4">
        <f t="array" aca="1" ref="H4:H215" ca="1">_xll.qlYieldTSZeroRate(H$3,$A$4:$A$215,"Bond Basis",,,TRUE)</f>
        <v>2.2901163845572833E-2</v>
      </c>
      <c r="I4">
        <f t="array" aca="1" ref="I4:I215" ca="1">_xll.qlYieldTSZeroRate(I$3,$A$4:$A$215,"Bond Basis",,,TRUE)</f>
        <v>2.2901163845572833E-2</v>
      </c>
      <c r="J4">
        <f t="array" aca="1" ref="J4:J215" ca="1">_xll.qlYieldTSZeroRate(J$3,$A$4:$A$215,"Bond Basis",,,TRUE)</f>
        <v>2.3000579039966905E-2</v>
      </c>
      <c r="K4" s="74">
        <f t="shared" ca="1" si="0"/>
        <v>9.8888289368014026E-5</v>
      </c>
    </row>
    <row r="5" spans="1:11">
      <c r="A5" s="61">
        <f ca="1">A4+90</f>
        <v>41185</v>
      </c>
      <c r="C5">
        <f ca="1"/>
        <v>2.2901163846607418E-2</v>
      </c>
      <c r="D5">
        <f ca="1"/>
        <v>2.2926627379522863E-2</v>
      </c>
      <c r="E5">
        <f ca="1"/>
        <v>2.2901163846608317E-2</v>
      </c>
      <c r="F5">
        <f ca="1"/>
        <v>2.2901163846608317E-2</v>
      </c>
      <c r="G5">
        <f ca="1"/>
        <v>2.2901163846608317E-2</v>
      </c>
      <c r="H5">
        <f ca="1"/>
        <v>2.2901163846608317E-2</v>
      </c>
      <c r="I5">
        <f ca="1"/>
        <v>2.2901163846608317E-2</v>
      </c>
      <c r="J5">
        <f ca="1"/>
        <v>2.3000579041018852E-2</v>
      </c>
      <c r="K5" s="74">
        <f t="shared" ca="1" si="0"/>
        <v>9.8391907102677451E-5</v>
      </c>
    </row>
    <row r="6" spans="1:11">
      <c r="A6" s="61">
        <f t="shared" ref="A6:A69" ca="1" si="1">A5+90</f>
        <v>41275</v>
      </c>
      <c r="C6">
        <f ca="1"/>
        <v>2.2590832086887679E-2</v>
      </c>
      <c r="D6">
        <f ca="1"/>
        <v>2.2639795635110555E-2</v>
      </c>
      <c r="E6">
        <f ca="1"/>
        <v>2.2590832085933141E-2</v>
      </c>
      <c r="F6">
        <f ca="1"/>
        <v>2.2590832085933141E-2</v>
      </c>
      <c r="G6">
        <f ca="1"/>
        <v>2.2590832085933141E-2</v>
      </c>
      <c r="H6">
        <f ca="1"/>
        <v>2.2590832085933141E-2</v>
      </c>
      <c r="I6">
        <f ca="1"/>
        <v>2.2590832085933141E-2</v>
      </c>
      <c r="J6">
        <f ca="1"/>
        <v>2.2689720376255693E-2</v>
      </c>
      <c r="K6" s="74">
        <f t="shared" ca="1" si="0"/>
        <v>9.7835011805744859E-5</v>
      </c>
    </row>
    <row r="7" spans="1:11">
      <c r="A7" s="61">
        <f t="shared" ca="1" si="1"/>
        <v>41365</v>
      </c>
      <c r="C7">
        <f ca="1"/>
        <v>2.1863985768737236E-2</v>
      </c>
      <c r="D7">
        <f ca="1"/>
        <v>2.1936505913666478E-2</v>
      </c>
      <c r="E7">
        <f ca="1"/>
        <v>2.1863985768684605E-2</v>
      </c>
      <c r="F7">
        <f ca="1"/>
        <v>2.1863985768684605E-2</v>
      </c>
      <c r="G7">
        <f ca="1"/>
        <v>2.1863985768684605E-2</v>
      </c>
      <c r="H7">
        <f ca="1"/>
        <v>2.1863985768684605E-2</v>
      </c>
      <c r="I7">
        <f ca="1"/>
        <v>2.1863985768684605E-2</v>
      </c>
      <c r="J7">
        <f ca="1"/>
        <v>2.1962377675839913E-2</v>
      </c>
      <c r="K7" s="74">
        <f t="shared" ca="1" si="0"/>
        <v>9.7910416671419254E-5</v>
      </c>
    </row>
    <row r="8" spans="1:11">
      <c r="A8" s="61">
        <f t="shared" ca="1" si="1"/>
        <v>41455</v>
      </c>
      <c r="C8">
        <f ca="1"/>
        <v>2.2486467623919235E-2</v>
      </c>
      <c r="D8">
        <f ca="1"/>
        <v>2.2582433408021275E-2</v>
      </c>
      <c r="E8">
        <f ca="1"/>
        <v>2.2486467624392298E-2</v>
      </c>
      <c r="F8">
        <f ca="1"/>
        <v>2.2486467624392298E-2</v>
      </c>
      <c r="G8">
        <f ca="1"/>
        <v>2.2486467624392298E-2</v>
      </c>
      <c r="H8">
        <f ca="1"/>
        <v>2.2486467624392298E-2</v>
      </c>
      <c r="I8">
        <f ca="1"/>
        <v>2.2486467624392298E-2</v>
      </c>
      <c r="J8">
        <f ca="1"/>
        <v>2.258430263572498E-2</v>
      </c>
      <c r="K8" s="74">
        <f t="shared" ca="1" si="0"/>
        <v>9.7885888162993484E-5</v>
      </c>
    </row>
    <row r="9" spans="1:11">
      <c r="A9" s="61">
        <f t="shared" ca="1" si="1"/>
        <v>41545</v>
      </c>
      <c r="C9">
        <f ca="1"/>
        <v>2.4725159248875118E-2</v>
      </c>
      <c r="D9">
        <f ca="1"/>
        <v>2.4800577561989081E-2</v>
      </c>
      <c r="E9">
        <f ca="1"/>
        <v>2.4747574021618007E-2</v>
      </c>
      <c r="F9">
        <f ca="1"/>
        <v>2.4725159248548505E-2</v>
      </c>
      <c r="G9">
        <f ca="1"/>
        <v>2.4725159248548505E-2</v>
      </c>
      <c r="H9">
        <f ca="1"/>
        <v>2.4725159248548505E-2</v>
      </c>
      <c r="I9">
        <f ca="1"/>
        <v>2.4725159248548505E-2</v>
      </c>
      <c r="J9">
        <f ca="1"/>
        <v>2.4823069665546538E-2</v>
      </c>
      <c r="K9" s="74">
        <f t="shared" ca="1" si="0"/>
        <v>9.7904063289185744E-5</v>
      </c>
    </row>
    <row r="10" spans="1:11">
      <c r="A10" s="61">
        <f t="shared" ca="1" si="1"/>
        <v>41635</v>
      </c>
      <c r="C10">
        <f ca="1"/>
        <v>2.6387617726137985E-2</v>
      </c>
      <c r="D10">
        <f ca="1"/>
        <v>2.6438679760846535E-2</v>
      </c>
      <c r="E10">
        <f ca="1"/>
        <v>2.6434514071156111E-2</v>
      </c>
      <c r="F10">
        <f ca="1"/>
        <v>2.6387617726099405E-2</v>
      </c>
      <c r="G10">
        <f ca="1"/>
        <v>2.6387617726099405E-2</v>
      </c>
      <c r="H10">
        <f ca="1"/>
        <v>2.6387617726099405E-2</v>
      </c>
      <c r="I10">
        <f ca="1"/>
        <v>2.6387617726099405E-2</v>
      </c>
      <c r="J10">
        <f ca="1"/>
        <v>2.6485503614300979E-2</v>
      </c>
      <c r="K10" s="74">
        <f t="shared" ca="1" si="0"/>
        <v>9.7763500920770852E-5</v>
      </c>
    </row>
    <row r="11" spans="1:11">
      <c r="A11" s="61">
        <f t="shared" ca="1" si="1"/>
        <v>41725</v>
      </c>
      <c r="C11">
        <f ca="1"/>
        <v>2.4911826344369194E-2</v>
      </c>
      <c r="D11">
        <f ca="1"/>
        <v>2.4938447819299128E-2</v>
      </c>
      <c r="E11">
        <f ca="1"/>
        <v>2.4983193732240797E-2</v>
      </c>
      <c r="F11">
        <f ca="1"/>
        <v>2.4911826344369812E-2</v>
      </c>
      <c r="G11">
        <f ca="1"/>
        <v>2.4911826344369812E-2</v>
      </c>
      <c r="H11">
        <f ca="1"/>
        <v>2.4911826344369812E-2</v>
      </c>
      <c r="I11">
        <f ca="1"/>
        <v>2.4911826344369812E-2</v>
      </c>
      <c r="J11">
        <f ca="1"/>
        <v>2.500973040765838E-2</v>
      </c>
      <c r="K11" s="74">
        <f t="shared" ca="1" si="0"/>
        <v>9.7776402326787276E-5</v>
      </c>
    </row>
    <row r="12" spans="1:11">
      <c r="A12" s="61">
        <f t="shared" ca="1" si="1"/>
        <v>41815</v>
      </c>
      <c r="C12">
        <f ca="1"/>
        <v>2.3533962685557255E-2</v>
      </c>
      <c r="D12">
        <f ca="1"/>
        <v>2.3536079529455647E-2</v>
      </c>
      <c r="E12">
        <f ca="1"/>
        <v>2.362953550685358E-2</v>
      </c>
      <c r="F12">
        <f ca="1"/>
        <v>2.3533962685551989E-2</v>
      </c>
      <c r="G12">
        <f ca="1"/>
        <v>2.3533962685551989E-2</v>
      </c>
      <c r="H12">
        <f ca="1"/>
        <v>2.3533962685551989E-2</v>
      </c>
      <c r="I12">
        <f ca="1"/>
        <v>2.3533962685551989E-2</v>
      </c>
      <c r="J12">
        <f ca="1"/>
        <v>2.3631726186478026E-2</v>
      </c>
      <c r="K12" s="74">
        <f t="shared" ca="1" si="0"/>
        <v>9.7731015569056667E-5</v>
      </c>
    </row>
    <row r="13" spans="1:11">
      <c r="A13" s="61">
        <f t="shared" ca="1" si="1"/>
        <v>41905</v>
      </c>
      <c r="C13">
        <f ca="1"/>
        <v>2.3831645848177416E-2</v>
      </c>
      <c r="D13">
        <f ca="1"/>
        <v>2.3830651969724077E-2</v>
      </c>
      <c r="E13">
        <f ca="1"/>
        <v>2.3923325645437483E-2</v>
      </c>
      <c r="F13">
        <f ca="1"/>
        <v>2.3838692004682503E-2</v>
      </c>
      <c r="G13">
        <f ca="1"/>
        <v>2.3831645847982728E-2</v>
      </c>
      <c r="H13">
        <f ca="1"/>
        <v>2.3831645847982728E-2</v>
      </c>
      <c r="I13">
        <f ca="1"/>
        <v>2.3831645847982728E-2</v>
      </c>
      <c r="J13">
        <f ca="1"/>
        <v>2.3929422250504203E-2</v>
      </c>
      <c r="K13" s="74">
        <f t="shared" ca="1" si="0"/>
        <v>9.7770726397463509E-5</v>
      </c>
    </row>
    <row r="14" spans="1:11">
      <c r="A14" s="61">
        <f t="shared" ca="1" si="1"/>
        <v>41995</v>
      </c>
      <c r="C14">
        <f ca="1"/>
        <v>2.428851816940928E-2</v>
      </c>
      <c r="D14">
        <f ca="1"/>
        <v>2.4287676100127019E-2</v>
      </c>
      <c r="E14">
        <f ca="1"/>
        <v>2.4371839257408896E-2</v>
      </c>
      <c r="F14">
        <f ca="1"/>
        <v>2.4303801480819957E-2</v>
      </c>
      <c r="G14">
        <f ca="1"/>
        <v>2.4288518169551715E-2</v>
      </c>
      <c r="H14">
        <f ca="1"/>
        <v>2.4288518169551715E-2</v>
      </c>
      <c r="I14">
        <f ca="1"/>
        <v>2.4288518169551715E-2</v>
      </c>
      <c r="J14">
        <f ca="1"/>
        <v>2.4386249184978337E-2</v>
      </c>
      <c r="K14" s="74">
        <f t="shared" ca="1" si="0"/>
        <v>9.7737887072620738E-5</v>
      </c>
    </row>
    <row r="15" spans="1:11">
      <c r="A15" s="61">
        <f t="shared" ca="1" si="1"/>
        <v>42085</v>
      </c>
      <c r="C15">
        <f ca="1"/>
        <v>2.4665878009040854E-2</v>
      </c>
      <c r="D15">
        <f ca="1"/>
        <v>2.4665117440019105E-2</v>
      </c>
      <c r="E15">
        <f ca="1"/>
        <v>2.47409227834288E-2</v>
      </c>
      <c r="F15">
        <f ca="1"/>
        <v>2.4689418082421991E-2</v>
      </c>
      <c r="G15">
        <f ca="1"/>
        <v>2.4665878009076127E-2</v>
      </c>
      <c r="H15">
        <f ca="1"/>
        <v>2.4665878009076127E-2</v>
      </c>
      <c r="I15">
        <f ca="1"/>
        <v>2.4665878009076127E-2</v>
      </c>
      <c r="J15">
        <f ca="1"/>
        <v>2.4763648735438317E-2</v>
      </c>
      <c r="K15" s="74">
        <f t="shared" ca="1" si="0"/>
        <v>9.7758244481223333E-5</v>
      </c>
    </row>
    <row r="16" spans="1:11">
      <c r="A16" s="61">
        <f t="shared" ca="1" si="1"/>
        <v>42175</v>
      </c>
      <c r="C16">
        <f ca="1"/>
        <v>2.5105922934160502E-2</v>
      </c>
      <c r="D16">
        <f ca="1"/>
        <v>2.5105124079128391E-2</v>
      </c>
      <c r="E16">
        <f ca="1"/>
        <v>2.5172687592452041E-2</v>
      </c>
      <c r="F16">
        <f ca="1"/>
        <v>2.5137652525907484E-2</v>
      </c>
      <c r="G16">
        <f ca="1"/>
        <v>2.5105922934303009E-2</v>
      </c>
      <c r="H16">
        <f ca="1"/>
        <v>2.5105922934303009E-2</v>
      </c>
      <c r="I16">
        <f ca="1"/>
        <v>2.5105922934303009E-2</v>
      </c>
      <c r="J16">
        <f ca="1"/>
        <v>2.5203660821233122E-2</v>
      </c>
      <c r="K16" s="74">
        <f t="shared" ca="1" si="0"/>
        <v>9.7738428681451439E-5</v>
      </c>
    </row>
    <row r="17" spans="1:11">
      <c r="A17" s="61">
        <f t="shared" ca="1" si="1"/>
        <v>42265</v>
      </c>
      <c r="C17">
        <f ca="1"/>
        <v>2.5509218566942014E-2</v>
      </c>
      <c r="D17">
        <f ca="1"/>
        <v>2.5508476303545625E-2</v>
      </c>
      <c r="E17">
        <f ca="1"/>
        <v>2.5567758108914516E-2</v>
      </c>
      <c r="F17">
        <f ca="1"/>
        <v>2.5549149209058007E-2</v>
      </c>
      <c r="G17">
        <f ca="1"/>
        <v>2.5509218566985202E-2</v>
      </c>
      <c r="H17">
        <f ca="1"/>
        <v>2.5509218566985202E-2</v>
      </c>
      <c r="I17">
        <f ca="1"/>
        <v>2.5509218566985202E-2</v>
      </c>
      <c r="J17">
        <f ca="1"/>
        <v>2.5606976811423238E-2</v>
      </c>
      <c r="K17" s="74">
        <f t="shared" ca="1" si="0"/>
        <v>9.7770145297174094E-5</v>
      </c>
    </row>
    <row r="18" spans="1:11">
      <c r="A18" s="61">
        <f t="shared" ca="1" si="1"/>
        <v>42355</v>
      </c>
      <c r="C18">
        <f ca="1"/>
        <v>2.5829696065762225E-2</v>
      </c>
      <c r="D18">
        <f ca="1"/>
        <v>2.5829050027281131E-2</v>
      </c>
      <c r="E18">
        <f ca="1"/>
        <v>2.5879863241353704E-2</v>
      </c>
      <c r="F18">
        <f ca="1"/>
        <v>2.5877938651461853E-2</v>
      </c>
      <c r="G18">
        <f ca="1"/>
        <v>2.5829696065884152E-2</v>
      </c>
      <c r="H18">
        <f ca="1"/>
        <v>2.5829696065884152E-2</v>
      </c>
      <c r="I18">
        <f ca="1"/>
        <v>2.5829696065884152E-2</v>
      </c>
      <c r="J18">
        <f ca="1"/>
        <v>2.5927434494443676E-2</v>
      </c>
      <c r="K18" s="74">
        <f t="shared" ca="1" si="0"/>
        <v>9.7754937776535489E-5</v>
      </c>
    </row>
    <row r="19" spans="1:11">
      <c r="A19" s="61">
        <f t="shared" ca="1" si="1"/>
        <v>42445</v>
      </c>
      <c r="C19">
        <f ca="1"/>
        <v>2.6099189801443694E-2</v>
      </c>
      <c r="D19">
        <f ca="1"/>
        <v>2.609859578505196E-2</v>
      </c>
      <c r="E19">
        <f ca="1"/>
        <v>2.6141011259498585E-2</v>
      </c>
      <c r="F19">
        <f ca="1"/>
        <v>2.6155778548594209E-2</v>
      </c>
      <c r="G19">
        <f ca="1"/>
        <v>2.6099189801592242E-2</v>
      </c>
      <c r="H19">
        <f ca="1"/>
        <v>2.6099189801592242E-2</v>
      </c>
      <c r="I19">
        <f ca="1"/>
        <v>2.6099189801592242E-2</v>
      </c>
      <c r="J19">
        <f ca="1"/>
        <v>2.6196959946740869E-2</v>
      </c>
      <c r="K19" s="74">
        <f t="shared" ca="1" si="0"/>
        <v>9.7786967792841406E-5</v>
      </c>
    </row>
    <row r="20" spans="1:11">
      <c r="A20" s="61">
        <f t="shared" ca="1" si="1"/>
        <v>42535</v>
      </c>
      <c r="C20">
        <f ca="1"/>
        <v>2.6436816647185269E-2</v>
      </c>
      <c r="D20">
        <f ca="1"/>
        <v>2.6436188054881033E-2</v>
      </c>
      <c r="E20">
        <f ca="1"/>
        <v>2.64702982848663E-2</v>
      </c>
      <c r="F20">
        <f ca="1"/>
        <v>2.6501696903391575E-2</v>
      </c>
      <c r="G20">
        <f ca="1"/>
        <v>2.6436816647113903E-2</v>
      </c>
      <c r="H20">
        <f ca="1"/>
        <v>2.6436816647113903E-2</v>
      </c>
      <c r="I20">
        <f ca="1"/>
        <v>2.6436816647113903E-2</v>
      </c>
      <c r="J20">
        <f ca="1"/>
        <v>2.6534571584961805E-2</v>
      </c>
      <c r="K20" s="74">
        <f t="shared" ca="1" si="0"/>
        <v>9.7811245791591672E-5</v>
      </c>
    </row>
    <row r="21" spans="1:11">
      <c r="A21" s="61">
        <f t="shared" ca="1" si="1"/>
        <v>42625</v>
      </c>
      <c r="C21">
        <f ca="1"/>
        <v>2.696828878464606E-2</v>
      </c>
      <c r="D21">
        <f ca="1"/>
        <v>2.6967684081657742E-2</v>
      </c>
      <c r="E21">
        <f ca="1"/>
        <v>2.6993445930198125E-2</v>
      </c>
      <c r="F21">
        <f ca="1"/>
        <v>2.7041503563332542E-2</v>
      </c>
      <c r="G21">
        <f ca="1"/>
        <v>2.6968288784701543E-2</v>
      </c>
      <c r="H21">
        <f ca="1"/>
        <v>2.6968288784701543E-2</v>
      </c>
      <c r="I21">
        <f ca="1"/>
        <v>2.6968288784701543E-2</v>
      </c>
      <c r="J21">
        <f ca="1"/>
        <v>2.7066075752438901E-2</v>
      </c>
      <c r="K21" s="74">
        <f t="shared" ca="1" si="0"/>
        <v>9.787491968300463E-5</v>
      </c>
    </row>
    <row r="22" spans="1:11">
      <c r="A22" s="61">
        <f t="shared" ca="1" si="1"/>
        <v>42715</v>
      </c>
      <c r="C22">
        <f ca="1"/>
        <v>2.7517993687958757E-2</v>
      </c>
      <c r="D22">
        <f ca="1"/>
        <v>2.7517451862147629E-2</v>
      </c>
      <c r="E22">
        <f ca="1"/>
        <v>2.7534698224416607E-2</v>
      </c>
      <c r="F22">
        <f ca="1"/>
        <v>2.7599667867355945E-2</v>
      </c>
      <c r="G22">
        <f ca="1"/>
        <v>2.7517993688084795E-2</v>
      </c>
      <c r="H22">
        <f ca="1"/>
        <v>2.7517993688084795E-2</v>
      </c>
      <c r="I22">
        <f ca="1"/>
        <v>2.7517993688084795E-2</v>
      </c>
      <c r="J22">
        <f ca="1"/>
        <v>2.7615804933750349E-2</v>
      </c>
      <c r="K22" s="74">
        <f t="shared" ca="1" si="0"/>
        <v>9.790834138497656E-5</v>
      </c>
    </row>
    <row r="23" spans="1:11">
      <c r="A23" s="61">
        <f t="shared" ca="1" si="1"/>
        <v>42805</v>
      </c>
      <c r="C23">
        <f ca="1"/>
        <v>2.8072860955212348E-2</v>
      </c>
      <c r="D23">
        <f ca="1"/>
        <v>2.8072352555097737E-2</v>
      </c>
      <c r="E23">
        <f ca="1"/>
        <v>2.8081052336300896E-2</v>
      </c>
      <c r="F23">
        <f ca="1"/>
        <v>2.8163100787123741E-2</v>
      </c>
      <c r="G23">
        <f ca="1"/>
        <v>2.8072860955247598E-2</v>
      </c>
      <c r="H23">
        <f ca="1"/>
        <v>2.8072860955247598E-2</v>
      </c>
      <c r="I23">
        <f ca="1"/>
        <v>2.8072860955247598E-2</v>
      </c>
      <c r="J23">
        <f ca="1"/>
        <v>2.8170735874895353E-2</v>
      </c>
      <c r="K23" s="74">
        <f t="shared" ca="1" si="0"/>
        <v>9.7967154608986223E-5</v>
      </c>
    </row>
    <row r="24" spans="1:11">
      <c r="A24" s="61">
        <f t="shared" ca="1" si="1"/>
        <v>42895</v>
      </c>
      <c r="C24">
        <f ca="1"/>
        <v>2.8622131107237603E-2</v>
      </c>
      <c r="D24">
        <f ca="1"/>
        <v>2.862158715032655E-2</v>
      </c>
      <c r="E24">
        <f ca="1"/>
        <v>2.8621884392632652E-2</v>
      </c>
      <c r="F24">
        <f ca="1"/>
        <v>2.8720828921725828E-2</v>
      </c>
      <c r="G24">
        <f ca="1"/>
        <v>2.8622131107234553E-2</v>
      </c>
      <c r="H24">
        <f ca="1"/>
        <v>2.8622131107234553E-2</v>
      </c>
      <c r="I24">
        <f ca="1"/>
        <v>2.8622131107234553E-2</v>
      </c>
      <c r="J24">
        <f ca="1"/>
        <v>2.8720039448622579E-2</v>
      </c>
      <c r="K24" s="74">
        <f t="shared" ca="1" si="0"/>
        <v>9.801613255417535E-5</v>
      </c>
    </row>
    <row r="25" spans="1:11">
      <c r="A25" s="61">
        <f t="shared" ca="1" si="1"/>
        <v>42985</v>
      </c>
      <c r="C25">
        <f ca="1"/>
        <v>2.925487637454318E-2</v>
      </c>
      <c r="D25">
        <f ca="1"/>
        <v>2.925433845493625E-2</v>
      </c>
      <c r="E25">
        <f ca="1"/>
        <v>2.9251778314705681E-2</v>
      </c>
      <c r="F25">
        <f ca="1"/>
        <v>2.9353085675418517E-2</v>
      </c>
      <c r="G25">
        <f ca="1"/>
        <v>2.9258261457185474E-2</v>
      </c>
      <c r="H25">
        <f ca="1"/>
        <v>2.9254876374472254E-2</v>
      </c>
      <c r="I25">
        <f ca="1"/>
        <v>2.9254876374472254E-2</v>
      </c>
      <c r="J25">
        <f ca="1"/>
        <v>2.9352843529152167E-2</v>
      </c>
      <c r="K25" s="74">
        <f t="shared" ca="1" si="0"/>
        <v>9.807644963880438E-5</v>
      </c>
    </row>
    <row r="26" spans="1:11">
      <c r="A26" s="61">
        <f t="shared" ca="1" si="1"/>
        <v>43075</v>
      </c>
      <c r="C26">
        <f ca="1"/>
        <v>2.9805965812805636E-2</v>
      </c>
      <c r="D26">
        <f ca="1"/>
        <v>2.9805478598558616E-2</v>
      </c>
      <c r="E26">
        <f ca="1"/>
        <v>2.9802948055813624E-2</v>
      </c>
      <c r="F26">
        <f ca="1"/>
        <v>2.9898904217949634E-2</v>
      </c>
      <c r="G26">
        <f ca="1"/>
        <v>2.9814576192000185E-2</v>
      </c>
      <c r="H26">
        <f ca="1"/>
        <v>2.980596581276098E-2</v>
      </c>
      <c r="I26">
        <f ca="1"/>
        <v>2.980596581276098E-2</v>
      </c>
      <c r="J26">
        <f ca="1"/>
        <v>2.9903981945359811E-2</v>
      </c>
      <c r="K26" s="74">
        <f t="shared" ca="1" si="0"/>
        <v>9.8109161160760822E-5</v>
      </c>
    </row>
    <row r="27" spans="1:11">
      <c r="A27" s="61">
        <f t="shared" ca="1" si="1"/>
        <v>43165</v>
      </c>
      <c r="C27">
        <f ca="1"/>
        <v>3.0253566396922491E-2</v>
      </c>
      <c r="D27">
        <f ca="1"/>
        <v>3.0253109217186418E-2</v>
      </c>
      <c r="E27">
        <f ca="1"/>
        <v>3.025063095783043E-2</v>
      </c>
      <c r="F27">
        <f ca="1"/>
        <v>3.0341198601573086E-2</v>
      </c>
      <c r="G27">
        <f ca="1"/>
        <v>3.0267449270182042E-2</v>
      </c>
      <c r="H27">
        <f ca="1"/>
        <v>3.0253566396917835E-2</v>
      </c>
      <c r="I27">
        <f ca="1"/>
        <v>3.0253566396917835E-2</v>
      </c>
      <c r="J27">
        <f ca="1"/>
        <v>3.0351642846561295E-2</v>
      </c>
      <c r="K27" s="74">
        <f t="shared" ca="1" si="0"/>
        <v>9.8257732958524635E-5</v>
      </c>
    </row>
    <row r="28" spans="1:11">
      <c r="A28" s="61">
        <f t="shared" ca="1" si="1"/>
        <v>43255</v>
      </c>
      <c r="C28">
        <f ca="1"/>
        <v>3.0658597847024755E-2</v>
      </c>
      <c r="D28">
        <f ca="1"/>
        <v>3.0658111629911767E-2</v>
      </c>
      <c r="E28">
        <f ca="1"/>
        <v>3.0655741544408078E-2</v>
      </c>
      <c r="F28">
        <f ca="1"/>
        <v>3.0740961845983489E-2</v>
      </c>
      <c r="G28">
        <f ca="1"/>
        <v>3.0677688001547552E-2</v>
      </c>
      <c r="H28">
        <f ca="1"/>
        <v>3.0658597847022094E-2</v>
      </c>
      <c r="I28">
        <f ca="1"/>
        <v>3.0658597847022094E-2</v>
      </c>
      <c r="J28">
        <f ca="1"/>
        <v>3.0756707008185516E-2</v>
      </c>
      <c r="K28" s="74">
        <f t="shared" ca="1" si="0"/>
        <v>9.8255184823384245E-5</v>
      </c>
    </row>
    <row r="29" spans="1:11">
      <c r="A29" s="61">
        <f t="shared" ca="1" si="1"/>
        <v>43345</v>
      </c>
      <c r="C29">
        <f ca="1"/>
        <v>3.1726590791767262E-2</v>
      </c>
      <c r="D29">
        <f ca="1"/>
        <v>3.172609397369127E-2</v>
      </c>
      <c r="E29">
        <f ca="1"/>
        <v>3.1723743185840293E-2</v>
      </c>
      <c r="F29">
        <f ca="1"/>
        <v>3.1803787074444818E-2</v>
      </c>
      <c r="G29">
        <f ca="1"/>
        <v>3.1750986167430488E-2</v>
      </c>
      <c r="H29">
        <f ca="1"/>
        <v>3.1726590791769364E-2</v>
      </c>
      <c r="I29">
        <f ca="1"/>
        <v>3.1726590791769364E-2</v>
      </c>
      <c r="J29">
        <f ca="1"/>
        <v>3.1824848524725786E-2</v>
      </c>
      <c r="K29" s="74">
        <f t="shared" ca="1" si="0"/>
        <v>9.810885150954643E-5</v>
      </c>
    </row>
    <row r="30" spans="1:11">
      <c r="A30" s="61">
        <f t="shared" ca="1" si="1"/>
        <v>43435</v>
      </c>
      <c r="C30">
        <f ca="1"/>
        <v>3.1890604634348785E-2</v>
      </c>
      <c r="D30">
        <f ca="1"/>
        <v>3.1890156197882824E-2</v>
      </c>
      <c r="E30">
        <f ca="1"/>
        <v>3.1887848603553655E-2</v>
      </c>
      <c r="F30">
        <f ca="1"/>
        <v>3.1962411154155906E-2</v>
      </c>
      <c r="G30">
        <f ca="1"/>
        <v>3.1920279712688106E-2</v>
      </c>
      <c r="H30">
        <f ca="1"/>
        <v>3.1890604634347175E-2</v>
      </c>
      <c r="I30">
        <f ca="1"/>
        <v>3.1890604634347175E-2</v>
      </c>
      <c r="J30">
        <f ca="1"/>
        <v>3.1988859819172169E-2</v>
      </c>
      <c r="K30" s="74">
        <f t="shared" ca="1" si="0"/>
        <v>9.8038570472608333E-5</v>
      </c>
    </row>
    <row r="31" spans="1:11">
      <c r="A31" s="61">
        <f t="shared" ca="1" si="1"/>
        <v>43525</v>
      </c>
      <c r="C31">
        <f ca="1"/>
        <v>3.1187317136641666E-2</v>
      </c>
      <c r="D31">
        <f ca="1"/>
        <v>3.1186913133985701E-2</v>
      </c>
      <c r="E31">
        <f ca="1"/>
        <v>3.118472643665899E-2</v>
      </c>
      <c r="F31">
        <f ca="1"/>
        <v>3.1253571278941614E-2</v>
      </c>
      <c r="G31">
        <f ca="1"/>
        <v>3.1222205928753952E-2</v>
      </c>
      <c r="H31">
        <f ca="1"/>
        <v>3.1187317136584847E-2</v>
      </c>
      <c r="I31">
        <f ca="1"/>
        <v>3.1187317136584847E-2</v>
      </c>
      <c r="J31">
        <f ca="1"/>
        <v>3.1285425988151212E-2</v>
      </c>
      <c r="K31" s="74">
        <f t="shared" ca="1" si="0"/>
        <v>9.8023854872675287E-5</v>
      </c>
    </row>
    <row r="32" spans="1:11">
      <c r="A32" s="61">
        <f t="shared" ca="1" si="1"/>
        <v>43615</v>
      </c>
      <c r="C32">
        <f ca="1"/>
        <v>3.1028164758171214E-2</v>
      </c>
      <c r="D32">
        <f ca="1"/>
        <v>3.1027744491997637E-2</v>
      </c>
      <c r="E32">
        <f ca="1"/>
        <v>3.1025680312934061E-2</v>
      </c>
      <c r="F32">
        <f ca="1"/>
        <v>3.1088979209065275E-2</v>
      </c>
      <c r="G32">
        <f ca="1"/>
        <v>3.1068298397955618E-2</v>
      </c>
      <c r="H32">
        <f ca="1"/>
        <v>3.1028164758179315E-2</v>
      </c>
      <c r="I32">
        <f ca="1"/>
        <v>3.1028164758179315E-2</v>
      </c>
      <c r="J32">
        <f ca="1"/>
        <v>3.1126203328643822E-2</v>
      </c>
      <c r="K32" s="74">
        <f t="shared" ca="1" si="0"/>
        <v>9.8120004783111558E-5</v>
      </c>
    </row>
    <row r="33" spans="1:11">
      <c r="A33" s="61">
        <f t="shared" ca="1" si="1"/>
        <v>43705</v>
      </c>
      <c r="C33">
        <f ca="1"/>
        <v>3.1445328532074733E-2</v>
      </c>
      <c r="D33">
        <f ca="1"/>
        <v>3.1444902608844638E-2</v>
      </c>
      <c r="E33">
        <f ca="1"/>
        <v>3.1442893709535985E-2</v>
      </c>
      <c r="F33">
        <f ca="1"/>
        <v>3.1500786274384573E-2</v>
      </c>
      <c r="G33">
        <f ca="1"/>
        <v>3.1490745443254101E-2</v>
      </c>
      <c r="H33">
        <f ca="1"/>
        <v>3.1445328532116817E-2</v>
      </c>
      <c r="I33">
        <f ca="1"/>
        <v>3.1445328532116817E-2</v>
      </c>
      <c r="J33">
        <f ca="1"/>
        <v>3.1543352386947408E-2</v>
      </c>
      <c r="K33" s="74">
        <f t="shared" ca="1" si="0"/>
        <v>9.8313416437560697E-5</v>
      </c>
    </row>
    <row r="34" spans="1:11">
      <c r="A34" s="61">
        <f t="shared" ca="1" si="1"/>
        <v>43795</v>
      </c>
      <c r="C34">
        <f ca="1"/>
        <v>3.2034185865036709E-2</v>
      </c>
      <c r="D34">
        <f ca="1"/>
        <v>3.2033793142562536E-2</v>
      </c>
      <c r="E34">
        <f ca="1"/>
        <v>3.2031781719228956E-2</v>
      </c>
      <c r="F34">
        <f ca="1"/>
        <v>3.2084329821780944E-2</v>
      </c>
      <c r="G34">
        <f ca="1"/>
        <v>3.2084978073511017E-2</v>
      </c>
      <c r="H34">
        <f ca="1"/>
        <v>3.2034185865079855E-2</v>
      </c>
      <c r="I34">
        <f ca="1"/>
        <v>3.2034185865079855E-2</v>
      </c>
      <c r="J34">
        <f ca="1"/>
        <v>3.213230586981982E-2</v>
      </c>
      <c r="K34" s="74">
        <f t="shared" ca="1" si="0"/>
        <v>9.8452445388974574E-5</v>
      </c>
    </row>
    <row r="35" spans="1:11">
      <c r="A35" s="61">
        <f t="shared" ca="1" si="1"/>
        <v>43885</v>
      </c>
      <c r="C35">
        <f ca="1"/>
        <v>3.2585342619390771E-2</v>
      </c>
      <c r="D35">
        <f ca="1"/>
        <v>3.258497162980608E-2</v>
      </c>
      <c r="E35">
        <f ca="1"/>
        <v>3.2582967504644025E-2</v>
      </c>
      <c r="F35">
        <f ca="1"/>
        <v>3.2630175440789243E-2</v>
      </c>
      <c r="G35">
        <f ca="1"/>
        <v>3.2641608909437847E-2</v>
      </c>
      <c r="H35">
        <f ca="1"/>
        <v>3.2585342619389224E-2</v>
      </c>
      <c r="I35">
        <f ca="1"/>
        <v>3.2585342619389224E-2</v>
      </c>
      <c r="J35">
        <f ca="1"/>
        <v>3.2683656035828332E-2</v>
      </c>
      <c r="K35" s="74">
        <f t="shared" ca="1" si="0"/>
        <v>9.8431963487286001E-5</v>
      </c>
    </row>
    <row r="36" spans="1:11">
      <c r="A36" s="61">
        <f t="shared" ca="1" si="1"/>
        <v>43975</v>
      </c>
      <c r="C36">
        <f ca="1"/>
        <v>3.3079368535182618E-2</v>
      </c>
      <c r="D36">
        <f ca="1"/>
        <v>3.3078975429287241E-2</v>
      </c>
      <c r="E36">
        <f ca="1"/>
        <v>3.3077026976257799E-2</v>
      </c>
      <c r="F36">
        <f ca="1"/>
        <v>3.3118685791747454E-2</v>
      </c>
      <c r="G36">
        <f ca="1"/>
        <v>3.3141252539385879E-2</v>
      </c>
      <c r="H36">
        <f ca="1"/>
        <v>3.3079368535179024E-2</v>
      </c>
      <c r="I36">
        <f ca="1"/>
        <v>3.3079368535179024E-2</v>
      </c>
      <c r="J36">
        <f ca="1"/>
        <v>3.3177820980571593E-2</v>
      </c>
      <c r="K36" s="74">
        <f t="shared" ca="1" si="0"/>
        <v>9.8392163529588406E-5</v>
      </c>
    </row>
    <row r="37" spans="1:11">
      <c r="A37" s="61">
        <f t="shared" ca="1" si="1"/>
        <v>44065</v>
      </c>
      <c r="C37">
        <f ca="1"/>
        <v>3.3352077873019352E-2</v>
      </c>
      <c r="D37">
        <f ca="1"/>
        <v>3.3351674883813583E-2</v>
      </c>
      <c r="E37">
        <f ca="1"/>
        <v>3.3349785613747115E-2</v>
      </c>
      <c r="F37">
        <f ca="1"/>
        <v>3.3385939253311361E-2</v>
      </c>
      <c r="G37">
        <f ca="1"/>
        <v>3.3419339818151227E-2</v>
      </c>
      <c r="H37">
        <f ca="1"/>
        <v>3.3352077873062269E-2</v>
      </c>
      <c r="I37">
        <f ca="1"/>
        <v>3.3352077873062269E-2</v>
      </c>
      <c r="J37">
        <f ca="1"/>
        <v>3.3450509836506638E-2</v>
      </c>
      <c r="K37" s="74">
        <f t="shared" ca="1" si="0"/>
        <v>9.8501730451922009E-5</v>
      </c>
    </row>
    <row r="38" spans="1:11">
      <c r="A38" s="61">
        <f t="shared" ca="1" si="1"/>
        <v>44155</v>
      </c>
      <c r="C38">
        <f ca="1"/>
        <v>3.3452631473739336E-2</v>
      </c>
      <c r="D38">
        <f ca="1"/>
        <v>3.3452264116433296E-2</v>
      </c>
      <c r="E38">
        <f ca="1"/>
        <v>3.3450398762366496E-2</v>
      </c>
      <c r="F38">
        <f ca="1"/>
        <v>3.3481054050386545E-2</v>
      </c>
      <c r="G38">
        <f ca="1"/>
        <v>3.3525224628605681E-2</v>
      </c>
      <c r="H38">
        <f ca="1"/>
        <v>3.3452631473771734E-2</v>
      </c>
      <c r="I38">
        <f ca="1"/>
        <v>3.3452631473771734E-2</v>
      </c>
      <c r="J38">
        <f ca="1"/>
        <v>3.3551023637268924E-2</v>
      </c>
      <c r="K38" s="74">
        <f t="shared" ca="1" si="0"/>
        <v>9.8609036640037728E-5</v>
      </c>
    </row>
    <row r="39" spans="1:11">
      <c r="A39" s="61">
        <f t="shared" ca="1" si="1"/>
        <v>44245</v>
      </c>
      <c r="C39">
        <f ca="1"/>
        <v>3.3724267255193105E-2</v>
      </c>
      <c r="D39">
        <f ca="1"/>
        <v>3.3723926273014369E-2</v>
      </c>
      <c r="E39">
        <f ca="1"/>
        <v>3.3722073361791179E-2</v>
      </c>
      <c r="F39">
        <f ca="1"/>
        <v>3.3747257213584431E-2</v>
      </c>
      <c r="G39">
        <f ca="1"/>
        <v>3.3802359368041185E-2</v>
      </c>
      <c r="H39">
        <f ca="1"/>
        <v>3.3724267255235772E-2</v>
      </c>
      <c r="I39">
        <f ca="1"/>
        <v>3.3724267255235772E-2</v>
      </c>
      <c r="J39">
        <f ca="1"/>
        <v>3.3822768985645027E-2</v>
      </c>
      <c r="K39" s="74">
        <f t="shared" ca="1" si="0"/>
        <v>9.8494555275226159E-5</v>
      </c>
    </row>
    <row r="40" spans="1:11">
      <c r="A40" s="61">
        <f t="shared" ca="1" si="1"/>
        <v>44335</v>
      </c>
      <c r="C40">
        <f ca="1"/>
        <v>3.409695789553735E-2</v>
      </c>
      <c r="D40">
        <f ca="1"/>
        <v>3.4096601453974786E-2</v>
      </c>
      <c r="E40">
        <f ca="1"/>
        <v>3.4094794026685464E-2</v>
      </c>
      <c r="F40">
        <f ca="1"/>
        <v>3.4114286115653737E-2</v>
      </c>
      <c r="G40">
        <f ca="1"/>
        <v>3.4180787067892252E-2</v>
      </c>
      <c r="H40">
        <f ca="1"/>
        <v>3.4096957895504543E-2</v>
      </c>
      <c r="I40">
        <f ca="1"/>
        <v>3.4096957895504543E-2</v>
      </c>
      <c r="J40">
        <f ca="1"/>
        <v>3.4195566932177388E-2</v>
      </c>
      <c r="K40" s="74">
        <f t="shared" ca="1" si="0"/>
        <v>9.8334576680451924E-5</v>
      </c>
    </row>
    <row r="41" spans="1:11">
      <c r="A41" s="61">
        <f t="shared" ca="1" si="1"/>
        <v>44425</v>
      </c>
      <c r="C41">
        <f ca="1"/>
        <v>3.4020985445834089E-2</v>
      </c>
      <c r="D41">
        <f ca="1"/>
        <v>3.4020615542408594E-2</v>
      </c>
      <c r="E41">
        <f ca="1"/>
        <v>3.4018888476816812E-2</v>
      </c>
      <c r="F41">
        <f ca="1"/>
        <v>3.403282058057866E-2</v>
      </c>
      <c r="G41">
        <f ca="1"/>
        <v>3.41101192161362E-2</v>
      </c>
      <c r="H41">
        <f ca="1"/>
        <v>3.4020985445785919E-2</v>
      </c>
      <c r="I41">
        <f ca="1"/>
        <v>3.4020985445785919E-2</v>
      </c>
      <c r="J41">
        <f ca="1"/>
        <v>3.4119480001109315E-2</v>
      </c>
      <c r="K41" s="74">
        <f t="shared" ca="1" si="0"/>
        <v>9.8312396752807396E-5</v>
      </c>
    </row>
    <row r="42" spans="1:11">
      <c r="A42" s="61">
        <f t="shared" ca="1" si="1"/>
        <v>44515</v>
      </c>
      <c r="C42">
        <f ca="1"/>
        <v>3.3744301862485081E-2</v>
      </c>
      <c r="D42">
        <f ca="1"/>
        <v>3.3743967473429913E-2</v>
      </c>
      <c r="E42">
        <f ca="1"/>
        <v>3.3742279979787917E-2</v>
      </c>
      <c r="F42">
        <f ca="1"/>
        <v>3.3750705816959173E-2</v>
      </c>
      <c r="G42">
        <f ca="1"/>
        <v>3.3838622414592449E-2</v>
      </c>
      <c r="H42">
        <f ca="1"/>
        <v>3.3744301862510755E-2</v>
      </c>
      <c r="I42">
        <f ca="1"/>
        <v>3.3744301862510755E-2</v>
      </c>
      <c r="J42">
        <f ca="1"/>
        <v>3.3842636439165533E-2</v>
      </c>
      <c r="K42" s="74">
        <f t="shared" ca="1" si="0"/>
        <v>9.827476128573126E-5</v>
      </c>
    </row>
    <row r="43" spans="1:11">
      <c r="A43" s="61">
        <f t="shared" ca="1" si="1"/>
        <v>44605</v>
      </c>
      <c r="C43">
        <f ca="1"/>
        <v>3.3653651542001776E-2</v>
      </c>
      <c r="D43">
        <f ca="1"/>
        <v>3.365334547116771E-2</v>
      </c>
      <c r="E43">
        <f ca="1"/>
        <v>3.3651684163743804E-2</v>
      </c>
      <c r="F43">
        <f ca="1"/>
        <v>3.3654607236677202E-2</v>
      </c>
      <c r="G43">
        <f ca="1"/>
        <v>3.3753338034496046E-2</v>
      </c>
      <c r="H43">
        <f ca="1"/>
        <v>3.3653651542043465E-2</v>
      </c>
      <c r="I43">
        <f ca="1"/>
        <v>3.3653651542043465E-2</v>
      </c>
      <c r="J43">
        <f ca="1"/>
        <v>3.3751963938754584E-2</v>
      </c>
      <c r="K43" s="74">
        <f t="shared" ca="1" si="0"/>
        <v>9.8278887804892356E-5</v>
      </c>
    </row>
    <row r="44" spans="1:11">
      <c r="A44" s="61">
        <f t="shared" ca="1" si="1"/>
        <v>44695</v>
      </c>
      <c r="C44">
        <f ca="1"/>
        <v>3.3640705464658992E-2</v>
      </c>
      <c r="D44">
        <f ca="1"/>
        <v>3.3640391863946489E-2</v>
      </c>
      <c r="E44">
        <f ca="1"/>
        <v>3.3638784169310328E-2</v>
      </c>
      <c r="F44">
        <f ca="1"/>
        <v>3.3636006351844064E-2</v>
      </c>
      <c r="G44">
        <f ca="1"/>
        <v>3.3745959618106718E-2</v>
      </c>
      <c r="H44">
        <f ca="1"/>
        <v>3.3640705464633824E-2</v>
      </c>
      <c r="I44">
        <f ca="1"/>
        <v>3.3640705464633824E-2</v>
      </c>
      <c r="J44">
        <f ca="1"/>
        <v>3.3738980225944723E-2</v>
      </c>
      <c r="K44" s="74">
        <f t="shared" ca="1" si="0"/>
        <v>9.8368249028299437E-5</v>
      </c>
    </row>
    <row r="45" spans="1:11">
      <c r="A45" s="61">
        <f t="shared" ca="1" si="1"/>
        <v>44785</v>
      </c>
      <c r="C45">
        <f ca="1"/>
        <v>3.3844108181017858E-2</v>
      </c>
      <c r="D45">
        <f ca="1"/>
        <v>3.3843774943969264E-2</v>
      </c>
      <c r="E45">
        <f ca="1"/>
        <v>3.3842223929361336E-2</v>
      </c>
      <c r="F45">
        <f ca="1"/>
        <v>3.3835801308292841E-2</v>
      </c>
      <c r="G45">
        <f ca="1"/>
        <v>3.3951949152805722E-2</v>
      </c>
      <c r="H45">
        <f ca="1"/>
        <v>3.384509354896631E-2</v>
      </c>
      <c r="I45">
        <f ca="1"/>
        <v>3.3844108180970375E-2</v>
      </c>
      <c r="J45">
        <f ca="1"/>
        <v>3.3942387068822751E-2</v>
      </c>
      <c r="K45" s="74">
        <f t="shared" ca="1" si="0"/>
        <v>9.8525534584045782E-5</v>
      </c>
    </row>
    <row r="46" spans="1:11">
      <c r="A46" s="61">
        <f t="shared" ca="1" si="1"/>
        <v>44875</v>
      </c>
      <c r="C46">
        <f ca="1"/>
        <v>3.4172780792508579E-2</v>
      </c>
      <c r="D46">
        <f ca="1"/>
        <v>3.4172471692819423E-2</v>
      </c>
      <c r="E46">
        <f ca="1"/>
        <v>3.4170920824332041E-2</v>
      </c>
      <c r="F46">
        <f ca="1"/>
        <v>3.4164575954901182E-2</v>
      </c>
      <c r="G46">
        <f ca="1"/>
        <v>3.4277721690225825E-2</v>
      </c>
      <c r="H46">
        <f ca="1"/>
        <v>3.4176622824731273E-2</v>
      </c>
      <c r="I46">
        <f ca="1"/>
        <v>3.4172780792485632E-2</v>
      </c>
      <c r="J46">
        <f ca="1"/>
        <v>3.4271149041536879E-2</v>
      </c>
      <c r="K46" s="74">
        <f t="shared" ca="1" si="0"/>
        <v>9.8646916183761646E-5</v>
      </c>
    </row>
    <row r="47" spans="1:11">
      <c r="A47" s="61">
        <f t="shared" ca="1" si="1"/>
        <v>44965</v>
      </c>
      <c r="C47">
        <f ca="1"/>
        <v>3.4486282572736157E-2</v>
      </c>
      <c r="D47">
        <f ca="1"/>
        <v>3.4485995970836354E-2</v>
      </c>
      <c r="E47">
        <f ca="1"/>
        <v>3.4484443225320384E-2</v>
      </c>
      <c r="F47">
        <f ca="1"/>
        <v>3.4478171960797291E-2</v>
      </c>
      <c r="G47">
        <f ca="1"/>
        <v>3.4588379171565077E-2</v>
      </c>
      <c r="H47">
        <f ca="1"/>
        <v>3.4493005189916347E-2</v>
      </c>
      <c r="I47">
        <f ca="1"/>
        <v>3.4486282572641143E-2</v>
      </c>
      <c r="J47">
        <f ca="1"/>
        <v>3.4584808107320203E-2</v>
      </c>
      <c r="K47" s="74">
        <f t="shared" ca="1" si="0"/>
        <v>9.8705530075161863E-5</v>
      </c>
    </row>
    <row r="48" spans="1:11">
      <c r="A48" s="61">
        <f t="shared" ca="1" si="1"/>
        <v>45055</v>
      </c>
      <c r="C48">
        <f ca="1"/>
        <v>3.479560769947436E-2</v>
      </c>
      <c r="D48">
        <f ca="1"/>
        <v>3.4795312635883362E-2</v>
      </c>
      <c r="E48">
        <f ca="1"/>
        <v>3.4793785853414423E-2</v>
      </c>
      <c r="F48">
        <f ca="1"/>
        <v>3.478759295583863E-2</v>
      </c>
      <c r="G48">
        <f ca="1"/>
        <v>3.4894718582256096E-2</v>
      </c>
      <c r="H48">
        <f ca="1"/>
        <v>3.4805318109858312E-2</v>
      </c>
      <c r="I48">
        <f ca="1"/>
        <v>3.479560769938167E-2</v>
      </c>
      <c r="J48">
        <f ca="1"/>
        <v>3.4894254615658121E-2</v>
      </c>
      <c r="K48" s="74">
        <f t="shared" ca="1" si="0"/>
        <v>9.8776977223380413E-5</v>
      </c>
    </row>
    <row r="49" spans="1:11">
      <c r="A49" s="61">
        <f t="shared" ca="1" si="1"/>
        <v>45145</v>
      </c>
      <c r="C49">
        <f ca="1"/>
        <v>3.5081322509111508E-2</v>
      </c>
      <c r="D49">
        <f ca="1"/>
        <v>3.5081003717894292E-2</v>
      </c>
      <c r="E49">
        <f ca="1"/>
        <v>3.5079527003633877E-2</v>
      </c>
      <c r="F49">
        <f ca="1"/>
        <v>3.5073407021627839E-2</v>
      </c>
      <c r="G49">
        <f ca="1"/>
        <v>3.5177433489109851E-2</v>
      </c>
      <c r="H49">
        <f ca="1"/>
        <v>3.5093960235158039E-2</v>
      </c>
      <c r="I49">
        <f ca="1"/>
        <v>3.5081322509111591E-2</v>
      </c>
      <c r="J49">
        <f ca="1"/>
        <v>3.518002803918667E-2</v>
      </c>
      <c r="K49" s="74">
        <f t="shared" ca="1" si="0"/>
        <v>9.8919624663150463E-5</v>
      </c>
    </row>
    <row r="50" spans="1:11">
      <c r="A50" s="61">
        <f t="shared" ca="1" si="1"/>
        <v>45235</v>
      </c>
      <c r="C50">
        <f ca="1"/>
        <v>3.5354712366231292E-2</v>
      </c>
      <c r="D50">
        <f ca="1"/>
        <v>3.5354416118334564E-2</v>
      </c>
      <c r="E50">
        <f ca="1"/>
        <v>3.5352939825397875E-2</v>
      </c>
      <c r="F50">
        <f ca="1"/>
        <v>3.5346893793962476E-2</v>
      </c>
      <c r="G50">
        <f ca="1"/>
        <v>3.5447848741882899E-2</v>
      </c>
      <c r="H50">
        <f ca="1"/>
        <v>3.5370270660542644E-2</v>
      </c>
      <c r="I50">
        <f ca="1"/>
        <v>3.5354712366248355E-2</v>
      </c>
      <c r="J50">
        <f ca="1"/>
        <v>3.5453489343454672E-2</v>
      </c>
      <c r="K50" s="74">
        <f t="shared" ca="1" si="0"/>
        <v>9.9030960199808504E-5</v>
      </c>
    </row>
    <row r="51" spans="1:11">
      <c r="A51" s="61">
        <f t="shared" ca="1" si="1"/>
        <v>45325</v>
      </c>
      <c r="C51">
        <f ca="1"/>
        <v>3.5616557929888742E-2</v>
      </c>
      <c r="D51">
        <f ca="1"/>
        <v>3.5616284331024956E-2</v>
      </c>
      <c r="E51">
        <f ca="1"/>
        <v>3.5614805249843895E-2</v>
      </c>
      <c r="F51">
        <f ca="1"/>
        <v>3.5608827521622727E-2</v>
      </c>
      <c r="G51">
        <f ca="1"/>
        <v>3.5706758744214424E-2</v>
      </c>
      <c r="H51">
        <f ca="1"/>
        <v>3.5635081148200437E-2</v>
      </c>
      <c r="I51">
        <f ca="1"/>
        <v>3.5616557929933845E-2</v>
      </c>
      <c r="J51">
        <f ca="1"/>
        <v>3.5715477554551893E-2</v>
      </c>
      <c r="K51" s="74">
        <f t="shared" ca="1" si="0"/>
        <v>9.90833421017287E-5</v>
      </c>
    </row>
    <row r="52" spans="1:11">
      <c r="A52" s="61">
        <f t="shared" ca="1" si="1"/>
        <v>45415</v>
      </c>
      <c r="C52">
        <f ca="1"/>
        <v>3.587315965014682E-2</v>
      </c>
      <c r="D52">
        <f ca="1"/>
        <v>3.5872881024382575E-2</v>
      </c>
      <c r="E52">
        <f ca="1"/>
        <v>3.5871421988405622E-2</v>
      </c>
      <c r="F52">
        <f ca="1"/>
        <v>3.5865516751682924E-2</v>
      </c>
      <c r="G52">
        <f ca="1"/>
        <v>3.5960314167363096E-2</v>
      </c>
      <c r="H52">
        <f ca="1"/>
        <v>3.5894733056012304E-2</v>
      </c>
      <c r="I52">
        <f ca="1"/>
        <v>3.5873159650151532E-2</v>
      </c>
      <c r="J52">
        <f ca="1"/>
        <v>3.5972190610346629E-2</v>
      </c>
      <c r="K52" s="74">
        <f t="shared" ca="1" si="0"/>
        <v>9.9141903721962354E-5</v>
      </c>
    </row>
    <row r="53" spans="1:11">
      <c r="A53" s="61">
        <f t="shared" ca="1" si="1"/>
        <v>45505</v>
      </c>
      <c r="C53">
        <f ca="1"/>
        <v>3.6113782970102988E-2</v>
      </c>
      <c r="D53">
        <f ca="1"/>
        <v>3.6113477906695793E-2</v>
      </c>
      <c r="E53">
        <f ca="1"/>
        <v>3.6112070436321572E-2</v>
      </c>
      <c r="F53">
        <f ca="1"/>
        <v>3.6106232406782346E-2</v>
      </c>
      <c r="G53">
        <f ca="1"/>
        <v>3.6197871753890942E-2</v>
      </c>
      <c r="H53">
        <f ca="1"/>
        <v>3.6138352154643533E-2</v>
      </c>
      <c r="I53">
        <f ca="1"/>
        <v>3.6113782970116144E-2</v>
      </c>
      <c r="J53">
        <f ca="1"/>
        <v>3.6212866312204717E-2</v>
      </c>
      <c r="K53" s="74">
        <f t="shared" ca="1" si="0"/>
        <v>9.9267626436173872E-5</v>
      </c>
    </row>
    <row r="54" spans="1:11">
      <c r="A54" s="61">
        <f t="shared" ca="1" si="1"/>
        <v>45595</v>
      </c>
      <c r="C54">
        <f ca="1"/>
        <v>3.6347428287758915E-2</v>
      </c>
      <c r="D54">
        <f ca="1"/>
        <v>3.6347145324477331E-2</v>
      </c>
      <c r="E54">
        <f ca="1"/>
        <v>3.6345738133369013E-2</v>
      </c>
      <c r="F54">
        <f ca="1"/>
        <v>3.6339968616652542E-2</v>
      </c>
      <c r="G54">
        <f ca="1"/>
        <v>3.642844334573779E-2</v>
      </c>
      <c r="H54">
        <f ca="1"/>
        <v>3.637501089177065E-2</v>
      </c>
      <c r="I54">
        <f ca="1"/>
        <v>3.6347428287822788E-2</v>
      </c>
      <c r="J54">
        <f ca="1"/>
        <v>3.6446570191480877E-2</v>
      </c>
      <c r="K54" s="74">
        <f t="shared" ca="1" si="0"/>
        <v>9.9375679277119433E-5</v>
      </c>
    </row>
    <row r="55" spans="1:11">
      <c r="A55" s="61">
        <f t="shared" ca="1" si="1"/>
        <v>45685</v>
      </c>
      <c r="C55">
        <f ca="1"/>
        <v>3.6569407794389407E-2</v>
      </c>
      <c r="D55">
        <f ca="1"/>
        <v>3.6569145975244778E-2</v>
      </c>
      <c r="E55">
        <f ca="1"/>
        <v>3.6567737695171652E-2</v>
      </c>
      <c r="F55">
        <f ca="1"/>
        <v>3.6562027978558335E-2</v>
      </c>
      <c r="G55">
        <f ca="1"/>
        <v>3.6647413044182911E-2</v>
      </c>
      <c r="H55">
        <f ca="1"/>
        <v>3.6600023031432935E-2</v>
      </c>
      <c r="I55">
        <f ca="1"/>
        <v>3.6569407794425357E-2</v>
      </c>
      <c r="J55">
        <f ca="1"/>
        <v>3.6668675420825581E-2</v>
      </c>
      <c r="K55" s="74">
        <f t="shared" ca="1" si="0"/>
        <v>9.9423419786255629E-5</v>
      </c>
    </row>
    <row r="56" spans="1:11">
      <c r="A56" s="61">
        <f t="shared" ca="1" si="1"/>
        <v>45775</v>
      </c>
      <c r="C56">
        <f ca="1"/>
        <v>3.678767218572819E-2</v>
      </c>
      <c r="D56">
        <f ca="1"/>
        <v>3.6787405362813393E-2</v>
      </c>
      <c r="E56">
        <f ca="1"/>
        <v>3.6786018722127084E-2</v>
      </c>
      <c r="F56">
        <f ca="1"/>
        <v>3.6780373376539437E-2</v>
      </c>
      <c r="G56">
        <f ca="1"/>
        <v>3.6862592678794909E-2</v>
      </c>
      <c r="H56">
        <f ca="1"/>
        <v>3.6821381684447554E-2</v>
      </c>
      <c r="I56">
        <f ca="1"/>
        <v>3.6787672185680347E-2</v>
      </c>
      <c r="J56">
        <f ca="1"/>
        <v>3.688704786500531E-2</v>
      </c>
      <c r="K56" s="74">
        <f t="shared" ca="1" si="0"/>
        <v>9.9469220339383491E-5</v>
      </c>
    </row>
    <row r="57" spans="1:11">
      <c r="A57" s="61">
        <f t="shared" ca="1" si="1"/>
        <v>45865</v>
      </c>
      <c r="C57">
        <f ca="1"/>
        <v>3.6995294653495943E-2</v>
      </c>
      <c r="D57">
        <f ca="1"/>
        <v>3.6995003690884563E-2</v>
      </c>
      <c r="E57">
        <f ca="1"/>
        <v>3.6993660720724658E-2</v>
      </c>
      <c r="F57">
        <f ca="1"/>
        <v>3.6988083496918067E-2</v>
      </c>
      <c r="G57">
        <f ca="1"/>
        <v>3.7067049117322372E-2</v>
      </c>
      <c r="H57">
        <f ca="1"/>
        <v>3.703210231339682E-2</v>
      </c>
      <c r="I57">
        <f ca="1"/>
        <v>3.699529465349518E-2</v>
      </c>
      <c r="J57">
        <f ca="1"/>
        <v>3.7094718073282199E-2</v>
      </c>
      <c r="K57" s="74">
        <f t="shared" ca="1" si="0"/>
        <v>9.9585835286818136E-5</v>
      </c>
    </row>
    <row r="58" spans="1:11">
      <c r="A58" s="61">
        <f t="shared" ca="1" si="1"/>
        <v>45955</v>
      </c>
      <c r="C58">
        <f ca="1"/>
        <v>3.7192998425600678E-2</v>
      </c>
      <c r="D58">
        <f ca="1"/>
        <v>3.7192726703737217E-2</v>
      </c>
      <c r="E58">
        <f ca="1"/>
        <v>3.7191383597323956E-2</v>
      </c>
      <c r="F58">
        <f ca="1"/>
        <v>3.7185871883209792E-2</v>
      </c>
      <c r="G58">
        <f ca="1"/>
        <v>3.7261649349345345E-2</v>
      </c>
      <c r="H58">
        <f ca="1"/>
        <v>3.7232848782088185E-2</v>
      </c>
      <c r="I58">
        <f ca="1"/>
        <v>3.7192998425614791E-2</v>
      </c>
      <c r="J58">
        <f ca="1"/>
        <v>3.7292467645940061E-2</v>
      </c>
      <c r="K58" s="74">
        <f t="shared" ca="1" si="0"/>
        <v>9.9688993132097947E-5</v>
      </c>
    </row>
    <row r="59" spans="1:11">
      <c r="A59" s="61">
        <f t="shared" ca="1" si="1"/>
        <v>46045</v>
      </c>
      <c r="C59">
        <f ca="1"/>
        <v>3.7383568974151481E-2</v>
      </c>
      <c r="D59">
        <f ca="1"/>
        <v>3.7383318724389797E-2</v>
      </c>
      <c r="E59">
        <f ca="1"/>
        <v>3.738197287249341E-2</v>
      </c>
      <c r="F59">
        <f ca="1"/>
        <v>3.7376515677827293E-2</v>
      </c>
      <c r="G59">
        <f ca="1"/>
        <v>3.7449135087944785E-2</v>
      </c>
      <c r="H59">
        <f ca="1"/>
        <v>3.7426526622485891E-2</v>
      </c>
      <c r="I59">
        <f ca="1"/>
        <v>3.7383568974252129E-2</v>
      </c>
      <c r="J59">
        <f ca="1"/>
        <v>3.7483154809438299E-2</v>
      </c>
      <c r="K59" s="74">
        <f t="shared" ca="1" si="0"/>
        <v>9.9732205527940099E-5</v>
      </c>
    </row>
    <row r="60" spans="1:11">
      <c r="A60" s="61">
        <f t="shared" ca="1" si="1"/>
        <v>46135</v>
      </c>
      <c r="C60">
        <f ca="1"/>
        <v>3.7571487478799695E-2</v>
      </c>
      <c r="D60">
        <f ca="1"/>
        <v>3.7571234067639604E-2</v>
      </c>
      <c r="E60">
        <f ca="1"/>
        <v>3.7569906328597212E-2</v>
      </c>
      <c r="F60">
        <f ca="1"/>
        <v>3.7564507813774815E-2</v>
      </c>
      <c r="G60">
        <f ca="1"/>
        <v>3.7633902363489E-2</v>
      </c>
      <c r="H60">
        <f ca="1"/>
        <v>3.7617611624370002E-2</v>
      </c>
      <c r="I60">
        <f ca="1"/>
        <v>3.7571487478812823E-2</v>
      </c>
      <c r="J60">
        <f ca="1"/>
        <v>3.7671176471931793E-2</v>
      </c>
      <c r="K60" s="74">
        <f t="shared" ca="1" si="0"/>
        <v>9.9768638862941794E-5</v>
      </c>
    </row>
    <row r="61" spans="1:11">
      <c r="A61" s="61">
        <f t="shared" ca="1" si="1"/>
        <v>46225</v>
      </c>
      <c r="C61">
        <f ca="1"/>
        <v>3.7750740253631759E-2</v>
      </c>
      <c r="D61">
        <f ca="1"/>
        <v>3.7750460915086478E-2</v>
      </c>
      <c r="E61">
        <f ca="1"/>
        <v>3.7749177124005738E-2</v>
      </c>
      <c r="F61">
        <f ca="1"/>
        <v>3.7743841474032945E-2</v>
      </c>
      <c r="G61">
        <f ca="1"/>
        <v>3.7809923862836853E-2</v>
      </c>
      <c r="H61">
        <f ca="1"/>
        <v>3.780003263752784E-2</v>
      </c>
      <c r="I61">
        <f ca="1"/>
        <v>3.7750740253691552E-2</v>
      </c>
      <c r="J61">
        <f ca="1"/>
        <v>3.7850472459159699E-2</v>
      </c>
      <c r="K61" s="74">
        <f t="shared" ca="1" si="0"/>
        <v>9.9877963926929547E-5</v>
      </c>
    </row>
    <row r="62" spans="1:11">
      <c r="A62" s="61">
        <f t="shared" ca="1" si="1"/>
        <v>46315</v>
      </c>
      <c r="C62">
        <f ca="1"/>
        <v>3.7921881527815442E-2</v>
      </c>
      <c r="D62">
        <f ca="1"/>
        <v>3.7921620191447653E-2</v>
      </c>
      <c r="E62">
        <f ca="1"/>
        <v>3.7920336059555852E-2</v>
      </c>
      <c r="F62">
        <f ca="1"/>
        <v>3.7915061723097089E-2</v>
      </c>
      <c r="G62">
        <f ca="1"/>
        <v>3.7977899963545565E-2</v>
      </c>
      <c r="H62">
        <f ca="1"/>
        <v>3.7974277081125662E-2</v>
      </c>
      <c r="I62">
        <f ca="1"/>
        <v>3.7921881527866817E-2</v>
      </c>
      <c r="J62">
        <f ca="1"/>
        <v>3.8021650166678383E-2</v>
      </c>
      <c r="K62" s="74">
        <f t="shared" ca="1" si="0"/>
        <v>9.9977626097723371E-5</v>
      </c>
    </row>
    <row r="63" spans="1:11">
      <c r="A63" s="61">
        <f t="shared" ca="1" si="1"/>
        <v>46405</v>
      </c>
      <c r="C63">
        <f ca="1"/>
        <v>3.808726685624049E-2</v>
      </c>
      <c r="D63">
        <f ca="1"/>
        <v>3.8087027277201854E-2</v>
      </c>
      <c r="E63">
        <f ca="1"/>
        <v>3.8085738863442936E-2</v>
      </c>
      <c r="F63">
        <f ca="1"/>
        <v>3.8080514098470276E-2</v>
      </c>
      <c r="G63">
        <f ca="1"/>
        <v>3.8140126011905036E-2</v>
      </c>
      <c r="H63">
        <f ca="1"/>
        <v>3.8142845296799732E-2</v>
      </c>
      <c r="I63">
        <f ca="1"/>
        <v>3.8087266856166424E-2</v>
      </c>
      <c r="J63">
        <f ca="1"/>
        <v>3.8187144820167419E-2</v>
      </c>
      <c r="K63" s="74">
        <f t="shared" ca="1" si="0"/>
        <v>1.0001711266894447E-4</v>
      </c>
    </row>
    <row r="64" spans="1:11">
      <c r="A64" s="61">
        <f t="shared" ca="1" si="1"/>
        <v>46495</v>
      </c>
      <c r="C64">
        <f ca="1"/>
        <v>3.8250754799399961E-2</v>
      </c>
      <c r="D64">
        <f ca="1"/>
        <v>3.8250513739532116E-2</v>
      </c>
      <c r="E64">
        <f ca="1"/>
        <v>3.8249240184698108E-2</v>
      </c>
      <c r="F64">
        <f ca="1"/>
        <v>3.8244068778776896E-2</v>
      </c>
      <c r="G64">
        <f ca="1"/>
        <v>3.8300395128104306E-2</v>
      </c>
      <c r="H64">
        <f ca="1"/>
        <v>3.8309573988127565E-2</v>
      </c>
      <c r="I64">
        <f ca="1"/>
        <v>3.8250754799352832E-2</v>
      </c>
      <c r="J64">
        <f ca="1"/>
        <v>3.8350732425497684E-2</v>
      </c>
      <c r="K64" s="74">
        <f t="shared" ca="1" si="0"/>
        <v>1.0003574916749025E-4</v>
      </c>
    </row>
    <row r="65" spans="1:11">
      <c r="A65" s="61">
        <f t="shared" ca="1" si="1"/>
        <v>46585</v>
      </c>
      <c r="C65">
        <f ca="1"/>
        <v>3.8406600559211891E-2</v>
      </c>
      <c r="D65">
        <f ca="1"/>
        <v>3.840633193897789E-2</v>
      </c>
      <c r="E65">
        <f ca="1"/>
        <v>3.8405102576218555E-2</v>
      </c>
      <c r="F65">
        <f ca="1"/>
        <v>3.8399989200827121E-2</v>
      </c>
      <c r="G65">
        <f ca="1"/>
        <v>3.84529429153911E-2</v>
      </c>
      <c r="H65">
        <f ca="1"/>
        <v>3.8468659790268658E-2</v>
      </c>
      <c r="I65">
        <f ca="1"/>
        <v>3.8406600559266153E-2</v>
      </c>
      <c r="J65">
        <f ca="1"/>
        <v>3.8506617671880836E-2</v>
      </c>
      <c r="K65" s="74">
        <f t="shared" ca="1" si="0"/>
        <v>1.0012382058527391E-4</v>
      </c>
    </row>
    <row r="66" spans="1:11">
      <c r="A66" s="61">
        <f t="shared" ca="1" si="1"/>
        <v>46675</v>
      </c>
      <c r="C66">
        <f ca="1"/>
        <v>3.8542305825795251E-2</v>
      </c>
      <c r="D66">
        <f ca="1"/>
        <v>3.8542054189217703E-2</v>
      </c>
      <c r="E66">
        <f ca="1"/>
        <v>3.8540824882166654E-2</v>
      </c>
      <c r="F66">
        <f ca="1"/>
        <v>3.8535771364543094E-2</v>
      </c>
      <c r="G66">
        <f ca="1"/>
        <v>3.8585419086125873E-2</v>
      </c>
      <c r="H66">
        <f ca="1"/>
        <v>3.8607518166527237E-2</v>
      </c>
      <c r="I66">
        <f ca="1"/>
        <v>3.8542305825793204E-2</v>
      </c>
      <c r="J66">
        <f ca="1"/>
        <v>3.8642341574962741E-2</v>
      </c>
      <c r="K66" s="74">
        <f t="shared" ref="K66:K129" ca="1" si="2">J68-C68</f>
        <v>1.0020377806035236E-4</v>
      </c>
    </row>
    <row r="67" spans="1:11">
      <c r="A67" s="61">
        <f t="shared" ca="1" si="1"/>
        <v>46765</v>
      </c>
      <c r="C67">
        <f ca="1"/>
        <v>3.8666323199590895E-2</v>
      </c>
      <c r="D67">
        <f ca="1"/>
        <v>3.8666093489487838E-2</v>
      </c>
      <c r="E67">
        <f ca="1"/>
        <v>3.8664859581212054E-2</v>
      </c>
      <c r="F67">
        <f ca="1"/>
        <v>3.865985471743779E-2</v>
      </c>
      <c r="G67">
        <f ca="1"/>
        <v>3.8706198594748498E-2</v>
      </c>
      <c r="H67">
        <f ca="1"/>
        <v>3.8734777944482511E-2</v>
      </c>
      <c r="I67">
        <f ca="1"/>
        <v>3.8666323199578558E-2</v>
      </c>
      <c r="J67">
        <f ca="1"/>
        <v>3.8766447020176169E-2</v>
      </c>
      <c r="K67" s="74">
        <f t="shared" ca="1" si="2"/>
        <v>1.0022635057232304E-4</v>
      </c>
    </row>
    <row r="68" spans="1:11">
      <c r="A68" s="61">
        <f t="shared" ca="1" si="1"/>
        <v>46855</v>
      </c>
      <c r="C68">
        <f ca="1"/>
        <v>3.8787839254010782E-2</v>
      </c>
      <c r="D68">
        <f ca="1"/>
        <v>3.8787609702953023E-2</v>
      </c>
      <c r="E68">
        <f ca="1"/>
        <v>3.8786388539590773E-2</v>
      </c>
      <c r="F68">
        <f ca="1"/>
        <v>3.8781435095227294E-2</v>
      </c>
      <c r="G68">
        <f ca="1"/>
        <v>3.8824423807888898E-2</v>
      </c>
      <c r="H68">
        <f ca="1"/>
        <v>3.8859591373316696E-2</v>
      </c>
      <c r="I68">
        <f ca="1"/>
        <v>3.8787839254076799E-2</v>
      </c>
      <c r="J68">
        <f ca="1"/>
        <v>3.8888043032071135E-2</v>
      </c>
      <c r="K68" s="74">
        <f t="shared" ca="1" si="2"/>
        <v>1.0023690602815188E-4</v>
      </c>
    </row>
    <row r="69" spans="1:11">
      <c r="A69" s="61">
        <f t="shared" ca="1" si="1"/>
        <v>46945</v>
      </c>
      <c r="C69">
        <f ca="1"/>
        <v>3.8905604032461794E-2</v>
      </c>
      <c r="D69">
        <f ca="1"/>
        <v>3.8905347262092334E-2</v>
      </c>
      <c r="E69">
        <f ca="1"/>
        <v>3.8904169511144823E-2</v>
      </c>
      <c r="F69">
        <f ca="1"/>
        <v>3.8899272667700456E-2</v>
      </c>
      <c r="G69">
        <f ca="1"/>
        <v>3.8938824349273517E-2</v>
      </c>
      <c r="H69">
        <f ca="1"/>
        <v>3.8980649382898212E-2</v>
      </c>
      <c r="I69">
        <f ca="1"/>
        <v>3.8905604032459198E-2</v>
      </c>
      <c r="J69">
        <f ca="1"/>
        <v>3.9005830383034117E-2</v>
      </c>
      <c r="K69" s="74">
        <f t="shared" ca="1" si="2"/>
        <v>1.0031634452062343E-4</v>
      </c>
    </row>
    <row r="70" spans="1:11">
      <c r="A70" s="61">
        <f t="shared" ref="A70:A94" ca="1" si="3">A69+90</f>
        <v>47035</v>
      </c>
      <c r="C70">
        <f ca="1"/>
        <v>3.9018524914276015E-2</v>
      </c>
      <c r="D70">
        <f ca="1"/>
        <v>3.9018282671425063E-2</v>
      </c>
      <c r="E70">
        <f ca="1"/>
        <v>3.9017106318965739E-2</v>
      </c>
      <c r="F70">
        <f ca="1"/>
        <v>3.9012266573631965E-2</v>
      </c>
      <c r="G70">
        <f ca="1"/>
        <v>3.9048453945108377E-2</v>
      </c>
      <c r="H70">
        <f ca="1"/>
        <v>3.9096783575134852E-2</v>
      </c>
      <c r="I70">
        <f ca="1"/>
        <v>3.9018524914327397E-2</v>
      </c>
      <c r="J70">
        <f ca="1"/>
        <v>3.9118761820304167E-2</v>
      </c>
      <c r="K70" s="74">
        <f t="shared" ca="1" si="2"/>
        <v>1.003937162627408E-4</v>
      </c>
    </row>
    <row r="71" spans="1:11">
      <c r="A71" s="61">
        <f t="shared" ca="1" si="3"/>
        <v>47125</v>
      </c>
      <c r="C71">
        <f ca="1"/>
        <v>3.9128101118355546E-2</v>
      </c>
      <c r="D71">
        <f ca="1"/>
        <v>3.9127879836865373E-2</v>
      </c>
      <c r="E71">
        <f ca="1"/>
        <v>3.9126696556096428E-2</v>
      </c>
      <c r="F71">
        <f ca="1"/>
        <v>3.9121906699189704E-2</v>
      </c>
      <c r="G71">
        <f ca="1"/>
        <v>3.9154723298740209E-2</v>
      </c>
      <c r="H71">
        <f ca="1"/>
        <v>3.9209669095237314E-2</v>
      </c>
      <c r="I71">
        <f ca="1"/>
        <v>3.9128101118350626E-2</v>
      </c>
      <c r="J71">
        <f ca="1"/>
        <v>3.9228417462876169E-2</v>
      </c>
      <c r="K71" s="74">
        <f t="shared" ca="1" si="2"/>
        <v>1.0041757535987628E-4</v>
      </c>
    </row>
    <row r="72" spans="1:11">
      <c r="A72" s="61">
        <f t="shared" ca="1" si="3"/>
        <v>47215</v>
      </c>
      <c r="C72">
        <f ca="1"/>
        <v>3.9236860686401254E-2</v>
      </c>
      <c r="D72">
        <f ca="1"/>
        <v>3.9236642435177112E-2</v>
      </c>
      <c r="E72">
        <f ca="1"/>
        <v>3.9235469337554389E-2</v>
      </c>
      <c r="F72">
        <f ca="1"/>
        <v>3.923072351103405E-2</v>
      </c>
      <c r="G72">
        <f ca="1"/>
        <v>3.9260118552920782E-2</v>
      </c>
      <c r="H72">
        <f ca="1"/>
        <v>3.9321803617464068E-2</v>
      </c>
      <c r="I72">
        <f ca="1"/>
        <v>3.9236860686406194E-2</v>
      </c>
      <c r="J72">
        <f ca="1"/>
        <v>3.9337254402663994E-2</v>
      </c>
      <c r="K72" s="74">
        <f t="shared" ca="1" si="2"/>
        <v>1.0042883145820747E-4</v>
      </c>
    </row>
    <row r="73" spans="1:11">
      <c r="A73" s="61">
        <f t="shared" ca="1" si="3"/>
        <v>47305</v>
      </c>
      <c r="C73">
        <f ca="1"/>
        <v>3.934126663402019E-2</v>
      </c>
      <c r="D73">
        <f ca="1"/>
        <v>3.9341021845922662E-2</v>
      </c>
      <c r="E73">
        <f ca="1"/>
        <v>3.9339889499373851E-2</v>
      </c>
      <c r="F73">
        <f ca="1"/>
        <v>3.933519436947816E-2</v>
      </c>
      <c r="G73">
        <f ca="1"/>
        <v>3.9361112839531677E-2</v>
      </c>
      <c r="H73">
        <f ca="1"/>
        <v>3.9429566059682987E-2</v>
      </c>
      <c r="I73">
        <f ca="1"/>
        <v>3.9341266634016554E-2</v>
      </c>
      <c r="J73">
        <f ca="1"/>
        <v>3.9441684209380067E-2</v>
      </c>
      <c r="K73" s="74">
        <f t="shared" ca="1" si="2"/>
        <v>1.0050103560186457E-4</v>
      </c>
    </row>
    <row r="74" spans="1:11">
      <c r="A74" s="61">
        <f t="shared" ca="1" si="3"/>
        <v>47395</v>
      </c>
      <c r="C74">
        <f ca="1"/>
        <v>3.9441556621610058E-2</v>
      </c>
      <c r="D74">
        <f ca="1"/>
        <v>3.9441323209266646E-2</v>
      </c>
      <c r="E74">
        <f ca="1"/>
        <v>3.944019520191621E-2</v>
      </c>
      <c r="F74">
        <f ca="1"/>
        <v>3.9435551161640894E-2</v>
      </c>
      <c r="G74">
        <f ca="1"/>
        <v>3.9458050104427857E-2</v>
      </c>
      <c r="H74">
        <f ca="1"/>
        <v>3.9533138738003668E-2</v>
      </c>
      <c r="I74">
        <f ca="1"/>
        <v>3.9441556621605964E-2</v>
      </c>
      <c r="J74">
        <f ca="1"/>
        <v>3.9541985453068265E-2</v>
      </c>
      <c r="K74" s="74">
        <f t="shared" ca="1" si="2"/>
        <v>1.0057596727677809E-4</v>
      </c>
    </row>
    <row r="75" spans="1:11">
      <c r="A75" s="61">
        <f t="shared" ca="1" si="3"/>
        <v>47485</v>
      </c>
      <c r="C75">
        <f ca="1"/>
        <v>3.9539043522459148E-2</v>
      </c>
      <c r="D75">
        <f ca="1"/>
        <v>3.9538829991951026E-2</v>
      </c>
      <c r="E75">
        <f ca="1"/>
        <v>3.9537695184137078E-2</v>
      </c>
      <c r="F75">
        <f ca="1"/>
        <v>3.9533096960917516E-2</v>
      </c>
      <c r="G75">
        <f ca="1"/>
        <v>3.9552162362430254E-2</v>
      </c>
      <c r="H75">
        <f ca="1"/>
        <v>3.9634003084775188E-2</v>
      </c>
      <c r="I75">
        <f ca="1"/>
        <v>3.9539043522352532E-2</v>
      </c>
      <c r="J75">
        <f ca="1"/>
        <v>3.9639544558061013E-2</v>
      </c>
      <c r="K75" s="74">
        <f t="shared" ca="1" si="2"/>
        <v>1.0060181466804013E-4</v>
      </c>
    </row>
    <row r="76" spans="1:11">
      <c r="A76" s="61">
        <f t="shared" ca="1" si="3"/>
        <v>47575</v>
      </c>
      <c r="C76">
        <f ca="1"/>
        <v>3.9635967414402229E-2</v>
      </c>
      <c r="D76">
        <f ca="1"/>
        <v>3.9635757791195159E-2</v>
      </c>
      <c r="E76">
        <f ca="1"/>
        <v>3.9634631141988549E-2</v>
      </c>
      <c r="F76">
        <f ca="1"/>
        <v>3.9630073254878155E-2</v>
      </c>
      <c r="G76">
        <f ca="1"/>
        <v>3.9645648044631721E-2</v>
      </c>
      <c r="H76">
        <f ca="1"/>
        <v>3.9734380955677669E-2</v>
      </c>
      <c r="I76">
        <f ca="1"/>
        <v>3.9635967414436597E-2</v>
      </c>
      <c r="J76">
        <f ca="1"/>
        <v>3.9736543381679007E-2</v>
      </c>
      <c r="K76" s="74">
        <f t="shared" ca="1" si="2"/>
        <v>1.0061257505211696E-4</v>
      </c>
    </row>
    <row r="77" spans="1:11">
      <c r="A77" s="61">
        <f t="shared" ca="1" si="3"/>
        <v>47665</v>
      </c>
      <c r="C77">
        <f ca="1"/>
        <v>3.9729165114556104E-2</v>
      </c>
      <c r="D77">
        <f ca="1"/>
        <v>3.9728931543937848E-2</v>
      </c>
      <c r="E77">
        <f ca="1"/>
        <v>3.9727841803510251E-2</v>
      </c>
      <c r="F77">
        <f ca="1"/>
        <v>3.9723330040107599E-2</v>
      </c>
      <c r="G77">
        <f ca="1"/>
        <v>3.9735373855461963E-2</v>
      </c>
      <c r="H77">
        <f ca="1"/>
        <v>3.9831006612445014E-2</v>
      </c>
      <c r="I77">
        <f ca="1"/>
        <v>3.9729165114562572E-2</v>
      </c>
      <c r="J77">
        <f ca="1"/>
        <v>3.9829766929224145E-2</v>
      </c>
      <c r="K77" s="74">
        <f t="shared" ca="1" si="2"/>
        <v>1.0067907767575407E-4</v>
      </c>
    </row>
    <row r="78" spans="1:11">
      <c r="A78" s="61">
        <f t="shared" ca="1" si="3"/>
        <v>47755</v>
      </c>
      <c r="C78">
        <f ca="1"/>
        <v>3.981883078598232E-2</v>
      </c>
      <c r="D78">
        <f ca="1"/>
        <v>3.9818605575811218E-2</v>
      </c>
      <c r="E78">
        <f ca="1"/>
        <v>3.9817521928922857E-2</v>
      </c>
      <c r="F78">
        <f ca="1"/>
        <v>3.9813057364100027E-2</v>
      </c>
      <c r="G78">
        <f ca="1"/>
        <v>3.9821623443546582E-2</v>
      </c>
      <c r="H78">
        <f ca="1"/>
        <v>3.9924026023320423E-2</v>
      </c>
      <c r="I78">
        <f ca="1"/>
        <v>3.9818830785932235E-2</v>
      </c>
      <c r="J78">
        <f ca="1"/>
        <v>3.9919443361034437E-2</v>
      </c>
      <c r="K78" s="74">
        <f t="shared" ca="1" si="2"/>
        <v>1.0075191826616064E-4</v>
      </c>
    </row>
    <row r="79" spans="1:11">
      <c r="A79" s="61">
        <f t="shared" ca="1" si="3"/>
        <v>47845</v>
      </c>
      <c r="C79">
        <f ca="1"/>
        <v>3.9907102763383863E-2</v>
      </c>
      <c r="D79">
        <f ca="1"/>
        <v>3.9906896572544794E-2</v>
      </c>
      <c r="E79">
        <f ca="1"/>
        <v>3.9905806197623399E-2</v>
      </c>
      <c r="F79">
        <f ca="1"/>
        <v>3.9901384455934039E-2</v>
      </c>
      <c r="G79">
        <f ca="1"/>
        <v>3.9906412870175059E-2</v>
      </c>
      <c r="H79">
        <f ca="1"/>
        <v>4.0015784141161317E-2</v>
      </c>
      <c r="I79">
        <f ca="1"/>
        <v>3.9907102763457464E-2</v>
      </c>
      <c r="J79">
        <f ca="1"/>
        <v>4.0007781841059617E-2</v>
      </c>
      <c r="K79" s="74">
        <f t="shared" ca="1" si="2"/>
        <v>1.0077906682658122E-4</v>
      </c>
    </row>
    <row r="80" spans="1:11">
      <c r="A80" s="61">
        <f t="shared" ca="1" si="3"/>
        <v>47935</v>
      </c>
      <c r="C80">
        <f ca="1"/>
        <v>3.9993996959820317E-2</v>
      </c>
      <c r="D80">
        <f ca="1"/>
        <v>3.9993795281476327E-2</v>
      </c>
      <c r="E80">
        <f ca="1"/>
        <v>3.9992711434549612E-2</v>
      </c>
      <c r="F80">
        <f ca="1"/>
        <v>3.9988326700125316E-2</v>
      </c>
      <c r="G80">
        <f ca="1"/>
        <v>3.9989792354271324E-2</v>
      </c>
      <c r="H80">
        <f ca="1"/>
        <v>4.010621395276915E-2</v>
      </c>
      <c r="I80">
        <f ca="1"/>
        <v>3.9993996959844652E-2</v>
      </c>
      <c r="J80">
        <f ca="1"/>
        <v>4.0094748878086478E-2</v>
      </c>
      <c r="K80" s="74">
        <f t="shared" ca="1" si="2"/>
        <v>1.0078954377190641E-4</v>
      </c>
    </row>
    <row r="81" spans="1:11">
      <c r="A81" s="61">
        <f t="shared" ca="1" si="3"/>
        <v>48025</v>
      </c>
      <c r="C81">
        <f ca="1"/>
        <v>4.0076746230056845E-2</v>
      </c>
      <c r="D81">
        <f ca="1"/>
        <v>4.0076522992864093E-2</v>
      </c>
      <c r="E81">
        <f ca="1"/>
        <v>4.0075472424576493E-2</v>
      </c>
      <c r="F81">
        <f ca="1"/>
        <v>4.0071129316236832E-2</v>
      </c>
      <c r="G81">
        <f ca="1"/>
        <v>4.0069044167087113E-2</v>
      </c>
      <c r="H81">
        <f ca="1"/>
        <v>4.0192427302973781E-2</v>
      </c>
      <c r="I81">
        <f ca="1"/>
        <v>4.0076746230010195E-2</v>
      </c>
      <c r="J81">
        <f ca="1"/>
        <v>4.0177525296883426E-2</v>
      </c>
      <c r="K81" s="74">
        <f t="shared" ca="1" si="2"/>
        <v>1.008500403585702E-4</v>
      </c>
    </row>
    <row r="82" spans="1:11">
      <c r="A82" s="61">
        <f t="shared" ca="1" si="3"/>
        <v>48115</v>
      </c>
      <c r="C82">
        <f ca="1"/>
        <v>4.0157390590348514E-2</v>
      </c>
      <c r="D82">
        <f ca="1"/>
        <v>4.015717292885692E-2</v>
      </c>
      <c r="E82">
        <f ca="1"/>
        <v>4.0156130105199007E-2</v>
      </c>
      <c r="F82">
        <f ca="1"/>
        <v>4.0151830706880824E-2</v>
      </c>
      <c r="G82">
        <f ca="1"/>
        <v>4.0146205584863336E-2</v>
      </c>
      <c r="H82">
        <f ca="1"/>
        <v>4.0276499736151251E-2</v>
      </c>
      <c r="I82">
        <f ca="1"/>
        <v>4.0157390590289929E-2</v>
      </c>
      <c r="J82">
        <f ca="1"/>
        <v>4.0258180134120421E-2</v>
      </c>
      <c r="K82" s="74">
        <f t="shared" ca="1" si="2"/>
        <v>1.0092050875015052E-4</v>
      </c>
    </row>
    <row r="83" spans="1:11">
      <c r="A83" s="61">
        <f t="shared" ca="1" si="3"/>
        <v>48205</v>
      </c>
      <c r="C83">
        <f ca="1"/>
        <v>4.0236891395574466E-2</v>
      </c>
      <c r="D83">
        <f ca="1"/>
        <v>4.0236691752428146E-2</v>
      </c>
      <c r="E83">
        <f ca="1"/>
        <v>4.0235642386356921E-2</v>
      </c>
      <c r="F83">
        <f ca="1"/>
        <v>4.0231382734094157E-2</v>
      </c>
      <c r="G83">
        <f ca="1"/>
        <v>4.0222152262638332E-2</v>
      </c>
      <c r="H83">
        <f ca="1"/>
        <v>4.0359559073156345E-2</v>
      </c>
      <c r="I83">
        <f ca="1"/>
        <v>4.0236891395593936E-2</v>
      </c>
      <c r="J83">
        <f ca="1"/>
        <v>4.0337741435933036E-2</v>
      </c>
      <c r="K83" s="74">
        <f t="shared" ca="1" si="2"/>
        <v>1.0097112605358255E-4</v>
      </c>
    </row>
    <row r="84" spans="1:11">
      <c r="A84" s="61">
        <f t="shared" ca="1" si="3"/>
        <v>48295</v>
      </c>
      <c r="C84">
        <f ca="1"/>
        <v>4.0314398239586338E-2</v>
      </c>
      <c r="D84">
        <f ca="1"/>
        <v>4.0314203874770783E-2</v>
      </c>
      <c r="E84">
        <f ca="1"/>
        <v>4.0313159262508023E-2</v>
      </c>
      <c r="F84">
        <f ca="1"/>
        <v>4.0308933381231551E-2</v>
      </c>
      <c r="G84">
        <f ca="1"/>
        <v>4.0296074158337511E-2</v>
      </c>
      <c r="H84">
        <f ca="1"/>
        <v>4.0440676700665736E-2</v>
      </c>
      <c r="I84">
        <f ca="1"/>
        <v>4.0314398239642599E-2</v>
      </c>
      <c r="J84">
        <f ca="1"/>
        <v>4.0415318748336489E-2</v>
      </c>
      <c r="K84" s="74">
        <f t="shared" ca="1" si="2"/>
        <v>1.0101281312276805E-4</v>
      </c>
    </row>
    <row r="85" spans="1:11">
      <c r="A85" s="61">
        <f t="shared" ca="1" si="3"/>
        <v>48385</v>
      </c>
      <c r="C85">
        <f ca="1"/>
        <v>4.0409479634812152E-2</v>
      </c>
      <c r="D85">
        <f ca="1"/>
        <v>4.0409266075878317E-2</v>
      </c>
      <c r="E85">
        <f ca="1"/>
        <v>4.0408250465265798E-2</v>
      </c>
      <c r="F85">
        <f ca="1"/>
        <v>4.0404059392508122E-2</v>
      </c>
      <c r="G85">
        <f ca="1"/>
        <v>4.038756365533596E-2</v>
      </c>
      <c r="H85">
        <f ca="1"/>
        <v>4.0539353621557001E-2</v>
      </c>
      <c r="I85">
        <f ca="1"/>
        <v>4.0409479634827696E-2</v>
      </c>
      <c r="J85">
        <f ca="1"/>
        <v>4.0510450760865735E-2</v>
      </c>
      <c r="K85" s="74">
        <f t="shared" ca="1" si="2"/>
        <v>1.0109810614221393E-4</v>
      </c>
    </row>
    <row r="86" spans="1:11">
      <c r="A86" s="61">
        <f t="shared" ca="1" si="3"/>
        <v>48475</v>
      </c>
      <c r="C86">
        <f ca="1"/>
        <v>4.0511434049003023E-2</v>
      </c>
      <c r="D86">
        <f ca="1"/>
        <v>4.0511223112598055E-2</v>
      </c>
      <c r="E86">
        <f ca="1"/>
        <v>4.0510215102447379E-2</v>
      </c>
      <c r="F86">
        <f ca="1"/>
        <v>4.0506061212524695E-2</v>
      </c>
      <c r="G86">
        <f ca="1"/>
        <v>4.0488590778755808E-2</v>
      </c>
      <c r="H86">
        <f ca="1"/>
        <v>4.0639558983976212E-2</v>
      </c>
      <c r="I86">
        <f ca="1"/>
        <v>4.0514088373240678E-2</v>
      </c>
      <c r="J86">
        <f ca="1"/>
        <v>4.0612446862125791E-2</v>
      </c>
      <c r="K86" s="74">
        <f t="shared" ca="1" si="2"/>
        <v>1.0119886513290655E-4</v>
      </c>
    </row>
    <row r="87" spans="1:11">
      <c r="A87" s="61">
        <f t="shared" ca="1" si="3"/>
        <v>48565</v>
      </c>
      <c r="C87">
        <f ca="1"/>
        <v>4.0612755592358787E-2</v>
      </c>
      <c r="D87">
        <f ca="1"/>
        <v>4.0612562327983513E-2</v>
      </c>
      <c r="E87">
        <f ca="1"/>
        <v>4.061154518139027E-2</v>
      </c>
      <c r="F87">
        <f ca="1"/>
        <v>4.0607424877276428E-2</v>
      </c>
      <c r="G87">
        <f ca="1"/>
        <v>4.0590087561444527E-2</v>
      </c>
      <c r="H87">
        <f ca="1"/>
        <v>4.073689444213463E-2</v>
      </c>
      <c r="I87">
        <f ca="1"/>
        <v>4.0619244369183197E-2</v>
      </c>
      <c r="J87">
        <f ca="1"/>
        <v>4.0713853698501001E-2</v>
      </c>
      <c r="K87" s="74">
        <f t="shared" ca="1" si="2"/>
        <v>1.0126202425753128E-4</v>
      </c>
    </row>
    <row r="88" spans="1:11">
      <c r="A88" s="61">
        <f t="shared" ca="1" si="3"/>
        <v>48655</v>
      </c>
      <c r="C88">
        <f ca="1"/>
        <v>4.0712754450447031E-2</v>
      </c>
      <c r="D88">
        <f ca="1"/>
        <v>4.0712566826111532E-2</v>
      </c>
      <c r="E88">
        <f ca="1"/>
        <v>4.0711552275166006E-2</v>
      </c>
      <c r="F88">
        <f ca="1"/>
        <v>4.0707458780517951E-2</v>
      </c>
      <c r="G88">
        <f ca="1"/>
        <v>4.0690254193227797E-2</v>
      </c>
      <c r="H88">
        <f ca="1"/>
        <v>4.0832892940853828E-2</v>
      </c>
      <c r="I88">
        <f ca="1"/>
        <v>4.0723125754780244E-2</v>
      </c>
      <c r="J88">
        <f ca="1"/>
        <v>4.0813953315579937E-2</v>
      </c>
      <c r="K88" s="74">
        <f t="shared" ca="1" si="2"/>
        <v>1.0130297645884884E-4</v>
      </c>
    </row>
    <row r="89" spans="1:11">
      <c r="A89" s="61">
        <f t="shared" ca="1" si="3"/>
        <v>48745</v>
      </c>
      <c r="C89">
        <f ca="1"/>
        <v>4.080822285625884E-2</v>
      </c>
      <c r="D89">
        <f ca="1"/>
        <v>4.0808018132752526E-2</v>
      </c>
      <c r="E89">
        <f ca="1"/>
        <v>4.0807030356055075E-2</v>
      </c>
      <c r="F89">
        <f ca="1"/>
        <v>4.0802966641152467E-2</v>
      </c>
      <c r="G89">
        <f ca="1"/>
        <v>4.0785893366891937E-2</v>
      </c>
      <c r="H89">
        <f ca="1"/>
        <v>4.0924348861583325E-2</v>
      </c>
      <c r="I89">
        <f ca="1"/>
        <v>4.0822440948790804E-2</v>
      </c>
      <c r="J89">
        <f ca="1"/>
        <v>4.0909484880516371E-2</v>
      </c>
      <c r="K89" s="74">
        <f t="shared" ca="1" si="2"/>
        <v>1.0138135217790251E-4</v>
      </c>
    </row>
    <row r="90" spans="1:11">
      <c r="A90" s="61">
        <f t="shared" ca="1" si="3"/>
        <v>48835</v>
      </c>
      <c r="C90">
        <f ca="1"/>
        <v>4.0901488530099291E-2</v>
      </c>
      <c r="D90">
        <f ca="1"/>
        <v>4.0901283177032448E-2</v>
      </c>
      <c r="E90">
        <f ca="1"/>
        <v>4.0900306102873027E-2</v>
      </c>
      <c r="F90">
        <f ca="1"/>
        <v>4.0896276817332357E-2</v>
      </c>
      <c r="G90">
        <f ca="1"/>
        <v>4.08793315224441E-2</v>
      </c>
      <c r="H90">
        <f ca="1"/>
        <v>4.101357101010205E-2</v>
      </c>
      <c r="I90">
        <f ca="1"/>
        <v>4.0919554757429207E-2</v>
      </c>
      <c r="J90">
        <f ca="1"/>
        <v>4.1002791506558139E-2</v>
      </c>
      <c r="K90" s="74">
        <f t="shared" ca="1" si="2"/>
        <v>1.0147964651335134E-4</v>
      </c>
    </row>
    <row r="91" spans="1:11">
      <c r="A91" s="61">
        <f t="shared" ca="1" si="3"/>
        <v>48925</v>
      </c>
      <c r="C91">
        <f ca="1"/>
        <v>4.0993650555951111E-2</v>
      </c>
      <c r="D91">
        <f ca="1"/>
        <v>4.0993462031836181E-2</v>
      </c>
      <c r="E91">
        <f ca="1"/>
        <v>4.099247628059384E-2</v>
      </c>
      <c r="F91">
        <f ca="1"/>
        <v>4.0988478683806666E-2</v>
      </c>
      <c r="G91">
        <f ca="1"/>
        <v>4.0971657747859228E-2</v>
      </c>
      <c r="H91">
        <f ca="1"/>
        <v>4.1101674814022951E-2</v>
      </c>
      <c r="I91">
        <f ca="1"/>
        <v>4.1015632793652654E-2</v>
      </c>
      <c r="J91">
        <f ca="1"/>
        <v>4.1095031908129014E-2</v>
      </c>
      <c r="K91" s="74">
        <f t="shared" ca="1" si="2"/>
        <v>1.0154334087154882E-4</v>
      </c>
    </row>
    <row r="92" spans="1:11">
      <c r="A92" s="61">
        <f t="shared" ca="1" si="3"/>
        <v>49015</v>
      </c>
      <c r="C92">
        <f ca="1"/>
        <v>4.1084711263506823E-2</v>
      </c>
      <c r="D92">
        <f ca="1"/>
        <v>4.1084529270789878E-2</v>
      </c>
      <c r="E92">
        <f ca="1"/>
        <v>4.1083544567055881E-2</v>
      </c>
      <c r="F92">
        <f ca="1"/>
        <v>4.1079572142772247E-2</v>
      </c>
      <c r="G92">
        <f ca="1"/>
        <v>4.1062874836393835E-2</v>
      </c>
      <c r="H92">
        <f ca="1"/>
        <v>4.1188657967871044E-2</v>
      </c>
      <c r="I92">
        <f ca="1"/>
        <v>4.1110667307369113E-2</v>
      </c>
      <c r="J92">
        <f ca="1"/>
        <v>4.1186190910020175E-2</v>
      </c>
      <c r="K92" s="74">
        <f t="shared" ca="1" si="2"/>
        <v>1.0158297893426288E-4</v>
      </c>
    </row>
    <row r="93" spans="1:11">
      <c r="A93" s="61">
        <f t="shared" ca="1" si="3"/>
        <v>49105</v>
      </c>
      <c r="C93">
        <f ca="1"/>
        <v>4.1171740976055117E-2</v>
      </c>
      <c r="D93">
        <f ca="1"/>
        <v>4.1171543667243772E-2</v>
      </c>
      <c r="E93">
        <f ca="1"/>
        <v>4.1170583224399426E-2</v>
      </c>
      <c r="F93">
        <f ca="1"/>
        <v>4.1166638057228526E-2</v>
      </c>
      <c r="G93">
        <f ca="1"/>
        <v>4.1150063263300708E-2</v>
      </c>
      <c r="H93">
        <f ca="1"/>
        <v>4.1271614974802438E-2</v>
      </c>
      <c r="I93">
        <f ca="1"/>
        <v>4.1201623492026142E-2</v>
      </c>
      <c r="J93">
        <f ca="1"/>
        <v>4.1273284316926666E-2</v>
      </c>
      <c r="K93" s="74">
        <f t="shared" ca="1" si="2"/>
        <v>1.0165520100291481E-4</v>
      </c>
    </row>
    <row r="94" spans="1:11">
      <c r="A94" s="61">
        <f t="shared" ca="1" si="3"/>
        <v>49195</v>
      </c>
      <c r="C94">
        <f ca="1"/>
        <v>4.125685195757002E-2</v>
      </c>
      <c r="D94">
        <f ca="1"/>
        <v>4.1256651804463321E-2</v>
      </c>
      <c r="E94">
        <f ca="1"/>
        <v>4.125570371139136E-2</v>
      </c>
      <c r="F94">
        <f ca="1"/>
        <v>4.1251790819676719E-2</v>
      </c>
      <c r="G94">
        <f ca="1"/>
        <v>4.1235336345284632E-2</v>
      </c>
      <c r="H94">
        <f ca="1"/>
        <v>4.1352613618919079E-2</v>
      </c>
      <c r="I94">
        <f ca="1"/>
        <v>4.1290666326992215E-2</v>
      </c>
      <c r="J94">
        <f ca="1"/>
        <v>4.1358434936504283E-2</v>
      </c>
      <c r="K94" s="74">
        <f t="shared" ca="1" si="2"/>
        <v>1.0175145889962378E-4</v>
      </c>
    </row>
    <row r="95" spans="1:11">
      <c r="A95" s="61">
        <f ca="1">A94+90</f>
        <v>49285</v>
      </c>
      <c r="C95">
        <f ca="1"/>
        <v>4.1341042617659821E-2</v>
      </c>
      <c r="D95">
        <f ca="1"/>
        <v>4.1340858523029586E-2</v>
      </c>
      <c r="E95">
        <f ca="1"/>
        <v>4.1339902138732988E-2</v>
      </c>
      <c r="F95">
        <f ca="1"/>
        <v>4.1336019303315798E-2</v>
      </c>
      <c r="G95">
        <f ca="1"/>
        <v>4.1319681306690483E-2</v>
      </c>
      <c r="H95">
        <f ca="1"/>
        <v>4.1432671395195325E-2</v>
      </c>
      <c r="I95">
        <f ca="1"/>
        <v>4.1378856530100844E-2</v>
      </c>
      <c r="J95">
        <f ca="1"/>
        <v>4.1442697818662735E-2</v>
      </c>
      <c r="K95" s="74">
        <f t="shared" ca="1" si="2"/>
        <v>1.0181595055848425E-4</v>
      </c>
    </row>
    <row r="96" spans="1:11">
      <c r="A96" s="61">
        <f t="shared" ref="A96:A159" ca="1" si="4">A95+90</f>
        <v>49375</v>
      </c>
      <c r="C96">
        <f ca="1"/>
        <v>4.1424312117546137E-2</v>
      </c>
      <c r="D96">
        <f ca="1"/>
        <v>4.1424135398715416E-2</v>
      </c>
      <c r="E96">
        <f ca="1"/>
        <v>4.1423178616617692E-2</v>
      </c>
      <c r="F96">
        <f ca="1"/>
        <v>4.1419319472480204E-2</v>
      </c>
      <c r="G96">
        <f ca="1"/>
        <v>4.1403096791275754E-2</v>
      </c>
      <c r="H96">
        <f ca="1"/>
        <v>4.1511781152501231E-2</v>
      </c>
      <c r="I96">
        <f ca="1"/>
        <v>4.1466195568145792E-2</v>
      </c>
      <c r="J96">
        <f ca="1"/>
        <v>4.1526063576445761E-2</v>
      </c>
      <c r="K96" s="74">
        <f t="shared" ca="1" si="2"/>
        <v>1.0185458593914981E-4</v>
      </c>
    </row>
    <row r="97" spans="1:11">
      <c r="A97" s="61">
        <f t="shared" ca="1" si="4"/>
        <v>49465</v>
      </c>
      <c r="C97">
        <f ca="1"/>
        <v>4.150397450605723E-2</v>
      </c>
      <c r="D97">
        <f ca="1"/>
        <v>4.1503784152192594E-2</v>
      </c>
      <c r="E97">
        <f ca="1"/>
        <v>4.1502849274919672E-2</v>
      </c>
      <c r="F97">
        <f ca="1"/>
        <v>4.1499015054962819E-2</v>
      </c>
      <c r="G97">
        <f ca="1"/>
        <v>4.1482906782631383E-2</v>
      </c>
      <c r="H97">
        <f ca="1"/>
        <v>4.1587304588190863E-2</v>
      </c>
      <c r="I97">
        <f ca="1"/>
        <v>4.1549869408761111E-2</v>
      </c>
      <c r="J97">
        <f ca="1"/>
        <v>4.1605790456615714E-2</v>
      </c>
      <c r="K97" s="74">
        <f t="shared" ca="1" si="2"/>
        <v>1.0192112066923636E-4</v>
      </c>
    </row>
    <row r="98" spans="1:11">
      <c r="A98" s="61">
        <f t="shared" ca="1" si="4"/>
        <v>49555</v>
      </c>
      <c r="C98">
        <f ca="1"/>
        <v>4.1581955366581901E-2</v>
      </c>
      <c r="D98">
        <f ca="1"/>
        <v>4.1581760078716154E-2</v>
      </c>
      <c r="E98">
        <f ca="1"/>
        <v>4.1580839118034757E-2</v>
      </c>
      <c r="F98">
        <f ca="1"/>
        <v>4.1577035184160296E-2</v>
      </c>
      <c r="G98">
        <f ca="1"/>
        <v>4.1561040182062241E-2</v>
      </c>
      <c r="H98">
        <f ca="1"/>
        <v>4.166109901708321E-2</v>
      </c>
      <c r="I98">
        <f ca="1"/>
        <v>4.1631870661392061E-2</v>
      </c>
      <c r="J98">
        <f ca="1"/>
        <v>4.168380995252105E-2</v>
      </c>
      <c r="K98" s="74">
        <f t="shared" ca="1" si="2"/>
        <v>1.0201470934256829E-4</v>
      </c>
    </row>
    <row r="99" spans="1:11">
      <c r="A99" s="61">
        <f t="shared" ca="1" si="4"/>
        <v>49645</v>
      </c>
      <c r="C99">
        <f ca="1"/>
        <v>4.1659165857299237E-2</v>
      </c>
      <c r="D99">
        <f ca="1"/>
        <v>4.1658985906806029E-2</v>
      </c>
      <c r="E99">
        <f ca="1"/>
        <v>4.1658057034384501E-2</v>
      </c>
      <c r="F99">
        <f ca="1"/>
        <v>4.1654281689893505E-2</v>
      </c>
      <c r="G99">
        <f ca="1"/>
        <v>4.1638396034904039E-2</v>
      </c>
      <c r="H99">
        <f ca="1"/>
        <v>4.1734098193194478E-2</v>
      </c>
      <c r="I99">
        <f ca="1"/>
        <v>4.1713167551209684E-2</v>
      </c>
      <c r="J99">
        <f ca="1"/>
        <v>4.1761086977968473E-2</v>
      </c>
      <c r="K99" s="74">
        <f t="shared" ca="1" si="2"/>
        <v>1.02081209363801E-4</v>
      </c>
    </row>
    <row r="100" spans="1:11">
      <c r="A100" s="61">
        <f t="shared" ca="1" si="4"/>
        <v>49735</v>
      </c>
      <c r="C100">
        <f ca="1"/>
        <v>4.1734762507293618E-2</v>
      </c>
      <c r="D100">
        <f ca="1"/>
        <v>4.1734590750868571E-2</v>
      </c>
      <c r="E100">
        <f ca="1"/>
        <v>4.1733660035889374E-2</v>
      </c>
      <c r="F100">
        <f ca="1"/>
        <v>4.172990683224008E-2</v>
      </c>
      <c r="G100">
        <f ca="1"/>
        <v>4.1714127697819896E-2</v>
      </c>
      <c r="H100">
        <f ca="1"/>
        <v>4.1805472618139571E-2</v>
      </c>
      <c r="I100">
        <f ca="1"/>
        <v>4.179291015277007E-2</v>
      </c>
      <c r="J100">
        <f ca="1"/>
        <v>4.1836777216636187E-2</v>
      </c>
      <c r="K100" s="74">
        <f t="shared" ca="1" si="2"/>
        <v>1.021213830692605E-4</v>
      </c>
    </row>
    <row r="101" spans="1:11">
      <c r="A101" s="61">
        <f t="shared" ca="1" si="4"/>
        <v>49825</v>
      </c>
      <c r="C101">
        <f ca="1"/>
        <v>4.1808795391595738E-2</v>
      </c>
      <c r="D101">
        <f ca="1"/>
        <v>4.1808611571908932E-2</v>
      </c>
      <c r="E101">
        <f ca="1"/>
        <v>4.1807700641632119E-2</v>
      </c>
      <c r="F101">
        <f ca="1"/>
        <v>4.1803970412732323E-2</v>
      </c>
      <c r="G101">
        <f ca="1"/>
        <v>4.1788299413415796E-2</v>
      </c>
      <c r="H101">
        <f ca="1"/>
        <v>4.1875222922554398E-2</v>
      </c>
      <c r="I101">
        <f ca="1"/>
        <v>4.1871115428458089E-2</v>
      </c>
      <c r="J101">
        <f ca="1"/>
        <v>4.1910876600959539E-2</v>
      </c>
      <c r="K101" s="74">
        <f t="shared" ca="1" si="2"/>
        <v>1.0218224581084318E-4</v>
      </c>
    </row>
    <row r="102" spans="1:11">
      <c r="A102" s="61">
        <f t="shared" ca="1" si="4"/>
        <v>49915</v>
      </c>
      <c r="C102">
        <f ca="1"/>
        <v>4.1880505983727258E-2</v>
      </c>
      <c r="D102">
        <f ca="1"/>
        <v>4.188031598154425E-2</v>
      </c>
      <c r="E102">
        <f ca="1"/>
        <v>4.1879420452587759E-2</v>
      </c>
      <c r="F102">
        <f ca="1"/>
        <v>4.1875717479133975E-2</v>
      </c>
      <c r="G102">
        <f ca="1"/>
        <v>4.1860153468263821E-2</v>
      </c>
      <c r="H102">
        <f ca="1"/>
        <v>4.1942669138710559E-2</v>
      </c>
      <c r="I102">
        <f ca="1"/>
        <v>4.194694028956069E-2</v>
      </c>
      <c r="J102">
        <f ca="1"/>
        <v>4.1982627366796518E-2</v>
      </c>
      <c r="K102" s="74">
        <f t="shared" ca="1" si="2"/>
        <v>1.0227259589225268E-4</v>
      </c>
    </row>
    <row r="103" spans="1:11">
      <c r="A103" s="61">
        <f t="shared" ca="1" si="4"/>
        <v>50005</v>
      </c>
      <c r="C103">
        <f ca="1"/>
        <v>4.1950779260693488E-2</v>
      </c>
      <c r="D103">
        <f ca="1"/>
        <v>4.195060339342175E-2</v>
      </c>
      <c r="E103">
        <f ca="1"/>
        <v>4.1949702587536691E-2</v>
      </c>
      <c r="F103">
        <f ca="1"/>
        <v>4.1946024054131219E-2</v>
      </c>
      <c r="G103">
        <f ca="1"/>
        <v>4.1930562422548272E-2</v>
      </c>
      <c r="H103">
        <f ca="1"/>
        <v>4.2008700038144151E-2</v>
      </c>
      <c r="I103">
        <f ca="1"/>
        <v>4.2021340079974212E-2</v>
      </c>
      <c r="J103">
        <f ca="1"/>
        <v>4.2052961506504331E-2</v>
      </c>
      <c r="K103" s="74">
        <f t="shared" ca="1" si="2"/>
        <v>1.0234127278971328E-4</v>
      </c>
    </row>
    <row r="104" spans="1:11">
      <c r="A104" s="61">
        <f t="shared" ca="1" si="4"/>
        <v>50095</v>
      </c>
      <c r="C104">
        <f ca="1"/>
        <v>4.201965800649194E-2</v>
      </c>
      <c r="D104">
        <f ca="1"/>
        <v>4.2019489544220821E-2</v>
      </c>
      <c r="E104">
        <f ca="1"/>
        <v>4.2018587389844084E-2</v>
      </c>
      <c r="F104">
        <f ca="1"/>
        <v>4.2014929811623983E-2</v>
      </c>
      <c r="G104">
        <f ca="1"/>
        <v>4.1999566106301532E-2</v>
      </c>
      <c r="H104">
        <f ca="1"/>
        <v>4.2073333847283088E-2</v>
      </c>
      <c r="I104">
        <f ca="1"/>
        <v>4.209440032715249E-2</v>
      </c>
      <c r="J104">
        <f ca="1"/>
        <v>4.2121930602384193E-2</v>
      </c>
      <c r="K104" s="74">
        <f t="shared" ca="1" si="2"/>
        <v>1.0237852714455042E-4</v>
      </c>
    </row>
    <row r="105" spans="1:11">
      <c r="A105" s="61">
        <f t="shared" ca="1" si="4"/>
        <v>50185</v>
      </c>
      <c r="C105">
        <f ca="1"/>
        <v>4.20894619435404E-2</v>
      </c>
      <c r="D105">
        <f ca="1"/>
        <v>4.2089282963998637E-2</v>
      </c>
      <c r="E105">
        <f ca="1"/>
        <v>4.2088397329272657E-2</v>
      </c>
      <c r="F105">
        <f ca="1"/>
        <v>4.2084763369514812E-2</v>
      </c>
      <c r="G105">
        <f ca="1"/>
        <v>4.2069501883483733E-2</v>
      </c>
      <c r="H105">
        <f ca="1"/>
        <v>4.2138706088700337E-2</v>
      </c>
      <c r="I105">
        <f ca="1"/>
        <v>4.2168541646924927E-2</v>
      </c>
      <c r="J105">
        <f ca="1"/>
        <v>4.2191803216330113E-2</v>
      </c>
      <c r="K105" s="74">
        <f t="shared" ca="1" si="2"/>
        <v>1.0243587600277521E-4</v>
      </c>
    </row>
    <row r="106" spans="1:11">
      <c r="A106" s="61">
        <f t="shared" ca="1" si="4"/>
        <v>50275</v>
      </c>
      <c r="C106">
        <f ca="1"/>
        <v>4.215562922038342E-2</v>
      </c>
      <c r="D106">
        <f ca="1"/>
        <v>4.215544230732677E-2</v>
      </c>
      <c r="E106">
        <f ca="1"/>
        <v>4.2154572922634942E-2</v>
      </c>
      <c r="F106">
        <f ca="1"/>
        <v>4.2150964859087071E-2</v>
      </c>
      <c r="G106">
        <f ca="1"/>
        <v>4.2135805249384366E-2</v>
      </c>
      <c r="H106">
        <f ca="1"/>
        <v>4.2200520623068831E-2</v>
      </c>
      <c r="I106">
        <f ca="1"/>
        <v>4.2238922639652059E-2</v>
      </c>
      <c r="J106">
        <f ca="1"/>
        <v>4.225800774752797E-2</v>
      </c>
      <c r="K106" s="74">
        <f t="shared" ca="1" si="2"/>
        <v>1.0252506453184429E-4</v>
      </c>
    </row>
    <row r="107" spans="1:11">
      <c r="A107" s="61">
        <f t="shared" ca="1" si="4"/>
        <v>50365</v>
      </c>
      <c r="C107">
        <f ca="1"/>
        <v>4.222052182110661E-2</v>
      </c>
      <c r="D107">
        <f ca="1"/>
        <v>4.2220349749163499E-2</v>
      </c>
      <c r="E107">
        <f ca="1"/>
        <v>4.2219472877428353E-2</v>
      </c>
      <c r="F107">
        <f ca="1"/>
        <v>4.2215889347939975E-2</v>
      </c>
      <c r="G107">
        <f ca="1"/>
        <v>4.2200826377179944E-2</v>
      </c>
      <c r="H107">
        <f ca="1"/>
        <v>4.226108467605829E-2</v>
      </c>
      <c r="I107">
        <f ca="1"/>
        <v>4.2308037214833082E-2</v>
      </c>
      <c r="J107">
        <f ca="1"/>
        <v>4.2322957697109385E-2</v>
      </c>
      <c r="K107" s="74">
        <f t="shared" ca="1" si="2"/>
        <v>1.0259532140773076E-4</v>
      </c>
    </row>
    <row r="108" spans="1:11">
      <c r="A108" s="61">
        <f t="shared" ca="1" si="4"/>
        <v>50455</v>
      </c>
      <c r="C108">
        <f ca="1"/>
        <v>4.2284176228238247E-2</v>
      </c>
      <c r="D108">
        <f ca="1"/>
        <v>4.2284012232564172E-2</v>
      </c>
      <c r="E108">
        <f ca="1"/>
        <v>4.2283133118681017E-2</v>
      </c>
      <c r="F108">
        <f ca="1"/>
        <v>4.2279569068101909E-2</v>
      </c>
      <c r="G108">
        <f ca="1"/>
        <v>4.2264597979315977E-2</v>
      </c>
      <c r="H108">
        <f ca="1"/>
        <v>4.2320398702242149E-2</v>
      </c>
      <c r="I108">
        <f ca="1"/>
        <v>4.2375980817019931E-2</v>
      </c>
      <c r="J108">
        <f ca="1"/>
        <v>4.2386701292770092E-2</v>
      </c>
      <c r="K108" s="74">
        <f t="shared" ca="1" si="2"/>
        <v>1.0263166916047589E-4</v>
      </c>
    </row>
    <row r="109" spans="1:11">
      <c r="A109" s="61">
        <f t="shared" ca="1" si="4"/>
        <v>50545</v>
      </c>
      <c r="C109">
        <f ca="1"/>
        <v>4.2348735768518685E-2</v>
      </c>
      <c r="D109">
        <f ca="1"/>
        <v>4.2348562579594427E-2</v>
      </c>
      <c r="E109">
        <f ca="1"/>
        <v>4.2347697982724246E-2</v>
      </c>
      <c r="F109">
        <f ca="1"/>
        <v>4.2344155879050986E-2</v>
      </c>
      <c r="G109">
        <f ca="1"/>
        <v>4.2329280255936415E-2</v>
      </c>
      <c r="H109">
        <f ca="1"/>
        <v>4.2380438820431104E-2</v>
      </c>
      <c r="I109">
        <f ca="1"/>
        <v>4.2444983488232856E-2</v>
      </c>
      <c r="J109">
        <f ca="1"/>
        <v>4.2451331089926415E-2</v>
      </c>
      <c r="K109" s="74">
        <f t="shared" ca="1" si="2"/>
        <v>1.0268474621063367E-4</v>
      </c>
    </row>
    <row r="110" spans="1:11">
      <c r="A110" s="61">
        <f t="shared" ca="1" si="4"/>
        <v>50635</v>
      </c>
      <c r="C110">
        <f ca="1"/>
        <v>4.2409978502089135E-2</v>
      </c>
      <c r="D110">
        <f ca="1"/>
        <v>4.2409795438552049E-2</v>
      </c>
      <c r="E110">
        <f ca="1"/>
        <v>4.240894866419017E-2</v>
      </c>
      <c r="F110">
        <f ca="1"/>
        <v>4.2405430894326038E-2</v>
      </c>
      <c r="G110">
        <f ca="1"/>
        <v>4.239065164405021E-2</v>
      </c>
      <c r="H110">
        <f ca="1"/>
        <v>4.2437238178940469E-2</v>
      </c>
      <c r="I110">
        <f ca="1"/>
        <v>4.2510543638180409E-2</v>
      </c>
      <c r="J110">
        <f ca="1"/>
        <v>4.2512610171249611E-2</v>
      </c>
      <c r="K110" s="74">
        <f t="shared" ca="1" si="2"/>
        <v>1.0277299063012751E-4</v>
      </c>
    </row>
    <row r="111" spans="1:11">
      <c r="A111" s="61">
        <f t="shared" ca="1" si="4"/>
        <v>50725</v>
      </c>
      <c r="C111">
        <f ca="1"/>
        <v>4.247008555757556E-2</v>
      </c>
      <c r="D111">
        <f ca="1"/>
        <v>4.2469917051763277E-2</v>
      </c>
      <c r="E111">
        <f ca="1"/>
        <v>4.2469062704289705E-2</v>
      </c>
      <c r="F111">
        <f ca="1"/>
        <v>4.2465568565414197E-2</v>
      </c>
      <c r="G111">
        <f ca="1"/>
        <v>4.2450880692873387E-2</v>
      </c>
      <c r="H111">
        <f ca="1"/>
        <v>4.2492928065797041E-2</v>
      </c>
      <c r="I111">
        <f ca="1"/>
        <v>4.2574969142387141E-2</v>
      </c>
      <c r="J111">
        <f ca="1"/>
        <v>4.2572770303786193E-2</v>
      </c>
      <c r="K111" s="74">
        <f t="shared" ca="1" si="2"/>
        <v>1.0284496641087271E-4</v>
      </c>
    </row>
    <row r="112" spans="1:11">
      <c r="A112" s="61">
        <f t="shared" ca="1" si="4"/>
        <v>50815</v>
      </c>
      <c r="C112">
        <f ca="1"/>
        <v>4.2529088234508142E-2</v>
      </c>
      <c r="D112">
        <f ca="1"/>
        <v>4.2528928446803817E-2</v>
      </c>
      <c r="E112">
        <f ca="1"/>
        <v>4.2528071018052359E-2</v>
      </c>
      <c r="F112">
        <f ca="1"/>
        <v>4.2524595002800106E-2</v>
      </c>
      <c r="G112">
        <f ca="1"/>
        <v>4.2509993471080136E-2</v>
      </c>
      <c r="H112">
        <f ca="1"/>
        <v>4.2547489785809592E-2</v>
      </c>
      <c r="I112">
        <f ca="1"/>
        <v>4.263837373785398E-2</v>
      </c>
      <c r="J112">
        <f ca="1"/>
        <v>4.2631861225138269E-2</v>
      </c>
      <c r="K112" s="74">
        <f t="shared" ca="1" si="2"/>
        <v>1.028806095384957E-4</v>
      </c>
    </row>
    <row r="113" spans="1:11">
      <c r="A113" s="61">
        <f t="shared" ca="1" si="4"/>
        <v>50905</v>
      </c>
      <c r="C113">
        <f ca="1"/>
        <v>4.2588972942426681E-2</v>
      </c>
      <c r="D113">
        <f ca="1"/>
        <v>4.2588805219995536E-2</v>
      </c>
      <c r="E113">
        <f ca="1"/>
        <v>4.2587960415557582E-2</v>
      </c>
      <c r="F113">
        <f ca="1"/>
        <v>4.2584504796993661E-2</v>
      </c>
      <c r="G113">
        <f ca="1"/>
        <v>4.2569992474037366E-2</v>
      </c>
      <c r="H113">
        <f ca="1"/>
        <v>4.2602760948229852E-2</v>
      </c>
      <c r="I113">
        <f ca="1"/>
        <v>4.2702813495994578E-2</v>
      </c>
      <c r="J113">
        <f ca="1"/>
        <v>4.2691817908837554E-2</v>
      </c>
      <c r="K113" s="74">
        <f t="shared" ca="1" si="2"/>
        <v>1.0292962260899374E-4</v>
      </c>
    </row>
    <row r="114" spans="1:11">
      <c r="A114" s="61">
        <f t="shared" ca="1" si="4"/>
        <v>50995</v>
      </c>
      <c r="C114">
        <f ca="1"/>
        <v>4.2645821123622085E-2</v>
      </c>
      <c r="D114">
        <f ca="1"/>
        <v>4.2645641679206439E-2</v>
      </c>
      <c r="E114">
        <f ca="1"/>
        <v>4.2644816205000394E-2</v>
      </c>
      <c r="F114">
        <f ca="1"/>
        <v>4.2641383470946051E-2</v>
      </c>
      <c r="G114">
        <f ca="1"/>
        <v>4.2626962439433223E-2</v>
      </c>
      <c r="H114">
        <f ca="1"/>
        <v>4.2655069673187336E-2</v>
      </c>
      <c r="I114">
        <f ca="1"/>
        <v>4.2764088230110672E-2</v>
      </c>
      <c r="J114">
        <f ca="1"/>
        <v>4.2748701733160581E-2</v>
      </c>
      <c r="K114" s="74">
        <f t="shared" ca="1" si="2"/>
        <v>1.030171096888105E-4</v>
      </c>
    </row>
    <row r="115" spans="1:11">
      <c r="A115" s="61">
        <f t="shared" ca="1" si="4"/>
        <v>51085</v>
      </c>
      <c r="C115">
        <f ca="1"/>
        <v>4.2701653127724351E-2</v>
      </c>
      <c r="D115">
        <f ca="1"/>
        <v>4.2701487977035123E-2</v>
      </c>
      <c r="E115">
        <f ca="1"/>
        <v>4.2700654858486897E-2</v>
      </c>
      <c r="F115">
        <f ca="1"/>
        <v>4.2697244951420292E-2</v>
      </c>
      <c r="G115">
        <f ca="1"/>
        <v>4.2682910521971353E-2</v>
      </c>
      <c r="H115">
        <f ca="1"/>
        <v>4.2706392021703322E-2</v>
      </c>
      <c r="I115">
        <f ca="1"/>
        <v>4.2824338967834968E-2</v>
      </c>
      <c r="J115">
        <f ca="1"/>
        <v>4.2804582750333345E-2</v>
      </c>
      <c r="K115" s="74">
        <f t="shared" ca="1" si="2"/>
        <v>1.0309052711666294E-4</v>
      </c>
    </row>
    <row r="116" spans="1:11">
      <c r="A116" s="61">
        <f t="shared" ca="1" si="4"/>
        <v>51175</v>
      </c>
      <c r="C116">
        <f ca="1"/>
        <v>4.2756495960105244E-2</v>
      </c>
      <c r="D116">
        <f ca="1"/>
        <v>4.2756340142275605E-2</v>
      </c>
      <c r="E116">
        <f ca="1"/>
        <v>4.2755503152791911E-2</v>
      </c>
      <c r="F116">
        <f ca="1"/>
        <v>4.2752110123048248E-2</v>
      </c>
      <c r="G116">
        <f ca="1"/>
        <v>4.2737856946497357E-2</v>
      </c>
      <c r="H116">
        <f ca="1"/>
        <v>4.2756677026876889E-2</v>
      </c>
      <c r="I116">
        <f ca="1"/>
        <v>4.2883712795074941E-2</v>
      </c>
      <c r="J116">
        <f ca="1"/>
        <v>4.2859513069794054E-2</v>
      </c>
      <c r="K116" s="74">
        <f t="shared" ca="1" si="2"/>
        <v>1.0312519646651225E-4</v>
      </c>
    </row>
    <row r="117" spans="1:11">
      <c r="A117" s="61">
        <f t="shared" ca="1" si="4"/>
        <v>51265</v>
      </c>
      <c r="C117">
        <f ca="1"/>
        <v>4.2811589222007791E-2</v>
      </c>
      <c r="D117">
        <f ca="1"/>
        <v>4.2811426904692133E-2</v>
      </c>
      <c r="E117">
        <f ca="1"/>
        <v>4.281060042470021E-2</v>
      </c>
      <c r="F117">
        <f ca="1"/>
        <v>4.2807226111069081E-2</v>
      </c>
      <c r="G117">
        <f ca="1"/>
        <v>4.2793055337241065E-2</v>
      </c>
      <c r="H117">
        <f ca="1"/>
        <v>4.2807068114711376E-2</v>
      </c>
      <c r="I117">
        <f ca="1"/>
        <v>4.2943468755961681E-2</v>
      </c>
      <c r="J117">
        <f ca="1"/>
        <v>4.2914679749124454E-2</v>
      </c>
      <c r="K117" s="74">
        <f t="shared" ca="1" si="2"/>
        <v>1.0316692873185013E-4</v>
      </c>
    </row>
    <row r="118" spans="1:11">
      <c r="A118" s="61">
        <f t="shared" ca="1" si="4"/>
        <v>51355</v>
      </c>
      <c r="C118">
        <f ca="1"/>
        <v>4.2864509941999952E-2</v>
      </c>
      <c r="D118">
        <f ca="1"/>
        <v>4.2864333563123302E-2</v>
      </c>
      <c r="E118">
        <f ca="1"/>
        <v>4.2863528428382813E-2</v>
      </c>
      <c r="F118">
        <f ca="1"/>
        <v>4.2860175357167948E-2</v>
      </c>
      <c r="G118">
        <f ca="1"/>
        <v>4.2846091510538462E-2</v>
      </c>
      <c r="H118">
        <f ca="1"/>
        <v>4.2855346790132795E-2</v>
      </c>
      <c r="I118">
        <f ca="1"/>
        <v>4.3000931678241067E-2</v>
      </c>
      <c r="J118">
        <f ca="1"/>
        <v>4.2967635138466465E-2</v>
      </c>
      <c r="K118" s="74">
        <f t="shared" ca="1" si="2"/>
        <v>1.0325592161122832E-4</v>
      </c>
    </row>
    <row r="119" spans="1:11">
      <c r="A119" s="61">
        <f t="shared" ca="1" si="4"/>
        <v>51445</v>
      </c>
      <c r="C119">
        <f ca="1"/>
        <v>4.291651752009671E-2</v>
      </c>
      <c r="D119">
        <f ca="1"/>
        <v>4.2916354728316772E-2</v>
      </c>
      <c r="E119">
        <f ca="1"/>
        <v>4.2915542259762123E-2</v>
      </c>
      <c r="F119">
        <f ca="1"/>
        <v>4.2912210767881959E-2</v>
      </c>
      <c r="G119">
        <f ca="1"/>
        <v>4.2898209770978933E-2</v>
      </c>
      <c r="H119">
        <f ca="1"/>
        <v>4.2902752067648584E-2</v>
      </c>
      <c r="I119">
        <f ca="1"/>
        <v>4.3057455689571353E-2</v>
      </c>
      <c r="J119">
        <f ca="1"/>
        <v>4.301968444882856E-2</v>
      </c>
      <c r="K119" s="74">
        <f t="shared" ca="1" si="2"/>
        <v>1.0331951850733184E-4</v>
      </c>
    </row>
    <row r="120" spans="1:11">
      <c r="A120" s="61">
        <f t="shared" ca="1" si="4"/>
        <v>51535</v>
      </c>
      <c r="C120">
        <f ca="1"/>
        <v>4.2967635388426607E-2</v>
      </c>
      <c r="D120">
        <f ca="1"/>
        <v>4.2967484628226492E-2</v>
      </c>
      <c r="E120">
        <f ca="1"/>
        <v>4.2966665770656311E-2</v>
      </c>
      <c r="F120">
        <f ca="1"/>
        <v>4.2963350952931176E-2</v>
      </c>
      <c r="G120">
        <f ca="1"/>
        <v>4.294942305331078E-2</v>
      </c>
      <c r="H120">
        <f ca="1"/>
        <v>4.29492107412918E-2</v>
      </c>
      <c r="I120">
        <f ca="1"/>
        <v>4.3113219816606638E-2</v>
      </c>
      <c r="J120">
        <f ca="1"/>
        <v>4.3070891310037836E-2</v>
      </c>
      <c r="K120" s="74">
        <f t="shared" ca="1" si="2"/>
        <v>1.0324579980543203E-4</v>
      </c>
    </row>
    <row r="121" spans="1:11">
      <c r="A121" s="61">
        <f t="shared" ca="1" si="4"/>
        <v>51625</v>
      </c>
      <c r="C121">
        <f ca="1"/>
        <v>4.3012405377553894E-2</v>
      </c>
      <c r="D121">
        <f ca="1"/>
        <v>4.3012251187074517E-2</v>
      </c>
      <c r="E121">
        <f ca="1"/>
        <v>4.3011441073004454E-2</v>
      </c>
      <c r="F121">
        <f ca="1"/>
        <v>4.3008137669610418E-2</v>
      </c>
      <c r="G121">
        <f ca="1"/>
        <v>4.2994301373032867E-2</v>
      </c>
      <c r="H121">
        <f ca="1"/>
        <v>4.2989172506807768E-2</v>
      </c>
      <c r="I121">
        <f ca="1"/>
        <v>4.3162755289971259E-2</v>
      </c>
      <c r="J121">
        <f ca="1"/>
        <v>4.3115724896061226E-2</v>
      </c>
      <c r="K121" s="74">
        <f t="shared" ca="1" si="2"/>
        <v>1.0299392303071003E-4</v>
      </c>
    </row>
    <row r="122" spans="1:11">
      <c r="A122" s="61">
        <f t="shared" ca="1" si="4"/>
        <v>51715</v>
      </c>
      <c r="C122">
        <f ca="1"/>
        <v>4.2996504991150229E-2</v>
      </c>
      <c r="D122">
        <f ca="1"/>
        <v>4.2996335117512705E-2</v>
      </c>
      <c r="E122">
        <f ca="1"/>
        <v>4.2995547426209445E-2</v>
      </c>
      <c r="F122">
        <f ca="1"/>
        <v>4.299228051341028E-2</v>
      </c>
      <c r="G122">
        <f ca="1"/>
        <v>4.2978556861016835E-2</v>
      </c>
      <c r="H122">
        <f ca="1"/>
        <v>4.2968616338980102E-2</v>
      </c>
      <c r="I122">
        <f ca="1"/>
        <v>4.3151251158652093E-2</v>
      </c>
      <c r="J122">
        <f ca="1"/>
        <v>4.3099750790955661E-2</v>
      </c>
      <c r="K122" s="74">
        <f t="shared" ca="1" si="2"/>
        <v>1.0279604728814784E-4</v>
      </c>
    </row>
    <row r="123" spans="1:11">
      <c r="A123" s="61">
        <f t="shared" ca="1" si="4"/>
        <v>51805</v>
      </c>
      <c r="C123">
        <f ca="1"/>
        <v>4.2877946999235458E-2</v>
      </c>
      <c r="D123">
        <f ca="1"/>
        <v>4.2877788848400281E-2</v>
      </c>
      <c r="E123">
        <f ca="1"/>
        <v>4.2877003048594771E-2</v>
      </c>
      <c r="F123">
        <f ca="1"/>
        <v>4.2873778580028638E-2</v>
      </c>
      <c r="G123">
        <f ca="1"/>
        <v>4.286022757208207E-2</v>
      </c>
      <c r="H123">
        <f ca="1"/>
        <v>4.2845560806167179E-2</v>
      </c>
      <c r="I123">
        <f ca="1"/>
        <v>4.3036662366956892E-2</v>
      </c>
      <c r="J123">
        <f ca="1"/>
        <v>4.2980940922266168E-2</v>
      </c>
      <c r="K123" s="74">
        <f t="shared" ca="1" si="2"/>
        <v>1.0258527709028353E-4</v>
      </c>
    </row>
    <row r="124" spans="1:11">
      <c r="A124" s="61">
        <f t="shared" ca="1" si="4"/>
        <v>51895</v>
      </c>
      <c r="C124">
        <f ca="1"/>
        <v>4.2762670478935956E-2</v>
      </c>
      <c r="D124">
        <f ca="1"/>
        <v>4.2762525601669592E-2</v>
      </c>
      <c r="E124">
        <f ca="1"/>
        <v>4.2761738142337934E-2</v>
      </c>
      <c r="F124">
        <f ca="1"/>
        <v>4.2758551217974852E-2</v>
      </c>
      <c r="G124">
        <f ca="1"/>
        <v>4.2745158199782606E-2</v>
      </c>
      <c r="H124">
        <f ca="1"/>
        <v>4.2725809272102365E-2</v>
      </c>
      <c r="I124">
        <f ca="1"/>
        <v>4.2925417870233462E-2</v>
      </c>
      <c r="J124">
        <f ca="1"/>
        <v>4.2865466526224104E-2</v>
      </c>
      <c r="K124" s="74">
        <f t="shared" ca="1" si="2"/>
        <v>1.0242443815491192E-4</v>
      </c>
    </row>
    <row r="125" spans="1:11">
      <c r="A125" s="61">
        <f t="shared" ca="1" si="4"/>
        <v>51985</v>
      </c>
      <c r="C125">
        <f ca="1"/>
        <v>4.2649926430134551E-2</v>
      </c>
      <c r="D125">
        <f ca="1"/>
        <v>4.2649780220267788E-2</v>
      </c>
      <c r="E125">
        <f ca="1"/>
        <v>4.2649004965999021E-2</v>
      </c>
      <c r="F125">
        <f ca="1"/>
        <v>4.2645847456313835E-2</v>
      </c>
      <c r="G125">
        <f ca="1"/>
        <v>4.2632624651031119E-2</v>
      </c>
      <c r="H125">
        <f ca="1"/>
        <v>4.2608530812607591E-2</v>
      </c>
      <c r="I125">
        <f ca="1"/>
        <v>4.2816761106439102E-2</v>
      </c>
      <c r="J125">
        <f ca="1"/>
        <v>4.2752511707224834E-2</v>
      </c>
      <c r="K125" s="74">
        <f t="shared" ca="1" si="2"/>
        <v>1.0247094660650879E-4</v>
      </c>
    </row>
    <row r="126" spans="1:11">
      <c r="A126" s="61">
        <f t="shared" ca="1" si="4"/>
        <v>52075</v>
      </c>
      <c r="C126">
        <f ca="1"/>
        <v>4.2585861993900277E-2</v>
      </c>
      <c r="D126">
        <f ca="1"/>
        <v>4.2585699599651007E-2</v>
      </c>
      <c r="E126">
        <f ca="1"/>
        <v>4.2584948559226135E-2</v>
      </c>
      <c r="F126">
        <f ca="1"/>
        <v>4.2581832385903101E-2</v>
      </c>
      <c r="G126">
        <f ca="1"/>
        <v>4.2568742163018758E-2</v>
      </c>
      <c r="H126">
        <f ca="1"/>
        <v>4.2540184612661854E-2</v>
      </c>
      <c r="I126">
        <f ca="1"/>
        <v>4.2756485664056251E-2</v>
      </c>
      <c r="J126">
        <f ca="1"/>
        <v>4.2688286432055189E-2</v>
      </c>
      <c r="K126" s="74">
        <f t="shared" ca="1" si="2"/>
        <v>1.0257213575792096E-4</v>
      </c>
    </row>
    <row r="127" spans="1:11">
      <c r="A127" s="61">
        <f t="shared" ca="1" si="4"/>
        <v>52165</v>
      </c>
      <c r="C127">
        <f ca="1"/>
        <v>4.2637529095228957E-2</v>
      </c>
      <c r="D127">
        <f ca="1"/>
        <v>4.2637376480328094E-2</v>
      </c>
      <c r="E127">
        <f ca="1"/>
        <v>4.2636622154436782E-2</v>
      </c>
      <c r="F127">
        <f ca="1"/>
        <v>4.263352418930863E-2</v>
      </c>
      <c r="G127">
        <f ca="1"/>
        <v>4.2620505036909125E-2</v>
      </c>
      <c r="H127">
        <f ca="1"/>
        <v>4.2592092373337581E-2</v>
      </c>
      <c r="I127">
        <f ca="1"/>
        <v>4.2806164253043365E-2</v>
      </c>
      <c r="J127">
        <f ca="1"/>
        <v>4.2740000041835466E-2</v>
      </c>
      <c r="K127" s="74">
        <f t="shared" ca="1" si="2"/>
        <v>1.0266374185215893E-4</v>
      </c>
    </row>
    <row r="128" spans="1:11">
      <c r="A128" s="61">
        <f t="shared" ca="1" si="4"/>
        <v>52255</v>
      </c>
      <c r="C128">
        <f ca="1"/>
        <v>4.2688369447735727E-2</v>
      </c>
      <c r="D128">
        <f ca="1"/>
        <v>4.2688229352442195E-2</v>
      </c>
      <c r="E128">
        <f ca="1"/>
        <v>4.2687467318889429E-2</v>
      </c>
      <c r="F128">
        <f ca="1"/>
        <v>4.2684384175944924E-2</v>
      </c>
      <c r="G128">
        <f ca="1"/>
        <v>4.2671424364434753E-2</v>
      </c>
      <c r="H128">
        <f ca="1"/>
        <v>4.2643162769029783E-2</v>
      </c>
      <c r="I128">
        <f ca="1"/>
        <v>4.285507940687059E-2</v>
      </c>
      <c r="J128">
        <f ca="1"/>
        <v>4.2790941583493648E-2</v>
      </c>
      <c r="K128" s="74">
        <f t="shared" ca="1" si="2"/>
        <v>1.02716662862469E-4</v>
      </c>
    </row>
    <row r="129" spans="1:11">
      <c r="A129" s="61">
        <f t="shared" ca="1" si="4"/>
        <v>52345</v>
      </c>
      <c r="C129">
        <f ca="1"/>
        <v>4.273953062884147E-2</v>
      </c>
      <c r="D129">
        <f ca="1"/>
        <v>4.2739389212462252E-2</v>
      </c>
      <c r="E129">
        <f ca="1"/>
        <v>4.2738632754962848E-2</v>
      </c>
      <c r="F129">
        <f ca="1"/>
        <v>4.2735555248357489E-2</v>
      </c>
      <c r="G129">
        <f ca="1"/>
        <v>4.2722669866181451E-2</v>
      </c>
      <c r="H129">
        <f ca="1"/>
        <v>4.2694544825280678E-2</v>
      </c>
      <c r="I129">
        <f ca="1"/>
        <v>4.2904290961655843E-2</v>
      </c>
      <c r="J129">
        <f ca="1"/>
        <v>4.2842194370693629E-2</v>
      </c>
      <c r="K129" s="74">
        <f t="shared" ca="1" si="2"/>
        <v>1.0275943545349359E-4</v>
      </c>
    </row>
    <row r="130" spans="1:11">
      <c r="A130" s="61">
        <f t="shared" ca="1" si="4"/>
        <v>52435</v>
      </c>
      <c r="C130">
        <f ca="1"/>
        <v>4.2789313180967702E-2</v>
      </c>
      <c r="D130">
        <f ca="1"/>
        <v>4.2789153613086439E-2</v>
      </c>
      <c r="E130">
        <f ca="1"/>
        <v>4.2788418463545218E-2</v>
      </c>
      <c r="F130">
        <f ca="1"/>
        <v>4.2785366374019126E-2</v>
      </c>
      <c r="G130">
        <f ca="1"/>
        <v>4.277254569428246E-2</v>
      </c>
      <c r="H130">
        <f ca="1"/>
        <v>4.2744577040373787E-2</v>
      </c>
      <c r="I130">
        <f ca="1"/>
        <v>4.2952002109240744E-2</v>
      </c>
      <c r="J130">
        <f ca="1"/>
        <v>4.2892029843830171E-2</v>
      </c>
      <c r="K130" s="74">
        <f t="shared" ref="K130:K193" ca="1" si="5">J132-C132</f>
        <v>1.0285899393914361E-4</v>
      </c>
    </row>
    <row r="131" spans="1:11">
      <c r="A131" s="61">
        <f t="shared" ca="1" si="4"/>
        <v>52525</v>
      </c>
      <c r="C131">
        <f ca="1"/>
        <v>4.2837763033399576E-2</v>
      </c>
      <c r="D131">
        <f ca="1"/>
        <v>4.2837612876861463E-2</v>
      </c>
      <c r="E131">
        <f ca="1"/>
        <v>4.2836874622187091E-2</v>
      </c>
      <c r="F131">
        <f ca="1"/>
        <v>4.2833840062928071E-2</v>
      </c>
      <c r="G131">
        <f ca="1"/>
        <v>4.2821087659497215E-2</v>
      </c>
      <c r="H131">
        <f ca="1"/>
        <v>4.2793256456332827E-2</v>
      </c>
      <c r="I131">
        <f ca="1"/>
        <v>4.2998440923433495E-2</v>
      </c>
      <c r="J131">
        <f ca="1"/>
        <v>4.2940522468853069E-2</v>
      </c>
      <c r="K131" s="74">
        <f t="shared" ca="1" si="5"/>
        <v>1.0294983423722592E-4</v>
      </c>
    </row>
    <row r="132" spans="1:11">
      <c r="A132" s="61">
        <f t="shared" ca="1" si="4"/>
        <v>52615</v>
      </c>
      <c r="C132">
        <f ca="1"/>
        <v>4.2885461857662635E-2</v>
      </c>
      <c r="D132">
        <f ca="1"/>
        <v>4.2885324214543004E-2</v>
      </c>
      <c r="E132">
        <f ca="1"/>
        <v>4.2884578039040118E-2</v>
      </c>
      <c r="F132">
        <f ca="1"/>
        <v>4.2881557731373289E-2</v>
      </c>
      <c r="G132">
        <f ca="1"/>
        <v>4.2868861059931186E-2</v>
      </c>
      <c r="H132">
        <f ca="1"/>
        <v>4.2841173327974609E-2</v>
      </c>
      <c r="I132">
        <f ca="1"/>
        <v>4.304419019425245E-2</v>
      </c>
      <c r="J132">
        <f ca="1"/>
        <v>4.2988320851601779E-2</v>
      </c>
      <c r="K132" s="74">
        <f t="shared" ca="1" si="5"/>
        <v>1.0300383741467661E-4</v>
      </c>
    </row>
    <row r="133" spans="1:11">
      <c r="A133" s="61">
        <f t="shared" ca="1" si="4"/>
        <v>52705</v>
      </c>
      <c r="C133">
        <f ca="1"/>
        <v>4.2932956525740827E-2</v>
      </c>
      <c r="D133">
        <f ca="1"/>
        <v>4.2932818419314692E-2</v>
      </c>
      <c r="E133">
        <f ca="1"/>
        <v>4.2932076719194731E-2</v>
      </c>
      <c r="F133">
        <f ca="1"/>
        <v>4.2929061222937243E-2</v>
      </c>
      <c r="G133">
        <f ca="1"/>
        <v>4.2916434157194601E-2</v>
      </c>
      <c r="H133">
        <f ca="1"/>
        <v>4.2888873961471924E-2</v>
      </c>
      <c r="I133">
        <f ca="1"/>
        <v>4.3089716969326855E-2</v>
      </c>
      <c r="J133">
        <f ca="1"/>
        <v>4.3035906359978053E-2</v>
      </c>
      <c r="K133" s="74">
        <f t="shared" ca="1" si="5"/>
        <v>1.0304748527785457E-4</v>
      </c>
    </row>
    <row r="134" spans="1:11">
      <c r="A134" s="61">
        <f t="shared" ca="1" si="4"/>
        <v>52795</v>
      </c>
      <c r="C134">
        <f ca="1"/>
        <v>4.2979718098938441E-2</v>
      </c>
      <c r="D134">
        <f ca="1"/>
        <v>4.2979562640680931E-2</v>
      </c>
      <c r="E134">
        <f ca="1"/>
        <v>4.29788412585018E-2</v>
      </c>
      <c r="F134">
        <f ca="1"/>
        <v>4.2975849386051493E-2</v>
      </c>
      <c r="G134">
        <f ca="1"/>
        <v>4.2963284071883927E-2</v>
      </c>
      <c r="H134">
        <f ca="1"/>
        <v>4.2935871980928901E-2</v>
      </c>
      <c r="I134">
        <f ca="1"/>
        <v>4.313439051766102E-2</v>
      </c>
      <c r="J134">
        <f ca="1"/>
        <v>4.3082721936353117E-2</v>
      </c>
      <c r="K134" s="74">
        <f t="shared" ca="1" si="5"/>
        <v>1.0314000830444897E-4</v>
      </c>
    </row>
    <row r="135" spans="1:11">
      <c r="A135" s="61">
        <f t="shared" ca="1" si="4"/>
        <v>52885</v>
      </c>
      <c r="C135">
        <f ca="1"/>
        <v>4.3025249975420218E-2</v>
      </c>
      <c r="D135">
        <f ca="1"/>
        <v>4.3025102587595093E-2</v>
      </c>
      <c r="E135">
        <f ca="1"/>
        <v>4.3024377765110269E-2</v>
      </c>
      <c r="F135">
        <f ca="1"/>
        <v>4.3021406587991216E-2</v>
      </c>
      <c r="G135">
        <f ca="1"/>
        <v>4.300890235209414E-2</v>
      </c>
      <c r="H135">
        <f ca="1"/>
        <v>4.2981623602772162E-2</v>
      </c>
      <c r="I135">
        <f ca="1"/>
        <v>4.3177887925142627E-2</v>
      </c>
      <c r="J135">
        <f ca="1"/>
        <v>4.3128297460698073E-2</v>
      </c>
      <c r="K135" s="74">
        <f t="shared" ca="1" si="5"/>
        <v>1.0323186056732797E-4</v>
      </c>
    </row>
    <row r="136" spans="1:11">
      <c r="A136" s="61">
        <f t="shared" ca="1" si="4"/>
        <v>52975</v>
      </c>
      <c r="C136">
        <f ca="1"/>
        <v>4.3070097396021301E-2</v>
      </c>
      <c r="D136">
        <f ca="1"/>
        <v>4.3069962016144228E-2</v>
      </c>
      <c r="E136">
        <f ca="1"/>
        <v>4.3069228937819538E-2</v>
      </c>
      <c r="F136">
        <f ca="1"/>
        <v>4.3066270436703975E-2</v>
      </c>
      <c r="G136">
        <f ca="1"/>
        <v>4.3053827151464712E-2</v>
      </c>
      <c r="H136">
        <f ca="1"/>
        <v>4.3026673357276668E-2</v>
      </c>
      <c r="I136">
        <f ca="1"/>
        <v>4.3220755691618325E-2</v>
      </c>
      <c r="J136">
        <f ca="1"/>
        <v>4.317323740432575E-2</v>
      </c>
      <c r="K136" s="74">
        <f t="shared" ca="1" si="5"/>
        <v>1.0328784936203955E-4</v>
      </c>
    </row>
    <row r="137" spans="1:11">
      <c r="A137" s="61">
        <f t="shared" ca="1" si="4"/>
        <v>53065</v>
      </c>
      <c r="C137">
        <f ca="1"/>
        <v>4.3115272071512299E-2</v>
      </c>
      <c r="D137">
        <f ca="1"/>
        <v>4.311513700643093E-2</v>
      </c>
      <c r="E137">
        <f ca="1"/>
        <v>4.3114406055452414E-2</v>
      </c>
      <c r="F137">
        <f ca="1"/>
        <v>4.3111460354609846E-2</v>
      </c>
      <c r="G137">
        <f ca="1"/>
        <v>4.3099071422671241E-2</v>
      </c>
      <c r="H137">
        <f ca="1"/>
        <v>4.3072046057782046E-2</v>
      </c>
      <c r="I137">
        <f ca="1"/>
        <v>4.3263930077125437E-2</v>
      </c>
      <c r="J137">
        <f ca="1"/>
        <v>4.3218503932079627E-2</v>
      </c>
      <c r="K137" s="74">
        <f t="shared" ca="1" si="5"/>
        <v>1.0333129065837748E-4</v>
      </c>
    </row>
    <row r="138" spans="1:11">
      <c r="A138" s="61">
        <f t="shared" ca="1" si="4"/>
        <v>53155</v>
      </c>
      <c r="C138">
        <f ca="1"/>
        <v>4.3159272103398004E-2</v>
      </c>
      <c r="D138">
        <f ca="1"/>
        <v>4.3159120188956575E-2</v>
      </c>
      <c r="E138">
        <f ca="1"/>
        <v>4.3158411618225583E-2</v>
      </c>
      <c r="F138">
        <f ca="1"/>
        <v>4.3155479237554813E-2</v>
      </c>
      <c r="G138">
        <f ca="1"/>
        <v>4.31431554577777E-2</v>
      </c>
      <c r="H138">
        <f ca="1"/>
        <v>4.3116273393670697E-2</v>
      </c>
      <c r="I138">
        <f ca="1"/>
        <v>4.3305827996557751E-2</v>
      </c>
      <c r="J138">
        <f ca="1"/>
        <v>4.3262559952760044E-2</v>
      </c>
      <c r="K138" s="74">
        <f t="shared" ca="1" si="5"/>
        <v>1.0341980740260354E-4</v>
      </c>
    </row>
    <row r="139" spans="1:11">
      <c r="A139" s="61">
        <f t="shared" ca="1" si="4"/>
        <v>53245</v>
      </c>
      <c r="C139">
        <f ca="1"/>
        <v>4.3202134704853581E-2</v>
      </c>
      <c r="D139">
        <f ca="1"/>
        <v>4.3201989440844558E-2</v>
      </c>
      <c r="E139">
        <f ca="1"/>
        <v>4.3201279191745143E-2</v>
      </c>
      <c r="F139">
        <f ca="1"/>
        <v>4.3198364939533239E-2</v>
      </c>
      <c r="G139">
        <f ca="1"/>
        <v>4.3186101061911432E-2</v>
      </c>
      <c r="H139">
        <f ca="1"/>
        <v>4.3159347216270079E-2</v>
      </c>
      <c r="I139">
        <f ca="1"/>
        <v>4.3346626441604634E-2</v>
      </c>
      <c r="J139">
        <f ca="1"/>
        <v>4.3305465995511959E-2</v>
      </c>
      <c r="K139" s="74">
        <f t="shared" ca="1" si="5"/>
        <v>1.0351147311567221E-4</v>
      </c>
    </row>
    <row r="140" spans="1:11">
      <c r="A140" s="61">
        <f t="shared" ca="1" si="4"/>
        <v>53335</v>
      </c>
      <c r="C140">
        <f ca="1"/>
        <v>4.324437193800703E-2</v>
      </c>
      <c r="D140">
        <f ca="1"/>
        <v>4.3244238473762256E-2</v>
      </c>
      <c r="E140">
        <f ca="1"/>
        <v>4.3243520078255354E-2</v>
      </c>
      <c r="F140">
        <f ca="1"/>
        <v>4.3240618157220904E-2</v>
      </c>
      <c r="G140">
        <f ca="1"/>
        <v>4.3228412249726803E-2</v>
      </c>
      <c r="H140">
        <f ca="1"/>
        <v>4.320177713923997E-2</v>
      </c>
      <c r="I140">
        <f ca="1"/>
        <v>4.338685179307445E-2</v>
      </c>
      <c r="J140">
        <f ca="1"/>
        <v>4.3347791745409633E-2</v>
      </c>
      <c r="K140" s="74">
        <f t="shared" ca="1" si="5"/>
        <v>1.0356907463652393E-4</v>
      </c>
    </row>
    <row r="141" spans="1:11">
      <c r="A141" s="61">
        <f t="shared" ca="1" si="4"/>
        <v>53425</v>
      </c>
      <c r="C141">
        <f ca="1"/>
        <v>4.328693641711203E-2</v>
      </c>
      <c r="D141">
        <f ca="1"/>
        <v>4.3286803995201205E-2</v>
      </c>
      <c r="E141">
        <f ca="1"/>
        <v>4.3286086892608405E-2</v>
      </c>
      <c r="F141">
        <f ca="1"/>
        <v>4.3283197007053416E-2</v>
      </c>
      <c r="G141">
        <f ca="1"/>
        <v>4.3271042908981518E-2</v>
      </c>
      <c r="H141">
        <f ca="1"/>
        <v>4.324452932180272E-2</v>
      </c>
      <c r="I141">
        <f ca="1"/>
        <v>4.3427384050952728E-2</v>
      </c>
      <c r="J141">
        <f ca="1"/>
        <v>4.3390447890227703E-2</v>
      </c>
      <c r="K141" s="74">
        <f t="shared" ca="1" si="5"/>
        <v>1.0361226327695872E-4</v>
      </c>
    </row>
    <row r="142" spans="1:11">
      <c r="A142" s="61">
        <f t="shared" ca="1" si="4"/>
        <v>53515</v>
      </c>
      <c r="C142">
        <f ca="1"/>
        <v>4.3328412503641389E-2</v>
      </c>
      <c r="D142">
        <f ca="1"/>
        <v>4.3328264502269703E-2</v>
      </c>
      <c r="E142">
        <f ca="1"/>
        <v>4.3327568074367086E-2</v>
      </c>
      <c r="F142">
        <f ca="1"/>
        <v>4.3324690795962864E-2</v>
      </c>
      <c r="G142">
        <f ca="1"/>
        <v>4.3312598043869915E-2</v>
      </c>
      <c r="H142">
        <f ca="1"/>
        <v>4.3286220127524679E-2</v>
      </c>
      <c r="I142">
        <f ca="1"/>
        <v>4.3466737576543589E-2</v>
      </c>
      <c r="J142">
        <f ca="1"/>
        <v>4.3431981578277913E-2</v>
      </c>
      <c r="K142" s="74">
        <f t="shared" ca="1" si="5"/>
        <v>1.0369690561006645E-4</v>
      </c>
    </row>
    <row r="143" spans="1:11">
      <c r="A143" s="61">
        <f t="shared" ca="1" si="4"/>
        <v>53605</v>
      </c>
      <c r="C143">
        <f ca="1"/>
        <v>4.3368833857866197E-2</v>
      </c>
      <c r="D143">
        <f ca="1"/>
        <v>4.336869072885971E-2</v>
      </c>
      <c r="E143">
        <f ca="1"/>
        <v>4.3367994256772568E-2</v>
      </c>
      <c r="F143">
        <f ca="1"/>
        <v>4.3365134072907686E-2</v>
      </c>
      <c r="G143">
        <f ca="1"/>
        <v>4.3353098902411097E-2</v>
      </c>
      <c r="H143">
        <f ca="1"/>
        <v>4.3326844320125422E-2</v>
      </c>
      <c r="I143">
        <f ca="1"/>
        <v>4.3505064100958071E-2</v>
      </c>
      <c r="J143">
        <f ca="1"/>
        <v>4.3472446121143156E-2</v>
      </c>
      <c r="K143" s="74">
        <f t="shared" ca="1" si="5"/>
        <v>1.0378849598844525E-4</v>
      </c>
    </row>
    <row r="144" spans="1:11">
      <c r="A144" s="61">
        <f t="shared" ca="1" si="4"/>
        <v>53695</v>
      </c>
      <c r="C144">
        <f ca="1"/>
        <v>4.3408682321194741E-2</v>
      </c>
      <c r="D144">
        <f ca="1"/>
        <v>4.3408550672942019E-2</v>
      </c>
      <c r="E144">
        <f ca="1"/>
        <v>4.3407846257444142E-2</v>
      </c>
      <c r="F144">
        <f ca="1"/>
        <v>4.3404998181742323E-2</v>
      </c>
      <c r="G144">
        <f ca="1"/>
        <v>4.3393018170844566E-2</v>
      </c>
      <c r="H144">
        <f ca="1"/>
        <v>4.3366876662022956E-2</v>
      </c>
      <c r="I144">
        <f ca="1"/>
        <v>4.3542865765985636E-2</v>
      </c>
      <c r="J144">
        <f ca="1"/>
        <v>4.3512379226804808E-2</v>
      </c>
      <c r="K144" s="74">
        <f t="shared" ca="1" si="5"/>
        <v>1.0384779970176033E-4</v>
      </c>
    </row>
    <row r="145" spans="1:11">
      <c r="A145" s="61">
        <f t="shared" ca="1" si="4"/>
        <v>53785</v>
      </c>
      <c r="C145">
        <f ca="1"/>
        <v>4.3448856464081802E-2</v>
      </c>
      <c r="D145">
        <f ca="1"/>
        <v>4.344872656017594E-2</v>
      </c>
      <c r="E145">
        <f ca="1"/>
        <v>4.344802263896988E-2</v>
      </c>
      <c r="F145">
        <f ca="1"/>
        <v>4.3445185884299665E-2</v>
      </c>
      <c r="G145">
        <f ca="1"/>
        <v>4.3433255326033302E-2</v>
      </c>
      <c r="H145">
        <f ca="1"/>
        <v>4.3407228894056953E-2</v>
      </c>
      <c r="I145">
        <f ca="1"/>
        <v>4.3580972484429652E-2</v>
      </c>
      <c r="J145">
        <f ca="1"/>
        <v>4.3552644960070247E-2</v>
      </c>
      <c r="K145" s="74">
        <f t="shared" ca="1" si="5"/>
        <v>1.0389085701524581E-4</v>
      </c>
    </row>
    <row r="146" spans="1:11">
      <c r="A146" s="61">
        <f t="shared" ca="1" si="4"/>
        <v>53875</v>
      </c>
      <c r="C146">
        <f ca="1"/>
        <v>4.3488019706728546E-2</v>
      </c>
      <c r="D146">
        <f ca="1"/>
        <v>4.3487875444198985E-2</v>
      </c>
      <c r="E146">
        <f ca="1"/>
        <v>4.3487190561814895E-2</v>
      </c>
      <c r="F146">
        <f ca="1"/>
        <v>4.3484365742894666E-2</v>
      </c>
      <c r="G146">
        <f ca="1"/>
        <v>4.3472492930749958E-2</v>
      </c>
      <c r="H146">
        <f ca="1"/>
        <v>4.3446594965489409E-2</v>
      </c>
      <c r="I146">
        <f ca="1"/>
        <v>4.3617989113780203E-2</v>
      </c>
      <c r="J146">
        <f ca="1"/>
        <v>4.3591867506430307E-2</v>
      </c>
      <c r="K146" s="74">
        <f t="shared" ca="1" si="5"/>
        <v>1.0397282382515471E-4</v>
      </c>
    </row>
    <row r="147" spans="1:11">
      <c r="A147" s="61">
        <f t="shared" ca="1" si="4"/>
        <v>53965</v>
      </c>
      <c r="C147">
        <f ca="1"/>
        <v>4.3526202589175438E-2</v>
      </c>
      <c r="D147">
        <f ca="1"/>
        <v>4.352606148700796E-2</v>
      </c>
      <c r="E147">
        <f ca="1"/>
        <v>4.3525378138572476E-2</v>
      </c>
      <c r="F147">
        <f ca="1"/>
        <v>4.3522569434163126E-2</v>
      </c>
      <c r="G147">
        <f ca="1"/>
        <v>4.3510752033106309E-2</v>
      </c>
      <c r="H147">
        <f ca="1"/>
        <v>4.3484972838251819E-2</v>
      </c>
      <c r="I147">
        <f ca="1"/>
        <v>4.3654043453078925E-2</v>
      </c>
      <c r="J147">
        <f ca="1"/>
        <v>4.3630093446190683E-2</v>
      </c>
      <c r="K147" s="74">
        <f t="shared" ca="1" si="5"/>
        <v>1.040633523824927E-4</v>
      </c>
    </row>
    <row r="148" spans="1:11">
      <c r="A148" s="61">
        <f t="shared" ca="1" si="4"/>
        <v>54055</v>
      </c>
      <c r="C148">
        <f ca="1"/>
        <v>4.3564284283458765E-2</v>
      </c>
      <c r="D148">
        <f ca="1"/>
        <v>4.3564154488603388E-2</v>
      </c>
      <c r="E148">
        <f ca="1"/>
        <v>4.3563463301301772E-2</v>
      </c>
      <c r="F148">
        <f ca="1"/>
        <v>4.3560666629764259E-2</v>
      </c>
      <c r="G148">
        <f ca="1"/>
        <v>4.3548902389548769E-2</v>
      </c>
      <c r="H148">
        <f ca="1"/>
        <v>4.3523232264538698E-2</v>
      </c>
      <c r="I148">
        <f ca="1"/>
        <v>4.3690017146250495E-2</v>
      </c>
      <c r="J148">
        <f ca="1"/>
        <v>4.366825710728392E-2</v>
      </c>
      <c r="K148" s="74">
        <f t="shared" ca="1" si="5"/>
        <v>1.0412388139340034E-4</v>
      </c>
    </row>
    <row r="149" spans="1:11">
      <c r="A149" s="61">
        <f t="shared" ca="1" si="4"/>
        <v>54145</v>
      </c>
      <c r="C149">
        <f ca="1"/>
        <v>4.360183899784021E-2</v>
      </c>
      <c r="D149">
        <f ca="1"/>
        <v>4.3601711494755835E-2</v>
      </c>
      <c r="E149">
        <f ca="1"/>
        <v>4.360102013235663E-2</v>
      </c>
      <c r="F149">
        <f ca="1"/>
        <v>4.3598234001740767E-2</v>
      </c>
      <c r="G149">
        <f ca="1"/>
        <v>4.3586516437382331E-2</v>
      </c>
      <c r="H149">
        <f ca="1"/>
        <v>4.3560954169419262E-2</v>
      </c>
      <c r="I149">
        <f ca="1"/>
        <v>4.372547378033409E-2</v>
      </c>
      <c r="J149">
        <f ca="1"/>
        <v>4.3705902350222703E-2</v>
      </c>
      <c r="K149" s="74">
        <f t="shared" ca="1" si="5"/>
        <v>1.0416661462728932E-4</v>
      </c>
    </row>
    <row r="150" spans="1:11">
      <c r="A150" s="61">
        <f t="shared" ca="1" si="4"/>
        <v>54235</v>
      </c>
      <c r="C150">
        <f ca="1"/>
        <v>4.3638464259629965E-2</v>
      </c>
      <c r="D150">
        <f ca="1"/>
        <v>4.3638323775291386E-2</v>
      </c>
      <c r="E150">
        <f ca="1"/>
        <v>4.3637649618857695E-2</v>
      </c>
      <c r="F150">
        <f ca="1"/>
        <v>4.3634874661646381E-2</v>
      </c>
      <c r="G150">
        <f ca="1"/>
        <v>4.3623210777986719E-2</v>
      </c>
      <c r="H150">
        <f ca="1"/>
        <v>4.3597768739338939E-2</v>
      </c>
      <c r="I150">
        <f ca="1"/>
        <v>4.3759943161936071E-2</v>
      </c>
      <c r="J150">
        <f ca="1"/>
        <v>4.3742588141023366E-2</v>
      </c>
      <c r="K150" s="74">
        <f t="shared" ca="1" si="5"/>
        <v>1.0424762975518725E-4</v>
      </c>
    </row>
    <row r="151" spans="1:11">
      <c r="A151" s="61">
        <f t="shared" ca="1" si="4"/>
        <v>54325</v>
      </c>
      <c r="C151">
        <f ca="1"/>
        <v>4.3674595154833712E-2</v>
      </c>
      <c r="D151">
        <f ca="1"/>
        <v>4.3674455928822249E-2</v>
      </c>
      <c r="E151">
        <f ca="1"/>
        <v>4.3673785053034091E-2</v>
      </c>
      <c r="F151">
        <f ca="1"/>
        <v>4.3671025016476968E-2</v>
      </c>
      <c r="G151">
        <f ca="1"/>
        <v>4.3659415692773221E-2</v>
      </c>
      <c r="H151">
        <f ca="1"/>
        <v>4.3634087015342278E-2</v>
      </c>
      <c r="I151">
        <f ca="1"/>
        <v>4.3793907466641621E-2</v>
      </c>
      <c r="J151">
        <f ca="1"/>
        <v>4.3778761769461001E-2</v>
      </c>
      <c r="K151" s="74">
        <f t="shared" ca="1" si="5"/>
        <v>1.0433915361585805E-4</v>
      </c>
    </row>
    <row r="152" spans="1:11">
      <c r="A152" s="61">
        <f t="shared" ca="1" si="4"/>
        <v>54415</v>
      </c>
      <c r="C152">
        <f ca="1"/>
        <v>4.3710643953182984E-2</v>
      </c>
      <c r="D152">
        <f ca="1"/>
        <v>4.3710515800477689E-2</v>
      </c>
      <c r="E152">
        <f ca="1"/>
        <v>4.3709838608077485E-2</v>
      </c>
      <c r="F152">
        <f ca="1"/>
        <v>4.370708872090294E-2</v>
      </c>
      <c r="G152">
        <f ca="1"/>
        <v>4.3695529150364953E-2</v>
      </c>
      <c r="H152">
        <f ca="1"/>
        <v>4.3670310586970122E-2</v>
      </c>
      <c r="I152">
        <f ca="1"/>
        <v>4.38278064298908E-2</v>
      </c>
      <c r="J152">
        <f ca="1"/>
        <v>4.3814891582938172E-2</v>
      </c>
      <c r="K152" s="74">
        <f t="shared" ca="1" si="5"/>
        <v>1.043987869033397E-4</v>
      </c>
    </row>
    <row r="153" spans="1:11">
      <c r="A153" s="61">
        <f t="shared" ca="1" si="4"/>
        <v>54505</v>
      </c>
      <c r="C153">
        <f ca="1"/>
        <v>4.3746604131192135E-2</v>
      </c>
      <c r="D153">
        <f ca="1"/>
        <v>4.3746481920292346E-2</v>
      </c>
      <c r="E153">
        <f ca="1"/>
        <v>4.3745796220449711E-2</v>
      </c>
      <c r="F153">
        <f ca="1"/>
        <v>4.3743061551299617E-2</v>
      </c>
      <c r="G153">
        <f ca="1"/>
        <v>4.3731546663954769E-2</v>
      </c>
      <c r="H153">
        <f ca="1"/>
        <v>4.3706436431523984E-2</v>
      </c>
      <c r="I153">
        <f ca="1"/>
        <v>4.3861614218795968E-2</v>
      </c>
      <c r="J153">
        <f ca="1"/>
        <v>4.3850943284807993E-2</v>
      </c>
      <c r="K153" s="74">
        <f t="shared" ca="1" si="5"/>
        <v>1.0444130222046072E-4</v>
      </c>
    </row>
    <row r="154" spans="1:11">
      <c r="A154" s="61">
        <f t="shared" ca="1" si="4"/>
        <v>54595</v>
      </c>
      <c r="C154">
        <f ca="1"/>
        <v>4.3781294829671191E-2</v>
      </c>
      <c r="D154">
        <f ca="1"/>
        <v>4.3781160027601046E-2</v>
      </c>
      <c r="E154">
        <f ca="1"/>
        <v>4.3780490949258698E-2</v>
      </c>
      <c r="F154">
        <f ca="1"/>
        <v>4.3777767601065165E-2</v>
      </c>
      <c r="G154">
        <f ca="1"/>
        <v>4.3766302902591959E-2</v>
      </c>
      <c r="H154">
        <f ca="1"/>
        <v>4.3741300263335739E-2</v>
      </c>
      <c r="I154">
        <f ca="1"/>
        <v>4.38941291742194E-2</v>
      </c>
      <c r="J154">
        <f ca="1"/>
        <v>4.3885693616574531E-2</v>
      </c>
      <c r="K154" s="74">
        <f t="shared" ca="1" si="5"/>
        <v>1.0451860680196767E-4</v>
      </c>
    </row>
    <row r="155" spans="1:11">
      <c r="A155" s="61">
        <f t="shared" ca="1" si="4"/>
        <v>54685</v>
      </c>
      <c r="C155">
        <f ca="1"/>
        <v>4.3815529684970329E-2</v>
      </c>
      <c r="D155">
        <f ca="1"/>
        <v>4.381539229145668E-2</v>
      </c>
      <c r="E155">
        <f ca="1"/>
        <v>4.3814732968004991E-2</v>
      </c>
      <c r="F155">
        <f ca="1"/>
        <v>4.3812020572379359E-2</v>
      </c>
      <c r="G155">
        <f ca="1"/>
        <v>4.3800608864070591E-2</v>
      </c>
      <c r="H155">
        <f ca="1"/>
        <v>4.3775712302960013E-2</v>
      </c>
      <c r="I155">
        <f ca="1"/>
        <v>4.3926159806418369E-2</v>
      </c>
      <c r="J155">
        <f ca="1"/>
        <v>4.391997098719079E-2</v>
      </c>
      <c r="K155" s="74">
        <f t="shared" ca="1" si="5"/>
        <v>1.0461101040782489E-4</v>
      </c>
    </row>
    <row r="156" spans="1:11">
      <c r="A156" s="61">
        <f t="shared" ca="1" si="4"/>
        <v>54775</v>
      </c>
      <c r="C156">
        <f ca="1"/>
        <v>4.3849699042722616E-2</v>
      </c>
      <c r="D156">
        <f ca="1"/>
        <v>4.3849572435274112E-2</v>
      </c>
      <c r="E156">
        <f ca="1"/>
        <v>4.3848907249829115E-2</v>
      </c>
      <c r="F156">
        <f ca="1"/>
        <v>4.3846204230846279E-2</v>
      </c>
      <c r="G156">
        <f ca="1"/>
        <v>4.3834840584364099E-2</v>
      </c>
      <c r="H156">
        <f ca="1"/>
        <v>4.381004922778424E-2</v>
      </c>
      <c r="I156">
        <f ca="1"/>
        <v>4.3958135294746785E-2</v>
      </c>
      <c r="J156">
        <f ca="1"/>
        <v>4.3954217649524584E-2</v>
      </c>
      <c r="K156" s="74">
        <f t="shared" ca="1" si="5"/>
        <v>1.0467250606854828E-4</v>
      </c>
    </row>
    <row r="157" spans="1:11">
      <c r="A157" s="61">
        <f t="shared" ca="1" si="4"/>
        <v>54865</v>
      </c>
      <c r="C157">
        <f ca="1"/>
        <v>4.3883796639018542E-2</v>
      </c>
      <c r="D157">
        <f ca="1"/>
        <v>4.388367634794739E-2</v>
      </c>
      <c r="E157">
        <f ca="1"/>
        <v>4.3883002873153928E-2</v>
      </c>
      <c r="F157">
        <f ca="1"/>
        <v>4.3880313694932269E-2</v>
      </c>
      <c r="G157">
        <f ca="1"/>
        <v>4.386899269536735E-2</v>
      </c>
      <c r="H157">
        <f ca="1"/>
        <v>4.3844304719795613E-2</v>
      </c>
      <c r="I157">
        <f ca="1"/>
        <v>4.399003617156521E-2</v>
      </c>
      <c r="J157">
        <f ca="1"/>
        <v>4.3988407649426367E-2</v>
      </c>
      <c r="K157" s="74">
        <f t="shared" ca="1" si="5"/>
        <v>1.0471505061960401E-4</v>
      </c>
    </row>
    <row r="158" spans="1:11">
      <c r="A158" s="61">
        <f t="shared" ca="1" si="4"/>
        <v>54955</v>
      </c>
      <c r="C158">
        <f ca="1"/>
        <v>4.391670209932607E-2</v>
      </c>
      <c r="D158">
        <f ca="1"/>
        <v>4.3916570766620359E-2</v>
      </c>
      <c r="E158">
        <f ca="1"/>
        <v>4.3915911230346279E-2</v>
      </c>
      <c r="F158">
        <f ca="1"/>
        <v>4.3913233595768243E-2</v>
      </c>
      <c r="G158">
        <f ca="1"/>
        <v>4.3901959767944559E-2</v>
      </c>
      <c r="H158">
        <f ca="1"/>
        <v>4.3877374136846059E-2</v>
      </c>
      <c r="I158">
        <f ca="1"/>
        <v>4.402073075616366E-2</v>
      </c>
      <c r="J158">
        <f ca="1"/>
        <v>4.4021374605394618E-2</v>
      </c>
      <c r="K158" s="74">
        <f t="shared" ca="1" si="5"/>
        <v>1.0478838449757416E-4</v>
      </c>
    </row>
    <row r="159" spans="1:11">
      <c r="A159" s="61">
        <f t="shared" ca="1" si="4"/>
        <v>55045</v>
      </c>
      <c r="C159">
        <f ca="1"/>
        <v>4.3949186339141716E-2</v>
      </c>
      <c r="D159">
        <f ca="1"/>
        <v>4.3949050683971445E-2</v>
      </c>
      <c r="E159">
        <f ca="1"/>
        <v>4.3948402731912938E-2</v>
      </c>
      <c r="F159">
        <f ca="1"/>
        <v>4.3945735134080489E-2</v>
      </c>
      <c r="G159">
        <f ca="1"/>
        <v>4.39345123422656E-2</v>
      </c>
      <c r="H159">
        <f ca="1"/>
        <v>4.39100285857301E-2</v>
      </c>
      <c r="I159">
        <f ca="1"/>
        <v>4.405096830497298E-2</v>
      </c>
      <c r="J159">
        <f ca="1"/>
        <v>4.405390138976132E-2</v>
      </c>
      <c r="K159" s="74">
        <f t="shared" ca="1" si="5"/>
        <v>1.0488172402990659E-4</v>
      </c>
    </row>
    <row r="160" spans="1:11">
      <c r="A160" s="61">
        <f t="shared" ref="A160:A215" ca="1" si="6">A159+90</f>
        <v>55135</v>
      </c>
      <c r="C160">
        <f ca="1"/>
        <v>4.3981619494849147E-2</v>
      </c>
      <c r="D160">
        <f ca="1"/>
        <v>4.3981494356207379E-2</v>
      </c>
      <c r="E160">
        <f ca="1"/>
        <v>4.3980840644984642E-2</v>
      </c>
      <c r="F160">
        <f ca="1"/>
        <v>4.3978182395036119E-2</v>
      </c>
      <c r="G160">
        <f ca="1"/>
        <v>4.3967005883887716E-2</v>
      </c>
      <c r="H160">
        <f ca="1"/>
        <v>4.3942622565724447E-2</v>
      </c>
      <c r="I160">
        <f ca="1"/>
        <v>4.4081161020568679E-2</v>
      </c>
      <c r="J160">
        <f ca="1"/>
        <v>4.4086407879346722E-2</v>
      </c>
      <c r="K160" s="74">
        <f t="shared" ca="1" si="5"/>
        <v>1.0494515564506146E-4</v>
      </c>
    </row>
    <row r="161" spans="1:11">
      <c r="A161" s="61">
        <f t="shared" ca="1" si="6"/>
        <v>55225</v>
      </c>
      <c r="C161">
        <f ca="1"/>
        <v>4.4013995559853157E-2</v>
      </c>
      <c r="D161">
        <f ca="1"/>
        <v>4.401387710163935E-2</v>
      </c>
      <c r="E161">
        <f ca="1"/>
        <v>4.4013215314011846E-2</v>
      </c>
      <c r="F161">
        <f ca="1"/>
        <v>4.4010569589270611E-2</v>
      </c>
      <c r="G161">
        <f ca="1"/>
        <v>4.399943382249235E-2</v>
      </c>
      <c r="H161">
        <f ca="1"/>
        <v>4.3975149245589297E-2</v>
      </c>
      <c r="I161">
        <f ca="1"/>
        <v>4.4111292762988301E-2</v>
      </c>
      <c r="J161">
        <f ca="1"/>
        <v>4.4118877283883064E-2</v>
      </c>
      <c r="K161" s="74">
        <f t="shared" ca="1" si="5"/>
        <v>1.0498782120790806E-4</v>
      </c>
    </row>
    <row r="162" spans="1:11">
      <c r="A162" s="61">
        <f t="shared" ca="1" si="6"/>
        <v>55315</v>
      </c>
      <c r="C162">
        <f ca="1"/>
        <v>4.404525012525904E-2</v>
      </c>
      <c r="D162">
        <f ca="1"/>
        <v>4.4045122122780452E-2</v>
      </c>
      <c r="E162">
        <f ca="1"/>
        <v>4.4044471682908676E-2</v>
      </c>
      <c r="F162">
        <f ca="1"/>
        <v>4.4041837728269924E-2</v>
      </c>
      <c r="G162">
        <f ca="1"/>
        <v>4.4030746261029832E-2</v>
      </c>
      <c r="H162">
        <f ca="1"/>
        <v>4.4006559052388552E-2</v>
      </c>
      <c r="I162">
        <f ca="1"/>
        <v>4.4140297800897621E-2</v>
      </c>
      <c r="J162">
        <f ca="1"/>
        <v>4.4150195280904102E-2</v>
      </c>
      <c r="K162" s="74">
        <f t="shared" ca="1" si="5"/>
        <v>1.0505724616562823E-4</v>
      </c>
    </row>
    <row r="163" spans="1:11">
      <c r="A163" s="61">
        <f t="shared" ca="1" si="6"/>
        <v>55405</v>
      </c>
      <c r="C163">
        <f ca="1"/>
        <v>4.4076114673361332E-2</v>
      </c>
      <c r="D163">
        <f ca="1"/>
        <v>4.4075980673062141E-2</v>
      </c>
      <c r="E163">
        <f ca="1"/>
        <v>4.4075343592202235E-2</v>
      </c>
      <c r="F163">
        <f ca="1"/>
        <v>4.4072718799692732E-2</v>
      </c>
      <c r="G163">
        <f ca="1"/>
        <v>4.4061676527331402E-2</v>
      </c>
      <c r="H163">
        <f ca="1"/>
        <v>4.4037587233133828E-2</v>
      </c>
      <c r="I163">
        <f ca="1"/>
        <v>4.4168870082915597E-2</v>
      </c>
      <c r="J163">
        <f ca="1"/>
        <v>4.418110249456924E-2</v>
      </c>
      <c r="K163" s="74">
        <f t="shared" ca="1" si="5"/>
        <v>1.0515064329261886E-4</v>
      </c>
    </row>
    <row r="164" spans="1:11">
      <c r="A164" s="61">
        <f t="shared" ca="1" si="6"/>
        <v>55495</v>
      </c>
      <c r="C164">
        <f ca="1"/>
        <v>4.410694067113842E-2</v>
      </c>
      <c r="D164">
        <f ca="1"/>
        <v>4.4106816929547356E-2</v>
      </c>
      <c r="E164">
        <f ca="1"/>
        <v>4.4106174192787395E-2</v>
      </c>
      <c r="F164">
        <f ca="1"/>
        <v>4.4103558742174344E-2</v>
      </c>
      <c r="G164">
        <f ca="1"/>
        <v>4.4092561119601158E-2</v>
      </c>
      <c r="H164">
        <f ca="1"/>
        <v>4.4068567853530423E-2</v>
      </c>
      <c r="I164">
        <f ca="1"/>
        <v>4.4197406360124709E-2</v>
      </c>
      <c r="J164">
        <f ca="1"/>
        <v>4.4211997917304048E-2</v>
      </c>
      <c r="K164" s="74">
        <f t="shared" ca="1" si="5"/>
        <v>1.0521648717696369E-4</v>
      </c>
    </row>
    <row r="165" spans="1:11">
      <c r="A165" s="61">
        <f t="shared" ca="1" si="6"/>
        <v>55585</v>
      </c>
      <c r="C165">
        <f ca="1"/>
        <v>4.4137382477168495E-2</v>
      </c>
      <c r="D165">
        <f ca="1"/>
        <v>4.4137265742827121E-2</v>
      </c>
      <c r="E165">
        <f ca="1"/>
        <v>4.4136615242051744E-2</v>
      </c>
      <c r="F165">
        <f ca="1"/>
        <v>4.4134010856095675E-2</v>
      </c>
      <c r="G165">
        <f ca="1"/>
        <v>4.4123051794624363E-2</v>
      </c>
      <c r="H165">
        <f ca="1"/>
        <v>4.4099151897895067E-2</v>
      </c>
      <c r="I165">
        <f ca="1"/>
        <v>4.4225567009518664E-2</v>
      </c>
      <c r="J165">
        <f ca="1"/>
        <v>4.4242533120461114E-2</v>
      </c>
      <c r="K165" s="74">
        <f t="shared" ca="1" si="5"/>
        <v>1.0526215951864315E-4</v>
      </c>
    </row>
    <row r="166" spans="1:11">
      <c r="A166" s="61">
        <f t="shared" ca="1" si="6"/>
        <v>55675</v>
      </c>
      <c r="C166">
        <f ca="1"/>
        <v>4.4167111491754285E-2</v>
      </c>
      <c r="D166">
        <f ca="1"/>
        <v>4.4166986923783319E-2</v>
      </c>
      <c r="E166">
        <f ca="1"/>
        <v>4.416634481634249E-2</v>
      </c>
      <c r="F166">
        <f ca="1"/>
        <v>4.4163752574481067E-2</v>
      </c>
      <c r="G166">
        <f ca="1"/>
        <v>4.4152834922023779E-2</v>
      </c>
      <c r="H166">
        <f ca="1"/>
        <v>4.4129027589615087E-2</v>
      </c>
      <c r="I166">
        <f ca="1"/>
        <v>4.4252991904180902E-2</v>
      </c>
      <c r="J166">
        <f ca="1"/>
        <v>4.4272327978931249E-2</v>
      </c>
      <c r="K166" s="74">
        <f t="shared" ca="1" si="5"/>
        <v>1.0532549745876502E-4</v>
      </c>
    </row>
    <row r="167" spans="1:11">
      <c r="A167" s="61">
        <f t="shared" ca="1" si="6"/>
        <v>55765</v>
      </c>
      <c r="C167">
        <f ca="1"/>
        <v>4.4196478609306748E-2</v>
      </c>
      <c r="D167">
        <f ca="1"/>
        <v>4.4196346727625402E-2</v>
      </c>
      <c r="E167">
        <f ca="1"/>
        <v>4.4195720053587045E-2</v>
      </c>
      <c r="F167">
        <f ca="1"/>
        <v>4.4193134790655057E-2</v>
      </c>
      <c r="G167">
        <f ca="1"/>
        <v>4.4182265117115489E-2</v>
      </c>
      <c r="H167">
        <f ca="1"/>
        <v>4.4158552156286689E-2</v>
      </c>
      <c r="I167">
        <f ca="1"/>
        <v>4.4280019800132041E-2</v>
      </c>
      <c r="J167">
        <f ca="1"/>
        <v>4.4301740768825391E-2</v>
      </c>
      <c r="K167" s="74">
        <f t="shared" ca="1" si="5"/>
        <v>1.0541614345391942E-4</v>
      </c>
    </row>
    <row r="168" spans="1:11">
      <c r="A168" s="61">
        <f t="shared" ca="1" si="6"/>
        <v>55855</v>
      </c>
      <c r="C168">
        <f ca="1"/>
        <v>4.4225818060539872E-2</v>
      </c>
      <c r="D168">
        <f ca="1"/>
        <v>4.422569677215802E-2</v>
      </c>
      <c r="E168">
        <f ca="1"/>
        <v>4.4225064778858375E-2</v>
      </c>
      <c r="F168">
        <f ca="1"/>
        <v>4.422248618400549E-2</v>
      </c>
      <c r="G168">
        <f ca="1"/>
        <v>4.4211662298713809E-2</v>
      </c>
      <c r="H168">
        <f ca="1"/>
        <v>4.418804016274689E-2</v>
      </c>
      <c r="I168">
        <f ca="1"/>
        <v>4.4307018061211838E-2</v>
      </c>
      <c r="J168">
        <f ca="1"/>
        <v>4.4331143557998637E-2</v>
      </c>
      <c r="K168" s="74">
        <f t="shared" ca="1" si="5"/>
        <v>1.0548812445761169E-4</v>
      </c>
    </row>
    <row r="169" spans="1:11">
      <c r="A169" s="61">
        <f t="shared" ca="1" si="6"/>
        <v>55945</v>
      </c>
      <c r="C169">
        <f ca="1"/>
        <v>4.4255124336607519E-2</v>
      </c>
      <c r="D169">
        <f ca="1"/>
        <v>4.4255007102038127E-2</v>
      </c>
      <c r="E169">
        <f ca="1"/>
        <v>4.425437421155106E-2</v>
      </c>
      <c r="F169">
        <f ca="1"/>
        <v>4.4251800821261615E-2</v>
      </c>
      <c r="G169">
        <f ca="1"/>
        <v>4.4241016335444354E-2</v>
      </c>
      <c r="H169">
        <f ca="1"/>
        <v>4.4217481895502363E-2</v>
      </c>
      <c r="I169">
        <f ca="1"/>
        <v>4.43339731158017E-2</v>
      </c>
      <c r="J169">
        <f ca="1"/>
        <v>4.4360540480061439E-2</v>
      </c>
      <c r="K169" s="74">
        <f t="shared" ca="1" si="5"/>
        <v>1.0553439211165305E-4</v>
      </c>
    </row>
    <row r="170" spans="1:11">
      <c r="A170" s="61">
        <f t="shared" ca="1" si="6"/>
        <v>56035</v>
      </c>
      <c r="C170">
        <f ca="1"/>
        <v>4.428375271677748E-2</v>
      </c>
      <c r="D170">
        <f ca="1"/>
        <v>4.4283627742199405E-2</v>
      </c>
      <c r="E170">
        <f ca="1"/>
        <v>4.4283004542907282E-2</v>
      </c>
      <c r="F170">
        <f ca="1"/>
        <v>4.4280442855958509E-2</v>
      </c>
      <c r="G170">
        <f ca="1"/>
        <v>4.4269695370989355E-2</v>
      </c>
      <c r="H170">
        <f ca="1"/>
        <v>4.4246250584470459E-2</v>
      </c>
      <c r="I170">
        <f ca="1"/>
        <v>4.4360240872126123E-2</v>
      </c>
      <c r="J170">
        <f ca="1"/>
        <v>4.4389240841235092E-2</v>
      </c>
      <c r="K170" s="74">
        <f t="shared" ca="1" si="5"/>
        <v>1.0559385160265056E-4</v>
      </c>
    </row>
    <row r="171" spans="1:11">
      <c r="A171" s="61">
        <f t="shared" ca="1" si="6"/>
        <v>56125</v>
      </c>
      <c r="C171">
        <f ca="1"/>
        <v>4.4311721216831038E-2</v>
      </c>
      <c r="D171">
        <f ca="1"/>
        <v>4.4311592122302922E-2</v>
      </c>
      <c r="E171">
        <f ca="1"/>
        <v>4.4310975889475905E-2</v>
      </c>
      <c r="F171">
        <f ca="1"/>
        <v>4.4308427557843165E-2</v>
      </c>
      <c r="G171">
        <f ca="1"/>
        <v>4.4297724587710516E-2</v>
      </c>
      <c r="H171">
        <f ca="1"/>
        <v>4.4274373557836824E-2</v>
      </c>
      <c r="I171">
        <f ca="1"/>
        <v>4.4385813888168049E-2</v>
      </c>
      <c r="J171">
        <f ca="1"/>
        <v>4.4417255608942691E-2</v>
      </c>
      <c r="K171" s="74">
        <f t="shared" ca="1" si="5"/>
        <v>1.0568289018764165E-4</v>
      </c>
    </row>
    <row r="172" spans="1:11">
      <c r="A172" s="61">
        <f t="shared" ca="1" si="6"/>
        <v>56215</v>
      </c>
      <c r="C172">
        <f ca="1"/>
        <v>4.433935939495403E-2</v>
      </c>
      <c r="D172">
        <f ca="1"/>
        <v>4.4339239402989269E-2</v>
      </c>
      <c r="E172">
        <f ca="1"/>
        <v>4.4338617433616029E-2</v>
      </c>
      <c r="F172">
        <f ca="1"/>
        <v>4.4336078270266636E-2</v>
      </c>
      <c r="G172">
        <f ca="1"/>
        <v>4.4325417967399805E-2</v>
      </c>
      <c r="H172">
        <f ca="1"/>
        <v>4.4302153340438043E-2</v>
      </c>
      <c r="I172">
        <f ca="1"/>
        <v>4.4411084335761401E-2</v>
      </c>
      <c r="J172">
        <f ca="1"/>
        <v>4.444495324655668E-2</v>
      </c>
      <c r="K172" s="74">
        <f t="shared" ca="1" si="5"/>
        <v>1.0575902412759963E-4</v>
      </c>
    </row>
    <row r="173" spans="1:11">
      <c r="A173" s="61">
        <f t="shared" ca="1" si="6"/>
        <v>56305</v>
      </c>
      <c r="C173">
        <f ca="1"/>
        <v>4.4366673068790857E-2</v>
      </c>
      <c r="D173">
        <f ca="1"/>
        <v>4.4366558037563932E-2</v>
      </c>
      <c r="E173">
        <f ca="1"/>
        <v>4.4365934244064084E-2</v>
      </c>
      <c r="F173">
        <f ca="1"/>
        <v>4.4363399201983511E-2</v>
      </c>
      <c r="G173">
        <f ca="1"/>
        <v>4.4352776387383545E-2</v>
      </c>
      <c r="H173">
        <f ca="1"/>
        <v>4.4329593731053482E-2</v>
      </c>
      <c r="I173">
        <f ca="1"/>
        <v>4.4436042208946244E-2</v>
      </c>
      <c r="J173">
        <f ca="1"/>
        <v>4.4472355958978499E-2</v>
      </c>
      <c r="K173" s="74">
        <f t="shared" ca="1" si="5"/>
        <v>1.0580539261800109E-4</v>
      </c>
    </row>
    <row r="174" spans="1:11">
      <c r="A174" s="61">
        <f t="shared" ca="1" si="6"/>
        <v>56395</v>
      </c>
      <c r="C174">
        <f ca="1"/>
        <v>4.4394582646042041E-2</v>
      </c>
      <c r="D174">
        <f ca="1"/>
        <v>4.4394460173249321E-2</v>
      </c>
      <c r="E174">
        <f ca="1"/>
        <v>4.4393845621473436E-2</v>
      </c>
      <c r="F174">
        <f ca="1"/>
        <v>4.4391321870400735E-2</v>
      </c>
      <c r="G174">
        <f ca="1"/>
        <v>4.4380734239427941E-2</v>
      </c>
      <c r="H174">
        <f ca="1"/>
        <v>4.4357638386269251E-2</v>
      </c>
      <c r="I174">
        <f ca="1"/>
        <v>4.4461488186175992E-2</v>
      </c>
      <c r="J174">
        <f ca="1"/>
        <v>4.4500341670169641E-2</v>
      </c>
      <c r="K174" s="74">
        <f t="shared" ca="1" si="5"/>
        <v>1.0586197741701414E-4</v>
      </c>
    </row>
    <row r="175" spans="1:11">
      <c r="A175" s="61">
        <f t="shared" ca="1" si="6"/>
        <v>56485</v>
      </c>
      <c r="C175">
        <f ca="1"/>
        <v>4.4421253641112927E-2</v>
      </c>
      <c r="D175">
        <f ca="1"/>
        <v>4.4421125972512999E-2</v>
      </c>
      <c r="E175">
        <f ca="1"/>
        <v>4.4420519327701267E-2</v>
      </c>
      <c r="F175">
        <f ca="1"/>
        <v>4.441800852103886E-2</v>
      </c>
      <c r="G175">
        <f ca="1"/>
        <v>4.4407463787883412E-2</v>
      </c>
      <c r="H175">
        <f ca="1"/>
        <v>4.4384458519244462E-2</v>
      </c>
      <c r="I175">
        <f ca="1"/>
        <v>4.4485707826627717E-2</v>
      </c>
      <c r="J175">
        <f ca="1"/>
        <v>4.4527059033730929E-2</v>
      </c>
      <c r="K175" s="74">
        <f t="shared" ca="1" si="5"/>
        <v>1.0595139996006503E-4</v>
      </c>
    </row>
    <row r="176" spans="1:11">
      <c r="A176" s="61">
        <f t="shared" ca="1" si="6"/>
        <v>56575</v>
      </c>
      <c r="C176">
        <f ca="1"/>
        <v>4.4447616967882173E-2</v>
      </c>
      <c r="D176">
        <f ca="1"/>
        <v>4.4447498211691958E-2</v>
      </c>
      <c r="E176">
        <f ca="1"/>
        <v>4.4446885851732891E-2</v>
      </c>
      <c r="F176">
        <f ca="1"/>
        <v>4.4444384473057229E-2</v>
      </c>
      <c r="G176">
        <f ca="1"/>
        <v>4.4433880896141399E-2</v>
      </c>
      <c r="H176">
        <f ca="1"/>
        <v>4.4410958798264469E-2</v>
      </c>
      <c r="I176">
        <f ca="1"/>
        <v>4.4509647322928184E-2</v>
      </c>
      <c r="J176">
        <f ca="1"/>
        <v>4.4553478945299187E-2</v>
      </c>
      <c r="K176" s="74">
        <f t="shared" ca="1" si="5"/>
        <v>1.0602981663440647E-4</v>
      </c>
    </row>
    <row r="177" spans="1:11">
      <c r="A177" s="61">
        <f t="shared" ca="1" si="6"/>
        <v>56665</v>
      </c>
      <c r="C177">
        <f ca="1"/>
        <v>4.4473677919675193E-2</v>
      </c>
      <c r="D177">
        <f ca="1"/>
        <v>4.4473564883601657E-2</v>
      </c>
      <c r="E177">
        <f ca="1"/>
        <v>4.4472949956625263E-2</v>
      </c>
      <c r="F177">
        <f ca="1"/>
        <v>4.4470451888203616E-2</v>
      </c>
      <c r="G177">
        <f ca="1"/>
        <v>4.4459984692380376E-2</v>
      </c>
      <c r="H177">
        <f ca="1"/>
        <v>4.4437140968937812E-2</v>
      </c>
      <c r="I177">
        <f ca="1"/>
        <v>4.4533292473190454E-2</v>
      </c>
      <c r="J177">
        <f ca="1"/>
        <v>4.4579629319635258E-2</v>
      </c>
      <c r="K177" s="74">
        <f t="shared" ca="1" si="5"/>
        <v>1.0607635878808613E-4</v>
      </c>
    </row>
    <row r="178" spans="1:11">
      <c r="A178" s="61">
        <f t="shared" ca="1" si="6"/>
        <v>56755</v>
      </c>
      <c r="C178">
        <f ca="1"/>
        <v>4.4500314800544699E-2</v>
      </c>
      <c r="D178">
        <f ca="1"/>
        <v>4.4500194734067904E-2</v>
      </c>
      <c r="E178">
        <f ca="1"/>
        <v>4.4499588460889201E-2</v>
      </c>
      <c r="F178">
        <f ca="1"/>
        <v>4.4497101062098504E-2</v>
      </c>
      <c r="G178">
        <f ca="1"/>
        <v>4.4486666621005547E-2</v>
      </c>
      <c r="H178">
        <f ca="1"/>
        <v>4.4463905156578568E-2</v>
      </c>
      <c r="I178">
        <f ca="1"/>
        <v>4.4557411066252064E-2</v>
      </c>
      <c r="J178">
        <f ca="1"/>
        <v>4.4606344617179106E-2</v>
      </c>
      <c r="K178" s="74">
        <f t="shared" ca="1" si="5"/>
        <v>1.061300681315866E-4</v>
      </c>
    </row>
    <row r="179" spans="1:11">
      <c r="A179" s="61">
        <f t="shared" ca="1" si="6"/>
        <v>56845</v>
      </c>
      <c r="C179">
        <f ca="1"/>
        <v>4.4525776530427191E-2</v>
      </c>
      <c r="D179">
        <f ca="1"/>
        <v>4.4525650222568373E-2</v>
      </c>
      <c r="E179">
        <f ca="1"/>
        <v>4.4525052773060216E-2</v>
      </c>
      <c r="F179">
        <f ca="1"/>
        <v>4.4522577929299416E-2</v>
      </c>
      <c r="G179">
        <f ca="1"/>
        <v>4.4512184854458146E-2</v>
      </c>
      <c r="H179">
        <f ca="1"/>
        <v>4.4489510978052753E-2</v>
      </c>
      <c r="I179">
        <f ca="1"/>
        <v>4.4580362309926506E-2</v>
      </c>
      <c r="J179">
        <f ca="1"/>
        <v>4.4631852889215277E-2</v>
      </c>
      <c r="K179" s="74">
        <f t="shared" ca="1" si="5"/>
        <v>1.0621992237352246E-4</v>
      </c>
    </row>
    <row r="180" spans="1:11">
      <c r="A180" s="61">
        <f t="shared" ca="1" si="6"/>
        <v>56935</v>
      </c>
      <c r="C180">
        <f ca="1"/>
        <v>4.4550951220527622E-2</v>
      </c>
      <c r="D180">
        <f ca="1"/>
        <v>4.4550833642745424E-2</v>
      </c>
      <c r="E180">
        <f ca="1"/>
        <v>4.455023050147279E-2</v>
      </c>
      <c r="F180">
        <f ca="1"/>
        <v>4.45477653547421E-2</v>
      </c>
      <c r="G180">
        <f ca="1"/>
        <v>4.4537412039369832E-2</v>
      </c>
      <c r="H180">
        <f ca="1"/>
        <v>4.4514818347752706E-2</v>
      </c>
      <c r="I180">
        <f ca="1"/>
        <v>4.4603054339501076E-2</v>
      </c>
      <c r="J180">
        <f ca="1"/>
        <v>4.4657081288659209E-2</v>
      </c>
      <c r="K180" s="74">
        <f t="shared" ca="1" si="5"/>
        <v>1.0630014728784526E-4</v>
      </c>
    </row>
    <row r="181" spans="1:11">
      <c r="A181" s="61">
        <f t="shared" ca="1" si="6"/>
        <v>57025</v>
      </c>
      <c r="C181">
        <f ca="1"/>
        <v>4.4575843697605019E-2</v>
      </c>
      <c r="D181">
        <f ca="1"/>
        <v>4.4575732579185755E-2</v>
      </c>
      <c r="E181">
        <f ca="1"/>
        <v>4.457512615111138E-2</v>
      </c>
      <c r="F181">
        <f ca="1"/>
        <v>4.4572663536950656E-2</v>
      </c>
      <c r="G181">
        <f ca="1"/>
        <v>4.4562345574158675E-2</v>
      </c>
      <c r="H181">
        <f ca="1"/>
        <v>4.4539826865949921E-2</v>
      </c>
      <c r="I181">
        <f ca="1"/>
        <v>4.4625462270860096E-2</v>
      </c>
      <c r="J181">
        <f ca="1"/>
        <v>4.4682063619978542E-2</v>
      </c>
      <c r="K181" s="74">
        <f t="shared" ca="1" si="5"/>
        <v>1.063545811949701E-4</v>
      </c>
    </row>
    <row r="182" spans="1:11">
      <c r="A182" s="61">
        <f t="shared" ca="1" si="6"/>
        <v>57115</v>
      </c>
      <c r="C182">
        <f ca="1"/>
        <v>4.4601014923432568E-2</v>
      </c>
      <c r="D182">
        <f ca="1"/>
        <v>4.4600897295867928E-2</v>
      </c>
      <c r="E182">
        <f ca="1"/>
        <v>4.4600298803255556E-2</v>
      </c>
      <c r="F182">
        <f ca="1"/>
        <v>4.4597846122725077E-2</v>
      </c>
      <c r="G182">
        <f ca="1"/>
        <v>4.4587558127576477E-2</v>
      </c>
      <c r="H182">
        <f ca="1"/>
        <v>4.4565116348596237E-2</v>
      </c>
      <c r="I182">
        <f ca="1"/>
        <v>4.4648062935745567E-2</v>
      </c>
      <c r="J182">
        <f ca="1"/>
        <v>4.4707315070720413E-2</v>
      </c>
      <c r="K182" s="74">
        <f t="shared" ca="1" si="5"/>
        <v>1.064447714972383E-4</v>
      </c>
    </row>
    <row r="183" spans="1:11">
      <c r="A183" s="61">
        <f t="shared" ca="1" si="6"/>
        <v>57205</v>
      </c>
      <c r="C183">
        <f ca="1"/>
        <v>4.4625350877897617E-2</v>
      </c>
      <c r="D183">
        <f ca="1"/>
        <v>4.4625225726865621E-2</v>
      </c>
      <c r="E183">
        <f ca="1"/>
        <v>4.4624637597684737E-2</v>
      </c>
      <c r="F183">
        <f ca="1"/>
        <v>4.4622196988478538E-2</v>
      </c>
      <c r="G183">
        <f ca="1"/>
        <v>4.4611947936715607E-2</v>
      </c>
      <c r="H183">
        <f ca="1"/>
        <v>4.4589591121538569E-2</v>
      </c>
      <c r="I183">
        <f ca="1"/>
        <v>4.4669828913196215E-2</v>
      </c>
      <c r="J183">
        <f ca="1"/>
        <v>4.4731705459092587E-2</v>
      </c>
      <c r="K183" s="74">
        <f t="shared" ca="1" si="5"/>
        <v>1.0654483009121807E-4</v>
      </c>
    </row>
    <row r="184" spans="1:11">
      <c r="A184" s="61">
        <f t="shared" ca="1" si="6"/>
        <v>57295</v>
      </c>
      <c r="C184">
        <f ca="1"/>
        <v>4.4649418566694639E-2</v>
      </c>
      <c r="D184">
        <f ca="1"/>
        <v>4.464930183013769E-2</v>
      </c>
      <c r="E184">
        <f ca="1"/>
        <v>4.464870956742395E-2</v>
      </c>
      <c r="F184">
        <f ca="1"/>
        <v>4.464628038934846E-2</v>
      </c>
      <c r="G184">
        <f ca="1"/>
        <v>4.463606263317401E-2</v>
      </c>
      <c r="H184">
        <f ca="1"/>
        <v>4.4613786378881991E-2</v>
      </c>
      <c r="I184">
        <f ca="1"/>
        <v>4.4691372648889185E-2</v>
      </c>
      <c r="J184">
        <f ca="1"/>
        <v>4.4755863338191877E-2</v>
      </c>
      <c r="K184" s="74">
        <f t="shared" ca="1" si="5"/>
        <v>1.0658274861338746E-4</v>
      </c>
    </row>
    <row r="185" spans="1:11">
      <c r="A185" s="61">
        <f t="shared" ca="1" si="6"/>
        <v>57385</v>
      </c>
      <c r="C185">
        <f ca="1"/>
        <v>4.4673222401552373E-2</v>
      </c>
      <c r="D185">
        <f ca="1"/>
        <v>4.467311446109247E-2</v>
      </c>
      <c r="E185">
        <f ca="1"/>
        <v>4.4672512859727412E-2</v>
      </c>
      <c r="F185">
        <f ca="1"/>
        <v>4.4670096372282503E-2</v>
      </c>
      <c r="G185">
        <f ca="1"/>
        <v>4.4659898788716491E-2</v>
      </c>
      <c r="H185">
        <f ca="1"/>
        <v>4.4637709923374631E-2</v>
      </c>
      <c r="I185">
        <f ca="1"/>
        <v>4.4712637015624376E-2</v>
      </c>
      <c r="J185">
        <f ca="1"/>
        <v>4.4779767231643591E-2</v>
      </c>
      <c r="K185" s="74">
        <f t="shared" ca="1" si="5"/>
        <v>1.0670923605189675E-4</v>
      </c>
    </row>
    <row r="186" spans="1:11">
      <c r="A186" s="61">
        <f t="shared" ca="1" si="6"/>
        <v>57475</v>
      </c>
      <c r="C186">
        <f ca="1"/>
        <v>4.469756481995521E-2</v>
      </c>
      <c r="D186">
        <f ca="1"/>
        <v>4.4697452561809299E-2</v>
      </c>
      <c r="E186">
        <f ca="1"/>
        <v>4.4696857265659751E-2</v>
      </c>
      <c r="F186">
        <f ca="1"/>
        <v>4.4694441067809836E-2</v>
      </c>
      <c r="G186">
        <f ca="1"/>
        <v>4.4684286044088528E-2</v>
      </c>
      <c r="H186">
        <f ca="1"/>
        <v>4.4662160575507134E-2</v>
      </c>
      <c r="I186">
        <f ca="1"/>
        <v>4.4734319699243082E-2</v>
      </c>
      <c r="J186">
        <f ca="1"/>
        <v>4.4804147568568597E-2</v>
      </c>
      <c r="K186" s="74">
        <f t="shared" ca="1" si="5"/>
        <v>1.0671216557268937E-4</v>
      </c>
    </row>
    <row r="187" spans="1:11">
      <c r="A187" s="61">
        <f t="shared" ca="1" si="6"/>
        <v>57565</v>
      </c>
      <c r="C187">
        <f ca="1"/>
        <v>4.4720845168137041E-2</v>
      </c>
      <c r="D187">
        <f ca="1"/>
        <v>4.4720719541155397E-2</v>
      </c>
      <c r="E187">
        <f ca="1"/>
        <v>4.472014085653906E-2</v>
      </c>
      <c r="F187">
        <f ca="1"/>
        <v>4.4717730815910586E-2</v>
      </c>
      <c r="G187">
        <f ca="1"/>
        <v>4.4707624050537534E-2</v>
      </c>
      <c r="H187">
        <f ca="1"/>
        <v>4.4685574936257751E-2</v>
      </c>
      <c r="I187">
        <f ca="1"/>
        <v>4.475500287521688E-2</v>
      </c>
      <c r="J187">
        <f ca="1"/>
        <v>4.4827554404188938E-2</v>
      </c>
      <c r="K187" s="74">
        <f t="shared" ca="1" si="5"/>
        <v>1.0681719862976058E-4</v>
      </c>
    </row>
    <row r="188" spans="1:11">
      <c r="A188" s="61">
        <f t="shared" ca="1" si="6"/>
        <v>57655</v>
      </c>
      <c r="C188">
        <f ca="1"/>
        <v>4.4743874469211929E-2</v>
      </c>
      <c r="D188">
        <f ca="1"/>
        <v>4.4743758753937629E-2</v>
      </c>
      <c r="E188">
        <f ca="1"/>
        <v>4.4743175258739991E-2</v>
      </c>
      <c r="F188">
        <f ca="1"/>
        <v>4.4740778665724991E-2</v>
      </c>
      <c r="G188">
        <f ca="1"/>
        <v>4.4730700346721344E-2</v>
      </c>
      <c r="H188">
        <f ca="1"/>
        <v>4.4708725316998967E-2</v>
      </c>
      <c r="I188">
        <f ca="1"/>
        <v>4.4775393746587608E-2</v>
      </c>
      <c r="J188">
        <f ca="1"/>
        <v>4.4850586634784619E-2</v>
      </c>
      <c r="K188" s="74">
        <f t="shared" ca="1" si="5"/>
        <v>1.0684899847501067E-4</v>
      </c>
    </row>
    <row r="189" spans="1:11">
      <c r="A189" s="61">
        <f t="shared" ca="1" si="6"/>
        <v>57745</v>
      </c>
      <c r="C189">
        <f ca="1"/>
        <v>4.4766656762185567E-2</v>
      </c>
      <c r="D189">
        <f ca="1"/>
        <v>4.4766550435514661E-2</v>
      </c>
      <c r="E189">
        <f ca="1"/>
        <v>4.4765956799132665E-2</v>
      </c>
      <c r="F189">
        <f ca="1"/>
        <v>4.4763573298294231E-2</v>
      </c>
      <c r="G189">
        <f ca="1"/>
        <v>4.4753512602873913E-2</v>
      </c>
      <c r="H189">
        <f ca="1"/>
        <v>4.4731623286485798E-2</v>
      </c>
      <c r="I189">
        <f ca="1"/>
        <v>4.4795568279262003E-2</v>
      </c>
      <c r="J189">
        <f ca="1"/>
        <v>4.4873473960815327E-2</v>
      </c>
      <c r="K189" s="74">
        <f t="shared" ca="1" si="5"/>
        <v>1.0698339232341481E-4</v>
      </c>
    </row>
    <row r="190" spans="1:11">
      <c r="A190" s="61">
        <f t="shared" ca="1" si="6"/>
        <v>57835</v>
      </c>
      <c r="C190">
        <f ca="1"/>
        <v>4.4789960145041031E-2</v>
      </c>
      <c r="D190">
        <f ca="1"/>
        <v>4.4789850279799197E-2</v>
      </c>
      <c r="E190">
        <f ca="1"/>
        <v>4.4789262009617345E-2</v>
      </c>
      <c r="F190">
        <f ca="1"/>
        <v>4.4786878250595713E-2</v>
      </c>
      <c r="G190">
        <f ca="1"/>
        <v>4.4776858046988617E-2</v>
      </c>
      <c r="H190">
        <f ca="1"/>
        <v>4.4755028291013035E-2</v>
      </c>
      <c r="I190">
        <f ca="1"/>
        <v>4.4816143209894868E-2</v>
      </c>
      <c r="J190">
        <f ca="1"/>
        <v>4.4896809143516042E-2</v>
      </c>
      <c r="K190" s="74">
        <f t="shared" ca="1" si="5"/>
        <v>1.0698004531273231E-4</v>
      </c>
    </row>
    <row r="191" spans="1:11">
      <c r="A191" s="61">
        <f t="shared" ca="1" si="6"/>
        <v>57925</v>
      </c>
      <c r="C191">
        <f ca="1"/>
        <v>4.4812252109395066E-2</v>
      </c>
      <c r="D191">
        <f ca="1"/>
        <v>4.4812127601569697E-2</v>
      </c>
      <c r="E191">
        <f ca="1"/>
        <v>4.4811556961831797E-2</v>
      </c>
      <c r="F191">
        <f ca="1"/>
        <v>4.4809178592160381E-2</v>
      </c>
      <c r="G191">
        <f ca="1"/>
        <v>4.4799206186345641E-2</v>
      </c>
      <c r="H191">
        <f ca="1"/>
        <v>4.4777449809567244E-2</v>
      </c>
      <c r="I191">
        <f ca="1"/>
        <v>4.4835769618251003E-2</v>
      </c>
      <c r="J191">
        <f ca="1"/>
        <v>4.4919235501718481E-2</v>
      </c>
      <c r="K191" s="74">
        <f t="shared" ca="1" si="5"/>
        <v>1.0709034861065836E-4</v>
      </c>
    </row>
    <row r="192" spans="1:11">
      <c r="A192" s="61">
        <f t="shared" ca="1" si="6"/>
        <v>58015</v>
      </c>
      <c r="C192">
        <f ca="1"/>
        <v>4.4834308802444774E-2</v>
      </c>
      <c r="D192">
        <f ca="1"/>
        <v>4.4834194061036718E-2</v>
      </c>
      <c r="E192">
        <f ca="1"/>
        <v>4.4833618997662687E-2</v>
      </c>
      <c r="F192">
        <f ca="1"/>
        <v>4.48312537020727E-2</v>
      </c>
      <c r="G192">
        <f ca="1"/>
        <v>4.4821309341528677E-2</v>
      </c>
      <c r="H192">
        <f ca="1"/>
        <v>4.4799623664070108E-2</v>
      </c>
      <c r="I192">
        <f ca="1"/>
        <v>4.4855119869367556E-2</v>
      </c>
      <c r="J192">
        <f ca="1"/>
        <v>4.4941288847757506E-2</v>
      </c>
      <c r="K192" s="74">
        <f t="shared" ca="1" si="5"/>
        <v>1.0711585764335702E-4</v>
      </c>
    </row>
    <row r="193" spans="1:11">
      <c r="A193" s="61">
        <f t="shared" ca="1" si="6"/>
        <v>58105</v>
      </c>
      <c r="C193">
        <f ca="1"/>
        <v>4.4856380625170077E-2</v>
      </c>
      <c r="D193">
        <f ca="1"/>
        <v>4.4856275820501064E-2</v>
      </c>
      <c r="E193">
        <f ca="1"/>
        <v>4.485568988288887E-2</v>
      </c>
      <c r="F193">
        <f ca="1"/>
        <v>4.4853338068369816E-2</v>
      </c>
      <c r="G193">
        <f ca="1"/>
        <v>4.4843409295642317E-2</v>
      </c>
      <c r="H193">
        <f ca="1"/>
        <v>4.482180837129543E-2</v>
      </c>
      <c r="I193">
        <f ca="1"/>
        <v>4.4874480685050684E-2</v>
      </c>
      <c r="J193">
        <f ca="1"/>
        <v>4.4963470973780735E-2</v>
      </c>
      <c r="K193" s="74">
        <f t="shared" ca="1" si="5"/>
        <v>1.0725649382797159E-4</v>
      </c>
    </row>
    <row r="194" spans="1:11">
      <c r="A194" s="61">
        <f t="shared" ca="1" si="6"/>
        <v>58195</v>
      </c>
      <c r="C194">
        <f ca="1"/>
        <v>4.4878463409636117E-2</v>
      </c>
      <c r="D194">
        <f ca="1"/>
        <v>4.4878355855842947E-2</v>
      </c>
      <c r="E194">
        <f ca="1"/>
        <v>4.4877774324174488E-2</v>
      </c>
      <c r="F194">
        <f ca="1"/>
        <v>4.4875421737360012E-2</v>
      </c>
      <c r="G194">
        <f ca="1"/>
        <v>4.4865531069612982E-2</v>
      </c>
      <c r="H194">
        <f ca="1"/>
        <v>4.4843985460834054E-2</v>
      </c>
      <c r="I194">
        <f ca="1"/>
        <v>4.4893793982061087E-2</v>
      </c>
      <c r="J194">
        <f ca="1"/>
        <v>4.4985579267279474E-2</v>
      </c>
      <c r="K194" s="74">
        <f t="shared" ref="K194:K213" ca="1" si="7">J196-C196</f>
        <v>1.0725368962272858E-4</v>
      </c>
    </row>
    <row r="195" spans="1:11">
      <c r="A195" s="61">
        <f t="shared" ca="1" si="6"/>
        <v>58285</v>
      </c>
      <c r="C195">
        <f ca="1"/>
        <v>4.4900070134694096E-2</v>
      </c>
      <c r="D195">
        <f ca="1"/>
        <v>4.489994708829332E-2</v>
      </c>
      <c r="E195">
        <f ca="1"/>
        <v>4.4899383879041375E-2</v>
      </c>
      <c r="F195">
        <f ca="1"/>
        <v>4.4897036172141198E-2</v>
      </c>
      <c r="G195">
        <f ca="1"/>
        <v>4.4887192955152234E-2</v>
      </c>
      <c r="H195">
        <f ca="1"/>
        <v>4.4865718609495141E-2</v>
      </c>
      <c r="I195">
        <f ca="1"/>
        <v>4.49126299372615E-2</v>
      </c>
      <c r="J195">
        <f ca="1"/>
        <v>4.5007326628522068E-2</v>
      </c>
      <c r="K195" s="74">
        <f t="shared" ca="1" si="7"/>
        <v>1.073591312940117E-4</v>
      </c>
    </row>
    <row r="196" spans="1:11">
      <c r="A196" s="61">
        <f t="shared" ca="1" si="6"/>
        <v>58375</v>
      </c>
      <c r="C196">
        <f ca="1"/>
        <v>4.4921212069117415E-2</v>
      </c>
      <c r="D196">
        <f ca="1"/>
        <v>4.4921098372884959E-2</v>
      </c>
      <c r="E196">
        <f ca="1"/>
        <v>4.4920531082757675E-2</v>
      </c>
      <c r="F196">
        <f ca="1"/>
        <v>4.4918196024611612E-2</v>
      </c>
      <c r="G196">
        <f ca="1"/>
        <v>4.4908380167457324E-2</v>
      </c>
      <c r="H196">
        <f ca="1"/>
        <v>4.4886973977953395E-2</v>
      </c>
      <c r="I196">
        <f ca="1"/>
        <v>4.4930995454627989E-2</v>
      </c>
      <c r="J196">
        <f ca="1"/>
        <v>4.5028465758740144E-2</v>
      </c>
      <c r="K196" s="74">
        <f t="shared" ca="1" si="7"/>
        <v>1.0738965280933377E-4</v>
      </c>
    </row>
    <row r="197" spans="1:11">
      <c r="A197" s="61">
        <f t="shared" ca="1" si="6"/>
        <v>58465</v>
      </c>
      <c r="C197">
        <f ca="1"/>
        <v>4.4942136656468352E-2</v>
      </c>
      <c r="D197">
        <f ca="1"/>
        <v>4.494203264709045E-2</v>
      </c>
      <c r="E197">
        <f ca="1"/>
        <v>4.494145490262174E-2</v>
      </c>
      <c r="F197">
        <f ca="1"/>
        <v>4.4939132773118479E-2</v>
      </c>
      <c r="G197">
        <f ca="1"/>
        <v>4.4929331626061435E-2</v>
      </c>
      <c r="H197">
        <f ca="1"/>
        <v>4.4908005686632176E-2</v>
      </c>
      <c r="I197">
        <f ca="1"/>
        <v>4.4949160611966556E-2</v>
      </c>
      <c r="J197">
        <f ca="1"/>
        <v>4.5049495787762364E-2</v>
      </c>
      <c r="K197" s="74">
        <f t="shared" ca="1" si="7"/>
        <v>1.0752236609857385E-4</v>
      </c>
    </row>
    <row r="198" spans="1:11">
      <c r="A198" s="61">
        <f t="shared" ca="1" si="6"/>
        <v>58555</v>
      </c>
      <c r="C198">
        <f ca="1"/>
        <v>4.4963081361515389E-2</v>
      </c>
      <c r="D198">
        <f ca="1"/>
        <v>4.4962975358280199E-2</v>
      </c>
      <c r="E198">
        <f ca="1"/>
        <v>4.4962401026091954E-2</v>
      </c>
      <c r="F198">
        <f ca="1"/>
        <v>4.4960078734792568E-2</v>
      </c>
      <c r="G198">
        <f ca="1"/>
        <v>4.4950312750050493E-2</v>
      </c>
      <c r="H198">
        <f ca="1"/>
        <v>4.492904068995681E-2</v>
      </c>
      <c r="I198">
        <f ca="1"/>
        <v>4.4967261940816683E-2</v>
      </c>
      <c r="J198">
        <f ca="1"/>
        <v>4.5070471014324723E-2</v>
      </c>
      <c r="K198" s="74">
        <f t="shared" ca="1" si="7"/>
        <v>1.0747984626222756E-4</v>
      </c>
    </row>
    <row r="199" spans="1:11">
      <c r="A199" s="61">
        <f t="shared" ca="1" si="6"/>
        <v>58645</v>
      </c>
      <c r="C199">
        <f ca="1"/>
        <v>4.4983810541280506E-2</v>
      </c>
      <c r="D199">
        <f ca="1"/>
        <v>4.4983690079450925E-2</v>
      </c>
      <c r="E199">
        <f ca="1"/>
        <v>4.4983132857373404E-2</v>
      </c>
      <c r="F199">
        <f ca="1"/>
        <v>4.4980814793613169E-2</v>
      </c>
      <c r="G199">
        <f ca="1"/>
        <v>4.4971094097371489E-2</v>
      </c>
      <c r="H199">
        <f ca="1"/>
        <v>4.4949889312217099E-2</v>
      </c>
      <c r="I199">
        <f ca="1"/>
        <v>4.4985140591252283E-2</v>
      </c>
      <c r="J199">
        <f ca="1"/>
        <v>4.5091332907379079E-2</v>
      </c>
      <c r="K199" s="74">
        <f t="shared" ca="1" si="7"/>
        <v>1.0755729133094666E-4</v>
      </c>
    </row>
    <row r="200" spans="1:11">
      <c r="A200" s="61">
        <f t="shared" ca="1" si="6"/>
        <v>58735</v>
      </c>
      <c r="C200">
        <f ca="1"/>
        <v>4.5004098144513005E-2</v>
      </c>
      <c r="D200">
        <f ca="1"/>
        <v>4.5003985217322101E-2</v>
      </c>
      <c r="E200">
        <f ca="1"/>
        <v>4.5003420958060619E-2</v>
      </c>
      <c r="F200">
        <f ca="1"/>
        <v>4.5001119529970393E-2</v>
      </c>
      <c r="G200">
        <f ca="1"/>
        <v>4.4991431841288849E-2</v>
      </c>
      <c r="H200">
        <f ca="1"/>
        <v>4.4970288497947326E-2</v>
      </c>
      <c r="I200">
        <f ca="1"/>
        <v>4.500254005413501E-2</v>
      </c>
      <c r="J200">
        <f ca="1"/>
        <v>4.5111577990775233E-2</v>
      </c>
      <c r="K200" s="74">
        <f t="shared" ca="1" si="7"/>
        <v>1.0765258219076757E-4</v>
      </c>
    </row>
    <row r="201" spans="1:11">
      <c r="A201" s="61">
        <f t="shared" ca="1" si="6"/>
        <v>58825</v>
      </c>
      <c r="C201">
        <f ca="1"/>
        <v>4.5024181408913011E-2</v>
      </c>
      <c r="D201">
        <f ca="1"/>
        <v>4.5024080185177347E-2</v>
      </c>
      <c r="E201">
        <f ca="1"/>
        <v>4.5023502871820012E-2</v>
      </c>
      <c r="F201">
        <f ca="1"/>
        <v>4.5021210539476823E-2</v>
      </c>
      <c r="G201">
        <f ca="1"/>
        <v>4.5011549658808589E-2</v>
      </c>
      <c r="H201">
        <f ca="1"/>
        <v>4.4990469024649898E-2</v>
      </c>
      <c r="I201">
        <f ca="1"/>
        <v>4.5019763575723702E-2</v>
      </c>
      <c r="J201">
        <f ca="1"/>
        <v>4.5131738700243958E-2</v>
      </c>
      <c r="K201" s="74">
        <f t="shared" ca="1" si="7"/>
        <v>1.0769312444274676E-4</v>
      </c>
    </row>
    <row r="202" spans="1:11">
      <c r="A202" s="61">
        <f t="shared" ca="1" si="6"/>
        <v>58915</v>
      </c>
      <c r="C202">
        <f ca="1"/>
        <v>4.5044512954227962E-2</v>
      </c>
      <c r="D202">
        <f ca="1"/>
        <v>4.504440911638679E-2</v>
      </c>
      <c r="E202">
        <f ca="1"/>
        <v>4.5043837966334238E-2</v>
      </c>
      <c r="F202">
        <f ca="1"/>
        <v>4.5041546021678633E-2</v>
      </c>
      <c r="G202">
        <f ca="1"/>
        <v>4.5031912722295661E-2</v>
      </c>
      <c r="H202">
        <f ca="1"/>
        <v>4.5010886792637615E-2</v>
      </c>
      <c r="I202">
        <f ca="1"/>
        <v>4.5037223147633788E-2</v>
      </c>
      <c r="J202">
        <f ca="1"/>
        <v>4.515216553641873E-2</v>
      </c>
      <c r="K202" s="74">
        <f t="shared" ca="1" si="7"/>
        <v>1.0773927234846575E-4</v>
      </c>
    </row>
    <row r="203" spans="1:11">
      <c r="A203" s="61">
        <f t="shared" ca="1" si="6"/>
        <v>59005</v>
      </c>
      <c r="C203">
        <f ca="1"/>
        <v>4.506441472373901E-2</v>
      </c>
      <c r="D203">
        <f ca="1"/>
        <v>4.5064296895417147E-2</v>
      </c>
      <c r="E203">
        <f ca="1"/>
        <v>4.5063742624414135E-2</v>
      </c>
      <c r="F203">
        <f ca="1"/>
        <v>4.5061460785793768E-2</v>
      </c>
      <c r="G203">
        <f ca="1"/>
        <v>4.5051856637203069E-2</v>
      </c>
      <c r="H203">
        <f ca="1"/>
        <v>4.5030907283074982E-2</v>
      </c>
      <c r="I203">
        <f ca="1"/>
        <v>4.5054141534209668E-2</v>
      </c>
      <c r="J203">
        <f ca="1"/>
        <v>4.5172107848181757E-2</v>
      </c>
      <c r="K203" s="74">
        <f t="shared" ca="1" si="7"/>
        <v>1.078340204209785E-4</v>
      </c>
    </row>
    <row r="204" spans="1:11">
      <c r="A204" s="61">
        <f t="shared" ca="1" si="6"/>
        <v>59095</v>
      </c>
      <c r="C204">
        <f ca="1"/>
        <v>4.50838965512909E-2</v>
      </c>
      <c r="D204">
        <f ca="1"/>
        <v>4.5083784270763212E-2</v>
      </c>
      <c r="E204">
        <f ca="1"/>
        <v>4.5083227656084239E-2</v>
      </c>
      <c r="F204">
        <f ca="1"/>
        <v>4.5080954568887395E-2</v>
      </c>
      <c r="G204">
        <f ca="1"/>
        <v>4.5071383838569637E-2</v>
      </c>
      <c r="H204">
        <f ca="1"/>
        <v>4.5050502136790224E-2</v>
      </c>
      <c r="I204">
        <f ca="1"/>
        <v>4.5070710889158407E-2</v>
      </c>
      <c r="J204">
        <f ca="1"/>
        <v>4.5191635823639366E-2</v>
      </c>
      <c r="K204" s="74">
        <f t="shared" ca="1" si="7"/>
        <v>1.0792601669715879E-4</v>
      </c>
    </row>
    <row r="205" spans="1:11">
      <c r="A205" s="61">
        <f t="shared" ca="1" si="6"/>
        <v>59185</v>
      </c>
      <c r="C205">
        <f ca="1"/>
        <v>4.510318606290261E-2</v>
      </c>
      <c r="D205">
        <f ca="1"/>
        <v>4.5103083200669795E-2</v>
      </c>
      <c r="E205">
        <f ca="1"/>
        <v>4.5102521321993126E-2</v>
      </c>
      <c r="F205">
        <f ca="1"/>
        <v>4.5100249570621621E-2</v>
      </c>
      <c r="G205">
        <f ca="1"/>
        <v>4.5090706847437871E-2</v>
      </c>
      <c r="H205">
        <f ca="1"/>
        <v>4.5069885023208051E-2</v>
      </c>
      <c r="I205">
        <f ca="1"/>
        <v>4.5087073249063116E-2</v>
      </c>
      <c r="J205">
        <f ca="1"/>
        <v>4.5211020083323589E-2</v>
      </c>
      <c r="K205" s="74">
        <f t="shared" ca="1" si="7"/>
        <v>1.0796902259278818E-4</v>
      </c>
    </row>
    <row r="206" spans="1:11">
      <c r="A206" s="61">
        <f t="shared" ca="1" si="6"/>
        <v>59275</v>
      </c>
      <c r="C206">
        <f ca="1"/>
        <v>4.5122718003476468E-2</v>
      </c>
      <c r="D206">
        <f ca="1"/>
        <v>4.5122615189653645E-2</v>
      </c>
      <c r="E206">
        <f ca="1"/>
        <v>4.5122052314485135E-2</v>
      </c>
      <c r="F206">
        <f ca="1"/>
        <v>4.5119786665749194E-2</v>
      </c>
      <c r="G206">
        <f ca="1"/>
        <v>4.5110269691834681E-2</v>
      </c>
      <c r="H206">
        <f ca="1"/>
        <v>4.5089498231305064E-2</v>
      </c>
      <c r="I206">
        <f ca="1"/>
        <v>4.5103640824569372E-2</v>
      </c>
      <c r="J206">
        <f ca="1"/>
        <v>4.5230644020173627E-2</v>
      </c>
      <c r="K206" s="74">
        <f t="shared" ca="1" si="7"/>
        <v>1.0801411834510805E-4</v>
      </c>
    </row>
    <row r="207" spans="1:11">
      <c r="A207" s="61">
        <f t="shared" ca="1" si="6"/>
        <v>59365</v>
      </c>
      <c r="C207">
        <f ca="1"/>
        <v>4.5141840931658225E-2</v>
      </c>
      <c r="D207">
        <f ca="1"/>
        <v>4.5141725381236529E-2</v>
      </c>
      <c r="E207">
        <f ca="1"/>
        <v>4.5141176837923763E-2</v>
      </c>
      <c r="F207">
        <f ca="1"/>
        <v>4.5138922017743804E-2</v>
      </c>
      <c r="G207">
        <f ca="1"/>
        <v>4.5129432765572422E-2</v>
      </c>
      <c r="H207">
        <f ca="1"/>
        <v>4.5108733249051874E-2</v>
      </c>
      <c r="I207">
        <f ca="1"/>
        <v>4.5119705981289684E-2</v>
      </c>
      <c r="J207">
        <f ca="1"/>
        <v>4.5249809954251013E-2</v>
      </c>
      <c r="K207" s="74">
        <f t="shared" ca="1" si="7"/>
        <v>1.0810591502032757E-4</v>
      </c>
    </row>
    <row r="208" spans="1:11">
      <c r="A208" s="61">
        <f t="shared" ca="1" si="6"/>
        <v>59455</v>
      </c>
      <c r="C208">
        <f ca="1"/>
        <v>4.5160564052538467E-2</v>
      </c>
      <c r="D208">
        <f ca="1"/>
        <v>4.516045258404585E-2</v>
      </c>
      <c r="E208">
        <f ca="1"/>
        <v>4.5159903039976017E-2</v>
      </c>
      <c r="F208">
        <f ca="1"/>
        <v>4.5157656915347906E-2</v>
      </c>
      <c r="G208">
        <f ca="1"/>
        <v>4.5148199741063343E-2</v>
      </c>
      <c r="H208">
        <f ca="1"/>
        <v>4.5127566443311985E-2</v>
      </c>
      <c r="I208">
        <f ca="1"/>
        <v>4.5135430351208795E-2</v>
      </c>
      <c r="J208">
        <f ca="1"/>
        <v>4.5268578170883575E-2</v>
      </c>
      <c r="K208" s="74">
        <f t="shared" ca="1" si="7"/>
        <v>1.0819940221154511E-4</v>
      </c>
    </row>
    <row r="209" spans="1:11">
      <c r="A209" s="61">
        <f t="shared" ca="1" si="6"/>
        <v>59545</v>
      </c>
      <c r="C209">
        <f ca="1"/>
        <v>4.5179105955277875E-2</v>
      </c>
      <c r="D209">
        <f ca="1"/>
        <v>4.5179003787927295E-2</v>
      </c>
      <c r="E209">
        <f ca="1"/>
        <v>4.5178448936098486E-2</v>
      </c>
      <c r="F209">
        <f ca="1"/>
        <v>4.517620441508767E-2</v>
      </c>
      <c r="G209">
        <f ca="1"/>
        <v>4.5166774565856924E-2</v>
      </c>
      <c r="H209">
        <f ca="1"/>
        <v>4.5146199119820103E-2</v>
      </c>
      <c r="I209">
        <f ca="1"/>
        <v>4.5150959403276472E-2</v>
      </c>
      <c r="J209">
        <f ca="1"/>
        <v>4.5287211870298202E-2</v>
      </c>
      <c r="K209" s="74">
        <f t="shared" ca="1" si="7"/>
        <v>1.082459375730746E-4</v>
      </c>
    </row>
    <row r="210" spans="1:11">
      <c r="A210" s="61">
        <f t="shared" ca="1" si="6"/>
        <v>59635</v>
      </c>
      <c r="C210">
        <f ca="1"/>
        <v>4.5197884550659165E-2</v>
      </c>
      <c r="D210">
        <f ca="1"/>
        <v>4.5197783076610452E-2</v>
      </c>
      <c r="E210">
        <f ca="1"/>
        <v>4.5197226906452288E-2</v>
      </c>
      <c r="F210">
        <f ca="1"/>
        <v>4.519498779283794E-2</v>
      </c>
      <c r="G210">
        <f ca="1"/>
        <v>4.5185582676470853E-2</v>
      </c>
      <c r="H210">
        <f ca="1"/>
        <v>4.5165055882206852E-2</v>
      </c>
      <c r="I210">
        <f ca="1"/>
        <v>4.5166679268124135E-2</v>
      </c>
      <c r="J210">
        <f ca="1"/>
        <v>4.530608395287071E-2</v>
      </c>
      <c r="K210" s="74">
        <f t="shared" ca="1" si="7"/>
        <v>1.0829005970812433E-4</v>
      </c>
    </row>
    <row r="211" spans="1:11">
      <c r="A211" s="61">
        <f t="shared" ca="1" si="6"/>
        <v>59725</v>
      </c>
      <c r="C211">
        <f ca="1"/>
        <v>4.5216273477739967E-2</v>
      </c>
      <c r="D211">
        <f ca="1"/>
        <v>4.521616013343923E-2</v>
      </c>
      <c r="E211">
        <f ca="1"/>
        <v>4.521561709317911E-2</v>
      </c>
      <c r="F211">
        <f ca="1"/>
        <v>4.5213388286362566E-2</v>
      </c>
      <c r="G211">
        <f ca="1"/>
        <v>4.5204009675059047E-2</v>
      </c>
      <c r="H211">
        <f ca="1"/>
        <v>4.5183550731520535E-2</v>
      </c>
      <c r="I211">
        <f ca="1"/>
        <v>4.5181931999754552E-2</v>
      </c>
      <c r="J211">
        <f ca="1"/>
        <v>4.5324519415313042E-2</v>
      </c>
      <c r="K211" s="74">
        <f t="shared" ca="1" si="7"/>
        <v>1.0837384187344784E-4</v>
      </c>
    </row>
    <row r="212" spans="1:11">
      <c r="A212" s="61">
        <f t="shared" ca="1" si="6"/>
        <v>59815</v>
      </c>
      <c r="C212">
        <f ca="1"/>
        <v>4.5234281365192086E-2</v>
      </c>
      <c r="D212">
        <f ca="1"/>
        <v>4.523417067184958E-2</v>
      </c>
      <c r="E212">
        <f ca="1"/>
        <v>4.5233627943165738E-2</v>
      </c>
      <c r="F212">
        <f ca="1"/>
        <v>4.5231407782838656E-2</v>
      </c>
      <c r="G212">
        <f ca="1"/>
        <v>4.5222059961884997E-2</v>
      </c>
      <c r="H212">
        <f ca="1"/>
        <v>4.5201665883614212E-2</v>
      </c>
      <c r="I212">
        <f ca="1"/>
        <v>4.5196850982574317E-2</v>
      </c>
      <c r="J212">
        <f ca="1"/>
        <v>4.534257142490021E-2</v>
      </c>
      <c r="K212" s="74">
        <f t="shared" ca="1" si="7"/>
        <v>1.0847067179576425E-4</v>
      </c>
    </row>
    <row r="213" spans="1:11">
      <c r="A213" s="61">
        <f t="shared" ca="1" si="6"/>
        <v>59905</v>
      </c>
      <c r="C213">
        <f ca="1"/>
        <v>4.525211829475935E-2</v>
      </c>
      <c r="D213">
        <f ca="1"/>
        <v>4.52520175763476E-2</v>
      </c>
      <c r="E213">
        <f ca="1"/>
        <v>4.5251469912668561E-2</v>
      </c>
      <c r="F213">
        <f ca="1"/>
        <v>4.5249246152149113E-2</v>
      </c>
      <c r="G213">
        <f ca="1"/>
        <v>4.523993053385042E-2</v>
      </c>
      <c r="H213">
        <f ca="1"/>
        <v>4.5219589630923415E-2</v>
      </c>
      <c r="I213">
        <f ca="1"/>
        <v>4.521158662794008E-2</v>
      </c>
      <c r="J213">
        <f ca="1"/>
        <v>4.5360492136632798E-2</v>
      </c>
      <c r="K213" s="74">
        <f t="shared" ca="1" si="7"/>
        <v>1.0852459360793237E-4</v>
      </c>
    </row>
    <row r="214" spans="1:11">
      <c r="A214" s="61">
        <f t="shared" ca="1" si="6"/>
        <v>59995</v>
      </c>
      <c r="C214">
        <f ca="1"/>
        <v>4.5269986507383425E-2</v>
      </c>
      <c r="D214">
        <f ca="1"/>
        <v>4.526988450878637E-2</v>
      </c>
      <c r="E214">
        <f ca="1"/>
        <v>4.5269340189623516E-2</v>
      </c>
      <c r="F214">
        <f ca="1"/>
        <v>4.5267119946670098E-2</v>
      </c>
      <c r="G214">
        <f ca="1"/>
        <v>4.525782467190495E-2</v>
      </c>
      <c r="H214">
        <f ca="1"/>
        <v>4.5237537059712923E-2</v>
      </c>
      <c r="I214">
        <f ca="1"/>
        <v>4.5226305375131219E-2</v>
      </c>
      <c r="J214">
        <f ca="1"/>
        <v>4.5378457179179189E-2</v>
      </c>
    </row>
    <row r="215" spans="1:11">
      <c r="A215" s="61">
        <f t="shared" ca="1" si="6"/>
        <v>60085</v>
      </c>
      <c r="C215">
        <f ca="1"/>
        <v>4.5287684792100581E-2</v>
      </c>
      <c r="D215">
        <f ca="1"/>
        <v>4.5287574379775417E-2</v>
      </c>
      <c r="E215">
        <f ca="1"/>
        <v>4.5287038817137609E-2</v>
      </c>
      <c r="F215">
        <f ca="1"/>
        <v>4.5284829979178147E-2</v>
      </c>
      <c r="G215">
        <f ca="1"/>
        <v>4.5275559166007062E-2</v>
      </c>
      <c r="H215">
        <f ca="1"/>
        <v>4.525533365323689E-2</v>
      </c>
      <c r="I215">
        <f ca="1"/>
        <v>4.5240778856816877E-2</v>
      </c>
      <c r="J215">
        <f ca="1"/>
        <v>4.5396209385708514E-2</v>
      </c>
    </row>
    <row r="218" spans="1:11">
      <c r="C218" t="str">
        <f ca="1">deserializeObject('Bumped Curves'!$B$2,C3&amp;".xml",TRUE)</f>
        <v>CNY_Treasury_Live_Curve_2012-7-5_Calibrated_Curve_1</v>
      </c>
      <c r="D218" t="str">
        <f ca="1">deserializeObject('Bumped Curves'!$B$2,D3&amp;".xml",TRUE)</f>
        <v>CNY_Treasury_Live_Curve_2012-7-5_Calibrated_Curve_2</v>
      </c>
      <c r="E218" t="str">
        <f ca="1">deserializeObject('Bumped Curves'!$B$2,E3&amp;".xml",TRUE)</f>
        <v>CNY_Treasury_Live_Curve_2012-7-5_Calibrated_Curve_3</v>
      </c>
      <c r="F218" t="str">
        <f ca="1">deserializeObject('Bumped Curves'!$B$2,F3&amp;".xml",TRUE)</f>
        <v>CNY_Treasury_Live_Curve_2012-7-5_Calibrated_Curve_4</v>
      </c>
      <c r="G218" t="str">
        <f ca="1">deserializeObject('Bumped Curves'!$B$2,G3&amp;".xml",TRUE)</f>
        <v>CNY_Treasury_Live_Curve_2012-7-5_Calibrated_Curve_5</v>
      </c>
      <c r="H218" t="str">
        <f ca="1">deserializeObject('Bumped Curves'!$B$2,H3&amp;".xml",TRUE)</f>
        <v>CNY_Treasury_Live_Curve_2012-7-5_Calibrated_Curve_6</v>
      </c>
      <c r="I218" t="str">
        <f ca="1">deserializeObject('Bumped Curves'!$B$2,I3&amp;".xml",TRUE)</f>
        <v>CNY_Treasury_Live_Curve_2012-7-5_Calibrated_Curve_7</v>
      </c>
      <c r="J218" t="str">
        <f ca="1">deserializeObject('Bumped Curves'!$B$2,J3&amp;".xml",TRUE)</f>
        <v>CNY_Treasury_Live_Curve_2012-7-5_Calibrated_Curve_8</v>
      </c>
    </row>
  </sheetData>
  <phoneticPr fontId="4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X2430"/>
  <sheetViews>
    <sheetView tabSelected="1" topLeftCell="A1211" workbookViewId="0">
      <selection activeCell="K1238" sqref="K1238"/>
    </sheetView>
  </sheetViews>
  <sheetFormatPr defaultRowHeight="15"/>
  <cols>
    <col min="1" max="1" width="9.125" style="3" bestFit="1" customWidth="1"/>
    <col min="2" max="2" width="10.125" style="3" bestFit="1" customWidth="1"/>
    <col min="3" max="3" width="6.5" style="3" bestFit="1" customWidth="1"/>
    <col min="4" max="4" width="10.375" style="3" bestFit="1" customWidth="1"/>
    <col min="5" max="5" width="17.375" style="3" bestFit="1" customWidth="1"/>
    <col min="6" max="6" width="19.25" style="3" bestFit="1" customWidth="1"/>
    <col min="7" max="9" width="18.125" style="3" bestFit="1" customWidth="1"/>
    <col min="10" max="10" width="36.25" style="3" bestFit="1" customWidth="1"/>
    <col min="11" max="11" width="10.5" style="3" customWidth="1"/>
    <col min="12" max="12" width="9.5" style="3" customWidth="1"/>
    <col min="13" max="13" width="16.375" style="3" bestFit="1" customWidth="1"/>
    <col min="14" max="14" width="14.875" style="3" bestFit="1" customWidth="1"/>
    <col min="15" max="15" width="19.25" style="3" bestFit="1" customWidth="1"/>
    <col min="16" max="16" width="19" style="3" bestFit="1" customWidth="1"/>
    <col min="17" max="18" width="9" style="3" customWidth="1"/>
    <col min="19" max="19" width="6.625" style="3" customWidth="1"/>
    <col min="20" max="20" width="18" style="3" bestFit="1" customWidth="1"/>
    <col min="21" max="22" width="9" style="3" customWidth="1"/>
    <col min="23" max="23" width="6.625" style="3" customWidth="1"/>
    <col min="24" max="16384" width="9" style="3"/>
  </cols>
  <sheetData>
    <row r="3" spans="1:21">
      <c r="D3" s="3" t="str">
        <f ca="1">deserializeObject('Bumped Curves'!B1,'Bumped Curve Snap'!A2&amp;".xml",TRUE)</f>
        <v>CNY_Treasury_Live_Curve_2012-7-5</v>
      </c>
      <c r="H3" s="3">
        <f ca="1">_xll.qlCalendarAdvance("China",'Bumped Curve Snap'!B3,"1D")</f>
        <v>41096</v>
      </c>
      <c r="K3" s="4">
        <v>41096</v>
      </c>
    </row>
    <row r="6" spans="1:21">
      <c r="A6" s="82" t="s">
        <v>2130</v>
      </c>
      <c r="B6" s="82" t="s">
        <v>2131</v>
      </c>
      <c r="C6" s="82" t="s">
        <v>2132</v>
      </c>
      <c r="D6" s="82" t="s">
        <v>2133</v>
      </c>
      <c r="E6" s="82" t="s">
        <v>2134</v>
      </c>
      <c r="F6" s="82" t="s">
        <v>2135</v>
      </c>
      <c r="G6" s="82" t="s">
        <v>2143</v>
      </c>
      <c r="H6" s="82" t="s">
        <v>2144</v>
      </c>
      <c r="I6" s="82" t="s">
        <v>2145</v>
      </c>
      <c r="J6" s="82" t="s">
        <v>2146</v>
      </c>
      <c r="K6" s="87" t="s">
        <v>2147</v>
      </c>
      <c r="L6" s="87" t="s">
        <v>2182</v>
      </c>
      <c r="M6" s="87" t="s">
        <v>2183</v>
      </c>
      <c r="N6" s="87" t="s">
        <v>2184</v>
      </c>
      <c r="O6" s="87" t="s">
        <v>2185</v>
      </c>
      <c r="P6" s="87" t="s">
        <v>2186</v>
      </c>
      <c r="Q6" s="87" t="s">
        <v>2187</v>
      </c>
      <c r="R6" s="87" t="s">
        <v>2188</v>
      </c>
      <c r="S6" s="87" t="s">
        <v>2189</v>
      </c>
      <c r="T6" s="87" t="s">
        <v>2190</v>
      </c>
    </row>
    <row r="7" spans="1:21">
      <c r="A7" s="81" t="s">
        <v>2136</v>
      </c>
      <c r="B7" s="84">
        <v>3.4000000000000002E-2</v>
      </c>
      <c r="C7" s="83" t="s">
        <v>2137</v>
      </c>
      <c r="D7" s="85">
        <v>39162</v>
      </c>
      <c r="E7" s="85">
        <v>39174</v>
      </c>
      <c r="F7" s="85">
        <v>42816</v>
      </c>
      <c r="G7" s="86">
        <v>102.422</v>
      </c>
      <c r="H7" s="86">
        <v>102.4224</v>
      </c>
      <c r="I7" s="80">
        <v>103.40422222222222</v>
      </c>
      <c r="J7" s="3" t="str">
        <f ca="1">_xll.qlSchedule(A7&amp;"_portfolioSchedule",D7,F7,C7,"China",,,,,,,,,TRUE)</f>
        <v>070003.IB_portfolioSchedule#0010</v>
      </c>
      <c r="K7" s="3" t="str">
        <f ca="1">_xll.qlFixedRateBond(A7&amp;"_portfolio_bond",,"CNY",1,,J7,B7,"Bond Basis",,,D7,"China",,,TRUE)</f>
        <v>070003.IB_portfolio_bond#0010</v>
      </c>
      <c r="L7" s="76">
        <f ca="1">_xll.qlBondAccruedAmount(K7,$H$3)</f>
        <v>0.98222222222221778</v>
      </c>
      <c r="M7" s="76" t="e">
        <f ca="1">_xll.qlBondCleanPriceFromYieldTermStructure($K7,'Bumped Curve Snap'!C$3,$K$3)+$L7</f>
        <v>#NUM!</v>
      </c>
      <c r="N7" s="76" t="e">
        <f ca="1">_xll.qlBondCleanPriceFromYieldTermStructure($K7,'Bumped Curve Snap'!D$3,$K$3)+$L7</f>
        <v>#NUM!</v>
      </c>
      <c r="O7" s="76" t="e">
        <f ca="1">_xll.qlBondCleanPriceFromYieldTermStructure($K7,'Bumped Curve Snap'!E$3,$K$3)+$L7</f>
        <v>#NUM!</v>
      </c>
      <c r="P7" s="76" t="e">
        <f ca="1">_xll.qlBondCleanPriceFromYieldTermStructure($K7,'Bumped Curve Snap'!F$3,$K$3)+$L7</f>
        <v>#NUM!</v>
      </c>
      <c r="Q7" s="76" t="e">
        <f ca="1">_xll.qlBondCleanPriceFromYieldTermStructure($K7,'Bumped Curve Snap'!G$3,$K$3)+$L7</f>
        <v>#NUM!</v>
      </c>
      <c r="R7" s="76" t="e">
        <f ca="1">_xll.qlBondCleanPriceFromYieldTermStructure($K7,'Bumped Curve Snap'!H$3,$K$3)+$L7</f>
        <v>#NUM!</v>
      </c>
      <c r="S7" s="76" t="e">
        <f ca="1">_xll.qlBondCleanPriceFromYieldTermStructure($K7,'Bumped Curve Snap'!I$3,$K$3)+$L7</f>
        <v>#NUM!</v>
      </c>
      <c r="T7" s="76" t="e">
        <f ca="1">_xll.qlBondCleanPriceFromYieldTermStructure($K7,'Bumped Curve Snap'!J$3,$K$3)+$L7</f>
        <v>#NUM!</v>
      </c>
    </row>
    <row r="8" spans="1:21">
      <c r="A8" s="81" t="s">
        <v>2138</v>
      </c>
      <c r="B8" s="84">
        <v>2.58E-2</v>
      </c>
      <c r="C8" s="83" t="s">
        <v>2139</v>
      </c>
      <c r="D8" s="85">
        <v>40415</v>
      </c>
      <c r="E8" s="85">
        <v>40422</v>
      </c>
      <c r="F8" s="85">
        <v>42242</v>
      </c>
      <c r="G8" s="86">
        <v>100.0227</v>
      </c>
      <c r="H8" s="86">
        <v>100.0217</v>
      </c>
      <c r="I8" s="80">
        <v>102.24436666666668</v>
      </c>
      <c r="J8" s="3" t="str">
        <f ca="1">_xll.qlSchedule(A8&amp;"_portfolioSchedule",D8,F8,C8,"China",,,,,,,,,TRUE)</f>
        <v>100028.IB_portfolioSchedule#0010</v>
      </c>
      <c r="K8" s="3" t="str">
        <f ca="1">_xll.qlFixedRateBond(A8&amp;"_portfolio_bond",,"CNY",1,,J8,B8,"Bond Basis",,,D8,"China",,,TRUE)</f>
        <v>100028.IB_portfolio_bond#0010</v>
      </c>
      <c r="L8" s="76">
        <f ca="1">_xll.qlBondAccruedAmount(K8,$H$3)</f>
        <v>2.2216666666666773</v>
      </c>
      <c r="M8" s="76" t="e">
        <f ca="1">_xll.qlBondCleanPriceFromYieldTermStructure($K8,'Bumped Curve Snap'!C$3,$K$3)+$L8</f>
        <v>#NUM!</v>
      </c>
      <c r="N8" s="76" t="e">
        <f ca="1">_xll.qlBondCleanPriceFromYieldTermStructure($K8,'Bumped Curve Snap'!D$3,$K$3)+$L8</f>
        <v>#NUM!</v>
      </c>
      <c r="O8" s="76" t="e">
        <f ca="1">_xll.qlBondCleanPriceFromYieldTermStructure($K8,'Bumped Curve Snap'!E$3,$K$3)+$L8</f>
        <v>#NUM!</v>
      </c>
      <c r="P8" s="76" t="e">
        <f ca="1">_xll.qlBondCleanPriceFromYieldTermStructure($K8,'Bumped Curve Snap'!F$3,$K$3)+$L8</f>
        <v>#NUM!</v>
      </c>
      <c r="Q8" s="76" t="e">
        <f ca="1">_xll.qlBondCleanPriceFromYieldTermStructure($K8,'Bumped Curve Snap'!G$3,$K$3)+$L8</f>
        <v>#NUM!</v>
      </c>
      <c r="R8" s="76" t="e">
        <f ca="1">_xll.qlBondCleanPriceFromYieldTermStructure($K8,'Bumped Curve Snap'!H$3,$K$3)+$L8</f>
        <v>#NUM!</v>
      </c>
      <c r="S8" s="76" t="e">
        <f ca="1">_xll.qlBondCleanPriceFromYieldTermStructure($K8,'Bumped Curve Snap'!I$3,$K$3)+$L8</f>
        <v>#NUM!</v>
      </c>
      <c r="T8" s="76" t="e">
        <f ca="1">_xll.qlBondCleanPriceFromYieldTermStructure($K8,'Bumped Curve Snap'!J$3,$K$3)+$L8</f>
        <v>#NUM!</v>
      </c>
    </row>
    <row r="9" spans="1:21">
      <c r="A9" s="81" t="s">
        <v>2140</v>
      </c>
      <c r="B9" s="84">
        <v>3.1E-2</v>
      </c>
      <c r="C9" s="83" t="s">
        <v>2139</v>
      </c>
      <c r="D9" s="85">
        <v>40464</v>
      </c>
      <c r="E9" s="85">
        <v>40471</v>
      </c>
      <c r="F9" s="85">
        <v>43022</v>
      </c>
      <c r="G9" s="86">
        <v>100.59950000000001</v>
      </c>
      <c r="H9" s="86">
        <v>100.5998</v>
      </c>
      <c r="I9" s="80">
        <v>102.8556111111111</v>
      </c>
      <c r="J9" s="3" t="str">
        <f ca="1">_xll.qlSchedule(A9&amp;"_portfolioSchedule",D9,F9,C9,"China",,,,,,,,,TRUE)</f>
        <v>100032.IB_portfolioSchedule#0010</v>
      </c>
      <c r="K9" s="3" t="str">
        <f ca="1">_xll.qlFixedRateBond(A9&amp;"_portfolio_bond",,"CNY",1,,J9,B9,"Bond Basis",,,D9,"China",,,TRUE)</f>
        <v>100032.IB_portfolio_bond#0010</v>
      </c>
      <c r="L9" s="76">
        <f ca="1">_xll.qlBondAccruedAmount(K9,$H$3)</f>
        <v>2.2561111111111032</v>
      </c>
      <c r="M9" s="76" t="e">
        <f ca="1">_xll.qlBondCleanPriceFromYieldTermStructure($K9,'Bumped Curve Snap'!C$3,$K$3)+$L9</f>
        <v>#NUM!</v>
      </c>
      <c r="N9" s="76" t="e">
        <f ca="1">_xll.qlBondCleanPriceFromYieldTermStructure($K9,'Bumped Curve Snap'!D$3,$K$3)+$L9</f>
        <v>#NUM!</v>
      </c>
      <c r="O9" s="76" t="e">
        <f ca="1">_xll.qlBondCleanPriceFromYieldTermStructure($K9,'Bumped Curve Snap'!E$3,$K$3)+$L9</f>
        <v>#NUM!</v>
      </c>
      <c r="P9" s="76" t="e">
        <f ca="1">_xll.qlBondCleanPriceFromYieldTermStructure($K9,'Bumped Curve Snap'!F$3,$K$3)+$L9</f>
        <v>#NUM!</v>
      </c>
      <c r="Q9" s="76" t="e">
        <f ca="1">_xll.qlBondCleanPriceFromYieldTermStructure($K9,'Bumped Curve Snap'!G$3,$K$3)+$L9</f>
        <v>#NUM!</v>
      </c>
      <c r="R9" s="76" t="e">
        <f ca="1">_xll.qlBondCleanPriceFromYieldTermStructure($K9,'Bumped Curve Snap'!H$3,$K$3)+$L9</f>
        <v>#NUM!</v>
      </c>
      <c r="S9" s="76" t="e">
        <f ca="1">_xll.qlBondCleanPriceFromYieldTermStructure($K9,'Bumped Curve Snap'!I$3,$K$3)+$L9</f>
        <v>#NUM!</v>
      </c>
      <c r="T9" s="76" t="e">
        <f ca="1">_xll.qlBondCleanPriceFromYieldTermStructure($K9,'Bumped Curve Snap'!J$3,$K$3)+$L9</f>
        <v>#NUM!</v>
      </c>
    </row>
    <row r="10" spans="1:21">
      <c r="A10" s="81" t="s">
        <v>2141</v>
      </c>
      <c r="B10" s="84">
        <v>3.4099999999999998E-2</v>
      </c>
      <c r="C10" s="83" t="s">
        <v>2139</v>
      </c>
      <c r="D10" s="85">
        <v>40975</v>
      </c>
      <c r="E10" s="85">
        <v>40982</v>
      </c>
      <c r="F10" s="85">
        <v>43532</v>
      </c>
      <c r="G10" s="86">
        <v>101.8312</v>
      </c>
      <c r="H10" s="86">
        <v>101.7715</v>
      </c>
      <c r="I10" s="80">
        <v>102.94892222222221</v>
      </c>
      <c r="J10" s="3" t="str">
        <f ca="1">_xll.qlSchedule(A10&amp;"_portfolioSchedule",D10,F10,C10,"China",,,,,,,,,TRUE)</f>
        <v>120005.IB_portfolioSchedule#0010</v>
      </c>
      <c r="K10" s="3" t="str">
        <f ca="1">_xll.qlFixedRateBond(A10&amp;"_portfolio_bond",,"CNY",1,,J10,B10,"Bond Basis",,,D10,"China",,,TRUE)</f>
        <v>120005.IB_portfolio_bond#0010</v>
      </c>
      <c r="L10" s="76">
        <f ca="1">_xll.qlBondAccruedAmount(K10,$H$3)</f>
        <v>1.1177222222222172</v>
      </c>
      <c r="M10" s="76" t="e">
        <f ca="1">_xll.qlBondCleanPriceFromYieldTermStructure($K10,'Bumped Curve Snap'!C$3,$K$3)+$L10</f>
        <v>#NUM!</v>
      </c>
      <c r="N10" s="76" t="e">
        <f ca="1">_xll.qlBondCleanPriceFromYieldTermStructure($K10,'Bumped Curve Snap'!D$3,$K$3)+$L10</f>
        <v>#NUM!</v>
      </c>
      <c r="O10" s="76" t="e">
        <f ca="1">_xll.qlBondCleanPriceFromYieldTermStructure($K10,'Bumped Curve Snap'!E$3,$K$3)+$L10</f>
        <v>#NUM!</v>
      </c>
      <c r="P10" s="76" t="e">
        <f ca="1">_xll.qlBondCleanPriceFromYieldTermStructure($K10,'Bumped Curve Snap'!F$3,$K$3)+$L10</f>
        <v>#NUM!</v>
      </c>
      <c r="Q10" s="76" t="e">
        <f ca="1">_xll.qlBondCleanPriceFromYieldTermStructure($K10,'Bumped Curve Snap'!G$3,$K$3)+$L10</f>
        <v>#NUM!</v>
      </c>
      <c r="R10" s="76" t="e">
        <f ca="1">_xll.qlBondCleanPriceFromYieldTermStructure($K10,'Bumped Curve Snap'!H$3,$K$3)+$L10</f>
        <v>#NUM!</v>
      </c>
      <c r="S10" s="76" t="e">
        <f ca="1">_xll.qlBondCleanPriceFromYieldTermStructure($K10,'Bumped Curve Snap'!I$3,$K$3)+$L10</f>
        <v>#NUM!</v>
      </c>
      <c r="T10" s="76" t="e">
        <f ca="1">_xll.qlBondCleanPriceFromYieldTermStructure($K10,'Bumped Curve Snap'!J$3,$K$3)+$L10</f>
        <v>#NUM!</v>
      </c>
    </row>
    <row r="11" spans="1:21">
      <c r="A11" s="81" t="s">
        <v>2192</v>
      </c>
      <c r="B11" s="84">
        <v>3.5700000000000003E-2</v>
      </c>
      <c r="C11" s="83" t="s">
        <v>2137</v>
      </c>
      <c r="D11" s="85">
        <v>40863</v>
      </c>
      <c r="E11" s="85">
        <v>40870</v>
      </c>
      <c r="F11" s="85">
        <v>44517</v>
      </c>
      <c r="G11" s="86">
        <v>101.67230000000001</v>
      </c>
      <c r="H11" s="86">
        <v>101.783</v>
      </c>
      <c r="I11" s="80">
        <v>102.15821666666668</v>
      </c>
      <c r="J11" s="3" t="str">
        <f ca="1">_xll.qlSchedule(A11&amp;"_portfolioSchedule",D11,F11,C11,"China",,,,,,,,,TRUE)</f>
        <v>110024.IB_portfolioSchedule#0010</v>
      </c>
      <c r="K11" s="3" t="str">
        <f ca="1">_xll.qlFixedRateBond(A11&amp;"_portfolio_bond",,"CNY",1,,J11,B11,"Bond Basis",,,D11,"China",,,TRUE)</f>
        <v>110024.IB_portfolio_bond#0010</v>
      </c>
      <c r="L11" s="76">
        <f ca="1">_xll.qlBondAccruedAmount(K11,$H$3)</f>
        <v>0.48591666666666372</v>
      </c>
      <c r="M11" s="76" t="e">
        <f ca="1">_xll.qlBondCleanPriceFromYieldTermStructure($K11,'Bumped Curve Snap'!C$3,$K$3)+$L11</f>
        <v>#NUM!</v>
      </c>
      <c r="N11" s="76" t="e">
        <f ca="1">_xll.qlBondCleanPriceFromYieldTermStructure($K11,'Bumped Curve Snap'!D$3,$K$3)+$L11</f>
        <v>#NUM!</v>
      </c>
      <c r="O11" s="76" t="e">
        <f ca="1">_xll.qlBondCleanPriceFromYieldTermStructure($K11,'Bumped Curve Snap'!E$3,$K$3)+$L11</f>
        <v>#NUM!</v>
      </c>
      <c r="P11" s="76" t="e">
        <f ca="1">_xll.qlBondCleanPriceFromYieldTermStructure($K11,'Bumped Curve Snap'!F$3,$K$3)+$L11</f>
        <v>#NUM!</v>
      </c>
      <c r="Q11" s="76" t="e">
        <f ca="1">_xll.qlBondCleanPriceFromYieldTermStructure($K11,'Bumped Curve Snap'!G$3,$K$3)+$L11</f>
        <v>#NUM!</v>
      </c>
      <c r="R11" s="76" t="e">
        <f ca="1">_xll.qlBondCleanPriceFromYieldTermStructure($K11,'Bumped Curve Snap'!H$3,$K$3)+$L11</f>
        <v>#NUM!</v>
      </c>
      <c r="S11" s="76" t="e">
        <f ca="1">_xll.qlBondCleanPriceFromYieldTermStructure($K11,'Bumped Curve Snap'!I$3,$K$3)+$L11</f>
        <v>#NUM!</v>
      </c>
      <c r="T11" s="76" t="e">
        <f ca="1">_xll.qlBondCleanPriceFromYieldTermStructure($K11,'Bumped Curve Snap'!J$3,$K$3)+$L11</f>
        <v>#NUM!</v>
      </c>
    </row>
    <row r="12" spans="1:21">
      <c r="A12" s="81" t="s">
        <v>2142</v>
      </c>
      <c r="B12" s="106">
        <v>3.6499999999999998E-2</v>
      </c>
      <c r="C12" s="105" t="s">
        <v>2139</v>
      </c>
      <c r="D12" s="107">
        <v>40828</v>
      </c>
      <c r="E12" s="107">
        <v>40835</v>
      </c>
      <c r="F12" s="107">
        <v>43386</v>
      </c>
      <c r="G12" s="104">
        <v>102.2551</v>
      </c>
      <c r="H12" s="104">
        <v>102.2543</v>
      </c>
      <c r="I12" s="80">
        <v>104.92162777777779</v>
      </c>
      <c r="J12" s="3" t="str">
        <f ca="1">_xll.qlSchedule(A12&amp;"_portfolioSchedule",D12,F12,C12,"China",,,,,,,,,TRUE)</f>
        <v>110021.IB_portfolioSchedule#0010</v>
      </c>
      <c r="K12" s="3" t="str">
        <f ca="1">_xll.qlFixedRateBond(A12&amp;"_portfolio_bond",,"CNY",1,,J12,B12,"Bond Basis",,,D12,"China",,,TRUE)</f>
        <v>110021.IB_portfolio_bond#0010</v>
      </c>
      <c r="L12" s="76">
        <f ca="1">_xll.qlBondAccruedAmount(K12,$H$3)</f>
        <v>2.6665277777777829</v>
      </c>
      <c r="M12" s="76" t="e">
        <f ca="1">_xll.qlBondCleanPriceFromYieldTermStructure($K12,'Bumped Curve Snap'!C$3,$K$3)+$L12</f>
        <v>#NUM!</v>
      </c>
      <c r="N12" s="76" t="e">
        <f ca="1">_xll.qlBondCleanPriceFromYieldTermStructure($K12,'Bumped Curve Snap'!D$3,$K$3)+$L12</f>
        <v>#NUM!</v>
      </c>
      <c r="O12" s="76" t="e">
        <f ca="1">_xll.qlBondCleanPriceFromYieldTermStructure($K12,'Bumped Curve Snap'!E$3,$K$3)+$L12</f>
        <v>#NUM!</v>
      </c>
      <c r="P12" s="76" t="e">
        <f ca="1">_xll.qlBondCleanPriceFromYieldTermStructure($K12,'Bumped Curve Snap'!F$3,$K$3)+$L12</f>
        <v>#NUM!</v>
      </c>
      <c r="Q12" s="76" t="e">
        <f ca="1">_xll.qlBondCleanPriceFromYieldTermStructure($K12,'Bumped Curve Snap'!G$3,$K$3)+$L12</f>
        <v>#NUM!</v>
      </c>
      <c r="R12" s="76" t="e">
        <f ca="1">_xll.qlBondCleanPriceFromYieldTermStructure($K12,'Bumped Curve Snap'!H$3,$K$3)+$L12</f>
        <v>#NUM!</v>
      </c>
      <c r="S12" s="76" t="e">
        <f ca="1">_xll.qlBondCleanPriceFromYieldTermStructure($K12,'Bumped Curve Snap'!I$3,$K$3)+$L12</f>
        <v>#NUM!</v>
      </c>
      <c r="T12" s="76" t="e">
        <f ca="1">_xll.qlBondCleanPriceFromYieldTermStructure($K12,'Bumped Curve Snap'!J$3,$K$3)+$L12</f>
        <v>#NUM!</v>
      </c>
    </row>
    <row r="13" spans="1:21">
      <c r="A13" s="81" t="s">
        <v>2191</v>
      </c>
      <c r="B13" s="84">
        <v>3.1399999999999997E-2</v>
      </c>
      <c r="C13" s="83" t="s">
        <v>2139</v>
      </c>
      <c r="D13" s="85">
        <v>40954</v>
      </c>
      <c r="E13" s="85">
        <v>40961</v>
      </c>
      <c r="F13" s="85">
        <v>42782</v>
      </c>
      <c r="G13" s="86">
        <v>101.4556</v>
      </c>
      <c r="H13" s="86">
        <v>101.38420000000001</v>
      </c>
      <c r="I13" s="80">
        <v>102.67671111111112</v>
      </c>
      <c r="J13" s="3" t="str">
        <f ca="1">_xll.qlSchedule(A13&amp;"_portfolioSchedule",D13,F13,C13,"China",,,,,,,,,TRUE)</f>
        <v>120003.IB_portfolioSchedule#0010</v>
      </c>
      <c r="K13" s="3" t="str">
        <f ca="1">_xll.qlFixedRateBond(A13&amp;"_portfolio_bond",,"CNY",1,,J13,B13,"Bond Basis",,,D13,"China",,,TRUE)</f>
        <v>120003.IB_portfolio_bond#0010</v>
      </c>
      <c r="L13" s="76">
        <f ca="1">_xll.qlBondAccruedAmount(K13,$H$3)</f>
        <v>1.2211111111111173</v>
      </c>
      <c r="M13" s="76" t="e">
        <f ca="1">_xll.qlBondCleanPriceFromYieldTermStructure($K13,'Bumped Curve Snap'!C$3,$K$3)+$L13</f>
        <v>#NUM!</v>
      </c>
      <c r="N13" s="76" t="e">
        <f ca="1">_xll.qlBondCleanPriceFromYieldTermStructure($K13,'Bumped Curve Snap'!D$3,$K$3)+$L13</f>
        <v>#NUM!</v>
      </c>
      <c r="O13" s="76" t="e">
        <f ca="1">_xll.qlBondCleanPriceFromYieldTermStructure($K13,'Bumped Curve Snap'!E$3,$K$3)+$L13</f>
        <v>#NUM!</v>
      </c>
      <c r="P13" s="76" t="e">
        <f ca="1">_xll.qlBondCleanPriceFromYieldTermStructure($K13,'Bumped Curve Snap'!F$3,$K$3)+$L13</f>
        <v>#NUM!</v>
      </c>
      <c r="Q13" s="76" t="e">
        <f ca="1">_xll.qlBondCleanPriceFromYieldTermStructure($K13,'Bumped Curve Snap'!G$3,$K$3)+$L13</f>
        <v>#NUM!</v>
      </c>
      <c r="R13" s="76" t="e">
        <f ca="1">_xll.qlBondCleanPriceFromYieldTermStructure($K13,'Bumped Curve Snap'!H$3,$K$3)+$L13</f>
        <v>#NUM!</v>
      </c>
      <c r="S13" s="76" t="e">
        <f ca="1">_xll.qlBondCleanPriceFromYieldTermStructure($K13,'Bumped Curve Snap'!I$3,$K$3)+$L13</f>
        <v>#NUM!</v>
      </c>
      <c r="T13" s="76" t="e">
        <f ca="1">_xll.qlBondCleanPriceFromYieldTermStructure($K13,'Bumped Curve Snap'!J$3,$K$3)+$L13</f>
        <v>#NUM!</v>
      </c>
    </row>
    <row r="14" spans="1:21">
      <c r="A14" s="108" t="s">
        <v>2200</v>
      </c>
      <c r="B14" s="84">
        <v>3.1399999999999997E-2</v>
      </c>
      <c r="C14" s="83" t="s">
        <v>2139</v>
      </c>
      <c r="D14" s="85">
        <v>41066</v>
      </c>
      <c r="E14" s="85">
        <v>41073</v>
      </c>
      <c r="F14" s="85">
        <v>43623</v>
      </c>
      <c r="G14" s="109">
        <v>100.1807</v>
      </c>
      <c r="H14" s="109">
        <v>100.22880000000001</v>
      </c>
      <c r="I14" s="110">
        <v>100.43364444444444</v>
      </c>
      <c r="J14" s="3" t="str">
        <f ca="1">_xll.qlSchedule(A14&amp;"_portfolioSchedule",D14,F14,C14,"China",,,,,,,,,TRUE)</f>
        <v>120010.IB_portfolioSchedule#0010</v>
      </c>
      <c r="K14" s="3" t="str">
        <f ca="1">_xll.qlFixedRateBond(A14&amp;"_portfolio_bond",,"CNY",1,,J14,B14,"Bond Basis",,,D14,"China",,,TRUE)</f>
        <v>120010.IB_portfolio_bond#0010</v>
      </c>
      <c r="L14" s="76">
        <f ca="1">_xll.qlBondAccruedAmount(K14,$H$3)</f>
        <v>0.2529444444444362</v>
      </c>
      <c r="M14" s="76" t="e">
        <f ca="1">_xll.qlBondCleanPriceFromYieldTermStructure($K14,'Bumped Curve Snap'!C$3,$K$3)+$L14</f>
        <v>#NUM!</v>
      </c>
      <c r="N14" s="76" t="e">
        <f ca="1">_xll.qlBondCleanPriceFromYieldTermStructure($K14,'Bumped Curve Snap'!D$3,$K$3)+$L14</f>
        <v>#NUM!</v>
      </c>
      <c r="O14" s="76" t="e">
        <f ca="1">_xll.qlBondCleanPriceFromYieldTermStructure($K14,'Bumped Curve Snap'!E$3,$K$3)+$L14</f>
        <v>#NUM!</v>
      </c>
      <c r="P14" s="76" t="e">
        <f ca="1">_xll.qlBondCleanPriceFromYieldTermStructure($K14,'Bumped Curve Snap'!F$3,$K$3)+$L14</f>
        <v>#NUM!</v>
      </c>
      <c r="Q14" s="76" t="e">
        <f ca="1">_xll.qlBondCleanPriceFromYieldTermStructure($K14,'Bumped Curve Snap'!G$3,$K$3)+$L14</f>
        <v>#NUM!</v>
      </c>
      <c r="R14" s="76" t="e">
        <f ca="1">_xll.qlBondCleanPriceFromYieldTermStructure($K14,'Bumped Curve Snap'!H$3,$K$3)+$L14</f>
        <v>#NUM!</v>
      </c>
      <c r="S14" s="76" t="e">
        <f ca="1">_xll.qlBondCleanPriceFromYieldTermStructure($K14,'Bumped Curve Snap'!I$3,$K$3)+$L14</f>
        <v>#NUM!</v>
      </c>
      <c r="T14" s="76" t="e">
        <f ca="1">_xll.qlBondCleanPriceFromYieldTermStructure($K14,'Bumped Curve Snap'!J$3,$K$3)+$L14</f>
        <v>#NUM!</v>
      </c>
      <c r="U14" s="127">
        <v>1.0083165390439712</v>
      </c>
    </row>
    <row r="22" spans="5:21">
      <c r="E22" s="102" t="s">
        <v>2202</v>
      </c>
      <c r="F22" s="100"/>
      <c r="G22" s="100"/>
      <c r="H22" s="100"/>
      <c r="I22" s="100" t="s">
        <v>2203</v>
      </c>
      <c r="J22" s="100"/>
      <c r="K22" s="100"/>
    </row>
    <row r="23" spans="5:21">
      <c r="E23" s="101" t="s">
        <v>2204</v>
      </c>
      <c r="F23" s="101" t="s">
        <v>2205</v>
      </c>
      <c r="G23" s="101" t="s">
        <v>2206</v>
      </c>
      <c r="H23" s="115" t="s">
        <v>2207</v>
      </c>
      <c r="I23" s="101" t="s">
        <v>2204</v>
      </c>
      <c r="J23" s="121" t="s">
        <v>2208</v>
      </c>
      <c r="K23" s="115" t="s">
        <v>2206</v>
      </c>
      <c r="M23" s="88" t="s">
        <v>2194</v>
      </c>
      <c r="N23" s="78"/>
      <c r="O23" s="78"/>
      <c r="P23" s="78"/>
      <c r="Q23" s="78"/>
      <c r="R23" s="78"/>
      <c r="S23" s="78"/>
      <c r="T23" s="78"/>
      <c r="U23" s="78"/>
    </row>
    <row r="24" spans="5:21">
      <c r="E24" s="103" t="s">
        <v>2136</v>
      </c>
      <c r="F24" s="111">
        <v>103.40422222222222</v>
      </c>
      <c r="G24" s="113">
        <v>4.2957018368497923</v>
      </c>
      <c r="H24" s="116">
        <v>5</v>
      </c>
      <c r="I24" s="103" t="s">
        <v>2209</v>
      </c>
      <c r="J24" s="111">
        <v>99.664000000000001</v>
      </c>
      <c r="K24" s="122">
        <v>6.12</v>
      </c>
      <c r="M24" s="75" t="s">
        <v>2195</v>
      </c>
      <c r="N24" s="75" t="s">
        <v>2184</v>
      </c>
      <c r="O24" s="75" t="s">
        <v>2185</v>
      </c>
      <c r="P24" s="75" t="s">
        <v>2186</v>
      </c>
      <c r="Q24" s="75" t="s">
        <v>2187</v>
      </c>
      <c r="R24" s="75" t="s">
        <v>2188</v>
      </c>
      <c r="S24" s="75" t="s">
        <v>2189</v>
      </c>
      <c r="T24" s="75" t="s">
        <v>2196</v>
      </c>
      <c r="U24" s="95" t="s">
        <v>2197</v>
      </c>
    </row>
    <row r="25" spans="5:21">
      <c r="E25" s="103" t="s">
        <v>2138</v>
      </c>
      <c r="F25" s="111">
        <v>102.24436666666668</v>
      </c>
      <c r="G25" s="113">
        <v>2.9155661736153697</v>
      </c>
      <c r="H25" s="117">
        <v>5</v>
      </c>
      <c r="I25" s="103"/>
      <c r="J25" s="103"/>
      <c r="K25" s="103"/>
      <c r="M25" s="35" t="str">
        <f ca="1">A7</f>
        <v>070003.IB</v>
      </c>
      <c r="N25" s="89" t="e">
        <f t="shared" ref="N25:S28" ca="1" si="0">-N7+$M7</f>
        <v>#NUM!</v>
      </c>
      <c r="O25" s="89" t="e">
        <f t="shared" ca="1" si="0"/>
        <v>#NUM!</v>
      </c>
      <c r="P25" s="89" t="e">
        <f t="shared" ca="1" si="0"/>
        <v>#NUM!</v>
      </c>
      <c r="Q25" s="89" t="e">
        <f t="shared" ca="1" si="0"/>
        <v>#NUM!</v>
      </c>
      <c r="R25" s="89" t="e">
        <f t="shared" ca="1" si="0"/>
        <v>#NUM!</v>
      </c>
      <c r="S25" s="89" t="e">
        <f t="shared" ca="1" si="0"/>
        <v>#NUM!</v>
      </c>
      <c r="T25" s="89" t="e">
        <f ca="1">SUM(N25:S25)</f>
        <v>#NUM!</v>
      </c>
      <c r="U25" s="96" t="e">
        <f ca="1">-T7+M7</f>
        <v>#NUM!</v>
      </c>
    </row>
    <row r="26" spans="5:21">
      <c r="E26" s="103" t="s">
        <v>2140</v>
      </c>
      <c r="F26" s="111">
        <v>102.855611111111</v>
      </c>
      <c r="G26" s="113">
        <v>4.7054726073289403</v>
      </c>
      <c r="H26" s="117">
        <v>10</v>
      </c>
      <c r="I26" s="103"/>
      <c r="J26" s="103"/>
      <c r="K26" s="103"/>
      <c r="M26" s="35" t="str">
        <f ca="1">A8</f>
        <v>100028.IB</v>
      </c>
      <c r="N26" s="89" t="e">
        <f t="shared" ca="1" si="0"/>
        <v>#NUM!</v>
      </c>
      <c r="O26" s="89" t="e">
        <f t="shared" ca="1" si="0"/>
        <v>#NUM!</v>
      </c>
      <c r="P26" s="89" t="e">
        <f t="shared" ca="1" si="0"/>
        <v>#NUM!</v>
      </c>
      <c r="Q26" s="89" t="e">
        <f t="shared" ca="1" si="0"/>
        <v>#NUM!</v>
      </c>
      <c r="R26" s="89" t="e">
        <f t="shared" ca="1" si="0"/>
        <v>#NUM!</v>
      </c>
      <c r="S26" s="89" t="e">
        <f t="shared" ca="1" si="0"/>
        <v>#NUM!</v>
      </c>
      <c r="T26" s="89" t="e">
        <f ca="1">SUM(N26:S26)</f>
        <v>#NUM!</v>
      </c>
      <c r="U26" s="96" t="e">
        <f ca="1">-T8+M8</f>
        <v>#NUM!</v>
      </c>
    </row>
    <row r="27" spans="5:21">
      <c r="E27" s="103" t="s">
        <v>2141</v>
      </c>
      <c r="F27" s="111">
        <v>102.94892222222221</v>
      </c>
      <c r="G27" s="113">
        <v>5.8427867309892196</v>
      </c>
      <c r="H27" s="117">
        <v>15</v>
      </c>
      <c r="I27" s="103"/>
      <c r="J27" s="103"/>
      <c r="K27" s="103"/>
      <c r="M27" s="35" t="str">
        <f ca="1">A9</f>
        <v>100032.IB</v>
      </c>
      <c r="N27" s="89" t="e">
        <f t="shared" ca="1" si="0"/>
        <v>#NUM!</v>
      </c>
      <c r="O27" s="89" t="e">
        <f t="shared" ca="1" si="0"/>
        <v>#NUM!</v>
      </c>
      <c r="P27" s="89" t="e">
        <f t="shared" ca="1" si="0"/>
        <v>#NUM!</v>
      </c>
      <c r="Q27" s="89" t="e">
        <f t="shared" ca="1" si="0"/>
        <v>#NUM!</v>
      </c>
      <c r="R27" s="89" t="e">
        <f t="shared" ca="1" si="0"/>
        <v>#NUM!</v>
      </c>
      <c r="S27" s="89" t="e">
        <f t="shared" ca="1" si="0"/>
        <v>#NUM!</v>
      </c>
      <c r="T27" s="89" t="e">
        <f ca="1">SUM(N27:S27)</f>
        <v>#NUM!</v>
      </c>
      <c r="U27" s="96" t="e">
        <f ca="1">-T9+M9</f>
        <v>#NUM!</v>
      </c>
    </row>
    <row r="28" spans="5:21">
      <c r="E28" s="103" t="s">
        <v>2142</v>
      </c>
      <c r="F28" s="111">
        <v>104.92162777777779</v>
      </c>
      <c r="G28" s="113">
        <v>5.4108535628123411</v>
      </c>
      <c r="H28" s="117">
        <v>2</v>
      </c>
      <c r="I28" s="103"/>
      <c r="J28" s="103"/>
      <c r="K28" s="103"/>
      <c r="M28" s="35" t="str">
        <f ca="1">A10</f>
        <v>120005.IB</v>
      </c>
      <c r="N28" s="89" t="e">
        <f t="shared" ca="1" si="0"/>
        <v>#NUM!</v>
      </c>
      <c r="O28" s="89" t="e">
        <f t="shared" ca="1" si="0"/>
        <v>#NUM!</v>
      </c>
      <c r="P28" s="89" t="e">
        <f t="shared" ca="1" si="0"/>
        <v>#NUM!</v>
      </c>
      <c r="Q28" s="89" t="e">
        <f t="shared" ca="1" si="0"/>
        <v>#NUM!</v>
      </c>
      <c r="R28" s="89" t="e">
        <f t="shared" ca="1" si="0"/>
        <v>#NUM!</v>
      </c>
      <c r="S28" s="89" t="e">
        <f t="shared" ca="1" si="0"/>
        <v>#NUM!</v>
      </c>
      <c r="T28" s="89" t="e">
        <f ca="1">SUM(N28:S28)</f>
        <v>#NUM!</v>
      </c>
      <c r="U28" s="96" t="e">
        <f ca="1">-T10+M10</f>
        <v>#NUM!</v>
      </c>
    </row>
    <row r="29" spans="5:21">
      <c r="E29" s="35" t="str">
        <f ca="1">M30</f>
        <v>110024.IB</v>
      </c>
      <c r="F29" s="110">
        <v>102.15821666666668</v>
      </c>
      <c r="G29" s="113"/>
      <c r="H29" s="118">
        <v>15</v>
      </c>
      <c r="I29" s="120"/>
      <c r="J29" s="120"/>
      <c r="K29" s="120"/>
      <c r="M29" s="35" t="str">
        <f ca="1">A12</f>
        <v>110021.IB</v>
      </c>
      <c r="N29" s="89" t="e">
        <f t="shared" ref="N29:S29" ca="1" si="1">-N12+$M12</f>
        <v>#NUM!</v>
      </c>
      <c r="O29" s="89" t="e">
        <f t="shared" ca="1" si="1"/>
        <v>#NUM!</v>
      </c>
      <c r="P29" s="89" t="e">
        <f t="shared" ca="1" si="1"/>
        <v>#NUM!</v>
      </c>
      <c r="Q29" s="89" t="e">
        <f t="shared" ca="1" si="1"/>
        <v>#NUM!</v>
      </c>
      <c r="R29" s="89" t="e">
        <f t="shared" ca="1" si="1"/>
        <v>#NUM!</v>
      </c>
      <c r="S29" s="89" t="e">
        <f t="shared" ca="1" si="1"/>
        <v>#NUM!</v>
      </c>
      <c r="T29" s="89" t="e">
        <f ca="1">SUM(N29:S29)</f>
        <v>#NUM!</v>
      </c>
      <c r="U29" s="96" t="e">
        <f ca="1">-T12+M12</f>
        <v>#NUM!</v>
      </c>
    </row>
    <row r="30" spans="5:21" ht="15.75" thickBot="1">
      <c r="E30" s="99" t="s">
        <v>2210</v>
      </c>
      <c r="F30" s="112"/>
      <c r="G30" s="114" t="e">
        <f ca="1">H48</f>
        <v>#N/A</v>
      </c>
      <c r="H30" s="119"/>
      <c r="I30" s="123" t="s">
        <v>2201</v>
      </c>
      <c r="J30" s="124" t="e">
        <f ca="1">-H51</f>
        <v>#N/A</v>
      </c>
      <c r="K30" s="125"/>
      <c r="M30" s="35" t="str">
        <f ca="1">A11</f>
        <v>110024.IB</v>
      </c>
      <c r="N30" s="90" t="e">
        <f ca="1">-N11+$M11</f>
        <v>#NUM!</v>
      </c>
      <c r="O30" s="90" t="e">
        <f t="shared" ref="O30:T30" ca="1" si="2">-O11+$M11</f>
        <v>#NUM!</v>
      </c>
      <c r="P30" s="90" t="e">
        <f t="shared" ca="1" si="2"/>
        <v>#NUM!</v>
      </c>
      <c r="Q30" s="90" t="e">
        <f t="shared" ca="1" si="2"/>
        <v>#NUM!</v>
      </c>
      <c r="R30" s="90" t="e">
        <f t="shared" ca="1" si="2"/>
        <v>#NUM!</v>
      </c>
      <c r="S30" s="90" t="e">
        <f t="shared" ca="1" si="2"/>
        <v>#NUM!</v>
      </c>
      <c r="T30" s="90" t="e">
        <f t="shared" ca="1" si="2"/>
        <v>#NUM!</v>
      </c>
      <c r="U30" s="96" t="e">
        <f ca="1">-T11+M11</f>
        <v>#NUM!</v>
      </c>
    </row>
    <row r="31" spans="5:21" ht="15.75" thickBot="1">
      <c r="M31" s="91" t="s">
        <v>2198</v>
      </c>
      <c r="N31" s="92" t="e">
        <f ca="1">SUM(N25:N30)</f>
        <v>#NUM!</v>
      </c>
      <c r="O31" s="92" t="e">
        <f t="shared" ref="O31:T31" ca="1" si="3">SUM(O25:O30)</f>
        <v>#NUM!</v>
      </c>
      <c r="P31" s="92" t="e">
        <f t="shared" ca="1" si="3"/>
        <v>#NUM!</v>
      </c>
      <c r="Q31" s="92" t="e">
        <f t="shared" ca="1" si="3"/>
        <v>#NUM!</v>
      </c>
      <c r="R31" s="92" t="e">
        <f t="shared" ca="1" si="3"/>
        <v>#NUM!</v>
      </c>
      <c r="S31" s="92" t="e">
        <f t="shared" ca="1" si="3"/>
        <v>#NUM!</v>
      </c>
      <c r="T31" s="92" t="e">
        <f t="shared" ca="1" si="3"/>
        <v>#NUM!</v>
      </c>
      <c r="U31" s="97" t="e">
        <f ca="1">SUM(U25:U30)</f>
        <v>#NUM!</v>
      </c>
    </row>
    <row r="32" spans="5:21">
      <c r="M32" s="78" t="s">
        <v>2199</v>
      </c>
      <c r="N32" s="78"/>
      <c r="O32" s="78"/>
      <c r="P32" s="78"/>
      <c r="Q32" s="78"/>
      <c r="R32" s="78"/>
      <c r="S32" s="78"/>
      <c r="T32" s="78"/>
      <c r="U32" s="78"/>
    </row>
    <row r="33" spans="1:21">
      <c r="M33" s="75" t="s">
        <v>2195</v>
      </c>
      <c r="N33" s="75" t="s">
        <v>2184</v>
      </c>
      <c r="O33" s="75" t="s">
        <v>2185</v>
      </c>
      <c r="P33" s="75" t="s">
        <v>2186</v>
      </c>
      <c r="Q33" s="75" t="s">
        <v>2187</v>
      </c>
      <c r="R33" s="75" t="s">
        <v>2188</v>
      </c>
      <c r="S33" s="75" t="s">
        <v>2189</v>
      </c>
      <c r="T33" s="75" t="s">
        <v>2196</v>
      </c>
      <c r="U33" s="95" t="s">
        <v>2197</v>
      </c>
    </row>
    <row r="34" spans="1:21">
      <c r="M34" s="35" t="s">
        <v>2193</v>
      </c>
      <c r="N34" s="89" t="e">
        <f ca="1">(-N14+$M14)/$U$14</f>
        <v>#NUM!</v>
      </c>
      <c r="O34" s="89" t="e">
        <f t="shared" ref="O34:T34" ca="1" si="4">(-O14+$M14)/$U$14</f>
        <v>#NUM!</v>
      </c>
      <c r="P34" s="89" t="e">
        <f t="shared" ca="1" si="4"/>
        <v>#NUM!</v>
      </c>
      <c r="Q34" s="89" t="e">
        <f t="shared" ca="1" si="4"/>
        <v>#NUM!</v>
      </c>
      <c r="R34" s="89" t="e">
        <f t="shared" ca="1" si="4"/>
        <v>#NUM!</v>
      </c>
      <c r="S34" s="89" t="e">
        <f t="shared" ca="1" si="4"/>
        <v>#NUM!</v>
      </c>
      <c r="T34" s="89" t="e">
        <f t="shared" ca="1" si="4"/>
        <v>#NUM!</v>
      </c>
      <c r="U34" s="96" t="e">
        <f ca="1">(-T14+$M14)/$U$14</f>
        <v>#NUM!</v>
      </c>
    </row>
    <row r="35" spans="1:21">
      <c r="M35" s="35" t="str">
        <f ca="1">A13</f>
        <v>120003.IB</v>
      </c>
      <c r="N35" s="89" t="e">
        <f t="shared" ref="N35:T35" ca="1" si="5">-N13+$M13</f>
        <v>#NUM!</v>
      </c>
      <c r="O35" s="89" t="e">
        <f t="shared" ca="1" si="5"/>
        <v>#NUM!</v>
      </c>
      <c r="P35" s="89" t="e">
        <f t="shared" ca="1" si="5"/>
        <v>#NUM!</v>
      </c>
      <c r="Q35" s="89" t="e">
        <f t="shared" ca="1" si="5"/>
        <v>#NUM!</v>
      </c>
      <c r="R35" s="89" t="e">
        <f t="shared" ca="1" si="5"/>
        <v>#NUM!</v>
      </c>
      <c r="S35" s="89" t="e">
        <f t="shared" ca="1" si="5"/>
        <v>#NUM!</v>
      </c>
      <c r="T35" s="89" t="e">
        <f t="shared" ca="1" si="5"/>
        <v>#NUM!</v>
      </c>
      <c r="U35" s="96" t="e">
        <f ca="1">-T13+M13</f>
        <v>#NUM!</v>
      </c>
    </row>
    <row r="36" spans="1:21">
      <c r="M36" s="93" t="s">
        <v>2198</v>
      </c>
      <c r="N36" s="94" t="e">
        <f ca="1">SUM(N34:N35)</f>
        <v>#NUM!</v>
      </c>
      <c r="O36" s="94" t="e">
        <f t="shared" ref="O36:U36" ca="1" si="6">SUM(O34:O35)</f>
        <v>#NUM!</v>
      </c>
      <c r="P36" s="94" t="e">
        <f t="shared" ca="1" si="6"/>
        <v>#NUM!</v>
      </c>
      <c r="Q36" s="94" t="e">
        <f t="shared" ca="1" si="6"/>
        <v>#NUM!</v>
      </c>
      <c r="R36" s="94" t="e">
        <f t="shared" ca="1" si="6"/>
        <v>#NUM!</v>
      </c>
      <c r="S36" s="94" t="e">
        <f t="shared" ca="1" si="6"/>
        <v>#NUM!</v>
      </c>
      <c r="T36" s="94" t="e">
        <f t="shared" ca="1" si="6"/>
        <v>#NUM!</v>
      </c>
      <c r="U36" s="98" t="e">
        <f t="shared" ca="1" si="6"/>
        <v>#NUM!</v>
      </c>
    </row>
    <row r="37" spans="1:21">
      <c r="E37" s="3" t="s">
        <v>2211</v>
      </c>
      <c r="F37" s="75" t="s">
        <v>2184</v>
      </c>
      <c r="G37" s="75" t="s">
        <v>2185</v>
      </c>
      <c r="H37" s="75" t="s">
        <v>2186</v>
      </c>
      <c r="I37" s="75" t="s">
        <v>2187</v>
      </c>
      <c r="J37" s="75" t="s">
        <v>2188</v>
      </c>
      <c r="K37" s="75" t="s">
        <v>2189</v>
      </c>
      <c r="L37" s="95" t="s">
        <v>2197</v>
      </c>
    </row>
    <row r="38" spans="1:21">
      <c r="F38" s="126" t="e">
        <f ca="1">SUMPRODUCT($H$24:$H$29,N25:N30)</f>
        <v>#NUM!</v>
      </c>
      <c r="G38" s="126" t="e">
        <f t="shared" ref="G38:L38" ca="1" si="7">SUMPRODUCT($H$24:$H$29,O25:O30)</f>
        <v>#NUM!</v>
      </c>
      <c r="H38" s="126" t="e">
        <f t="shared" ca="1" si="7"/>
        <v>#NUM!</v>
      </c>
      <c r="I38" s="126" t="e">
        <f t="shared" ca="1" si="7"/>
        <v>#NUM!</v>
      </c>
      <c r="J38" s="126" t="e">
        <f t="shared" ca="1" si="7"/>
        <v>#NUM!</v>
      </c>
      <c r="K38" s="126" t="e">
        <f t="shared" ca="1" si="7"/>
        <v>#NUM!</v>
      </c>
      <c r="L38" s="79" t="e">
        <f t="shared" ca="1" si="7"/>
        <v>#NUM!</v>
      </c>
      <c r="M38" s="79" t="e">
        <f ca="1">SUM(F38:K38)</f>
        <v>#NUM!</v>
      </c>
    </row>
    <row r="40" spans="1:21">
      <c r="D40" s="35" t="str">
        <f ca="1">M34</f>
        <v>TF1209</v>
      </c>
      <c r="E40" s="3">
        <v>57.362783919999998</v>
      </c>
      <c r="F40" s="79" t="e">
        <f ca="1">SUMPRODUCT($E$40:$E$41,N34:N35)</f>
        <v>#NUM!</v>
      </c>
      <c r="G40" s="79" t="e">
        <f t="shared" ref="G40:L40" ca="1" si="8">SUMPRODUCT($E$40:$E$41,O34:O35)</f>
        <v>#NUM!</v>
      </c>
      <c r="H40" s="79" t="e">
        <f t="shared" ca="1" si="8"/>
        <v>#NUM!</v>
      </c>
      <c r="I40" s="79" t="e">
        <f t="shared" ca="1" si="8"/>
        <v>#NUM!</v>
      </c>
      <c r="J40" s="79" t="e">
        <f t="shared" ca="1" si="8"/>
        <v>#NUM!</v>
      </c>
      <c r="K40" s="79" t="e">
        <f t="shared" ca="1" si="8"/>
        <v>#NUM!</v>
      </c>
      <c r="L40" s="79" t="e">
        <f t="shared" ca="1" si="8"/>
        <v>#NUM!</v>
      </c>
      <c r="M40" s="79" t="e">
        <f ca="1">SUM(F40:K40)</f>
        <v>#NUM!</v>
      </c>
    </row>
    <row r="41" spans="1:21">
      <c r="D41" s="35" t="str">
        <f ca="1">M35</f>
        <v>120003.IB</v>
      </c>
      <c r="E41" s="3">
        <v>-15.53269384</v>
      </c>
    </row>
    <row r="42" spans="1:21">
      <c r="M42" s="3" t="e">
        <f ca="1">M38/M40</f>
        <v>#NUM!</v>
      </c>
    </row>
    <row r="43" spans="1:21">
      <c r="F43" s="77" t="e">
        <f ca="1">F38-F40</f>
        <v>#NUM!</v>
      </c>
      <c r="G43" s="77" t="e">
        <f t="shared" ref="G43:K43" ca="1" si="9">G38-G40</f>
        <v>#NUM!</v>
      </c>
      <c r="H43" s="77" t="e">
        <f t="shared" ca="1" si="9"/>
        <v>#NUM!</v>
      </c>
      <c r="I43" s="77" t="e">
        <f t="shared" ca="1" si="9"/>
        <v>#NUM!</v>
      </c>
      <c r="J43" s="77" t="e">
        <f t="shared" ca="1" si="9"/>
        <v>#NUM!</v>
      </c>
      <c r="K43" s="77" t="e">
        <f t="shared" ca="1" si="9"/>
        <v>#NUM!</v>
      </c>
    </row>
    <row r="44" spans="1:21">
      <c r="F44" s="3">
        <v>2.6842834738511458E-3</v>
      </c>
      <c r="G44" s="3">
        <v>0.20881153228277427</v>
      </c>
      <c r="H44" s="3">
        <v>-3.2159619035461606E-2</v>
      </c>
      <c r="I44" s="3">
        <v>5.1972753308742847E-2</v>
      </c>
      <c r="J44" s="3">
        <v>-8.5492549184932918E-10</v>
      </c>
      <c r="K44" s="3">
        <v>-8.5492549184932918E-10</v>
      </c>
      <c r="M44" s="3" t="e">
        <f ca="1">SUMSQ(F43:K43)</f>
        <v>#NUM!</v>
      </c>
    </row>
    <row r="46" spans="1:21">
      <c r="A46" s="134" t="s">
        <v>2212</v>
      </c>
      <c r="B46" s="133" t="s">
        <v>2136</v>
      </c>
      <c r="C46" s="134" t="s">
        <v>2138</v>
      </c>
      <c r="D46" s="134" t="s">
        <v>2140</v>
      </c>
      <c r="E46" s="134" t="s">
        <v>2141</v>
      </c>
      <c r="F46" s="134" t="s">
        <v>2142</v>
      </c>
      <c r="G46" s="139" t="s">
        <v>2192</v>
      </c>
      <c r="H46" s="134" t="s">
        <v>2213</v>
      </c>
      <c r="I46" s="136" t="s">
        <v>2191</v>
      </c>
      <c r="J46" s="77"/>
      <c r="K46" s="77"/>
    </row>
    <row r="47" spans="1:21">
      <c r="A47" s="131">
        <v>39449</v>
      </c>
      <c r="B47" s="132">
        <v>92.24</v>
      </c>
      <c r="C47" s="132" t="s">
        <v>2214</v>
      </c>
      <c r="D47" s="132" t="s">
        <v>2214</v>
      </c>
      <c r="E47" s="132" t="s">
        <v>2214</v>
      </c>
      <c r="F47" s="132" t="s">
        <v>2214</v>
      </c>
      <c r="G47" s="138" t="s">
        <v>2214</v>
      </c>
      <c r="H47" s="132" t="e">
        <v>#N/A</v>
      </c>
      <c r="I47" s="135" t="s">
        <v>2214</v>
      </c>
    </row>
    <row r="48" spans="1:21">
      <c r="A48" s="131">
        <v>39450</v>
      </c>
      <c r="B48" s="132">
        <v>92.24</v>
      </c>
      <c r="C48" s="132" t="s">
        <v>2214</v>
      </c>
      <c r="D48" s="132" t="s">
        <v>2214</v>
      </c>
      <c r="E48" s="132" t="s">
        <v>2214</v>
      </c>
      <c r="F48" s="132" t="s">
        <v>2214</v>
      </c>
      <c r="G48" s="138" t="s">
        <v>2214</v>
      </c>
      <c r="H48" s="132" t="e">
        <v>#N/A</v>
      </c>
      <c r="I48" s="135" t="s">
        <v>2214</v>
      </c>
      <c r="J48" s="3">
        <v>50.1879887025977</v>
      </c>
      <c r="K48" s="3">
        <v>57.362783919999998</v>
      </c>
    </row>
    <row r="49" spans="1:19">
      <c r="A49" s="131">
        <v>39451</v>
      </c>
      <c r="B49" s="132">
        <v>92.24</v>
      </c>
      <c r="C49" s="132" t="s">
        <v>2214</v>
      </c>
      <c r="D49" s="132" t="s">
        <v>2214</v>
      </c>
      <c r="E49" s="132" t="s">
        <v>2214</v>
      </c>
      <c r="F49" s="132" t="s">
        <v>2214</v>
      </c>
      <c r="G49" s="138" t="s">
        <v>2214</v>
      </c>
      <c r="H49" s="132" t="e">
        <v>#N/A</v>
      </c>
      <c r="I49" s="135" t="s">
        <v>2214</v>
      </c>
      <c r="J49" s="3">
        <v>0</v>
      </c>
      <c r="K49" s="3">
        <v>-15.53269384</v>
      </c>
    </row>
    <row r="50" spans="1:19">
      <c r="A50" s="131">
        <v>39454</v>
      </c>
      <c r="B50" s="132">
        <v>92.24</v>
      </c>
      <c r="C50" s="132" t="s">
        <v>2214</v>
      </c>
      <c r="D50" s="132" t="s">
        <v>2214</v>
      </c>
      <c r="E50" s="132" t="s">
        <v>2214</v>
      </c>
      <c r="F50" s="132" t="s">
        <v>2214</v>
      </c>
      <c r="G50" s="138" t="s">
        <v>2214</v>
      </c>
      <c r="H50" s="132" t="e">
        <v>#N/A</v>
      </c>
      <c r="I50" s="135" t="s">
        <v>2214</v>
      </c>
      <c r="N50" s="173" t="s">
        <v>2238</v>
      </c>
      <c r="O50" s="78"/>
      <c r="P50" s="144" t="s">
        <v>2230</v>
      </c>
      <c r="Q50" s="144"/>
      <c r="R50" s="144"/>
      <c r="S50" s="144"/>
    </row>
    <row r="51" spans="1:19">
      <c r="A51" s="131">
        <v>39455</v>
      </c>
      <c r="B51" s="132">
        <v>92.24</v>
      </c>
      <c r="C51" s="132" t="s">
        <v>2214</v>
      </c>
      <c r="D51" s="132" t="s">
        <v>2214</v>
      </c>
      <c r="E51" s="132" t="s">
        <v>2214</v>
      </c>
      <c r="F51" s="132" t="s">
        <v>2214</v>
      </c>
      <c r="G51" s="138" t="s">
        <v>2214</v>
      </c>
      <c r="H51" s="132" t="e">
        <v>#N/A</v>
      </c>
      <c r="I51" s="135" t="s">
        <v>2214</v>
      </c>
      <c r="N51" s="163" t="s">
        <v>2237</v>
      </c>
      <c r="O51" s="146" t="s">
        <v>2226</v>
      </c>
      <c r="P51" s="145" t="s">
        <v>2217</v>
      </c>
      <c r="Q51" s="145" t="s">
        <v>2228</v>
      </c>
      <c r="R51" s="145" t="s">
        <v>2227</v>
      </c>
      <c r="S51" s="162" t="s">
        <v>2226</v>
      </c>
    </row>
    <row r="52" spans="1:19">
      <c r="A52" s="131">
        <v>39456</v>
      </c>
      <c r="B52" s="132">
        <v>92.24</v>
      </c>
      <c r="C52" s="132" t="s">
        <v>2214</v>
      </c>
      <c r="D52" s="132" t="s">
        <v>2214</v>
      </c>
      <c r="E52" s="132" t="s">
        <v>2214</v>
      </c>
      <c r="F52" s="132" t="s">
        <v>2214</v>
      </c>
      <c r="G52" s="138" t="s">
        <v>2214</v>
      </c>
      <c r="H52" s="132" t="e">
        <v>#N/A</v>
      </c>
      <c r="I52" s="135" t="s">
        <v>2214</v>
      </c>
      <c r="N52" s="35" t="s">
        <v>2220</v>
      </c>
      <c r="O52" s="166" t="e">
        <f ca="1">F38</f>
        <v>#NUM!</v>
      </c>
      <c r="P52" s="35" t="s">
        <v>2218</v>
      </c>
      <c r="Q52" s="35">
        <f ca="1">-ROUND(J48,0)</f>
        <v>-50</v>
      </c>
      <c r="R52" s="35" t="s">
        <v>2220</v>
      </c>
      <c r="S52" s="150">
        <v>1.7544826782578218E-3</v>
      </c>
    </row>
    <row r="53" spans="1:19">
      <c r="A53" s="131">
        <v>39457</v>
      </c>
      <c r="B53" s="132">
        <v>92.24</v>
      </c>
      <c r="C53" s="132" t="s">
        <v>2214</v>
      </c>
      <c r="D53" s="132" t="s">
        <v>2214</v>
      </c>
      <c r="E53" s="132" t="s">
        <v>2214</v>
      </c>
      <c r="F53" s="132" t="s">
        <v>2214</v>
      </c>
      <c r="G53" s="138" t="s">
        <v>2214</v>
      </c>
      <c r="H53" s="132" t="e">
        <v>#N/A</v>
      </c>
      <c r="I53" s="135" t="s">
        <v>2214</v>
      </c>
      <c r="N53" s="35" t="s">
        <v>2221</v>
      </c>
      <c r="O53" s="166" t="e">
        <f ca="1">G38</f>
        <v>#NUM!</v>
      </c>
      <c r="P53" s="35" t="s">
        <v>2219</v>
      </c>
      <c r="Q53" s="35">
        <v>0</v>
      </c>
      <c r="R53" s="35" t="s">
        <v>2221</v>
      </c>
      <c r="S53" s="150">
        <v>0.11930400974183551</v>
      </c>
    </row>
    <row r="54" spans="1:19">
      <c r="A54" s="131">
        <v>39458</v>
      </c>
      <c r="B54" s="132">
        <v>92.24</v>
      </c>
      <c r="C54" s="132" t="s">
        <v>2214</v>
      </c>
      <c r="D54" s="132" t="s">
        <v>2214</v>
      </c>
      <c r="E54" s="132" t="s">
        <v>2214</v>
      </c>
      <c r="F54" s="132" t="s">
        <v>2214</v>
      </c>
      <c r="G54" s="138" t="s">
        <v>2214</v>
      </c>
      <c r="H54" s="132" t="e">
        <v>#N/A</v>
      </c>
      <c r="I54" s="135" t="s">
        <v>2214</v>
      </c>
      <c r="N54" s="35" t="s">
        <v>2222</v>
      </c>
      <c r="O54" s="166" t="e">
        <f ca="1">H38</f>
        <v>#NUM!</v>
      </c>
      <c r="P54" s="35"/>
      <c r="Q54" s="35"/>
      <c r="R54" s="35" t="s">
        <v>2222</v>
      </c>
      <c r="S54" s="150">
        <v>-0.34131549922479265</v>
      </c>
    </row>
    <row r="55" spans="1:19">
      <c r="A55" s="131">
        <v>39461</v>
      </c>
      <c r="B55" s="132">
        <v>92.24</v>
      </c>
      <c r="C55" s="132" t="s">
        <v>2214</v>
      </c>
      <c r="D55" s="132" t="s">
        <v>2214</v>
      </c>
      <c r="E55" s="132" t="s">
        <v>2214</v>
      </c>
      <c r="F55" s="132" t="s">
        <v>2214</v>
      </c>
      <c r="G55" s="138" t="s">
        <v>2214</v>
      </c>
      <c r="H55" s="132" t="e">
        <v>#N/A</v>
      </c>
      <c r="I55" s="135" t="s">
        <v>2214</v>
      </c>
      <c r="N55" s="35" t="s">
        <v>2223</v>
      </c>
      <c r="O55" s="166" t="e">
        <f ca="1">I38</f>
        <v>#NUM!</v>
      </c>
      <c r="P55" s="35"/>
      <c r="Q55" s="35"/>
      <c r="R55" s="35" t="s">
        <v>2223</v>
      </c>
      <c r="S55" s="150">
        <v>0.22025700926769809</v>
      </c>
    </row>
    <row r="56" spans="1:19">
      <c r="A56" s="131">
        <v>39462</v>
      </c>
      <c r="B56" s="132">
        <v>92.24</v>
      </c>
      <c r="C56" s="132" t="s">
        <v>2214</v>
      </c>
      <c r="D56" s="132" t="s">
        <v>2214</v>
      </c>
      <c r="E56" s="132" t="s">
        <v>2214</v>
      </c>
      <c r="F56" s="132" t="s">
        <v>2214</v>
      </c>
      <c r="G56" s="138" t="s">
        <v>2214</v>
      </c>
      <c r="H56" s="132" t="e">
        <v>#N/A</v>
      </c>
      <c r="I56" s="135" t="s">
        <v>2214</v>
      </c>
      <c r="N56" s="35" t="s">
        <v>2224</v>
      </c>
      <c r="O56" s="166" t="e">
        <f ca="1">J38</f>
        <v>#NUM!</v>
      </c>
      <c r="P56" s="35"/>
      <c r="Q56" s="35"/>
      <c r="R56" s="35" t="s">
        <v>2224</v>
      </c>
      <c r="S56" s="150">
        <v>-1.2314995185981696E-9</v>
      </c>
    </row>
    <row r="57" spans="1:19">
      <c r="A57" s="131">
        <v>39463</v>
      </c>
      <c r="B57" s="132">
        <v>92.24</v>
      </c>
      <c r="C57" s="132" t="s">
        <v>2214</v>
      </c>
      <c r="D57" s="132" t="s">
        <v>2214</v>
      </c>
      <c r="E57" s="132" t="s">
        <v>2214</v>
      </c>
      <c r="F57" s="132" t="s">
        <v>2214</v>
      </c>
      <c r="G57" s="138" t="s">
        <v>2214</v>
      </c>
      <c r="H57" s="132" t="e">
        <v>#N/A</v>
      </c>
      <c r="I57" s="135" t="s">
        <v>2214</v>
      </c>
      <c r="N57" s="35" t="s">
        <v>2225</v>
      </c>
      <c r="O57" s="166" t="e">
        <f ca="1">K38</f>
        <v>#NUM!</v>
      </c>
      <c r="P57" s="35"/>
      <c r="Q57" s="35"/>
      <c r="R57" s="35" t="s">
        <v>2225</v>
      </c>
      <c r="S57" s="150">
        <v>-1.2314995185981696E-9</v>
      </c>
    </row>
    <row r="58" spans="1:19">
      <c r="A58" s="131">
        <v>39464</v>
      </c>
      <c r="B58" s="132">
        <v>92.24</v>
      </c>
      <c r="C58" s="132" t="s">
        <v>2214</v>
      </c>
      <c r="D58" s="132" t="s">
        <v>2214</v>
      </c>
      <c r="E58" s="132" t="s">
        <v>2214</v>
      </c>
      <c r="F58" s="132" t="s">
        <v>2214</v>
      </c>
      <c r="G58" s="138" t="s">
        <v>2214</v>
      </c>
      <c r="H58" s="132" t="e">
        <v>#N/A</v>
      </c>
      <c r="I58" s="135" t="s">
        <v>2214</v>
      </c>
      <c r="K58" s="79"/>
      <c r="N58" s="154" t="s">
        <v>2229</v>
      </c>
      <c r="O58" s="152" t="e">
        <f ca="1">SQRT(SUMSQ(O52:O57)/COUNT(O52:O57))</f>
        <v>#NUM!</v>
      </c>
      <c r="P58" s="151"/>
      <c r="Q58" s="151"/>
      <c r="R58" s="154" t="s">
        <v>2229</v>
      </c>
      <c r="S58" s="153">
        <f ca="1">SQRT(SUMSQ(S52:S57)/COUNT(S52:S57))</f>
        <v>0.17284190516797354</v>
      </c>
    </row>
    <row r="59" spans="1:19" ht="15.75" thickBot="1">
      <c r="A59" s="131">
        <v>39465</v>
      </c>
      <c r="B59" s="132">
        <v>92.24</v>
      </c>
      <c r="C59" s="132" t="s">
        <v>2214</v>
      </c>
      <c r="D59" s="132" t="s">
        <v>2214</v>
      </c>
      <c r="E59" s="132" t="s">
        <v>2214</v>
      </c>
      <c r="F59" s="132" t="s">
        <v>2214</v>
      </c>
      <c r="G59" s="138" t="s">
        <v>2214</v>
      </c>
      <c r="H59" s="132" t="e">
        <v>#N/A</v>
      </c>
      <c r="I59" s="135" t="s">
        <v>2214</v>
      </c>
      <c r="K59" s="79"/>
      <c r="N59" s="143"/>
      <c r="O59" s="164"/>
      <c r="P59" s="149"/>
      <c r="Q59" s="149"/>
      <c r="R59" s="149"/>
      <c r="S59" s="149"/>
    </row>
    <row r="60" spans="1:19">
      <c r="A60" s="131">
        <v>39468</v>
      </c>
      <c r="B60" s="132">
        <v>92.24</v>
      </c>
      <c r="C60" s="132" t="s">
        <v>2214</v>
      </c>
      <c r="D60" s="132" t="s">
        <v>2214</v>
      </c>
      <c r="E60" s="132" t="s">
        <v>2214</v>
      </c>
      <c r="F60" s="132" t="s">
        <v>2214</v>
      </c>
      <c r="G60" s="138" t="s">
        <v>2214</v>
      </c>
      <c r="H60" s="132" t="e">
        <v>#N/A</v>
      </c>
      <c r="I60" s="135" t="s">
        <v>2214</v>
      </c>
      <c r="K60" s="79"/>
      <c r="N60" s="35"/>
      <c r="O60" s="35"/>
      <c r="P60" s="167" t="s">
        <v>2231</v>
      </c>
      <c r="Q60" s="144"/>
      <c r="R60" s="144"/>
      <c r="S60" s="144"/>
    </row>
    <row r="61" spans="1:19">
      <c r="A61" s="131">
        <v>39469</v>
      </c>
      <c r="B61" s="132">
        <v>92.24</v>
      </c>
      <c r="C61" s="132" t="s">
        <v>2214</v>
      </c>
      <c r="D61" s="132" t="s">
        <v>2214</v>
      </c>
      <c r="E61" s="132" t="s">
        <v>2214</v>
      </c>
      <c r="F61" s="132" t="s">
        <v>2214</v>
      </c>
      <c r="G61" s="138" t="s">
        <v>2214</v>
      </c>
      <c r="H61" s="132" t="e">
        <v>#N/A</v>
      </c>
      <c r="I61" s="135" t="s">
        <v>2214</v>
      </c>
      <c r="K61" s="79"/>
      <c r="N61" s="35"/>
      <c r="O61" s="35"/>
      <c r="P61" s="168" t="s">
        <v>2217</v>
      </c>
      <c r="Q61" s="145" t="s">
        <v>2228</v>
      </c>
      <c r="R61" s="145" t="s">
        <v>2227</v>
      </c>
      <c r="S61" s="147" t="s">
        <v>2226</v>
      </c>
    </row>
    <row r="62" spans="1:19">
      <c r="A62" s="131">
        <v>39470</v>
      </c>
      <c r="B62" s="132">
        <v>92.24</v>
      </c>
      <c r="C62" s="132" t="s">
        <v>2214</v>
      </c>
      <c r="D62" s="132" t="s">
        <v>2214</v>
      </c>
      <c r="E62" s="132" t="s">
        <v>2214</v>
      </c>
      <c r="F62" s="132" t="s">
        <v>2214</v>
      </c>
      <c r="G62" s="138" t="s">
        <v>2214</v>
      </c>
      <c r="H62" s="132" t="e">
        <v>#N/A</v>
      </c>
      <c r="I62" s="135" t="s">
        <v>2214</v>
      </c>
      <c r="K62" s="79"/>
      <c r="N62" s="35"/>
      <c r="O62" s="35"/>
      <c r="P62" s="39" t="s">
        <v>2218</v>
      </c>
      <c r="Q62" s="35">
        <f ca="1">-ROUND(K48,0)</f>
        <v>-57</v>
      </c>
      <c r="R62" s="35" t="s">
        <v>2220</v>
      </c>
      <c r="S62" s="89">
        <v>2.6842834738511458E-3</v>
      </c>
    </row>
    <row r="63" spans="1:19">
      <c r="A63" s="131">
        <v>39471</v>
      </c>
      <c r="B63" s="132">
        <v>92.24</v>
      </c>
      <c r="C63" s="132" t="s">
        <v>2214</v>
      </c>
      <c r="D63" s="132" t="s">
        <v>2214</v>
      </c>
      <c r="E63" s="132" t="s">
        <v>2214</v>
      </c>
      <c r="F63" s="132" t="s">
        <v>2214</v>
      </c>
      <c r="G63" s="138" t="s">
        <v>2214</v>
      </c>
      <c r="H63" s="132" t="e">
        <v>#N/A</v>
      </c>
      <c r="I63" s="135" t="s">
        <v>2214</v>
      </c>
      <c r="K63" s="79"/>
      <c r="N63" s="35"/>
      <c r="O63" s="35"/>
      <c r="P63" s="39" t="s">
        <v>2219</v>
      </c>
      <c r="Q63" s="148">
        <f ca="1">-K49</f>
        <v>15.53269384</v>
      </c>
      <c r="R63" s="35" t="s">
        <v>2221</v>
      </c>
      <c r="S63" s="89">
        <v>0.20881153228277427</v>
      </c>
    </row>
    <row r="64" spans="1:19">
      <c r="A64" s="131">
        <v>39472</v>
      </c>
      <c r="B64" s="132">
        <v>92.24</v>
      </c>
      <c r="C64" s="132" t="s">
        <v>2214</v>
      </c>
      <c r="D64" s="132" t="s">
        <v>2214</v>
      </c>
      <c r="E64" s="132" t="s">
        <v>2214</v>
      </c>
      <c r="F64" s="132" t="s">
        <v>2214</v>
      </c>
      <c r="G64" s="138" t="s">
        <v>2214</v>
      </c>
      <c r="H64" s="132" t="e">
        <v>#N/A</v>
      </c>
      <c r="I64" s="135" t="s">
        <v>2214</v>
      </c>
      <c r="N64" s="35"/>
      <c r="O64" s="35"/>
      <c r="P64" s="39"/>
      <c r="Q64" s="35"/>
      <c r="R64" s="35" t="s">
        <v>2222</v>
      </c>
      <c r="S64" s="89">
        <v>-3.2159619035461606E-2</v>
      </c>
    </row>
    <row r="65" spans="1:19">
      <c r="A65" s="131">
        <v>39475</v>
      </c>
      <c r="B65" s="132">
        <v>92.24</v>
      </c>
      <c r="C65" s="132" t="s">
        <v>2214</v>
      </c>
      <c r="D65" s="132" t="s">
        <v>2214</v>
      </c>
      <c r="E65" s="132" t="s">
        <v>2214</v>
      </c>
      <c r="F65" s="132" t="s">
        <v>2214</v>
      </c>
      <c r="G65" s="138" t="s">
        <v>2214</v>
      </c>
      <c r="H65" s="132" t="e">
        <v>#N/A</v>
      </c>
      <c r="I65" s="135" t="s">
        <v>2214</v>
      </c>
      <c r="N65" s="35"/>
      <c r="O65" s="35"/>
      <c r="P65" s="39"/>
      <c r="Q65" s="35"/>
      <c r="R65" s="35" t="s">
        <v>2223</v>
      </c>
      <c r="S65" s="89">
        <v>5.1972753308742847E-2</v>
      </c>
    </row>
    <row r="66" spans="1:19">
      <c r="A66" s="131">
        <v>39476</v>
      </c>
      <c r="B66" s="132">
        <v>92.24</v>
      </c>
      <c r="C66" s="132" t="s">
        <v>2214</v>
      </c>
      <c r="D66" s="132" t="s">
        <v>2214</v>
      </c>
      <c r="E66" s="132" t="s">
        <v>2214</v>
      </c>
      <c r="F66" s="132" t="s">
        <v>2214</v>
      </c>
      <c r="G66" s="138" t="s">
        <v>2214</v>
      </c>
      <c r="H66" s="132" t="e">
        <v>#N/A</v>
      </c>
      <c r="I66" s="135" t="s">
        <v>2214</v>
      </c>
      <c r="N66" s="35"/>
      <c r="O66" s="35"/>
      <c r="P66" s="39"/>
      <c r="Q66" s="35"/>
      <c r="R66" s="35" t="s">
        <v>2224</v>
      </c>
      <c r="S66" s="89">
        <v>-8.5492549184932918E-10</v>
      </c>
    </row>
    <row r="67" spans="1:19">
      <c r="A67" s="131">
        <v>39477</v>
      </c>
      <c r="B67" s="132">
        <v>92.24</v>
      </c>
      <c r="C67" s="132" t="s">
        <v>2214</v>
      </c>
      <c r="D67" s="132" t="s">
        <v>2214</v>
      </c>
      <c r="E67" s="132" t="s">
        <v>2214</v>
      </c>
      <c r="F67" s="132" t="s">
        <v>2214</v>
      </c>
      <c r="G67" s="138" t="s">
        <v>2214</v>
      </c>
      <c r="H67" s="132" t="e">
        <v>#N/A</v>
      </c>
      <c r="I67" s="135" t="s">
        <v>2214</v>
      </c>
      <c r="N67" s="35"/>
      <c r="O67" s="35"/>
      <c r="P67" s="39"/>
      <c r="Q67" s="35"/>
      <c r="R67" s="35" t="s">
        <v>2225</v>
      </c>
      <c r="S67" s="89">
        <v>-8.5492549184932918E-10</v>
      </c>
    </row>
    <row r="68" spans="1:19">
      <c r="A68" s="131">
        <v>39478</v>
      </c>
      <c r="B68" s="132">
        <v>92.24</v>
      </c>
      <c r="C68" s="132" t="s">
        <v>2214</v>
      </c>
      <c r="D68" s="132" t="s">
        <v>2214</v>
      </c>
      <c r="E68" s="132" t="s">
        <v>2214</v>
      </c>
      <c r="F68" s="132" t="s">
        <v>2214</v>
      </c>
      <c r="G68" s="138" t="s">
        <v>2214</v>
      </c>
      <c r="H68" s="132" t="e">
        <v>#N/A</v>
      </c>
      <c r="I68" s="135" t="s">
        <v>2214</v>
      </c>
      <c r="N68" s="35"/>
      <c r="O68" s="35"/>
      <c r="P68" s="169"/>
      <c r="Q68" s="151"/>
      <c r="R68" s="154" t="s">
        <v>2229</v>
      </c>
      <c r="S68" s="153">
        <f ca="1">SQRT(SUMSQ(S62:S67)/COUNT(S62:S67))</f>
        <v>8.8830240322994317E-2</v>
      </c>
    </row>
    <row r="69" spans="1:19" ht="15.75" thickBot="1">
      <c r="A69" s="131">
        <v>39479</v>
      </c>
      <c r="B69" s="132">
        <v>92.24</v>
      </c>
      <c r="C69" s="132" t="s">
        <v>2214</v>
      </c>
      <c r="D69" s="132" t="s">
        <v>2214</v>
      </c>
      <c r="E69" s="132" t="s">
        <v>2214</v>
      </c>
      <c r="F69" s="132" t="s">
        <v>2214</v>
      </c>
      <c r="G69" s="138" t="s">
        <v>2214</v>
      </c>
      <c r="H69" s="132" t="e">
        <v>#N/A</v>
      </c>
      <c r="I69" s="135" t="s">
        <v>2214</v>
      </c>
      <c r="N69" s="35"/>
      <c r="O69" s="35"/>
      <c r="P69" s="170"/>
      <c r="Q69" s="149"/>
      <c r="R69" s="149"/>
      <c r="S69" s="149"/>
    </row>
    <row r="70" spans="1:19">
      <c r="A70" s="131">
        <v>39480</v>
      </c>
      <c r="B70" s="132">
        <v>92.24</v>
      </c>
      <c r="C70" s="132" t="s">
        <v>2214</v>
      </c>
      <c r="D70" s="132" t="s">
        <v>2214</v>
      </c>
      <c r="E70" s="132" t="s">
        <v>2214</v>
      </c>
      <c r="F70" s="132" t="s">
        <v>2214</v>
      </c>
      <c r="G70" s="138" t="s">
        <v>2214</v>
      </c>
      <c r="H70" s="132" t="e">
        <v>#N/A</v>
      </c>
      <c r="I70" s="135" t="s">
        <v>2214</v>
      </c>
    </row>
    <row r="71" spans="1:19">
      <c r="A71" s="131">
        <v>39481</v>
      </c>
      <c r="B71" s="132">
        <v>92.24</v>
      </c>
      <c r="C71" s="132" t="s">
        <v>2214</v>
      </c>
      <c r="D71" s="132" t="s">
        <v>2214</v>
      </c>
      <c r="E71" s="132" t="s">
        <v>2214</v>
      </c>
      <c r="F71" s="132" t="s">
        <v>2214</v>
      </c>
      <c r="G71" s="138" t="s">
        <v>2214</v>
      </c>
      <c r="H71" s="132" t="e">
        <v>#N/A</v>
      </c>
      <c r="I71" s="135" t="s">
        <v>2214</v>
      </c>
    </row>
    <row r="72" spans="1:19">
      <c r="A72" s="131">
        <v>39482</v>
      </c>
      <c r="B72" s="132">
        <v>92.24</v>
      </c>
      <c r="C72" s="132" t="s">
        <v>2214</v>
      </c>
      <c r="D72" s="132" t="s">
        <v>2214</v>
      </c>
      <c r="E72" s="132" t="s">
        <v>2214</v>
      </c>
      <c r="F72" s="132" t="s">
        <v>2214</v>
      </c>
      <c r="G72" s="138" t="s">
        <v>2214</v>
      </c>
      <c r="H72" s="132" t="e">
        <v>#N/A</v>
      </c>
      <c r="I72" s="135" t="s">
        <v>2214</v>
      </c>
    </row>
    <row r="73" spans="1:19">
      <c r="A73" s="131">
        <v>39483</v>
      </c>
      <c r="B73" s="132">
        <v>92.24</v>
      </c>
      <c r="C73" s="132" t="s">
        <v>2214</v>
      </c>
      <c r="D73" s="132" t="s">
        <v>2214</v>
      </c>
      <c r="E73" s="132" t="s">
        <v>2214</v>
      </c>
      <c r="F73" s="132" t="s">
        <v>2214</v>
      </c>
      <c r="G73" s="138" t="s">
        <v>2214</v>
      </c>
      <c r="H73" s="132" t="e">
        <v>#N/A</v>
      </c>
      <c r="I73" s="135" t="s">
        <v>2214</v>
      </c>
    </row>
    <row r="74" spans="1:19">
      <c r="A74" s="131">
        <v>39491</v>
      </c>
      <c r="B74" s="132">
        <v>92.24</v>
      </c>
      <c r="C74" s="132" t="s">
        <v>2214</v>
      </c>
      <c r="D74" s="132" t="s">
        <v>2214</v>
      </c>
      <c r="E74" s="132" t="s">
        <v>2214</v>
      </c>
      <c r="F74" s="132" t="s">
        <v>2214</v>
      </c>
      <c r="G74" s="138" t="s">
        <v>2214</v>
      </c>
      <c r="H74" s="132" t="e">
        <v>#N/A</v>
      </c>
      <c r="I74" s="135" t="s">
        <v>2214</v>
      </c>
    </row>
    <row r="75" spans="1:19">
      <c r="A75" s="131">
        <v>39492</v>
      </c>
      <c r="B75" s="132">
        <v>92.24</v>
      </c>
      <c r="C75" s="132" t="s">
        <v>2214</v>
      </c>
      <c r="D75" s="132" t="s">
        <v>2214</v>
      </c>
      <c r="E75" s="132" t="s">
        <v>2214</v>
      </c>
      <c r="F75" s="132" t="s">
        <v>2214</v>
      </c>
      <c r="G75" s="138" t="s">
        <v>2214</v>
      </c>
      <c r="H75" s="132" t="e">
        <v>#N/A</v>
      </c>
      <c r="I75" s="135" t="s">
        <v>2214</v>
      </c>
    </row>
    <row r="76" spans="1:19">
      <c r="A76" s="131">
        <v>39493</v>
      </c>
      <c r="B76" s="132">
        <v>92.24</v>
      </c>
      <c r="C76" s="132" t="s">
        <v>2214</v>
      </c>
      <c r="D76" s="132" t="s">
        <v>2214</v>
      </c>
      <c r="E76" s="132" t="s">
        <v>2214</v>
      </c>
      <c r="F76" s="132" t="s">
        <v>2214</v>
      </c>
      <c r="G76" s="138" t="s">
        <v>2214</v>
      </c>
      <c r="H76" s="132" t="e">
        <v>#N/A</v>
      </c>
      <c r="I76" s="135" t="s">
        <v>2214</v>
      </c>
    </row>
    <row r="77" spans="1:19">
      <c r="A77" s="131">
        <v>39496</v>
      </c>
      <c r="B77" s="132">
        <v>92.24</v>
      </c>
      <c r="C77" s="132" t="s">
        <v>2214</v>
      </c>
      <c r="D77" s="132" t="s">
        <v>2214</v>
      </c>
      <c r="E77" s="132" t="s">
        <v>2214</v>
      </c>
      <c r="F77" s="132" t="s">
        <v>2214</v>
      </c>
      <c r="G77" s="138" t="s">
        <v>2214</v>
      </c>
      <c r="H77" s="132" t="e">
        <v>#N/A</v>
      </c>
      <c r="I77" s="135" t="s">
        <v>2214</v>
      </c>
      <c r="N77" s="165" t="s">
        <v>2238</v>
      </c>
      <c r="O77" s="78"/>
      <c r="P77" s="172" t="s">
        <v>2230</v>
      </c>
      <c r="Q77" s="144"/>
      <c r="R77" s="144"/>
      <c r="S77" s="144"/>
    </row>
    <row r="78" spans="1:19">
      <c r="A78" s="131">
        <v>39497</v>
      </c>
      <c r="B78" s="132">
        <v>92.24</v>
      </c>
      <c r="C78" s="132" t="s">
        <v>2214</v>
      </c>
      <c r="D78" s="132" t="s">
        <v>2214</v>
      </c>
      <c r="E78" s="132" t="s">
        <v>2214</v>
      </c>
      <c r="F78" s="132" t="s">
        <v>2214</v>
      </c>
      <c r="G78" s="138" t="s">
        <v>2214</v>
      </c>
      <c r="H78" s="132" t="e">
        <v>#N/A</v>
      </c>
      <c r="I78" s="135" t="s">
        <v>2214</v>
      </c>
      <c r="N78" s="163" t="s">
        <v>2237</v>
      </c>
      <c r="O78" s="147" t="s">
        <v>2226</v>
      </c>
      <c r="P78" s="168" t="s">
        <v>2217</v>
      </c>
      <c r="Q78" s="145" t="s">
        <v>2228</v>
      </c>
      <c r="R78" s="145" t="s">
        <v>2227</v>
      </c>
      <c r="S78" s="147" t="s">
        <v>2226</v>
      </c>
    </row>
    <row r="79" spans="1:19">
      <c r="A79" s="131">
        <v>39498</v>
      </c>
      <c r="B79" s="132">
        <v>92.24</v>
      </c>
      <c r="C79" s="132" t="s">
        <v>2214</v>
      </c>
      <c r="D79" s="132" t="s">
        <v>2214</v>
      </c>
      <c r="E79" s="132" t="s">
        <v>2214</v>
      </c>
      <c r="F79" s="132" t="s">
        <v>2214</v>
      </c>
      <c r="G79" s="138" t="s">
        <v>2214</v>
      </c>
      <c r="H79" s="132" t="e">
        <v>#N/A</v>
      </c>
      <c r="I79" s="135" t="s">
        <v>2214</v>
      </c>
      <c r="N79" s="35" t="s">
        <v>2220</v>
      </c>
      <c r="O79" s="171" t="e">
        <f t="shared" ref="O79:O85" ca="1" si="10">O52</f>
        <v>#NUM!</v>
      </c>
      <c r="P79" s="39" t="s">
        <v>2218</v>
      </c>
      <c r="Q79" s="40">
        <f ca="1">Q52</f>
        <v>-50</v>
      </c>
      <c r="R79" s="40" t="s">
        <v>2220</v>
      </c>
      <c r="S79" s="150">
        <v>1.7544826782578218E-3</v>
      </c>
    </row>
    <row r="80" spans="1:19">
      <c r="A80" s="131">
        <v>39499</v>
      </c>
      <c r="B80" s="132">
        <v>92.24</v>
      </c>
      <c r="C80" s="132" t="s">
        <v>2214</v>
      </c>
      <c r="D80" s="132" t="s">
        <v>2214</v>
      </c>
      <c r="E80" s="132" t="s">
        <v>2214</v>
      </c>
      <c r="F80" s="132" t="s">
        <v>2214</v>
      </c>
      <c r="G80" s="138" t="s">
        <v>2214</v>
      </c>
      <c r="H80" s="132" t="e">
        <v>#N/A</v>
      </c>
      <c r="I80" s="135" t="s">
        <v>2214</v>
      </c>
      <c r="N80" s="35" t="s">
        <v>2221</v>
      </c>
      <c r="O80" s="171" t="e">
        <f t="shared" ca="1" si="10"/>
        <v>#NUM!</v>
      </c>
      <c r="P80" s="39" t="s">
        <v>2219</v>
      </c>
      <c r="Q80" s="40">
        <f ca="1">Q53</f>
        <v>0</v>
      </c>
      <c r="R80" s="40" t="s">
        <v>2221</v>
      </c>
      <c r="S80" s="150">
        <v>0.11930400974183551</v>
      </c>
    </row>
    <row r="81" spans="1:19">
      <c r="A81" s="131">
        <v>39500</v>
      </c>
      <c r="B81" s="132">
        <v>92.24</v>
      </c>
      <c r="C81" s="132" t="s">
        <v>2214</v>
      </c>
      <c r="D81" s="132" t="s">
        <v>2214</v>
      </c>
      <c r="E81" s="132" t="s">
        <v>2214</v>
      </c>
      <c r="F81" s="132" t="s">
        <v>2214</v>
      </c>
      <c r="G81" s="138" t="s">
        <v>2214</v>
      </c>
      <c r="H81" s="132" t="e">
        <v>#N/A</v>
      </c>
      <c r="I81" s="135" t="s">
        <v>2214</v>
      </c>
      <c r="N81" s="35" t="s">
        <v>2222</v>
      </c>
      <c r="O81" s="171" t="e">
        <f t="shared" ca="1" si="10"/>
        <v>#NUM!</v>
      </c>
      <c r="P81" s="39"/>
      <c r="Q81" s="40"/>
      <c r="R81" s="40" t="s">
        <v>2222</v>
      </c>
      <c r="S81" s="150">
        <v>-0.34131549922479265</v>
      </c>
    </row>
    <row r="82" spans="1:19">
      <c r="A82" s="131">
        <v>39503</v>
      </c>
      <c r="B82" s="132">
        <v>92.24</v>
      </c>
      <c r="C82" s="132" t="s">
        <v>2214</v>
      </c>
      <c r="D82" s="132" t="s">
        <v>2214</v>
      </c>
      <c r="E82" s="132" t="s">
        <v>2214</v>
      </c>
      <c r="F82" s="132" t="s">
        <v>2214</v>
      </c>
      <c r="G82" s="138" t="s">
        <v>2214</v>
      </c>
      <c r="H82" s="132" t="e">
        <v>#N/A</v>
      </c>
      <c r="I82" s="135" t="s">
        <v>2214</v>
      </c>
      <c r="N82" s="35" t="s">
        <v>2223</v>
      </c>
      <c r="O82" s="171" t="e">
        <f t="shared" ca="1" si="10"/>
        <v>#NUM!</v>
      </c>
      <c r="P82" s="39"/>
      <c r="Q82" s="40"/>
      <c r="R82" s="40" t="s">
        <v>2223</v>
      </c>
      <c r="S82" s="150">
        <v>0.22025700926769809</v>
      </c>
    </row>
    <row r="83" spans="1:19">
      <c r="A83" s="131">
        <v>39504</v>
      </c>
      <c r="B83" s="132">
        <v>92.24</v>
      </c>
      <c r="C83" s="132" t="s">
        <v>2214</v>
      </c>
      <c r="D83" s="132" t="s">
        <v>2214</v>
      </c>
      <c r="E83" s="132" t="s">
        <v>2214</v>
      </c>
      <c r="F83" s="132" t="s">
        <v>2214</v>
      </c>
      <c r="G83" s="138" t="s">
        <v>2214</v>
      </c>
      <c r="H83" s="132" t="e">
        <v>#N/A</v>
      </c>
      <c r="I83" s="135" t="s">
        <v>2214</v>
      </c>
      <c r="N83" s="35" t="s">
        <v>2224</v>
      </c>
      <c r="O83" s="171" t="e">
        <f t="shared" ca="1" si="10"/>
        <v>#NUM!</v>
      </c>
      <c r="P83" s="39"/>
      <c r="Q83" s="40"/>
      <c r="R83" s="40" t="s">
        <v>2224</v>
      </c>
      <c r="S83" s="150">
        <v>-1.2314995185981696E-9</v>
      </c>
    </row>
    <row r="84" spans="1:19">
      <c r="A84" s="131">
        <v>39505</v>
      </c>
      <c r="B84" s="132">
        <v>92.24</v>
      </c>
      <c r="C84" s="132" t="s">
        <v>2214</v>
      </c>
      <c r="D84" s="132" t="s">
        <v>2214</v>
      </c>
      <c r="E84" s="132" t="s">
        <v>2214</v>
      </c>
      <c r="F84" s="132" t="s">
        <v>2214</v>
      </c>
      <c r="G84" s="138" t="s">
        <v>2214</v>
      </c>
      <c r="H84" s="132" t="e">
        <v>#N/A</v>
      </c>
      <c r="I84" s="135" t="s">
        <v>2214</v>
      </c>
      <c r="N84" s="35" t="s">
        <v>2225</v>
      </c>
      <c r="O84" s="171" t="e">
        <f t="shared" ca="1" si="10"/>
        <v>#NUM!</v>
      </c>
      <c r="P84" s="39"/>
      <c r="Q84" s="40"/>
      <c r="R84" s="40" t="s">
        <v>2225</v>
      </c>
      <c r="S84" s="150">
        <v>-1.2314995185981696E-9</v>
      </c>
    </row>
    <row r="85" spans="1:19">
      <c r="A85" s="131">
        <v>39506</v>
      </c>
      <c r="B85" s="132">
        <v>92.24</v>
      </c>
      <c r="C85" s="132" t="s">
        <v>2214</v>
      </c>
      <c r="D85" s="132" t="s">
        <v>2214</v>
      </c>
      <c r="E85" s="132" t="s">
        <v>2214</v>
      </c>
      <c r="F85" s="132" t="s">
        <v>2214</v>
      </c>
      <c r="G85" s="138" t="s">
        <v>2214</v>
      </c>
      <c r="H85" s="132" t="e">
        <v>#N/A</v>
      </c>
      <c r="I85" s="135" t="s">
        <v>2214</v>
      </c>
      <c r="N85" s="154" t="s">
        <v>2229</v>
      </c>
      <c r="O85" s="153" t="e">
        <f t="shared" ca="1" si="10"/>
        <v>#NUM!</v>
      </c>
      <c r="P85" s="169"/>
      <c r="Q85" s="151"/>
      <c r="R85" s="154" t="s">
        <v>2229</v>
      </c>
      <c r="S85" s="153">
        <f ca="1">SQRT(SUMSQ(S79:S84)/COUNT(S79:S84))</f>
        <v>0.17284190516797354</v>
      </c>
    </row>
    <row r="86" spans="1:19" ht="15.75" thickBot="1">
      <c r="A86" s="131">
        <v>39507</v>
      </c>
      <c r="B86" s="132">
        <v>92.24</v>
      </c>
      <c r="C86" s="132" t="s">
        <v>2214</v>
      </c>
      <c r="D86" s="132" t="s">
        <v>2214</v>
      </c>
      <c r="E86" s="132" t="s">
        <v>2214</v>
      </c>
      <c r="F86" s="132" t="s">
        <v>2214</v>
      </c>
      <c r="G86" s="138" t="s">
        <v>2214</v>
      </c>
      <c r="H86" s="132" t="e">
        <v>#N/A</v>
      </c>
      <c r="I86" s="135" t="s">
        <v>2214</v>
      </c>
      <c r="N86" s="143"/>
      <c r="O86" s="143"/>
      <c r="P86" s="170"/>
      <c r="Q86" s="149"/>
      <c r="R86" s="149"/>
      <c r="S86" s="149"/>
    </row>
    <row r="87" spans="1:19">
      <c r="A87" s="131">
        <v>39510</v>
      </c>
      <c r="B87" s="132">
        <v>92.24</v>
      </c>
      <c r="C87" s="132" t="s">
        <v>2214</v>
      </c>
      <c r="D87" s="132" t="s">
        <v>2214</v>
      </c>
      <c r="E87" s="132" t="s">
        <v>2214</v>
      </c>
      <c r="F87" s="132" t="s">
        <v>2214</v>
      </c>
      <c r="G87" s="138" t="s">
        <v>2214</v>
      </c>
      <c r="H87" s="132" t="e">
        <v>#N/A</v>
      </c>
      <c r="I87" s="135" t="s">
        <v>2214</v>
      </c>
      <c r="N87" s="35"/>
      <c r="O87" s="35"/>
      <c r="P87" s="172" t="s">
        <v>2231</v>
      </c>
      <c r="Q87" s="144"/>
      <c r="R87" s="144"/>
      <c r="S87" s="144"/>
    </row>
    <row r="88" spans="1:19">
      <c r="A88" s="131">
        <v>39511</v>
      </c>
      <c r="B88" s="132">
        <v>92.24</v>
      </c>
      <c r="C88" s="132" t="s">
        <v>2214</v>
      </c>
      <c r="D88" s="132" t="s">
        <v>2214</v>
      </c>
      <c r="E88" s="132" t="s">
        <v>2214</v>
      </c>
      <c r="F88" s="132" t="s">
        <v>2214</v>
      </c>
      <c r="G88" s="138" t="s">
        <v>2214</v>
      </c>
      <c r="H88" s="132" t="e">
        <v>#N/A</v>
      </c>
      <c r="I88" s="135" t="s">
        <v>2214</v>
      </c>
      <c r="N88" s="35"/>
      <c r="O88" s="35"/>
      <c r="P88" s="168" t="s">
        <v>2217</v>
      </c>
      <c r="Q88" s="145" t="s">
        <v>2228</v>
      </c>
      <c r="R88" s="145" t="s">
        <v>2227</v>
      </c>
      <c r="S88" s="147" t="s">
        <v>2226</v>
      </c>
    </row>
    <row r="89" spans="1:19">
      <c r="A89" s="131">
        <v>39512</v>
      </c>
      <c r="B89" s="132">
        <v>92.24</v>
      </c>
      <c r="C89" s="132" t="s">
        <v>2214</v>
      </c>
      <c r="D89" s="132" t="s">
        <v>2214</v>
      </c>
      <c r="E89" s="132" t="s">
        <v>2214</v>
      </c>
      <c r="F89" s="132" t="s">
        <v>2214</v>
      </c>
      <c r="G89" s="138" t="s">
        <v>2214</v>
      </c>
      <c r="H89" s="132" t="e">
        <v>#N/A</v>
      </c>
      <c r="I89" s="135" t="s">
        <v>2214</v>
      </c>
      <c r="N89" s="35"/>
      <c r="O89" s="35"/>
      <c r="P89" s="39" t="s">
        <v>2218</v>
      </c>
      <c r="Q89" s="35">
        <f ca="1">Q62</f>
        <v>-57</v>
      </c>
      <c r="R89" s="35" t="s">
        <v>2220</v>
      </c>
      <c r="S89" s="89">
        <v>2.6842834738511458E-3</v>
      </c>
    </row>
    <row r="90" spans="1:19">
      <c r="A90" s="131">
        <v>39513</v>
      </c>
      <c r="B90" s="132">
        <v>92.24</v>
      </c>
      <c r="C90" s="132" t="s">
        <v>2214</v>
      </c>
      <c r="D90" s="132" t="s">
        <v>2214</v>
      </c>
      <c r="E90" s="132" t="s">
        <v>2214</v>
      </c>
      <c r="F90" s="132" t="s">
        <v>2214</v>
      </c>
      <c r="G90" s="138" t="s">
        <v>2214</v>
      </c>
      <c r="H90" s="132" t="e">
        <v>#N/A</v>
      </c>
      <c r="I90" s="135" t="s">
        <v>2214</v>
      </c>
      <c r="N90" s="35"/>
      <c r="O90" s="35"/>
      <c r="P90" s="39" t="s">
        <v>2219</v>
      </c>
      <c r="Q90" s="148">
        <f ca="1">Q63</f>
        <v>15.53269384</v>
      </c>
      <c r="R90" s="35" t="s">
        <v>2221</v>
      </c>
      <c r="S90" s="89">
        <v>0.20881153228277427</v>
      </c>
    </row>
    <row r="91" spans="1:19">
      <c r="A91" s="131">
        <v>39514</v>
      </c>
      <c r="B91" s="132">
        <v>92.24</v>
      </c>
      <c r="C91" s="132" t="s">
        <v>2214</v>
      </c>
      <c r="D91" s="132" t="s">
        <v>2214</v>
      </c>
      <c r="E91" s="132" t="s">
        <v>2214</v>
      </c>
      <c r="F91" s="132" t="s">
        <v>2214</v>
      </c>
      <c r="G91" s="138" t="s">
        <v>2214</v>
      </c>
      <c r="H91" s="132" t="e">
        <v>#N/A</v>
      </c>
      <c r="I91" s="135" t="s">
        <v>2214</v>
      </c>
      <c r="N91" s="35"/>
      <c r="O91" s="35"/>
      <c r="P91" s="39"/>
      <c r="Q91" s="35"/>
      <c r="R91" s="35" t="s">
        <v>2222</v>
      </c>
      <c r="S91" s="89">
        <v>-3.2159619035461606E-2</v>
      </c>
    </row>
    <row r="92" spans="1:19">
      <c r="A92" s="131">
        <v>39517</v>
      </c>
      <c r="B92" s="132">
        <v>92.24</v>
      </c>
      <c r="C92" s="132" t="s">
        <v>2214</v>
      </c>
      <c r="D92" s="132" t="s">
        <v>2214</v>
      </c>
      <c r="E92" s="132" t="s">
        <v>2214</v>
      </c>
      <c r="F92" s="132" t="s">
        <v>2214</v>
      </c>
      <c r="G92" s="138" t="s">
        <v>2214</v>
      </c>
      <c r="H92" s="132" t="e">
        <v>#N/A</v>
      </c>
      <c r="I92" s="135" t="s">
        <v>2214</v>
      </c>
      <c r="N92" s="35"/>
      <c r="O92" s="35"/>
      <c r="P92" s="39"/>
      <c r="Q92" s="35"/>
      <c r="R92" s="35" t="s">
        <v>2223</v>
      </c>
      <c r="S92" s="89">
        <v>5.1972753308742847E-2</v>
      </c>
    </row>
    <row r="93" spans="1:19">
      <c r="A93" s="131">
        <v>39518</v>
      </c>
      <c r="B93" s="132">
        <v>92.24</v>
      </c>
      <c r="C93" s="132" t="s">
        <v>2214</v>
      </c>
      <c r="D93" s="132" t="s">
        <v>2214</v>
      </c>
      <c r="E93" s="132" t="s">
        <v>2214</v>
      </c>
      <c r="F93" s="132" t="s">
        <v>2214</v>
      </c>
      <c r="G93" s="138" t="s">
        <v>2214</v>
      </c>
      <c r="H93" s="132" t="e">
        <v>#N/A</v>
      </c>
      <c r="I93" s="135" t="s">
        <v>2214</v>
      </c>
      <c r="N93" s="35"/>
      <c r="O93" s="35"/>
      <c r="P93" s="39"/>
      <c r="Q93" s="35"/>
      <c r="R93" s="35" t="s">
        <v>2224</v>
      </c>
      <c r="S93" s="89">
        <v>-8.5492549184932918E-10</v>
      </c>
    </row>
    <row r="94" spans="1:19">
      <c r="A94" s="131">
        <v>39519</v>
      </c>
      <c r="B94" s="132">
        <v>92.24</v>
      </c>
      <c r="C94" s="132" t="s">
        <v>2214</v>
      </c>
      <c r="D94" s="132" t="s">
        <v>2214</v>
      </c>
      <c r="E94" s="132" t="s">
        <v>2214</v>
      </c>
      <c r="F94" s="132" t="s">
        <v>2214</v>
      </c>
      <c r="G94" s="138" t="s">
        <v>2214</v>
      </c>
      <c r="H94" s="132" t="e">
        <v>#N/A</v>
      </c>
      <c r="I94" s="135" t="s">
        <v>2214</v>
      </c>
      <c r="N94" s="35"/>
      <c r="O94" s="35"/>
      <c r="P94" s="39"/>
      <c r="Q94" s="35"/>
      <c r="R94" s="35" t="s">
        <v>2225</v>
      </c>
      <c r="S94" s="89">
        <v>-8.5492549184932918E-10</v>
      </c>
    </row>
    <row r="95" spans="1:19">
      <c r="A95" s="131">
        <v>39520</v>
      </c>
      <c r="B95" s="132">
        <v>92.24</v>
      </c>
      <c r="C95" s="132" t="s">
        <v>2214</v>
      </c>
      <c r="D95" s="132" t="s">
        <v>2214</v>
      </c>
      <c r="E95" s="132" t="s">
        <v>2214</v>
      </c>
      <c r="F95" s="132" t="s">
        <v>2214</v>
      </c>
      <c r="G95" s="138" t="s">
        <v>2214</v>
      </c>
      <c r="H95" s="132" t="e">
        <v>#N/A</v>
      </c>
      <c r="I95" s="135" t="s">
        <v>2214</v>
      </c>
      <c r="N95" s="35"/>
      <c r="O95" s="35"/>
      <c r="P95" s="169"/>
      <c r="Q95" s="151"/>
      <c r="R95" s="154" t="s">
        <v>2229</v>
      </c>
      <c r="S95" s="153">
        <f ca="1">SQRT(SUMSQ(S89:S94)/COUNT(S89:S94))</f>
        <v>8.8830240322994317E-2</v>
      </c>
    </row>
    <row r="96" spans="1:19" ht="15.75" thickBot="1">
      <c r="A96" s="131">
        <v>39521</v>
      </c>
      <c r="B96" s="132">
        <v>92.24</v>
      </c>
      <c r="C96" s="132" t="s">
        <v>2214</v>
      </c>
      <c r="D96" s="132" t="s">
        <v>2214</v>
      </c>
      <c r="E96" s="132" t="s">
        <v>2214</v>
      </c>
      <c r="F96" s="132" t="s">
        <v>2214</v>
      </c>
      <c r="G96" s="138" t="s">
        <v>2214</v>
      </c>
      <c r="H96" s="132" t="e">
        <v>#N/A</v>
      </c>
      <c r="I96" s="135" t="s">
        <v>2214</v>
      </c>
      <c r="N96" s="35"/>
      <c r="O96" s="35"/>
      <c r="P96" s="170"/>
      <c r="Q96" s="149"/>
      <c r="R96" s="149"/>
      <c r="S96" s="149"/>
    </row>
    <row r="97" spans="1:9">
      <c r="A97" s="131">
        <v>39524</v>
      </c>
      <c r="B97" s="132">
        <v>92.24</v>
      </c>
      <c r="C97" s="132" t="s">
        <v>2214</v>
      </c>
      <c r="D97" s="132" t="s">
        <v>2214</v>
      </c>
      <c r="E97" s="132" t="s">
        <v>2214</v>
      </c>
      <c r="F97" s="132" t="s">
        <v>2214</v>
      </c>
      <c r="G97" s="138" t="s">
        <v>2214</v>
      </c>
      <c r="H97" s="132" t="e">
        <v>#N/A</v>
      </c>
      <c r="I97" s="135" t="s">
        <v>2214</v>
      </c>
    </row>
    <row r="98" spans="1:9">
      <c r="A98" s="131">
        <v>39525</v>
      </c>
      <c r="B98" s="132">
        <v>92.24</v>
      </c>
      <c r="C98" s="132" t="s">
        <v>2214</v>
      </c>
      <c r="D98" s="132" t="s">
        <v>2214</v>
      </c>
      <c r="E98" s="132" t="s">
        <v>2214</v>
      </c>
      <c r="F98" s="132" t="s">
        <v>2214</v>
      </c>
      <c r="G98" s="138" t="s">
        <v>2214</v>
      </c>
      <c r="H98" s="132" t="e">
        <v>#N/A</v>
      </c>
      <c r="I98" s="135" t="s">
        <v>2214</v>
      </c>
    </row>
    <row r="99" spans="1:9">
      <c r="A99" s="131">
        <v>39526</v>
      </c>
      <c r="B99" s="132">
        <v>92.24</v>
      </c>
      <c r="C99" s="132" t="s">
        <v>2214</v>
      </c>
      <c r="D99" s="132" t="s">
        <v>2214</v>
      </c>
      <c r="E99" s="132" t="s">
        <v>2214</v>
      </c>
      <c r="F99" s="132" t="s">
        <v>2214</v>
      </c>
      <c r="G99" s="138" t="s">
        <v>2214</v>
      </c>
      <c r="H99" s="132" t="e">
        <v>#N/A</v>
      </c>
      <c r="I99" s="135" t="s">
        <v>2214</v>
      </c>
    </row>
    <row r="100" spans="1:9">
      <c r="A100" s="131">
        <v>39527</v>
      </c>
      <c r="B100" s="132">
        <v>92.24</v>
      </c>
      <c r="C100" s="132" t="s">
        <v>2214</v>
      </c>
      <c r="D100" s="132" t="s">
        <v>2214</v>
      </c>
      <c r="E100" s="132" t="s">
        <v>2214</v>
      </c>
      <c r="F100" s="132" t="s">
        <v>2214</v>
      </c>
      <c r="G100" s="138" t="s">
        <v>2214</v>
      </c>
      <c r="H100" s="132" t="e">
        <v>#N/A</v>
      </c>
      <c r="I100" s="135" t="s">
        <v>2214</v>
      </c>
    </row>
    <row r="101" spans="1:9">
      <c r="A101" s="131">
        <v>39528</v>
      </c>
      <c r="B101" s="132">
        <v>92.24</v>
      </c>
      <c r="C101" s="132" t="s">
        <v>2214</v>
      </c>
      <c r="D101" s="132" t="s">
        <v>2214</v>
      </c>
      <c r="E101" s="132" t="s">
        <v>2214</v>
      </c>
      <c r="F101" s="132" t="s">
        <v>2214</v>
      </c>
      <c r="G101" s="138" t="s">
        <v>2214</v>
      </c>
      <c r="H101" s="132" t="e">
        <v>#N/A</v>
      </c>
      <c r="I101" s="135" t="s">
        <v>2214</v>
      </c>
    </row>
    <row r="102" spans="1:9">
      <c r="A102" s="131">
        <v>39531</v>
      </c>
      <c r="B102" s="132">
        <v>92.24</v>
      </c>
      <c r="C102" s="132" t="s">
        <v>2214</v>
      </c>
      <c r="D102" s="132" t="s">
        <v>2214</v>
      </c>
      <c r="E102" s="132" t="s">
        <v>2214</v>
      </c>
      <c r="F102" s="132" t="s">
        <v>2214</v>
      </c>
      <c r="G102" s="138" t="s">
        <v>2214</v>
      </c>
      <c r="H102" s="132" t="e">
        <v>#N/A</v>
      </c>
      <c r="I102" s="135" t="s">
        <v>2214</v>
      </c>
    </row>
    <row r="103" spans="1:9">
      <c r="A103" s="131">
        <v>39532</v>
      </c>
      <c r="B103" s="132">
        <v>92.24</v>
      </c>
      <c r="C103" s="132" t="s">
        <v>2214</v>
      </c>
      <c r="D103" s="132" t="s">
        <v>2214</v>
      </c>
      <c r="E103" s="132" t="s">
        <v>2214</v>
      </c>
      <c r="F103" s="132" t="s">
        <v>2214</v>
      </c>
      <c r="G103" s="138" t="s">
        <v>2214</v>
      </c>
      <c r="H103" s="132" t="e">
        <v>#N/A</v>
      </c>
      <c r="I103" s="135" t="s">
        <v>2214</v>
      </c>
    </row>
    <row r="104" spans="1:9">
      <c r="A104" s="131">
        <v>39533</v>
      </c>
      <c r="B104" s="132">
        <v>92.24</v>
      </c>
      <c r="C104" s="132" t="s">
        <v>2214</v>
      </c>
      <c r="D104" s="132" t="s">
        <v>2214</v>
      </c>
      <c r="E104" s="132" t="s">
        <v>2214</v>
      </c>
      <c r="F104" s="132" t="s">
        <v>2214</v>
      </c>
      <c r="G104" s="138" t="s">
        <v>2214</v>
      </c>
      <c r="H104" s="132" t="e">
        <v>#N/A</v>
      </c>
      <c r="I104" s="135" t="s">
        <v>2214</v>
      </c>
    </row>
    <row r="105" spans="1:9">
      <c r="A105" s="131">
        <v>39534</v>
      </c>
      <c r="B105" s="132">
        <v>92.24</v>
      </c>
      <c r="C105" s="132" t="s">
        <v>2214</v>
      </c>
      <c r="D105" s="132" t="s">
        <v>2214</v>
      </c>
      <c r="E105" s="132" t="s">
        <v>2214</v>
      </c>
      <c r="F105" s="132" t="s">
        <v>2214</v>
      </c>
      <c r="G105" s="138" t="s">
        <v>2214</v>
      </c>
      <c r="H105" s="132" t="e">
        <v>#N/A</v>
      </c>
      <c r="I105" s="135" t="s">
        <v>2214</v>
      </c>
    </row>
    <row r="106" spans="1:9">
      <c r="A106" s="131">
        <v>39535</v>
      </c>
      <c r="B106" s="132">
        <v>92.24</v>
      </c>
      <c r="C106" s="132" t="s">
        <v>2214</v>
      </c>
      <c r="D106" s="132" t="s">
        <v>2214</v>
      </c>
      <c r="E106" s="132" t="s">
        <v>2214</v>
      </c>
      <c r="F106" s="132" t="s">
        <v>2214</v>
      </c>
      <c r="G106" s="138" t="s">
        <v>2214</v>
      </c>
      <c r="H106" s="132" t="e">
        <v>#N/A</v>
      </c>
      <c r="I106" s="135" t="s">
        <v>2214</v>
      </c>
    </row>
    <row r="107" spans="1:9">
      <c r="A107" s="131">
        <v>39538</v>
      </c>
      <c r="B107" s="132">
        <v>92.24</v>
      </c>
      <c r="C107" s="132" t="s">
        <v>2214</v>
      </c>
      <c r="D107" s="132" t="s">
        <v>2214</v>
      </c>
      <c r="E107" s="132" t="s">
        <v>2214</v>
      </c>
      <c r="F107" s="132" t="s">
        <v>2214</v>
      </c>
      <c r="G107" s="138" t="s">
        <v>2214</v>
      </c>
      <c r="H107" s="132" t="e">
        <v>#N/A</v>
      </c>
      <c r="I107" s="135" t="s">
        <v>2214</v>
      </c>
    </row>
    <row r="108" spans="1:9">
      <c r="A108" s="131">
        <v>39539</v>
      </c>
      <c r="B108" s="132">
        <v>92.24</v>
      </c>
      <c r="C108" s="132" t="s">
        <v>2214</v>
      </c>
      <c r="D108" s="132" t="s">
        <v>2214</v>
      </c>
      <c r="E108" s="132" t="s">
        <v>2214</v>
      </c>
      <c r="F108" s="132" t="s">
        <v>2214</v>
      </c>
      <c r="G108" s="138" t="s">
        <v>2214</v>
      </c>
      <c r="H108" s="132" t="e">
        <v>#N/A</v>
      </c>
      <c r="I108" s="135" t="s">
        <v>2214</v>
      </c>
    </row>
    <row r="109" spans="1:9">
      <c r="A109" s="131">
        <v>39540</v>
      </c>
      <c r="B109" s="132">
        <v>92.24</v>
      </c>
      <c r="C109" s="132" t="s">
        <v>2214</v>
      </c>
      <c r="D109" s="132" t="s">
        <v>2214</v>
      </c>
      <c r="E109" s="132" t="s">
        <v>2214</v>
      </c>
      <c r="F109" s="132" t="s">
        <v>2214</v>
      </c>
      <c r="G109" s="138" t="s">
        <v>2214</v>
      </c>
      <c r="H109" s="132" t="e">
        <v>#N/A</v>
      </c>
      <c r="I109" s="135" t="s">
        <v>2214</v>
      </c>
    </row>
    <row r="110" spans="1:9">
      <c r="A110" s="131">
        <v>39541</v>
      </c>
      <c r="B110" s="132">
        <v>92.24</v>
      </c>
      <c r="C110" s="132" t="s">
        <v>2214</v>
      </c>
      <c r="D110" s="132" t="s">
        <v>2214</v>
      </c>
      <c r="E110" s="132" t="s">
        <v>2214</v>
      </c>
      <c r="F110" s="132" t="s">
        <v>2214</v>
      </c>
      <c r="G110" s="138" t="s">
        <v>2214</v>
      </c>
      <c r="H110" s="132" t="e">
        <v>#N/A</v>
      </c>
      <c r="I110" s="135" t="s">
        <v>2214</v>
      </c>
    </row>
    <row r="111" spans="1:9">
      <c r="A111" s="131">
        <v>39545</v>
      </c>
      <c r="B111" s="132">
        <v>92.24</v>
      </c>
      <c r="C111" s="132" t="s">
        <v>2214</v>
      </c>
      <c r="D111" s="132" t="s">
        <v>2214</v>
      </c>
      <c r="E111" s="132" t="s">
        <v>2214</v>
      </c>
      <c r="F111" s="132" t="s">
        <v>2214</v>
      </c>
      <c r="G111" s="138" t="s">
        <v>2214</v>
      </c>
      <c r="H111" s="132" t="e">
        <v>#N/A</v>
      </c>
      <c r="I111" s="135" t="s">
        <v>2214</v>
      </c>
    </row>
    <row r="112" spans="1:9">
      <c r="A112" s="131">
        <v>39546</v>
      </c>
      <c r="B112" s="132">
        <v>92.24</v>
      </c>
      <c r="C112" s="132" t="s">
        <v>2214</v>
      </c>
      <c r="D112" s="132" t="s">
        <v>2214</v>
      </c>
      <c r="E112" s="132" t="s">
        <v>2214</v>
      </c>
      <c r="F112" s="132" t="s">
        <v>2214</v>
      </c>
      <c r="G112" s="138" t="s">
        <v>2214</v>
      </c>
      <c r="H112" s="132" t="e">
        <v>#N/A</v>
      </c>
      <c r="I112" s="135" t="s">
        <v>2214</v>
      </c>
    </row>
    <row r="113" spans="1:9">
      <c r="A113" s="131">
        <v>39547</v>
      </c>
      <c r="B113" s="132">
        <v>92.24</v>
      </c>
      <c r="C113" s="132" t="s">
        <v>2214</v>
      </c>
      <c r="D113" s="132" t="s">
        <v>2214</v>
      </c>
      <c r="E113" s="132" t="s">
        <v>2214</v>
      </c>
      <c r="F113" s="132" t="s">
        <v>2214</v>
      </c>
      <c r="G113" s="138" t="s">
        <v>2214</v>
      </c>
      <c r="H113" s="132" t="e">
        <v>#N/A</v>
      </c>
      <c r="I113" s="135" t="s">
        <v>2214</v>
      </c>
    </row>
    <row r="114" spans="1:9">
      <c r="A114" s="131">
        <v>39548</v>
      </c>
      <c r="B114" s="132">
        <v>92.24</v>
      </c>
      <c r="C114" s="132" t="s">
        <v>2214</v>
      </c>
      <c r="D114" s="132" t="s">
        <v>2214</v>
      </c>
      <c r="E114" s="132" t="s">
        <v>2214</v>
      </c>
      <c r="F114" s="132" t="s">
        <v>2214</v>
      </c>
      <c r="G114" s="138" t="s">
        <v>2214</v>
      </c>
      <c r="H114" s="132" t="e">
        <v>#N/A</v>
      </c>
      <c r="I114" s="135" t="s">
        <v>2214</v>
      </c>
    </row>
    <row r="115" spans="1:9">
      <c r="A115" s="131">
        <v>39549</v>
      </c>
      <c r="B115" s="132">
        <v>92.24</v>
      </c>
      <c r="C115" s="132" t="s">
        <v>2214</v>
      </c>
      <c r="D115" s="132" t="s">
        <v>2214</v>
      </c>
      <c r="E115" s="132" t="s">
        <v>2214</v>
      </c>
      <c r="F115" s="132" t="s">
        <v>2214</v>
      </c>
      <c r="G115" s="138" t="s">
        <v>2214</v>
      </c>
      <c r="H115" s="132" t="e">
        <v>#N/A</v>
      </c>
      <c r="I115" s="135" t="s">
        <v>2214</v>
      </c>
    </row>
    <row r="116" spans="1:9">
      <c r="A116" s="131">
        <v>39552</v>
      </c>
      <c r="B116" s="132">
        <v>92.24</v>
      </c>
      <c r="C116" s="132" t="s">
        <v>2214</v>
      </c>
      <c r="D116" s="132" t="s">
        <v>2214</v>
      </c>
      <c r="E116" s="132" t="s">
        <v>2214</v>
      </c>
      <c r="F116" s="132" t="s">
        <v>2214</v>
      </c>
      <c r="G116" s="138" t="s">
        <v>2214</v>
      </c>
      <c r="H116" s="132" t="e">
        <v>#N/A</v>
      </c>
      <c r="I116" s="135" t="s">
        <v>2214</v>
      </c>
    </row>
    <row r="117" spans="1:9">
      <c r="A117" s="131">
        <v>39553</v>
      </c>
      <c r="B117" s="132">
        <v>95.16</v>
      </c>
      <c r="C117" s="132" t="s">
        <v>2214</v>
      </c>
      <c r="D117" s="132" t="s">
        <v>2214</v>
      </c>
      <c r="E117" s="132" t="s">
        <v>2214</v>
      </c>
      <c r="F117" s="132" t="s">
        <v>2214</v>
      </c>
      <c r="G117" s="138" t="s">
        <v>2214</v>
      </c>
      <c r="H117" s="132" t="e">
        <v>#N/A</v>
      </c>
      <c r="I117" s="135" t="s">
        <v>2214</v>
      </c>
    </row>
    <row r="118" spans="1:9">
      <c r="A118" s="131">
        <v>39554</v>
      </c>
      <c r="B118" s="132">
        <v>95.16</v>
      </c>
      <c r="C118" s="132" t="s">
        <v>2214</v>
      </c>
      <c r="D118" s="132" t="s">
        <v>2214</v>
      </c>
      <c r="E118" s="132" t="s">
        <v>2214</v>
      </c>
      <c r="F118" s="132" t="s">
        <v>2214</v>
      </c>
      <c r="G118" s="138" t="s">
        <v>2214</v>
      </c>
      <c r="H118" s="132" t="e">
        <v>#N/A</v>
      </c>
      <c r="I118" s="135" t="s">
        <v>2214</v>
      </c>
    </row>
    <row r="119" spans="1:9">
      <c r="A119" s="131">
        <v>39555</v>
      </c>
      <c r="B119" s="132">
        <v>95.16</v>
      </c>
      <c r="C119" s="132" t="s">
        <v>2214</v>
      </c>
      <c r="D119" s="132" t="s">
        <v>2214</v>
      </c>
      <c r="E119" s="132" t="s">
        <v>2214</v>
      </c>
      <c r="F119" s="132" t="s">
        <v>2214</v>
      </c>
      <c r="G119" s="138" t="s">
        <v>2214</v>
      </c>
      <c r="H119" s="132" t="e">
        <v>#N/A</v>
      </c>
      <c r="I119" s="135" t="s">
        <v>2214</v>
      </c>
    </row>
    <row r="120" spans="1:9">
      <c r="A120" s="131">
        <v>39556</v>
      </c>
      <c r="B120" s="132">
        <v>95.53</v>
      </c>
      <c r="C120" s="132" t="s">
        <v>2214</v>
      </c>
      <c r="D120" s="132" t="s">
        <v>2214</v>
      </c>
      <c r="E120" s="132" t="s">
        <v>2214</v>
      </c>
      <c r="F120" s="132" t="s">
        <v>2214</v>
      </c>
      <c r="G120" s="138" t="s">
        <v>2214</v>
      </c>
      <c r="H120" s="132" t="e">
        <v>#N/A</v>
      </c>
      <c r="I120" s="135" t="s">
        <v>2214</v>
      </c>
    </row>
    <row r="121" spans="1:9">
      <c r="A121" s="131">
        <v>39559</v>
      </c>
      <c r="B121" s="132">
        <v>95.53</v>
      </c>
      <c r="C121" s="132" t="s">
        <v>2214</v>
      </c>
      <c r="D121" s="132" t="s">
        <v>2214</v>
      </c>
      <c r="E121" s="132" t="s">
        <v>2214</v>
      </c>
      <c r="F121" s="132" t="s">
        <v>2214</v>
      </c>
      <c r="G121" s="138" t="s">
        <v>2214</v>
      </c>
      <c r="H121" s="132" t="e">
        <v>#N/A</v>
      </c>
      <c r="I121" s="135" t="s">
        <v>2214</v>
      </c>
    </row>
    <row r="122" spans="1:9">
      <c r="A122" s="131">
        <v>39560</v>
      </c>
      <c r="B122" s="132">
        <v>95.53</v>
      </c>
      <c r="C122" s="132" t="s">
        <v>2214</v>
      </c>
      <c r="D122" s="132" t="s">
        <v>2214</v>
      </c>
      <c r="E122" s="132" t="s">
        <v>2214</v>
      </c>
      <c r="F122" s="132" t="s">
        <v>2214</v>
      </c>
      <c r="G122" s="138" t="s">
        <v>2214</v>
      </c>
      <c r="H122" s="132" t="e">
        <v>#N/A</v>
      </c>
      <c r="I122" s="135" t="s">
        <v>2214</v>
      </c>
    </row>
    <row r="123" spans="1:9">
      <c r="A123" s="131">
        <v>39561</v>
      </c>
      <c r="B123" s="132">
        <v>95.53</v>
      </c>
      <c r="C123" s="132" t="s">
        <v>2214</v>
      </c>
      <c r="D123" s="132" t="s">
        <v>2214</v>
      </c>
      <c r="E123" s="132" t="s">
        <v>2214</v>
      </c>
      <c r="F123" s="132" t="s">
        <v>2214</v>
      </c>
      <c r="G123" s="138" t="s">
        <v>2214</v>
      </c>
      <c r="H123" s="132" t="e">
        <v>#N/A</v>
      </c>
      <c r="I123" s="135" t="s">
        <v>2214</v>
      </c>
    </row>
    <row r="124" spans="1:9">
      <c r="A124" s="131">
        <v>39562</v>
      </c>
      <c r="B124" s="132">
        <v>95.53</v>
      </c>
      <c r="C124" s="132" t="s">
        <v>2214</v>
      </c>
      <c r="D124" s="132" t="s">
        <v>2214</v>
      </c>
      <c r="E124" s="132" t="s">
        <v>2214</v>
      </c>
      <c r="F124" s="132" t="s">
        <v>2214</v>
      </c>
      <c r="G124" s="138" t="s">
        <v>2214</v>
      </c>
      <c r="H124" s="132" t="e">
        <v>#N/A</v>
      </c>
      <c r="I124" s="135" t="s">
        <v>2214</v>
      </c>
    </row>
    <row r="125" spans="1:9">
      <c r="A125" s="131">
        <v>39563</v>
      </c>
      <c r="B125" s="132">
        <v>95.53</v>
      </c>
      <c r="C125" s="132" t="s">
        <v>2214</v>
      </c>
      <c r="D125" s="132" t="s">
        <v>2214</v>
      </c>
      <c r="E125" s="132" t="s">
        <v>2214</v>
      </c>
      <c r="F125" s="132" t="s">
        <v>2214</v>
      </c>
      <c r="G125" s="138" t="s">
        <v>2214</v>
      </c>
      <c r="H125" s="132" t="e">
        <v>#N/A</v>
      </c>
      <c r="I125" s="135" t="s">
        <v>2214</v>
      </c>
    </row>
    <row r="126" spans="1:9">
      <c r="A126" s="131">
        <v>39566</v>
      </c>
      <c r="B126" s="132">
        <v>95.53</v>
      </c>
      <c r="C126" s="132" t="s">
        <v>2214</v>
      </c>
      <c r="D126" s="132" t="s">
        <v>2214</v>
      </c>
      <c r="E126" s="132" t="s">
        <v>2214</v>
      </c>
      <c r="F126" s="132" t="s">
        <v>2214</v>
      </c>
      <c r="G126" s="138" t="s">
        <v>2214</v>
      </c>
      <c r="H126" s="132" t="e">
        <v>#N/A</v>
      </c>
      <c r="I126" s="135" t="s">
        <v>2214</v>
      </c>
    </row>
    <row r="127" spans="1:9">
      <c r="A127" s="131">
        <v>39567</v>
      </c>
      <c r="B127" s="132">
        <v>95.53</v>
      </c>
      <c r="C127" s="132" t="s">
        <v>2214</v>
      </c>
      <c r="D127" s="132" t="s">
        <v>2214</v>
      </c>
      <c r="E127" s="132" t="s">
        <v>2214</v>
      </c>
      <c r="F127" s="132" t="s">
        <v>2214</v>
      </c>
      <c r="G127" s="138" t="s">
        <v>2214</v>
      </c>
      <c r="H127" s="132" t="e">
        <v>#N/A</v>
      </c>
      <c r="I127" s="135" t="s">
        <v>2214</v>
      </c>
    </row>
    <row r="128" spans="1:9">
      <c r="A128" s="131">
        <v>39568</v>
      </c>
      <c r="B128" s="132">
        <v>95.53</v>
      </c>
      <c r="C128" s="132" t="s">
        <v>2214</v>
      </c>
      <c r="D128" s="132" t="s">
        <v>2214</v>
      </c>
      <c r="E128" s="132" t="s">
        <v>2214</v>
      </c>
      <c r="F128" s="132" t="s">
        <v>2214</v>
      </c>
      <c r="G128" s="138" t="s">
        <v>2214</v>
      </c>
      <c r="H128" s="132" t="e">
        <v>#N/A</v>
      </c>
      <c r="I128" s="135" t="s">
        <v>2214</v>
      </c>
    </row>
    <row r="129" spans="1:9">
      <c r="A129" s="131">
        <v>39572</v>
      </c>
      <c r="B129" s="132">
        <v>95.53</v>
      </c>
      <c r="C129" s="132" t="s">
        <v>2214</v>
      </c>
      <c r="D129" s="132" t="s">
        <v>2214</v>
      </c>
      <c r="E129" s="132" t="s">
        <v>2214</v>
      </c>
      <c r="F129" s="132" t="s">
        <v>2214</v>
      </c>
      <c r="G129" s="138" t="s">
        <v>2214</v>
      </c>
      <c r="H129" s="132" t="e">
        <v>#N/A</v>
      </c>
      <c r="I129" s="135" t="s">
        <v>2214</v>
      </c>
    </row>
    <row r="130" spans="1:9">
      <c r="A130" s="131">
        <v>39573</v>
      </c>
      <c r="B130" s="132">
        <v>95.53</v>
      </c>
      <c r="C130" s="132" t="s">
        <v>2214</v>
      </c>
      <c r="D130" s="132" t="s">
        <v>2214</v>
      </c>
      <c r="E130" s="132" t="s">
        <v>2214</v>
      </c>
      <c r="F130" s="132" t="s">
        <v>2214</v>
      </c>
      <c r="G130" s="138" t="s">
        <v>2214</v>
      </c>
      <c r="H130" s="132" t="e">
        <v>#N/A</v>
      </c>
      <c r="I130" s="135" t="s">
        <v>2214</v>
      </c>
    </row>
    <row r="131" spans="1:9">
      <c r="A131" s="131">
        <v>39574</v>
      </c>
      <c r="B131" s="132">
        <v>95.53</v>
      </c>
      <c r="C131" s="132" t="s">
        <v>2214</v>
      </c>
      <c r="D131" s="132" t="s">
        <v>2214</v>
      </c>
      <c r="E131" s="132" t="s">
        <v>2214</v>
      </c>
      <c r="F131" s="132" t="s">
        <v>2214</v>
      </c>
      <c r="G131" s="138" t="s">
        <v>2214</v>
      </c>
      <c r="H131" s="132" t="e">
        <v>#N/A</v>
      </c>
      <c r="I131" s="135" t="s">
        <v>2214</v>
      </c>
    </row>
    <row r="132" spans="1:9">
      <c r="A132" s="131">
        <v>39575</v>
      </c>
      <c r="B132" s="132">
        <v>94.83</v>
      </c>
      <c r="C132" s="132" t="s">
        <v>2214</v>
      </c>
      <c r="D132" s="132" t="s">
        <v>2214</v>
      </c>
      <c r="E132" s="132" t="s">
        <v>2214</v>
      </c>
      <c r="F132" s="132" t="s">
        <v>2214</v>
      </c>
      <c r="G132" s="138" t="s">
        <v>2214</v>
      </c>
      <c r="H132" s="132" t="e">
        <v>#N/A</v>
      </c>
      <c r="I132" s="135" t="s">
        <v>2214</v>
      </c>
    </row>
    <row r="133" spans="1:9">
      <c r="A133" s="131">
        <v>39576</v>
      </c>
      <c r="B133" s="132">
        <v>94.83</v>
      </c>
      <c r="C133" s="132" t="s">
        <v>2214</v>
      </c>
      <c r="D133" s="132" t="s">
        <v>2214</v>
      </c>
      <c r="E133" s="132" t="s">
        <v>2214</v>
      </c>
      <c r="F133" s="132" t="s">
        <v>2214</v>
      </c>
      <c r="G133" s="138" t="s">
        <v>2214</v>
      </c>
      <c r="H133" s="132" t="e">
        <v>#N/A</v>
      </c>
      <c r="I133" s="135" t="s">
        <v>2214</v>
      </c>
    </row>
    <row r="134" spans="1:9">
      <c r="A134" s="131">
        <v>39577</v>
      </c>
      <c r="B134" s="132">
        <v>94.84</v>
      </c>
      <c r="C134" s="132" t="s">
        <v>2214</v>
      </c>
      <c r="D134" s="132" t="s">
        <v>2214</v>
      </c>
      <c r="E134" s="132" t="s">
        <v>2214</v>
      </c>
      <c r="F134" s="132" t="s">
        <v>2214</v>
      </c>
      <c r="G134" s="138" t="s">
        <v>2214</v>
      </c>
      <c r="H134" s="132" t="e">
        <v>#N/A</v>
      </c>
      <c r="I134" s="135" t="s">
        <v>2214</v>
      </c>
    </row>
    <row r="135" spans="1:9">
      <c r="A135" s="131">
        <v>39580</v>
      </c>
      <c r="B135" s="132">
        <v>94.84</v>
      </c>
      <c r="C135" s="132" t="s">
        <v>2214</v>
      </c>
      <c r="D135" s="132" t="s">
        <v>2214</v>
      </c>
      <c r="E135" s="132" t="s">
        <v>2214</v>
      </c>
      <c r="F135" s="132" t="s">
        <v>2214</v>
      </c>
      <c r="G135" s="138" t="s">
        <v>2214</v>
      </c>
      <c r="H135" s="132" t="e">
        <v>#N/A</v>
      </c>
      <c r="I135" s="135" t="s">
        <v>2214</v>
      </c>
    </row>
    <row r="136" spans="1:9">
      <c r="A136" s="131">
        <v>39581</v>
      </c>
      <c r="B136" s="132">
        <v>94.84</v>
      </c>
      <c r="C136" s="132" t="s">
        <v>2214</v>
      </c>
      <c r="D136" s="132" t="s">
        <v>2214</v>
      </c>
      <c r="E136" s="132" t="s">
        <v>2214</v>
      </c>
      <c r="F136" s="132" t="s">
        <v>2214</v>
      </c>
      <c r="G136" s="138" t="s">
        <v>2214</v>
      </c>
      <c r="H136" s="132" t="e">
        <v>#N/A</v>
      </c>
      <c r="I136" s="135" t="s">
        <v>2214</v>
      </c>
    </row>
    <row r="137" spans="1:9">
      <c r="A137" s="131">
        <v>39582</v>
      </c>
      <c r="B137" s="132">
        <v>94.84</v>
      </c>
      <c r="C137" s="132" t="s">
        <v>2214</v>
      </c>
      <c r="D137" s="132" t="s">
        <v>2214</v>
      </c>
      <c r="E137" s="132" t="s">
        <v>2214</v>
      </c>
      <c r="F137" s="132" t="s">
        <v>2214</v>
      </c>
      <c r="G137" s="138" t="s">
        <v>2214</v>
      </c>
      <c r="H137" s="132" t="e">
        <v>#N/A</v>
      </c>
      <c r="I137" s="135" t="s">
        <v>2214</v>
      </c>
    </row>
    <row r="138" spans="1:9">
      <c r="A138" s="131">
        <v>39583</v>
      </c>
      <c r="B138" s="132">
        <v>94.84</v>
      </c>
      <c r="C138" s="132" t="s">
        <v>2214</v>
      </c>
      <c r="D138" s="132" t="s">
        <v>2214</v>
      </c>
      <c r="E138" s="132" t="s">
        <v>2214</v>
      </c>
      <c r="F138" s="132" t="s">
        <v>2214</v>
      </c>
      <c r="G138" s="138" t="s">
        <v>2214</v>
      </c>
      <c r="H138" s="132" t="e">
        <v>#N/A</v>
      </c>
      <c r="I138" s="135" t="s">
        <v>2214</v>
      </c>
    </row>
    <row r="139" spans="1:9">
      <c r="A139" s="131">
        <v>39584</v>
      </c>
      <c r="B139" s="132">
        <v>94.84</v>
      </c>
      <c r="C139" s="132" t="s">
        <v>2214</v>
      </c>
      <c r="D139" s="132" t="s">
        <v>2214</v>
      </c>
      <c r="E139" s="132" t="s">
        <v>2214</v>
      </c>
      <c r="F139" s="132" t="s">
        <v>2214</v>
      </c>
      <c r="G139" s="138" t="s">
        <v>2214</v>
      </c>
      <c r="H139" s="132" t="e">
        <v>#N/A</v>
      </c>
      <c r="I139" s="135" t="s">
        <v>2214</v>
      </c>
    </row>
    <row r="140" spans="1:9">
      <c r="A140" s="131">
        <v>39587</v>
      </c>
      <c r="B140" s="132">
        <v>94.84</v>
      </c>
      <c r="C140" s="132" t="s">
        <v>2214</v>
      </c>
      <c r="D140" s="132" t="s">
        <v>2214</v>
      </c>
      <c r="E140" s="132" t="s">
        <v>2214</v>
      </c>
      <c r="F140" s="132" t="s">
        <v>2214</v>
      </c>
      <c r="G140" s="138" t="s">
        <v>2214</v>
      </c>
      <c r="H140" s="132" t="e">
        <v>#N/A</v>
      </c>
      <c r="I140" s="135" t="s">
        <v>2214</v>
      </c>
    </row>
    <row r="141" spans="1:9">
      <c r="A141" s="131">
        <v>39588</v>
      </c>
      <c r="B141" s="132">
        <v>94.84</v>
      </c>
      <c r="C141" s="132" t="s">
        <v>2214</v>
      </c>
      <c r="D141" s="132" t="s">
        <v>2214</v>
      </c>
      <c r="E141" s="132" t="s">
        <v>2214</v>
      </c>
      <c r="F141" s="132" t="s">
        <v>2214</v>
      </c>
      <c r="G141" s="138" t="s">
        <v>2214</v>
      </c>
      <c r="H141" s="132" t="e">
        <v>#N/A</v>
      </c>
      <c r="I141" s="135" t="s">
        <v>2214</v>
      </c>
    </row>
    <row r="142" spans="1:9">
      <c r="A142" s="131">
        <v>39589</v>
      </c>
      <c r="B142" s="132">
        <v>94.84</v>
      </c>
      <c r="C142" s="132" t="s">
        <v>2214</v>
      </c>
      <c r="D142" s="132" t="s">
        <v>2214</v>
      </c>
      <c r="E142" s="132" t="s">
        <v>2214</v>
      </c>
      <c r="F142" s="132" t="s">
        <v>2214</v>
      </c>
      <c r="G142" s="138" t="s">
        <v>2214</v>
      </c>
      <c r="H142" s="132" t="e">
        <v>#N/A</v>
      </c>
      <c r="I142" s="135" t="s">
        <v>2214</v>
      </c>
    </row>
    <row r="143" spans="1:9">
      <c r="A143" s="131">
        <v>39590</v>
      </c>
      <c r="B143" s="132">
        <v>94.84</v>
      </c>
      <c r="C143" s="132" t="s">
        <v>2214</v>
      </c>
      <c r="D143" s="132" t="s">
        <v>2214</v>
      </c>
      <c r="E143" s="132" t="s">
        <v>2214</v>
      </c>
      <c r="F143" s="132" t="s">
        <v>2214</v>
      </c>
      <c r="G143" s="138" t="s">
        <v>2214</v>
      </c>
      <c r="H143" s="132" t="e">
        <v>#N/A</v>
      </c>
      <c r="I143" s="135" t="s">
        <v>2214</v>
      </c>
    </row>
    <row r="144" spans="1:9">
      <c r="A144" s="131">
        <v>39591</v>
      </c>
      <c r="B144" s="132">
        <v>94.84</v>
      </c>
      <c r="C144" s="132" t="s">
        <v>2214</v>
      </c>
      <c r="D144" s="132" t="s">
        <v>2214</v>
      </c>
      <c r="E144" s="132" t="s">
        <v>2214</v>
      </c>
      <c r="F144" s="132" t="s">
        <v>2214</v>
      </c>
      <c r="G144" s="138" t="s">
        <v>2214</v>
      </c>
      <c r="H144" s="132" t="e">
        <v>#N/A</v>
      </c>
      <c r="I144" s="135" t="s">
        <v>2214</v>
      </c>
    </row>
    <row r="145" spans="1:9">
      <c r="A145" s="131">
        <v>39594</v>
      </c>
      <c r="B145" s="132">
        <v>94.84</v>
      </c>
      <c r="C145" s="132" t="s">
        <v>2214</v>
      </c>
      <c r="D145" s="132" t="s">
        <v>2214</v>
      </c>
      <c r="E145" s="132" t="s">
        <v>2214</v>
      </c>
      <c r="F145" s="132" t="s">
        <v>2214</v>
      </c>
      <c r="G145" s="138" t="s">
        <v>2214</v>
      </c>
      <c r="H145" s="132" t="e">
        <v>#N/A</v>
      </c>
      <c r="I145" s="135" t="s">
        <v>2214</v>
      </c>
    </row>
    <row r="146" spans="1:9">
      <c r="A146" s="131">
        <v>39595</v>
      </c>
      <c r="B146" s="132">
        <v>94.84</v>
      </c>
      <c r="C146" s="132" t="s">
        <v>2214</v>
      </c>
      <c r="D146" s="132" t="s">
        <v>2214</v>
      </c>
      <c r="E146" s="132" t="s">
        <v>2214</v>
      </c>
      <c r="F146" s="132" t="s">
        <v>2214</v>
      </c>
      <c r="G146" s="138" t="s">
        <v>2214</v>
      </c>
      <c r="H146" s="132" t="e">
        <v>#N/A</v>
      </c>
      <c r="I146" s="135" t="s">
        <v>2214</v>
      </c>
    </row>
    <row r="147" spans="1:9">
      <c r="A147" s="131">
        <v>39596</v>
      </c>
      <c r="B147" s="132">
        <v>94.84</v>
      </c>
      <c r="C147" s="132" t="s">
        <v>2214</v>
      </c>
      <c r="D147" s="132" t="s">
        <v>2214</v>
      </c>
      <c r="E147" s="132" t="s">
        <v>2214</v>
      </c>
      <c r="F147" s="132" t="s">
        <v>2214</v>
      </c>
      <c r="G147" s="138" t="s">
        <v>2214</v>
      </c>
      <c r="H147" s="132" t="e">
        <v>#N/A</v>
      </c>
      <c r="I147" s="135" t="s">
        <v>2214</v>
      </c>
    </row>
    <row r="148" spans="1:9">
      <c r="A148" s="131">
        <v>39597</v>
      </c>
      <c r="B148" s="132">
        <v>94.84</v>
      </c>
      <c r="C148" s="132" t="s">
        <v>2214</v>
      </c>
      <c r="D148" s="132" t="s">
        <v>2214</v>
      </c>
      <c r="E148" s="132" t="s">
        <v>2214</v>
      </c>
      <c r="F148" s="132" t="s">
        <v>2214</v>
      </c>
      <c r="G148" s="138" t="s">
        <v>2214</v>
      </c>
      <c r="H148" s="132" t="e">
        <v>#N/A</v>
      </c>
      <c r="I148" s="135" t="s">
        <v>2214</v>
      </c>
    </row>
    <row r="149" spans="1:9">
      <c r="A149" s="131">
        <v>39598</v>
      </c>
      <c r="B149" s="132">
        <v>94.84</v>
      </c>
      <c r="C149" s="132" t="s">
        <v>2214</v>
      </c>
      <c r="D149" s="132" t="s">
        <v>2214</v>
      </c>
      <c r="E149" s="132" t="s">
        <v>2214</v>
      </c>
      <c r="F149" s="132" t="s">
        <v>2214</v>
      </c>
      <c r="G149" s="138" t="s">
        <v>2214</v>
      </c>
      <c r="H149" s="132" t="e">
        <v>#N/A</v>
      </c>
      <c r="I149" s="135" t="s">
        <v>2214</v>
      </c>
    </row>
    <row r="150" spans="1:9">
      <c r="A150" s="131">
        <v>39601</v>
      </c>
      <c r="B150" s="132">
        <v>94.84</v>
      </c>
      <c r="C150" s="132" t="s">
        <v>2214</v>
      </c>
      <c r="D150" s="132" t="s">
        <v>2214</v>
      </c>
      <c r="E150" s="132" t="s">
        <v>2214</v>
      </c>
      <c r="F150" s="132" t="s">
        <v>2214</v>
      </c>
      <c r="G150" s="138" t="s">
        <v>2214</v>
      </c>
      <c r="H150" s="132" t="e">
        <v>#N/A</v>
      </c>
      <c r="I150" s="135" t="s">
        <v>2214</v>
      </c>
    </row>
    <row r="151" spans="1:9">
      <c r="A151" s="131">
        <v>39602</v>
      </c>
      <c r="B151" s="132">
        <v>94.84</v>
      </c>
      <c r="C151" s="132" t="s">
        <v>2214</v>
      </c>
      <c r="D151" s="132" t="s">
        <v>2214</v>
      </c>
      <c r="E151" s="132" t="s">
        <v>2214</v>
      </c>
      <c r="F151" s="132" t="s">
        <v>2214</v>
      </c>
      <c r="G151" s="138" t="s">
        <v>2214</v>
      </c>
      <c r="H151" s="132" t="e">
        <v>#N/A</v>
      </c>
      <c r="I151" s="135" t="s">
        <v>2214</v>
      </c>
    </row>
    <row r="152" spans="1:9">
      <c r="A152" s="131">
        <v>39603</v>
      </c>
      <c r="B152" s="132">
        <v>94.84</v>
      </c>
      <c r="C152" s="132" t="s">
        <v>2214</v>
      </c>
      <c r="D152" s="132" t="s">
        <v>2214</v>
      </c>
      <c r="E152" s="132" t="s">
        <v>2214</v>
      </c>
      <c r="F152" s="132" t="s">
        <v>2214</v>
      </c>
      <c r="G152" s="138" t="s">
        <v>2214</v>
      </c>
      <c r="H152" s="132" t="e">
        <v>#N/A</v>
      </c>
      <c r="I152" s="135" t="s">
        <v>2214</v>
      </c>
    </row>
    <row r="153" spans="1:9">
      <c r="A153" s="131">
        <v>39604</v>
      </c>
      <c r="B153" s="132">
        <v>94.84</v>
      </c>
      <c r="C153" s="132" t="s">
        <v>2214</v>
      </c>
      <c r="D153" s="132" t="s">
        <v>2214</v>
      </c>
      <c r="E153" s="132" t="s">
        <v>2214</v>
      </c>
      <c r="F153" s="132" t="s">
        <v>2214</v>
      </c>
      <c r="G153" s="138" t="s">
        <v>2214</v>
      </c>
      <c r="H153" s="132" t="e">
        <v>#N/A</v>
      </c>
      <c r="I153" s="135" t="s">
        <v>2214</v>
      </c>
    </row>
    <row r="154" spans="1:9">
      <c r="A154" s="131">
        <v>39605</v>
      </c>
      <c r="B154" s="132">
        <v>94.84</v>
      </c>
      <c r="C154" s="132" t="s">
        <v>2214</v>
      </c>
      <c r="D154" s="132" t="s">
        <v>2214</v>
      </c>
      <c r="E154" s="132" t="s">
        <v>2214</v>
      </c>
      <c r="F154" s="132" t="s">
        <v>2214</v>
      </c>
      <c r="G154" s="138" t="s">
        <v>2214</v>
      </c>
      <c r="H154" s="132" t="e">
        <v>#N/A</v>
      </c>
      <c r="I154" s="135" t="s">
        <v>2214</v>
      </c>
    </row>
    <row r="155" spans="1:9">
      <c r="A155" s="131">
        <v>39609</v>
      </c>
      <c r="B155" s="132">
        <v>94.84</v>
      </c>
      <c r="C155" s="132" t="s">
        <v>2214</v>
      </c>
      <c r="D155" s="132" t="s">
        <v>2214</v>
      </c>
      <c r="E155" s="132" t="s">
        <v>2214</v>
      </c>
      <c r="F155" s="132" t="s">
        <v>2214</v>
      </c>
      <c r="G155" s="138" t="s">
        <v>2214</v>
      </c>
      <c r="H155" s="132" t="e">
        <v>#N/A</v>
      </c>
      <c r="I155" s="135" t="s">
        <v>2214</v>
      </c>
    </row>
    <row r="156" spans="1:9">
      <c r="A156" s="131">
        <v>39610</v>
      </c>
      <c r="B156" s="132">
        <v>94.84</v>
      </c>
      <c r="C156" s="132" t="s">
        <v>2214</v>
      </c>
      <c r="D156" s="132" t="s">
        <v>2214</v>
      </c>
      <c r="E156" s="132" t="s">
        <v>2214</v>
      </c>
      <c r="F156" s="132" t="s">
        <v>2214</v>
      </c>
      <c r="G156" s="138" t="s">
        <v>2214</v>
      </c>
      <c r="H156" s="132" t="e">
        <v>#N/A</v>
      </c>
      <c r="I156" s="135" t="s">
        <v>2214</v>
      </c>
    </row>
    <row r="157" spans="1:9">
      <c r="A157" s="131">
        <v>39611</v>
      </c>
      <c r="B157" s="132">
        <v>94.84</v>
      </c>
      <c r="C157" s="132" t="s">
        <v>2214</v>
      </c>
      <c r="D157" s="132" t="s">
        <v>2214</v>
      </c>
      <c r="E157" s="132" t="s">
        <v>2214</v>
      </c>
      <c r="F157" s="132" t="s">
        <v>2214</v>
      </c>
      <c r="G157" s="138" t="s">
        <v>2214</v>
      </c>
      <c r="H157" s="132" t="e">
        <v>#N/A</v>
      </c>
      <c r="I157" s="135" t="s">
        <v>2214</v>
      </c>
    </row>
    <row r="158" spans="1:9">
      <c r="A158" s="131">
        <v>39612</v>
      </c>
      <c r="B158" s="132">
        <v>94.84</v>
      </c>
      <c r="C158" s="132" t="s">
        <v>2214</v>
      </c>
      <c r="D158" s="132" t="s">
        <v>2214</v>
      </c>
      <c r="E158" s="132" t="s">
        <v>2214</v>
      </c>
      <c r="F158" s="132" t="s">
        <v>2214</v>
      </c>
      <c r="G158" s="138" t="s">
        <v>2214</v>
      </c>
      <c r="H158" s="132" t="e">
        <v>#N/A</v>
      </c>
      <c r="I158" s="135" t="s">
        <v>2214</v>
      </c>
    </row>
    <row r="159" spans="1:9">
      <c r="A159" s="131">
        <v>39615</v>
      </c>
      <c r="B159" s="132">
        <v>94.84</v>
      </c>
      <c r="C159" s="132" t="s">
        <v>2214</v>
      </c>
      <c r="D159" s="132" t="s">
        <v>2214</v>
      </c>
      <c r="E159" s="132" t="s">
        <v>2214</v>
      </c>
      <c r="F159" s="132" t="s">
        <v>2214</v>
      </c>
      <c r="G159" s="138" t="s">
        <v>2214</v>
      </c>
      <c r="H159" s="132" t="e">
        <v>#N/A</v>
      </c>
      <c r="I159" s="135" t="s">
        <v>2214</v>
      </c>
    </row>
    <row r="160" spans="1:9">
      <c r="A160" s="131">
        <v>39616</v>
      </c>
      <c r="B160" s="132">
        <v>94.84</v>
      </c>
      <c r="C160" s="132" t="s">
        <v>2214</v>
      </c>
      <c r="D160" s="132" t="s">
        <v>2214</v>
      </c>
      <c r="E160" s="132" t="s">
        <v>2214</v>
      </c>
      <c r="F160" s="132" t="s">
        <v>2214</v>
      </c>
      <c r="G160" s="138" t="s">
        <v>2214</v>
      </c>
      <c r="H160" s="132" t="e">
        <v>#N/A</v>
      </c>
      <c r="I160" s="135" t="s">
        <v>2214</v>
      </c>
    </row>
    <row r="161" spans="1:9">
      <c r="A161" s="131">
        <v>39617</v>
      </c>
      <c r="B161" s="132">
        <v>94.84</v>
      </c>
      <c r="C161" s="132" t="s">
        <v>2214</v>
      </c>
      <c r="D161" s="132" t="s">
        <v>2214</v>
      </c>
      <c r="E161" s="132" t="s">
        <v>2214</v>
      </c>
      <c r="F161" s="132" t="s">
        <v>2214</v>
      </c>
      <c r="G161" s="138" t="s">
        <v>2214</v>
      </c>
      <c r="H161" s="132" t="e">
        <v>#N/A</v>
      </c>
      <c r="I161" s="135" t="s">
        <v>2214</v>
      </c>
    </row>
    <row r="162" spans="1:9">
      <c r="A162" s="131">
        <v>39618</v>
      </c>
      <c r="B162" s="132">
        <v>94.84</v>
      </c>
      <c r="C162" s="132" t="s">
        <v>2214</v>
      </c>
      <c r="D162" s="132" t="s">
        <v>2214</v>
      </c>
      <c r="E162" s="132" t="s">
        <v>2214</v>
      </c>
      <c r="F162" s="132" t="s">
        <v>2214</v>
      </c>
      <c r="G162" s="138" t="s">
        <v>2214</v>
      </c>
      <c r="H162" s="132" t="e">
        <v>#N/A</v>
      </c>
      <c r="I162" s="135" t="s">
        <v>2214</v>
      </c>
    </row>
    <row r="163" spans="1:9">
      <c r="A163" s="131">
        <v>39619</v>
      </c>
      <c r="B163" s="132">
        <v>94.84</v>
      </c>
      <c r="C163" s="132" t="s">
        <v>2214</v>
      </c>
      <c r="D163" s="132" t="s">
        <v>2214</v>
      </c>
      <c r="E163" s="132" t="s">
        <v>2214</v>
      </c>
      <c r="F163" s="132" t="s">
        <v>2214</v>
      </c>
      <c r="G163" s="138" t="s">
        <v>2214</v>
      </c>
      <c r="H163" s="132" t="e">
        <v>#N/A</v>
      </c>
      <c r="I163" s="135" t="s">
        <v>2214</v>
      </c>
    </row>
    <row r="164" spans="1:9">
      <c r="A164" s="131">
        <v>39622</v>
      </c>
      <c r="B164" s="132">
        <v>94.84</v>
      </c>
      <c r="C164" s="132" t="s">
        <v>2214</v>
      </c>
      <c r="D164" s="132" t="s">
        <v>2214</v>
      </c>
      <c r="E164" s="132" t="s">
        <v>2214</v>
      </c>
      <c r="F164" s="132" t="s">
        <v>2214</v>
      </c>
      <c r="G164" s="138" t="s">
        <v>2214</v>
      </c>
      <c r="H164" s="132" t="e">
        <v>#N/A</v>
      </c>
      <c r="I164" s="135" t="s">
        <v>2214</v>
      </c>
    </row>
    <row r="165" spans="1:9">
      <c r="A165" s="131">
        <v>39623</v>
      </c>
      <c r="B165" s="132">
        <v>94.84</v>
      </c>
      <c r="C165" s="132" t="s">
        <v>2214</v>
      </c>
      <c r="D165" s="132" t="s">
        <v>2214</v>
      </c>
      <c r="E165" s="132" t="s">
        <v>2214</v>
      </c>
      <c r="F165" s="132" t="s">
        <v>2214</v>
      </c>
      <c r="G165" s="138" t="s">
        <v>2214</v>
      </c>
      <c r="H165" s="132" t="e">
        <v>#N/A</v>
      </c>
      <c r="I165" s="135" t="s">
        <v>2214</v>
      </c>
    </row>
    <row r="166" spans="1:9">
      <c r="A166" s="131">
        <v>39624</v>
      </c>
      <c r="B166" s="132">
        <v>94.84</v>
      </c>
      <c r="C166" s="132" t="s">
        <v>2214</v>
      </c>
      <c r="D166" s="132" t="s">
        <v>2214</v>
      </c>
      <c r="E166" s="132" t="s">
        <v>2214</v>
      </c>
      <c r="F166" s="132" t="s">
        <v>2214</v>
      </c>
      <c r="G166" s="138" t="s">
        <v>2214</v>
      </c>
      <c r="H166" s="132" t="e">
        <v>#N/A</v>
      </c>
      <c r="I166" s="135" t="s">
        <v>2214</v>
      </c>
    </row>
    <row r="167" spans="1:9">
      <c r="A167" s="131">
        <v>39625</v>
      </c>
      <c r="B167" s="132">
        <v>94.84</v>
      </c>
      <c r="C167" s="132" t="s">
        <v>2214</v>
      </c>
      <c r="D167" s="132" t="s">
        <v>2214</v>
      </c>
      <c r="E167" s="132" t="s">
        <v>2214</v>
      </c>
      <c r="F167" s="132" t="s">
        <v>2214</v>
      </c>
      <c r="G167" s="138" t="s">
        <v>2214</v>
      </c>
      <c r="H167" s="132" t="e">
        <v>#N/A</v>
      </c>
      <c r="I167" s="135" t="s">
        <v>2214</v>
      </c>
    </row>
    <row r="168" spans="1:9">
      <c r="A168" s="131">
        <v>39626</v>
      </c>
      <c r="B168" s="132">
        <v>94.84</v>
      </c>
      <c r="C168" s="132" t="s">
        <v>2214</v>
      </c>
      <c r="D168" s="132" t="s">
        <v>2214</v>
      </c>
      <c r="E168" s="132" t="s">
        <v>2214</v>
      </c>
      <c r="F168" s="132" t="s">
        <v>2214</v>
      </c>
      <c r="G168" s="138" t="s">
        <v>2214</v>
      </c>
      <c r="H168" s="132" t="e">
        <v>#N/A</v>
      </c>
      <c r="I168" s="135" t="s">
        <v>2214</v>
      </c>
    </row>
    <row r="169" spans="1:9">
      <c r="A169" s="131">
        <v>39629</v>
      </c>
      <c r="B169" s="132">
        <v>94.84</v>
      </c>
      <c r="C169" s="132" t="s">
        <v>2214</v>
      </c>
      <c r="D169" s="132" t="s">
        <v>2214</v>
      </c>
      <c r="E169" s="132" t="s">
        <v>2214</v>
      </c>
      <c r="F169" s="132" t="s">
        <v>2214</v>
      </c>
      <c r="G169" s="138" t="s">
        <v>2214</v>
      </c>
      <c r="H169" s="132" t="e">
        <v>#N/A</v>
      </c>
      <c r="I169" s="135" t="s">
        <v>2214</v>
      </c>
    </row>
    <row r="170" spans="1:9">
      <c r="A170" s="131">
        <v>39630</v>
      </c>
      <c r="B170" s="132">
        <v>94.84</v>
      </c>
      <c r="C170" s="132" t="s">
        <v>2214</v>
      </c>
      <c r="D170" s="132" t="s">
        <v>2214</v>
      </c>
      <c r="E170" s="132" t="s">
        <v>2214</v>
      </c>
      <c r="F170" s="132" t="s">
        <v>2214</v>
      </c>
      <c r="G170" s="138" t="s">
        <v>2214</v>
      </c>
      <c r="H170" s="132" t="e">
        <v>#N/A</v>
      </c>
      <c r="I170" s="135" t="s">
        <v>2214</v>
      </c>
    </row>
    <row r="171" spans="1:9">
      <c r="A171" s="131">
        <v>39631</v>
      </c>
      <c r="B171" s="132">
        <v>94.84</v>
      </c>
      <c r="C171" s="132" t="s">
        <v>2214</v>
      </c>
      <c r="D171" s="132" t="s">
        <v>2214</v>
      </c>
      <c r="E171" s="132" t="s">
        <v>2214</v>
      </c>
      <c r="F171" s="132" t="s">
        <v>2214</v>
      </c>
      <c r="G171" s="138" t="s">
        <v>2214</v>
      </c>
      <c r="H171" s="132" t="e">
        <v>#N/A</v>
      </c>
      <c r="I171" s="135" t="s">
        <v>2214</v>
      </c>
    </row>
    <row r="172" spans="1:9">
      <c r="A172" s="131">
        <v>39632</v>
      </c>
      <c r="B172" s="132">
        <v>94.84</v>
      </c>
      <c r="C172" s="132" t="s">
        <v>2214</v>
      </c>
      <c r="D172" s="132" t="s">
        <v>2214</v>
      </c>
      <c r="E172" s="132" t="s">
        <v>2214</v>
      </c>
      <c r="F172" s="132" t="s">
        <v>2214</v>
      </c>
      <c r="G172" s="138" t="s">
        <v>2214</v>
      </c>
      <c r="H172" s="132" t="e">
        <v>#N/A</v>
      </c>
      <c r="I172" s="135" t="s">
        <v>2214</v>
      </c>
    </row>
    <row r="173" spans="1:9">
      <c r="A173" s="131">
        <v>39633</v>
      </c>
      <c r="B173" s="132">
        <v>94.84</v>
      </c>
      <c r="C173" s="132" t="s">
        <v>2214</v>
      </c>
      <c r="D173" s="132" t="s">
        <v>2214</v>
      </c>
      <c r="E173" s="132" t="s">
        <v>2214</v>
      </c>
      <c r="F173" s="132" t="s">
        <v>2214</v>
      </c>
      <c r="G173" s="138" t="s">
        <v>2214</v>
      </c>
      <c r="H173" s="132" t="e">
        <v>#N/A</v>
      </c>
      <c r="I173" s="135" t="s">
        <v>2214</v>
      </c>
    </row>
    <row r="174" spans="1:9">
      <c r="A174" s="131">
        <v>39636</v>
      </c>
      <c r="B174" s="132">
        <v>94.84</v>
      </c>
      <c r="C174" s="132" t="s">
        <v>2214</v>
      </c>
      <c r="D174" s="132" t="s">
        <v>2214</v>
      </c>
      <c r="E174" s="132" t="s">
        <v>2214</v>
      </c>
      <c r="F174" s="132" t="s">
        <v>2214</v>
      </c>
      <c r="G174" s="138" t="s">
        <v>2214</v>
      </c>
      <c r="H174" s="132" t="e">
        <v>#N/A</v>
      </c>
      <c r="I174" s="135" t="s">
        <v>2214</v>
      </c>
    </row>
    <row r="175" spans="1:9">
      <c r="A175" s="131">
        <v>39637</v>
      </c>
      <c r="B175" s="132">
        <v>94.84</v>
      </c>
      <c r="C175" s="132" t="s">
        <v>2214</v>
      </c>
      <c r="D175" s="132" t="s">
        <v>2214</v>
      </c>
      <c r="E175" s="132" t="s">
        <v>2214</v>
      </c>
      <c r="F175" s="132" t="s">
        <v>2214</v>
      </c>
      <c r="G175" s="138" t="s">
        <v>2214</v>
      </c>
      <c r="H175" s="132" t="e">
        <v>#N/A</v>
      </c>
      <c r="I175" s="135" t="s">
        <v>2214</v>
      </c>
    </row>
    <row r="176" spans="1:9">
      <c r="A176" s="131">
        <v>39638</v>
      </c>
      <c r="B176" s="132">
        <v>94.84</v>
      </c>
      <c r="C176" s="132" t="s">
        <v>2214</v>
      </c>
      <c r="D176" s="132" t="s">
        <v>2214</v>
      </c>
      <c r="E176" s="132" t="s">
        <v>2214</v>
      </c>
      <c r="F176" s="132" t="s">
        <v>2214</v>
      </c>
      <c r="G176" s="138" t="s">
        <v>2214</v>
      </c>
      <c r="H176" s="132" t="e">
        <v>#N/A</v>
      </c>
      <c r="I176" s="135" t="s">
        <v>2214</v>
      </c>
    </row>
    <row r="177" spans="1:9">
      <c r="A177" s="131">
        <v>39639</v>
      </c>
      <c r="B177" s="132">
        <v>94.84</v>
      </c>
      <c r="C177" s="132" t="s">
        <v>2214</v>
      </c>
      <c r="D177" s="132" t="s">
        <v>2214</v>
      </c>
      <c r="E177" s="132" t="s">
        <v>2214</v>
      </c>
      <c r="F177" s="132" t="s">
        <v>2214</v>
      </c>
      <c r="G177" s="138" t="s">
        <v>2214</v>
      </c>
      <c r="H177" s="132" t="e">
        <v>#N/A</v>
      </c>
      <c r="I177" s="135" t="s">
        <v>2214</v>
      </c>
    </row>
    <row r="178" spans="1:9">
      <c r="A178" s="131">
        <v>39640</v>
      </c>
      <c r="B178" s="132">
        <v>94.84</v>
      </c>
      <c r="C178" s="132" t="s">
        <v>2214</v>
      </c>
      <c r="D178" s="132" t="s">
        <v>2214</v>
      </c>
      <c r="E178" s="132" t="s">
        <v>2214</v>
      </c>
      <c r="F178" s="132" t="s">
        <v>2214</v>
      </c>
      <c r="G178" s="138" t="s">
        <v>2214</v>
      </c>
      <c r="H178" s="132" t="e">
        <v>#N/A</v>
      </c>
      <c r="I178" s="135" t="s">
        <v>2214</v>
      </c>
    </row>
    <row r="179" spans="1:9">
      <c r="A179" s="131">
        <v>39643</v>
      </c>
      <c r="B179" s="132">
        <v>94.84</v>
      </c>
      <c r="C179" s="132" t="s">
        <v>2214</v>
      </c>
      <c r="D179" s="132" t="s">
        <v>2214</v>
      </c>
      <c r="E179" s="132" t="s">
        <v>2214</v>
      </c>
      <c r="F179" s="132" t="s">
        <v>2214</v>
      </c>
      <c r="G179" s="138" t="s">
        <v>2214</v>
      </c>
      <c r="H179" s="132" t="e">
        <v>#N/A</v>
      </c>
      <c r="I179" s="135" t="s">
        <v>2214</v>
      </c>
    </row>
    <row r="180" spans="1:9">
      <c r="A180" s="131">
        <v>39644</v>
      </c>
      <c r="B180" s="132">
        <v>94.84</v>
      </c>
      <c r="C180" s="132" t="s">
        <v>2214</v>
      </c>
      <c r="D180" s="132" t="s">
        <v>2214</v>
      </c>
      <c r="E180" s="132" t="s">
        <v>2214</v>
      </c>
      <c r="F180" s="132" t="s">
        <v>2214</v>
      </c>
      <c r="G180" s="138" t="s">
        <v>2214</v>
      </c>
      <c r="H180" s="132" t="e">
        <v>#N/A</v>
      </c>
      <c r="I180" s="135" t="s">
        <v>2214</v>
      </c>
    </row>
    <row r="181" spans="1:9">
      <c r="A181" s="131">
        <v>39645</v>
      </c>
      <c r="B181" s="132">
        <v>94.84</v>
      </c>
      <c r="C181" s="132" t="s">
        <v>2214</v>
      </c>
      <c r="D181" s="132" t="s">
        <v>2214</v>
      </c>
      <c r="E181" s="132" t="s">
        <v>2214</v>
      </c>
      <c r="F181" s="132" t="s">
        <v>2214</v>
      </c>
      <c r="G181" s="138" t="s">
        <v>2214</v>
      </c>
      <c r="H181" s="132" t="e">
        <v>#N/A</v>
      </c>
      <c r="I181" s="135" t="s">
        <v>2214</v>
      </c>
    </row>
    <row r="182" spans="1:9">
      <c r="A182" s="131">
        <v>39646</v>
      </c>
      <c r="B182" s="132">
        <v>94.84</v>
      </c>
      <c r="C182" s="132" t="s">
        <v>2214</v>
      </c>
      <c r="D182" s="132" t="s">
        <v>2214</v>
      </c>
      <c r="E182" s="132" t="s">
        <v>2214</v>
      </c>
      <c r="F182" s="132" t="s">
        <v>2214</v>
      </c>
      <c r="G182" s="138" t="s">
        <v>2214</v>
      </c>
      <c r="H182" s="132" t="e">
        <v>#N/A</v>
      </c>
      <c r="I182" s="135" t="s">
        <v>2214</v>
      </c>
    </row>
    <row r="183" spans="1:9">
      <c r="A183" s="131">
        <v>39647</v>
      </c>
      <c r="B183" s="132">
        <v>94.84</v>
      </c>
      <c r="C183" s="132" t="s">
        <v>2214</v>
      </c>
      <c r="D183" s="132" t="s">
        <v>2214</v>
      </c>
      <c r="E183" s="132" t="s">
        <v>2214</v>
      </c>
      <c r="F183" s="132" t="s">
        <v>2214</v>
      </c>
      <c r="G183" s="138" t="s">
        <v>2214</v>
      </c>
      <c r="H183" s="132" t="e">
        <v>#N/A</v>
      </c>
      <c r="I183" s="135" t="s">
        <v>2214</v>
      </c>
    </row>
    <row r="184" spans="1:9">
      <c r="A184" s="131">
        <v>39650</v>
      </c>
      <c r="B184" s="132">
        <v>94.84</v>
      </c>
      <c r="C184" s="132" t="s">
        <v>2214</v>
      </c>
      <c r="D184" s="132" t="s">
        <v>2214</v>
      </c>
      <c r="E184" s="132" t="s">
        <v>2214</v>
      </c>
      <c r="F184" s="132" t="s">
        <v>2214</v>
      </c>
      <c r="G184" s="138" t="s">
        <v>2214</v>
      </c>
      <c r="H184" s="132" t="e">
        <v>#N/A</v>
      </c>
      <c r="I184" s="135" t="s">
        <v>2214</v>
      </c>
    </row>
    <row r="185" spans="1:9">
      <c r="A185" s="131">
        <v>39651</v>
      </c>
      <c r="B185" s="132">
        <v>94.84</v>
      </c>
      <c r="C185" s="132" t="s">
        <v>2214</v>
      </c>
      <c r="D185" s="132" t="s">
        <v>2214</v>
      </c>
      <c r="E185" s="132" t="s">
        <v>2214</v>
      </c>
      <c r="F185" s="132" t="s">
        <v>2214</v>
      </c>
      <c r="G185" s="138" t="s">
        <v>2214</v>
      </c>
      <c r="H185" s="132" t="e">
        <v>#N/A</v>
      </c>
      <c r="I185" s="135" t="s">
        <v>2214</v>
      </c>
    </row>
    <row r="186" spans="1:9">
      <c r="A186" s="131">
        <v>39652</v>
      </c>
      <c r="B186" s="132">
        <v>94.84</v>
      </c>
      <c r="C186" s="132" t="s">
        <v>2214</v>
      </c>
      <c r="D186" s="132" t="s">
        <v>2214</v>
      </c>
      <c r="E186" s="132" t="s">
        <v>2214</v>
      </c>
      <c r="F186" s="132" t="s">
        <v>2214</v>
      </c>
      <c r="G186" s="138" t="s">
        <v>2214</v>
      </c>
      <c r="H186" s="132" t="e">
        <v>#N/A</v>
      </c>
      <c r="I186" s="135" t="s">
        <v>2214</v>
      </c>
    </row>
    <row r="187" spans="1:9">
      <c r="A187" s="131">
        <v>39653</v>
      </c>
      <c r="B187" s="132">
        <v>94.84</v>
      </c>
      <c r="C187" s="132" t="s">
        <v>2214</v>
      </c>
      <c r="D187" s="132" t="s">
        <v>2214</v>
      </c>
      <c r="E187" s="132" t="s">
        <v>2214</v>
      </c>
      <c r="F187" s="132" t="s">
        <v>2214</v>
      </c>
      <c r="G187" s="138" t="s">
        <v>2214</v>
      </c>
      <c r="H187" s="132" t="e">
        <v>#N/A</v>
      </c>
      <c r="I187" s="135" t="s">
        <v>2214</v>
      </c>
    </row>
    <row r="188" spans="1:9">
      <c r="A188" s="131">
        <v>39654</v>
      </c>
      <c r="B188" s="132">
        <v>94.84</v>
      </c>
      <c r="C188" s="132" t="s">
        <v>2214</v>
      </c>
      <c r="D188" s="132" t="s">
        <v>2214</v>
      </c>
      <c r="E188" s="132" t="s">
        <v>2214</v>
      </c>
      <c r="F188" s="132" t="s">
        <v>2214</v>
      </c>
      <c r="G188" s="138" t="s">
        <v>2214</v>
      </c>
      <c r="H188" s="132" t="e">
        <v>#N/A</v>
      </c>
      <c r="I188" s="135" t="s">
        <v>2214</v>
      </c>
    </row>
    <row r="189" spans="1:9">
      <c r="A189" s="131">
        <v>39657</v>
      </c>
      <c r="B189" s="132">
        <v>94.84</v>
      </c>
      <c r="C189" s="132" t="s">
        <v>2214</v>
      </c>
      <c r="D189" s="132" t="s">
        <v>2214</v>
      </c>
      <c r="E189" s="132" t="s">
        <v>2214</v>
      </c>
      <c r="F189" s="132" t="s">
        <v>2214</v>
      </c>
      <c r="G189" s="138" t="s">
        <v>2214</v>
      </c>
      <c r="H189" s="132" t="e">
        <v>#N/A</v>
      </c>
      <c r="I189" s="135" t="s">
        <v>2214</v>
      </c>
    </row>
    <row r="190" spans="1:9">
      <c r="A190" s="131">
        <v>39658</v>
      </c>
      <c r="B190" s="132">
        <v>94.84</v>
      </c>
      <c r="C190" s="132" t="s">
        <v>2214</v>
      </c>
      <c r="D190" s="132" t="s">
        <v>2214</v>
      </c>
      <c r="E190" s="132" t="s">
        <v>2214</v>
      </c>
      <c r="F190" s="132" t="s">
        <v>2214</v>
      </c>
      <c r="G190" s="138" t="s">
        <v>2214</v>
      </c>
      <c r="H190" s="132" t="e">
        <v>#N/A</v>
      </c>
      <c r="I190" s="135" t="s">
        <v>2214</v>
      </c>
    </row>
    <row r="191" spans="1:9">
      <c r="A191" s="131">
        <v>39659</v>
      </c>
      <c r="B191" s="132">
        <v>94.84</v>
      </c>
      <c r="C191" s="132" t="s">
        <v>2214</v>
      </c>
      <c r="D191" s="132" t="s">
        <v>2214</v>
      </c>
      <c r="E191" s="132" t="s">
        <v>2214</v>
      </c>
      <c r="F191" s="132" t="s">
        <v>2214</v>
      </c>
      <c r="G191" s="138" t="s">
        <v>2214</v>
      </c>
      <c r="H191" s="132" t="e">
        <v>#N/A</v>
      </c>
      <c r="I191" s="135" t="s">
        <v>2214</v>
      </c>
    </row>
    <row r="192" spans="1:9">
      <c r="A192" s="131">
        <v>39660</v>
      </c>
      <c r="B192" s="132">
        <v>94.84</v>
      </c>
      <c r="C192" s="132" t="s">
        <v>2214</v>
      </c>
      <c r="D192" s="132" t="s">
        <v>2214</v>
      </c>
      <c r="E192" s="132" t="s">
        <v>2214</v>
      </c>
      <c r="F192" s="132" t="s">
        <v>2214</v>
      </c>
      <c r="G192" s="138" t="s">
        <v>2214</v>
      </c>
      <c r="H192" s="132" t="e">
        <v>#N/A</v>
      </c>
      <c r="I192" s="135" t="s">
        <v>2214</v>
      </c>
    </row>
    <row r="193" spans="1:9">
      <c r="A193" s="131">
        <v>39661</v>
      </c>
      <c r="B193" s="132">
        <v>94.84</v>
      </c>
      <c r="C193" s="132" t="s">
        <v>2214</v>
      </c>
      <c r="D193" s="132" t="s">
        <v>2214</v>
      </c>
      <c r="E193" s="132" t="s">
        <v>2214</v>
      </c>
      <c r="F193" s="132" t="s">
        <v>2214</v>
      </c>
      <c r="G193" s="138" t="s">
        <v>2214</v>
      </c>
      <c r="H193" s="132" t="e">
        <v>#N/A</v>
      </c>
      <c r="I193" s="135" t="s">
        <v>2214</v>
      </c>
    </row>
    <row r="194" spans="1:9">
      <c r="A194" s="131">
        <v>39664</v>
      </c>
      <c r="B194" s="132">
        <v>94.84</v>
      </c>
      <c r="C194" s="132" t="s">
        <v>2214</v>
      </c>
      <c r="D194" s="132" t="s">
        <v>2214</v>
      </c>
      <c r="E194" s="132" t="s">
        <v>2214</v>
      </c>
      <c r="F194" s="132" t="s">
        <v>2214</v>
      </c>
      <c r="G194" s="138" t="s">
        <v>2214</v>
      </c>
      <c r="H194" s="132" t="e">
        <v>#N/A</v>
      </c>
      <c r="I194" s="135" t="s">
        <v>2214</v>
      </c>
    </row>
    <row r="195" spans="1:9">
      <c r="A195" s="131">
        <v>39665</v>
      </c>
      <c r="B195" s="132">
        <v>94.84</v>
      </c>
      <c r="C195" s="132" t="s">
        <v>2214</v>
      </c>
      <c r="D195" s="132" t="s">
        <v>2214</v>
      </c>
      <c r="E195" s="132" t="s">
        <v>2214</v>
      </c>
      <c r="F195" s="132" t="s">
        <v>2214</v>
      </c>
      <c r="G195" s="138" t="s">
        <v>2214</v>
      </c>
      <c r="H195" s="132" t="e">
        <v>#N/A</v>
      </c>
      <c r="I195" s="135" t="s">
        <v>2214</v>
      </c>
    </row>
    <row r="196" spans="1:9">
      <c r="A196" s="131">
        <v>39666</v>
      </c>
      <c r="B196" s="132">
        <v>94.84</v>
      </c>
      <c r="C196" s="132" t="s">
        <v>2214</v>
      </c>
      <c r="D196" s="132" t="s">
        <v>2214</v>
      </c>
      <c r="E196" s="132" t="s">
        <v>2214</v>
      </c>
      <c r="F196" s="132" t="s">
        <v>2214</v>
      </c>
      <c r="G196" s="138" t="s">
        <v>2214</v>
      </c>
      <c r="H196" s="132" t="e">
        <v>#N/A</v>
      </c>
      <c r="I196" s="135" t="s">
        <v>2214</v>
      </c>
    </row>
    <row r="197" spans="1:9">
      <c r="A197" s="131">
        <v>39667</v>
      </c>
      <c r="B197" s="132">
        <v>94.84</v>
      </c>
      <c r="C197" s="132" t="s">
        <v>2214</v>
      </c>
      <c r="D197" s="132" t="s">
        <v>2214</v>
      </c>
      <c r="E197" s="132" t="s">
        <v>2214</v>
      </c>
      <c r="F197" s="132" t="s">
        <v>2214</v>
      </c>
      <c r="G197" s="138" t="s">
        <v>2214</v>
      </c>
      <c r="H197" s="132" t="e">
        <v>#N/A</v>
      </c>
      <c r="I197" s="135" t="s">
        <v>2214</v>
      </c>
    </row>
    <row r="198" spans="1:9">
      <c r="A198" s="131">
        <v>39668</v>
      </c>
      <c r="B198" s="132">
        <v>94.84</v>
      </c>
      <c r="C198" s="132" t="s">
        <v>2214</v>
      </c>
      <c r="D198" s="132" t="s">
        <v>2214</v>
      </c>
      <c r="E198" s="132" t="s">
        <v>2214</v>
      </c>
      <c r="F198" s="132" t="s">
        <v>2214</v>
      </c>
      <c r="G198" s="138" t="s">
        <v>2214</v>
      </c>
      <c r="H198" s="132" t="e">
        <v>#N/A</v>
      </c>
      <c r="I198" s="135" t="s">
        <v>2214</v>
      </c>
    </row>
    <row r="199" spans="1:9">
      <c r="A199" s="131">
        <v>39671</v>
      </c>
      <c r="B199" s="132">
        <v>94.84</v>
      </c>
      <c r="C199" s="132" t="s">
        <v>2214</v>
      </c>
      <c r="D199" s="132" t="s">
        <v>2214</v>
      </c>
      <c r="E199" s="132" t="s">
        <v>2214</v>
      </c>
      <c r="F199" s="132" t="s">
        <v>2214</v>
      </c>
      <c r="G199" s="138" t="s">
        <v>2214</v>
      </c>
      <c r="H199" s="132" t="e">
        <v>#N/A</v>
      </c>
      <c r="I199" s="135" t="s">
        <v>2214</v>
      </c>
    </row>
    <row r="200" spans="1:9">
      <c r="A200" s="131">
        <v>39672</v>
      </c>
      <c r="B200" s="132">
        <v>94.84</v>
      </c>
      <c r="C200" s="132" t="s">
        <v>2214</v>
      </c>
      <c r="D200" s="132" t="s">
        <v>2214</v>
      </c>
      <c r="E200" s="132" t="s">
        <v>2214</v>
      </c>
      <c r="F200" s="132" t="s">
        <v>2214</v>
      </c>
      <c r="G200" s="138" t="s">
        <v>2214</v>
      </c>
      <c r="H200" s="132" t="e">
        <v>#N/A</v>
      </c>
      <c r="I200" s="135" t="s">
        <v>2214</v>
      </c>
    </row>
    <row r="201" spans="1:9">
      <c r="A201" s="131">
        <v>39673</v>
      </c>
      <c r="B201" s="132">
        <v>94.84</v>
      </c>
      <c r="C201" s="132" t="s">
        <v>2214</v>
      </c>
      <c r="D201" s="132" t="s">
        <v>2214</v>
      </c>
      <c r="E201" s="132" t="s">
        <v>2214</v>
      </c>
      <c r="F201" s="132" t="s">
        <v>2214</v>
      </c>
      <c r="G201" s="138" t="s">
        <v>2214</v>
      </c>
      <c r="H201" s="132" t="e">
        <v>#N/A</v>
      </c>
      <c r="I201" s="135" t="s">
        <v>2214</v>
      </c>
    </row>
    <row r="202" spans="1:9">
      <c r="A202" s="131">
        <v>39674</v>
      </c>
      <c r="B202" s="132">
        <v>94.84</v>
      </c>
      <c r="C202" s="132" t="s">
        <v>2214</v>
      </c>
      <c r="D202" s="132" t="s">
        <v>2214</v>
      </c>
      <c r="E202" s="132" t="s">
        <v>2214</v>
      </c>
      <c r="F202" s="132" t="s">
        <v>2214</v>
      </c>
      <c r="G202" s="138" t="s">
        <v>2214</v>
      </c>
      <c r="H202" s="132" t="e">
        <v>#N/A</v>
      </c>
      <c r="I202" s="135" t="s">
        <v>2214</v>
      </c>
    </row>
    <row r="203" spans="1:9">
      <c r="A203" s="131">
        <v>39675</v>
      </c>
      <c r="B203" s="132">
        <v>94.84</v>
      </c>
      <c r="C203" s="132" t="s">
        <v>2214</v>
      </c>
      <c r="D203" s="132" t="s">
        <v>2214</v>
      </c>
      <c r="E203" s="132" t="s">
        <v>2214</v>
      </c>
      <c r="F203" s="132" t="s">
        <v>2214</v>
      </c>
      <c r="G203" s="138" t="s">
        <v>2214</v>
      </c>
      <c r="H203" s="132" t="e">
        <v>#N/A</v>
      </c>
      <c r="I203" s="135" t="s">
        <v>2214</v>
      </c>
    </row>
    <row r="204" spans="1:9">
      <c r="A204" s="131">
        <v>39678</v>
      </c>
      <c r="B204" s="132">
        <v>94.84</v>
      </c>
      <c r="C204" s="132" t="s">
        <v>2214</v>
      </c>
      <c r="D204" s="132" t="s">
        <v>2214</v>
      </c>
      <c r="E204" s="132" t="s">
        <v>2214</v>
      </c>
      <c r="F204" s="132" t="s">
        <v>2214</v>
      </c>
      <c r="G204" s="138" t="s">
        <v>2214</v>
      </c>
      <c r="H204" s="132" t="e">
        <v>#N/A</v>
      </c>
      <c r="I204" s="135" t="s">
        <v>2214</v>
      </c>
    </row>
    <row r="205" spans="1:9">
      <c r="A205" s="131">
        <v>39679</v>
      </c>
      <c r="B205" s="132">
        <v>94.84</v>
      </c>
      <c r="C205" s="132" t="s">
        <v>2214</v>
      </c>
      <c r="D205" s="132" t="s">
        <v>2214</v>
      </c>
      <c r="E205" s="132" t="s">
        <v>2214</v>
      </c>
      <c r="F205" s="132" t="s">
        <v>2214</v>
      </c>
      <c r="G205" s="138" t="s">
        <v>2214</v>
      </c>
      <c r="H205" s="132" t="e">
        <v>#N/A</v>
      </c>
      <c r="I205" s="135" t="s">
        <v>2214</v>
      </c>
    </row>
    <row r="206" spans="1:9">
      <c r="A206" s="131">
        <v>39680</v>
      </c>
      <c r="B206" s="132">
        <v>94.84</v>
      </c>
      <c r="C206" s="132" t="s">
        <v>2214</v>
      </c>
      <c r="D206" s="132" t="s">
        <v>2214</v>
      </c>
      <c r="E206" s="132" t="s">
        <v>2214</v>
      </c>
      <c r="F206" s="132" t="s">
        <v>2214</v>
      </c>
      <c r="G206" s="138" t="s">
        <v>2214</v>
      </c>
      <c r="H206" s="132" t="e">
        <v>#N/A</v>
      </c>
      <c r="I206" s="135" t="s">
        <v>2214</v>
      </c>
    </row>
    <row r="207" spans="1:9">
      <c r="A207" s="131">
        <v>39681</v>
      </c>
      <c r="B207" s="132">
        <v>94.84</v>
      </c>
      <c r="C207" s="132" t="s">
        <v>2214</v>
      </c>
      <c r="D207" s="132" t="s">
        <v>2214</v>
      </c>
      <c r="E207" s="132" t="s">
        <v>2214</v>
      </c>
      <c r="F207" s="132" t="s">
        <v>2214</v>
      </c>
      <c r="G207" s="138" t="s">
        <v>2214</v>
      </c>
      <c r="H207" s="132" t="e">
        <v>#N/A</v>
      </c>
      <c r="I207" s="135" t="s">
        <v>2214</v>
      </c>
    </row>
    <row r="208" spans="1:9">
      <c r="A208" s="131">
        <v>39682</v>
      </c>
      <c r="B208" s="132">
        <v>94.84</v>
      </c>
      <c r="C208" s="132" t="s">
        <v>2214</v>
      </c>
      <c r="D208" s="132" t="s">
        <v>2214</v>
      </c>
      <c r="E208" s="132" t="s">
        <v>2214</v>
      </c>
      <c r="F208" s="132" t="s">
        <v>2214</v>
      </c>
      <c r="G208" s="138" t="s">
        <v>2214</v>
      </c>
      <c r="H208" s="132" t="e">
        <v>#N/A</v>
      </c>
      <c r="I208" s="135" t="s">
        <v>2214</v>
      </c>
    </row>
    <row r="209" spans="1:9">
      <c r="A209" s="131">
        <v>39685</v>
      </c>
      <c r="B209" s="132">
        <v>94.84</v>
      </c>
      <c r="C209" s="132" t="s">
        <v>2214</v>
      </c>
      <c r="D209" s="132" t="s">
        <v>2214</v>
      </c>
      <c r="E209" s="132" t="s">
        <v>2214</v>
      </c>
      <c r="F209" s="132" t="s">
        <v>2214</v>
      </c>
      <c r="G209" s="138" t="s">
        <v>2214</v>
      </c>
      <c r="H209" s="132" t="e">
        <v>#N/A</v>
      </c>
      <c r="I209" s="135" t="s">
        <v>2214</v>
      </c>
    </row>
    <row r="210" spans="1:9">
      <c r="A210" s="131">
        <v>39686</v>
      </c>
      <c r="B210" s="132">
        <v>94.84</v>
      </c>
      <c r="C210" s="132" t="s">
        <v>2214</v>
      </c>
      <c r="D210" s="132" t="s">
        <v>2214</v>
      </c>
      <c r="E210" s="132" t="s">
        <v>2214</v>
      </c>
      <c r="F210" s="132" t="s">
        <v>2214</v>
      </c>
      <c r="G210" s="138" t="s">
        <v>2214</v>
      </c>
      <c r="H210" s="132" t="e">
        <v>#N/A</v>
      </c>
      <c r="I210" s="135" t="s">
        <v>2214</v>
      </c>
    </row>
    <row r="211" spans="1:9">
      <c r="A211" s="131">
        <v>39687</v>
      </c>
      <c r="B211" s="132">
        <v>94.84</v>
      </c>
      <c r="C211" s="132" t="s">
        <v>2214</v>
      </c>
      <c r="D211" s="132" t="s">
        <v>2214</v>
      </c>
      <c r="E211" s="132" t="s">
        <v>2214</v>
      </c>
      <c r="F211" s="132" t="s">
        <v>2214</v>
      </c>
      <c r="G211" s="138" t="s">
        <v>2214</v>
      </c>
      <c r="H211" s="132" t="e">
        <v>#N/A</v>
      </c>
      <c r="I211" s="135" t="s">
        <v>2214</v>
      </c>
    </row>
    <row r="212" spans="1:9">
      <c r="A212" s="131">
        <v>39688</v>
      </c>
      <c r="B212" s="132">
        <v>94.84</v>
      </c>
      <c r="C212" s="132" t="s">
        <v>2214</v>
      </c>
      <c r="D212" s="132" t="s">
        <v>2214</v>
      </c>
      <c r="E212" s="132" t="s">
        <v>2214</v>
      </c>
      <c r="F212" s="132" t="s">
        <v>2214</v>
      </c>
      <c r="G212" s="138" t="s">
        <v>2214</v>
      </c>
      <c r="H212" s="132" t="e">
        <v>#N/A</v>
      </c>
      <c r="I212" s="135" t="s">
        <v>2214</v>
      </c>
    </row>
    <row r="213" spans="1:9">
      <c r="A213" s="131">
        <v>39689</v>
      </c>
      <c r="B213" s="132">
        <v>94.84</v>
      </c>
      <c r="C213" s="132" t="s">
        <v>2214</v>
      </c>
      <c r="D213" s="132" t="s">
        <v>2214</v>
      </c>
      <c r="E213" s="132" t="s">
        <v>2214</v>
      </c>
      <c r="F213" s="132" t="s">
        <v>2214</v>
      </c>
      <c r="G213" s="138" t="s">
        <v>2214</v>
      </c>
      <c r="H213" s="132" t="e">
        <v>#N/A</v>
      </c>
      <c r="I213" s="135" t="s">
        <v>2214</v>
      </c>
    </row>
    <row r="214" spans="1:9">
      <c r="A214" s="131">
        <v>39692</v>
      </c>
      <c r="B214" s="132">
        <v>94.84</v>
      </c>
      <c r="C214" s="132" t="s">
        <v>2214</v>
      </c>
      <c r="D214" s="132" t="s">
        <v>2214</v>
      </c>
      <c r="E214" s="132" t="s">
        <v>2214</v>
      </c>
      <c r="F214" s="132" t="s">
        <v>2214</v>
      </c>
      <c r="G214" s="138" t="s">
        <v>2214</v>
      </c>
      <c r="H214" s="132" t="e">
        <v>#N/A</v>
      </c>
      <c r="I214" s="135" t="s">
        <v>2214</v>
      </c>
    </row>
    <row r="215" spans="1:9">
      <c r="A215" s="131">
        <v>39693</v>
      </c>
      <c r="B215" s="132">
        <v>94.84</v>
      </c>
      <c r="C215" s="132" t="s">
        <v>2214</v>
      </c>
      <c r="D215" s="132" t="s">
        <v>2214</v>
      </c>
      <c r="E215" s="132" t="s">
        <v>2214</v>
      </c>
      <c r="F215" s="132" t="s">
        <v>2214</v>
      </c>
      <c r="G215" s="138" t="s">
        <v>2214</v>
      </c>
      <c r="H215" s="132" t="e">
        <v>#N/A</v>
      </c>
      <c r="I215" s="135" t="s">
        <v>2214</v>
      </c>
    </row>
    <row r="216" spans="1:9">
      <c r="A216" s="131">
        <v>39694</v>
      </c>
      <c r="B216" s="132">
        <v>94.84</v>
      </c>
      <c r="C216" s="132" t="s">
        <v>2214</v>
      </c>
      <c r="D216" s="132" t="s">
        <v>2214</v>
      </c>
      <c r="E216" s="132" t="s">
        <v>2214</v>
      </c>
      <c r="F216" s="132" t="s">
        <v>2214</v>
      </c>
      <c r="G216" s="138" t="s">
        <v>2214</v>
      </c>
      <c r="H216" s="132" t="e">
        <v>#N/A</v>
      </c>
      <c r="I216" s="135" t="s">
        <v>2214</v>
      </c>
    </row>
    <row r="217" spans="1:9">
      <c r="A217" s="131">
        <v>39695</v>
      </c>
      <c r="B217" s="132">
        <v>94.84</v>
      </c>
      <c r="C217" s="132" t="s">
        <v>2214</v>
      </c>
      <c r="D217" s="132" t="s">
        <v>2214</v>
      </c>
      <c r="E217" s="132" t="s">
        <v>2214</v>
      </c>
      <c r="F217" s="132" t="s">
        <v>2214</v>
      </c>
      <c r="G217" s="138" t="s">
        <v>2214</v>
      </c>
      <c r="H217" s="132" t="e">
        <v>#N/A</v>
      </c>
      <c r="I217" s="135" t="s">
        <v>2214</v>
      </c>
    </row>
    <row r="218" spans="1:9">
      <c r="A218" s="131">
        <v>39696</v>
      </c>
      <c r="B218" s="132">
        <v>94.84</v>
      </c>
      <c r="C218" s="132" t="s">
        <v>2214</v>
      </c>
      <c r="D218" s="132" t="s">
        <v>2214</v>
      </c>
      <c r="E218" s="132" t="s">
        <v>2214</v>
      </c>
      <c r="F218" s="132" t="s">
        <v>2214</v>
      </c>
      <c r="G218" s="138" t="s">
        <v>2214</v>
      </c>
      <c r="H218" s="132" t="e">
        <v>#N/A</v>
      </c>
      <c r="I218" s="135" t="s">
        <v>2214</v>
      </c>
    </row>
    <row r="219" spans="1:9">
      <c r="A219" s="131">
        <v>39699</v>
      </c>
      <c r="B219" s="132">
        <v>94.84</v>
      </c>
      <c r="C219" s="132" t="s">
        <v>2214</v>
      </c>
      <c r="D219" s="132" t="s">
        <v>2214</v>
      </c>
      <c r="E219" s="132" t="s">
        <v>2214</v>
      </c>
      <c r="F219" s="132" t="s">
        <v>2214</v>
      </c>
      <c r="G219" s="138" t="s">
        <v>2214</v>
      </c>
      <c r="H219" s="132" t="e">
        <v>#N/A</v>
      </c>
      <c r="I219" s="135" t="s">
        <v>2214</v>
      </c>
    </row>
    <row r="220" spans="1:9">
      <c r="A220" s="131">
        <v>39700</v>
      </c>
      <c r="B220" s="132">
        <v>94.84</v>
      </c>
      <c r="C220" s="132" t="s">
        <v>2214</v>
      </c>
      <c r="D220" s="132" t="s">
        <v>2214</v>
      </c>
      <c r="E220" s="132" t="s">
        <v>2214</v>
      </c>
      <c r="F220" s="132" t="s">
        <v>2214</v>
      </c>
      <c r="G220" s="138" t="s">
        <v>2214</v>
      </c>
      <c r="H220" s="132" t="e">
        <v>#N/A</v>
      </c>
      <c r="I220" s="135" t="s">
        <v>2214</v>
      </c>
    </row>
    <row r="221" spans="1:9">
      <c r="A221" s="131">
        <v>39701</v>
      </c>
      <c r="B221" s="132">
        <v>94.84</v>
      </c>
      <c r="C221" s="132" t="s">
        <v>2214</v>
      </c>
      <c r="D221" s="132" t="s">
        <v>2214</v>
      </c>
      <c r="E221" s="132" t="s">
        <v>2214</v>
      </c>
      <c r="F221" s="132" t="s">
        <v>2214</v>
      </c>
      <c r="G221" s="138" t="s">
        <v>2214</v>
      </c>
      <c r="H221" s="132" t="e">
        <v>#N/A</v>
      </c>
      <c r="I221" s="135" t="s">
        <v>2214</v>
      </c>
    </row>
    <row r="222" spans="1:9">
      <c r="A222" s="131">
        <v>39702</v>
      </c>
      <c r="B222" s="132">
        <v>94.84</v>
      </c>
      <c r="C222" s="132" t="s">
        <v>2214</v>
      </c>
      <c r="D222" s="132" t="s">
        <v>2214</v>
      </c>
      <c r="E222" s="132" t="s">
        <v>2214</v>
      </c>
      <c r="F222" s="132" t="s">
        <v>2214</v>
      </c>
      <c r="G222" s="138" t="s">
        <v>2214</v>
      </c>
      <c r="H222" s="132" t="e">
        <v>#N/A</v>
      </c>
      <c r="I222" s="135" t="s">
        <v>2214</v>
      </c>
    </row>
    <row r="223" spans="1:9">
      <c r="A223" s="131">
        <v>39703</v>
      </c>
      <c r="B223" s="132">
        <v>94.84</v>
      </c>
      <c r="C223" s="132" t="s">
        <v>2214</v>
      </c>
      <c r="D223" s="132" t="s">
        <v>2214</v>
      </c>
      <c r="E223" s="132" t="s">
        <v>2214</v>
      </c>
      <c r="F223" s="132" t="s">
        <v>2214</v>
      </c>
      <c r="G223" s="138" t="s">
        <v>2214</v>
      </c>
      <c r="H223" s="132" t="e">
        <v>#N/A</v>
      </c>
      <c r="I223" s="135" t="s">
        <v>2214</v>
      </c>
    </row>
    <row r="224" spans="1:9">
      <c r="A224" s="131">
        <v>39707</v>
      </c>
      <c r="B224" s="132">
        <v>94.84</v>
      </c>
      <c r="C224" s="132" t="s">
        <v>2214</v>
      </c>
      <c r="D224" s="132" t="s">
        <v>2214</v>
      </c>
      <c r="E224" s="132" t="s">
        <v>2214</v>
      </c>
      <c r="F224" s="132" t="s">
        <v>2214</v>
      </c>
      <c r="G224" s="138" t="s">
        <v>2214</v>
      </c>
      <c r="H224" s="132" t="e">
        <v>#N/A</v>
      </c>
      <c r="I224" s="135" t="s">
        <v>2214</v>
      </c>
    </row>
    <row r="225" spans="1:9">
      <c r="A225" s="131">
        <v>39708</v>
      </c>
      <c r="B225" s="132">
        <v>94.84</v>
      </c>
      <c r="C225" s="132" t="s">
        <v>2214</v>
      </c>
      <c r="D225" s="132" t="s">
        <v>2214</v>
      </c>
      <c r="E225" s="132" t="s">
        <v>2214</v>
      </c>
      <c r="F225" s="132" t="s">
        <v>2214</v>
      </c>
      <c r="G225" s="138" t="s">
        <v>2214</v>
      </c>
      <c r="H225" s="132" t="e">
        <v>#N/A</v>
      </c>
      <c r="I225" s="135" t="s">
        <v>2214</v>
      </c>
    </row>
    <row r="226" spans="1:9">
      <c r="A226" s="131">
        <v>39709</v>
      </c>
      <c r="B226" s="132">
        <v>94.84</v>
      </c>
      <c r="C226" s="132" t="s">
        <v>2214</v>
      </c>
      <c r="D226" s="132" t="s">
        <v>2214</v>
      </c>
      <c r="E226" s="132" t="s">
        <v>2214</v>
      </c>
      <c r="F226" s="132" t="s">
        <v>2214</v>
      </c>
      <c r="G226" s="138" t="s">
        <v>2214</v>
      </c>
      <c r="H226" s="132" t="e">
        <v>#N/A</v>
      </c>
      <c r="I226" s="135" t="s">
        <v>2214</v>
      </c>
    </row>
    <row r="227" spans="1:9">
      <c r="A227" s="131">
        <v>39710</v>
      </c>
      <c r="B227" s="132">
        <v>94.84</v>
      </c>
      <c r="C227" s="132" t="s">
        <v>2214</v>
      </c>
      <c r="D227" s="132" t="s">
        <v>2214</v>
      </c>
      <c r="E227" s="132" t="s">
        <v>2214</v>
      </c>
      <c r="F227" s="132" t="s">
        <v>2214</v>
      </c>
      <c r="G227" s="138" t="s">
        <v>2214</v>
      </c>
      <c r="H227" s="132" t="e">
        <v>#N/A</v>
      </c>
      <c r="I227" s="135" t="s">
        <v>2214</v>
      </c>
    </row>
    <row r="228" spans="1:9">
      <c r="A228" s="131">
        <v>39713</v>
      </c>
      <c r="B228" s="132">
        <v>94.84</v>
      </c>
      <c r="C228" s="132" t="s">
        <v>2214</v>
      </c>
      <c r="D228" s="132" t="s">
        <v>2214</v>
      </c>
      <c r="E228" s="132" t="s">
        <v>2214</v>
      </c>
      <c r="F228" s="132" t="s">
        <v>2214</v>
      </c>
      <c r="G228" s="138" t="s">
        <v>2214</v>
      </c>
      <c r="H228" s="132" t="e">
        <v>#N/A</v>
      </c>
      <c r="I228" s="135" t="s">
        <v>2214</v>
      </c>
    </row>
    <row r="229" spans="1:9">
      <c r="A229" s="131">
        <v>39714</v>
      </c>
      <c r="B229" s="132">
        <v>94.84</v>
      </c>
      <c r="C229" s="132" t="s">
        <v>2214</v>
      </c>
      <c r="D229" s="132" t="s">
        <v>2214</v>
      </c>
      <c r="E229" s="132" t="s">
        <v>2214</v>
      </c>
      <c r="F229" s="132" t="s">
        <v>2214</v>
      </c>
      <c r="G229" s="138" t="s">
        <v>2214</v>
      </c>
      <c r="H229" s="132" t="e">
        <v>#N/A</v>
      </c>
      <c r="I229" s="135" t="s">
        <v>2214</v>
      </c>
    </row>
    <row r="230" spans="1:9">
      <c r="A230" s="131">
        <v>39715</v>
      </c>
      <c r="B230" s="132">
        <v>94.84</v>
      </c>
      <c r="C230" s="132" t="s">
        <v>2214</v>
      </c>
      <c r="D230" s="132" t="s">
        <v>2214</v>
      </c>
      <c r="E230" s="132" t="s">
        <v>2214</v>
      </c>
      <c r="F230" s="132" t="s">
        <v>2214</v>
      </c>
      <c r="G230" s="138" t="s">
        <v>2214</v>
      </c>
      <c r="H230" s="132" t="e">
        <v>#N/A</v>
      </c>
      <c r="I230" s="135" t="s">
        <v>2214</v>
      </c>
    </row>
    <row r="231" spans="1:9">
      <c r="A231" s="131">
        <v>39716</v>
      </c>
      <c r="B231" s="132">
        <v>94.84</v>
      </c>
      <c r="C231" s="132" t="s">
        <v>2214</v>
      </c>
      <c r="D231" s="132" t="s">
        <v>2214</v>
      </c>
      <c r="E231" s="132" t="s">
        <v>2214</v>
      </c>
      <c r="F231" s="132" t="s">
        <v>2214</v>
      </c>
      <c r="G231" s="138" t="s">
        <v>2214</v>
      </c>
      <c r="H231" s="132" t="e">
        <v>#N/A</v>
      </c>
      <c r="I231" s="135" t="s">
        <v>2214</v>
      </c>
    </row>
    <row r="232" spans="1:9">
      <c r="A232" s="131">
        <v>39717</v>
      </c>
      <c r="B232" s="132">
        <v>94.84</v>
      </c>
      <c r="C232" s="132" t="s">
        <v>2214</v>
      </c>
      <c r="D232" s="132" t="s">
        <v>2214</v>
      </c>
      <c r="E232" s="132" t="s">
        <v>2214</v>
      </c>
      <c r="F232" s="132" t="s">
        <v>2214</v>
      </c>
      <c r="G232" s="138" t="s">
        <v>2214</v>
      </c>
      <c r="H232" s="132" t="e">
        <v>#N/A</v>
      </c>
      <c r="I232" s="135" t="s">
        <v>2214</v>
      </c>
    </row>
    <row r="233" spans="1:9">
      <c r="A233" s="131">
        <v>39718</v>
      </c>
      <c r="B233" s="132">
        <v>94.84</v>
      </c>
      <c r="C233" s="132" t="s">
        <v>2214</v>
      </c>
      <c r="D233" s="132" t="s">
        <v>2214</v>
      </c>
      <c r="E233" s="132" t="s">
        <v>2214</v>
      </c>
      <c r="F233" s="132" t="s">
        <v>2214</v>
      </c>
      <c r="G233" s="138" t="s">
        <v>2214</v>
      </c>
      <c r="H233" s="132" t="e">
        <v>#N/A</v>
      </c>
      <c r="I233" s="135" t="s">
        <v>2214</v>
      </c>
    </row>
    <row r="234" spans="1:9">
      <c r="A234" s="131">
        <v>39719</v>
      </c>
      <c r="B234" s="132">
        <v>94.84</v>
      </c>
      <c r="C234" s="132" t="s">
        <v>2214</v>
      </c>
      <c r="D234" s="132" t="s">
        <v>2214</v>
      </c>
      <c r="E234" s="132" t="s">
        <v>2214</v>
      </c>
      <c r="F234" s="132" t="s">
        <v>2214</v>
      </c>
      <c r="G234" s="138" t="s">
        <v>2214</v>
      </c>
      <c r="H234" s="132" t="e">
        <v>#N/A</v>
      </c>
      <c r="I234" s="135" t="s">
        <v>2214</v>
      </c>
    </row>
    <row r="235" spans="1:9">
      <c r="A235" s="131">
        <v>39727</v>
      </c>
      <c r="B235" s="132">
        <v>94.84</v>
      </c>
      <c r="C235" s="132" t="s">
        <v>2214</v>
      </c>
      <c r="D235" s="132" t="s">
        <v>2214</v>
      </c>
      <c r="E235" s="132" t="s">
        <v>2214</v>
      </c>
      <c r="F235" s="132" t="s">
        <v>2214</v>
      </c>
      <c r="G235" s="138" t="s">
        <v>2214</v>
      </c>
      <c r="H235" s="132" t="e">
        <v>#N/A</v>
      </c>
      <c r="I235" s="135" t="s">
        <v>2214</v>
      </c>
    </row>
    <row r="236" spans="1:9">
      <c r="A236" s="131">
        <v>39728</v>
      </c>
      <c r="B236" s="132">
        <v>94.84</v>
      </c>
      <c r="C236" s="132" t="s">
        <v>2214</v>
      </c>
      <c r="D236" s="132" t="s">
        <v>2214</v>
      </c>
      <c r="E236" s="132" t="s">
        <v>2214</v>
      </c>
      <c r="F236" s="132" t="s">
        <v>2214</v>
      </c>
      <c r="G236" s="138" t="s">
        <v>2214</v>
      </c>
      <c r="H236" s="132" t="e">
        <v>#N/A</v>
      </c>
      <c r="I236" s="135" t="s">
        <v>2214</v>
      </c>
    </row>
    <row r="237" spans="1:9">
      <c r="A237" s="131">
        <v>39729</v>
      </c>
      <c r="B237" s="132">
        <v>94.84</v>
      </c>
      <c r="C237" s="132" t="s">
        <v>2214</v>
      </c>
      <c r="D237" s="132" t="s">
        <v>2214</v>
      </c>
      <c r="E237" s="132" t="s">
        <v>2214</v>
      </c>
      <c r="F237" s="132" t="s">
        <v>2214</v>
      </c>
      <c r="G237" s="138" t="s">
        <v>2214</v>
      </c>
      <c r="H237" s="132" t="e">
        <v>#N/A</v>
      </c>
      <c r="I237" s="135" t="s">
        <v>2214</v>
      </c>
    </row>
    <row r="238" spans="1:9">
      <c r="A238" s="131">
        <v>39730</v>
      </c>
      <c r="B238" s="132">
        <v>94.84</v>
      </c>
      <c r="C238" s="132" t="s">
        <v>2214</v>
      </c>
      <c r="D238" s="132" t="s">
        <v>2214</v>
      </c>
      <c r="E238" s="132" t="s">
        <v>2214</v>
      </c>
      <c r="F238" s="132" t="s">
        <v>2214</v>
      </c>
      <c r="G238" s="138" t="s">
        <v>2214</v>
      </c>
      <c r="H238" s="132" t="e">
        <v>#N/A</v>
      </c>
      <c r="I238" s="135" t="s">
        <v>2214</v>
      </c>
    </row>
    <row r="239" spans="1:9">
      <c r="A239" s="131">
        <v>39731</v>
      </c>
      <c r="B239" s="132">
        <v>94.84</v>
      </c>
      <c r="C239" s="132" t="s">
        <v>2214</v>
      </c>
      <c r="D239" s="132" t="s">
        <v>2214</v>
      </c>
      <c r="E239" s="132" t="s">
        <v>2214</v>
      </c>
      <c r="F239" s="132" t="s">
        <v>2214</v>
      </c>
      <c r="G239" s="138" t="s">
        <v>2214</v>
      </c>
      <c r="H239" s="132" t="e">
        <v>#N/A</v>
      </c>
      <c r="I239" s="135" t="s">
        <v>2214</v>
      </c>
    </row>
    <row r="240" spans="1:9">
      <c r="A240" s="131">
        <v>39734</v>
      </c>
      <c r="B240" s="132">
        <v>94.84</v>
      </c>
      <c r="C240" s="132" t="s">
        <v>2214</v>
      </c>
      <c r="D240" s="132" t="s">
        <v>2214</v>
      </c>
      <c r="E240" s="132" t="s">
        <v>2214</v>
      </c>
      <c r="F240" s="132" t="s">
        <v>2214</v>
      </c>
      <c r="G240" s="138" t="s">
        <v>2214</v>
      </c>
      <c r="H240" s="132" t="e">
        <v>#N/A</v>
      </c>
      <c r="I240" s="135" t="s">
        <v>2214</v>
      </c>
    </row>
    <row r="241" spans="1:9">
      <c r="A241" s="131">
        <v>39735</v>
      </c>
      <c r="B241" s="132">
        <v>94.84</v>
      </c>
      <c r="C241" s="132" t="s">
        <v>2214</v>
      </c>
      <c r="D241" s="132" t="s">
        <v>2214</v>
      </c>
      <c r="E241" s="132" t="s">
        <v>2214</v>
      </c>
      <c r="F241" s="132" t="s">
        <v>2214</v>
      </c>
      <c r="G241" s="138" t="s">
        <v>2214</v>
      </c>
      <c r="H241" s="132" t="e">
        <v>#N/A</v>
      </c>
      <c r="I241" s="135" t="s">
        <v>2214</v>
      </c>
    </row>
    <row r="242" spans="1:9">
      <c r="A242" s="131">
        <v>39736</v>
      </c>
      <c r="B242" s="132">
        <v>94.84</v>
      </c>
      <c r="C242" s="132" t="s">
        <v>2214</v>
      </c>
      <c r="D242" s="132" t="s">
        <v>2214</v>
      </c>
      <c r="E242" s="132" t="s">
        <v>2214</v>
      </c>
      <c r="F242" s="132" t="s">
        <v>2214</v>
      </c>
      <c r="G242" s="138" t="s">
        <v>2214</v>
      </c>
      <c r="H242" s="132" t="e">
        <v>#N/A</v>
      </c>
      <c r="I242" s="135" t="s">
        <v>2214</v>
      </c>
    </row>
    <row r="243" spans="1:9">
      <c r="A243" s="131">
        <v>39737</v>
      </c>
      <c r="B243" s="132">
        <v>94.84</v>
      </c>
      <c r="C243" s="132" t="s">
        <v>2214</v>
      </c>
      <c r="D243" s="132" t="s">
        <v>2214</v>
      </c>
      <c r="E243" s="132" t="s">
        <v>2214</v>
      </c>
      <c r="F243" s="132" t="s">
        <v>2214</v>
      </c>
      <c r="G243" s="138" t="s">
        <v>2214</v>
      </c>
      <c r="H243" s="132" t="e">
        <v>#N/A</v>
      </c>
      <c r="I243" s="135" t="s">
        <v>2214</v>
      </c>
    </row>
    <row r="244" spans="1:9">
      <c r="A244" s="131">
        <v>39738</v>
      </c>
      <c r="B244" s="132">
        <v>94.84</v>
      </c>
      <c r="C244" s="132" t="s">
        <v>2214</v>
      </c>
      <c r="D244" s="132" t="s">
        <v>2214</v>
      </c>
      <c r="E244" s="132" t="s">
        <v>2214</v>
      </c>
      <c r="F244" s="132" t="s">
        <v>2214</v>
      </c>
      <c r="G244" s="138" t="s">
        <v>2214</v>
      </c>
      <c r="H244" s="132" t="e">
        <v>#N/A</v>
      </c>
      <c r="I244" s="135" t="s">
        <v>2214</v>
      </c>
    </row>
    <row r="245" spans="1:9">
      <c r="A245" s="131">
        <v>39741</v>
      </c>
      <c r="B245" s="132">
        <v>94.84</v>
      </c>
      <c r="C245" s="132" t="s">
        <v>2214</v>
      </c>
      <c r="D245" s="132" t="s">
        <v>2214</v>
      </c>
      <c r="E245" s="132" t="s">
        <v>2214</v>
      </c>
      <c r="F245" s="132" t="s">
        <v>2214</v>
      </c>
      <c r="G245" s="138" t="s">
        <v>2214</v>
      </c>
      <c r="H245" s="132" t="e">
        <v>#N/A</v>
      </c>
      <c r="I245" s="135" t="s">
        <v>2214</v>
      </c>
    </row>
    <row r="246" spans="1:9">
      <c r="A246" s="131">
        <v>39742</v>
      </c>
      <c r="B246" s="132">
        <v>94.84</v>
      </c>
      <c r="C246" s="132" t="s">
        <v>2214</v>
      </c>
      <c r="D246" s="132" t="s">
        <v>2214</v>
      </c>
      <c r="E246" s="132" t="s">
        <v>2214</v>
      </c>
      <c r="F246" s="132" t="s">
        <v>2214</v>
      </c>
      <c r="G246" s="138" t="s">
        <v>2214</v>
      </c>
      <c r="H246" s="132" t="e">
        <v>#N/A</v>
      </c>
      <c r="I246" s="135" t="s">
        <v>2214</v>
      </c>
    </row>
    <row r="247" spans="1:9">
      <c r="A247" s="131">
        <v>39743</v>
      </c>
      <c r="B247" s="132">
        <v>94.84</v>
      </c>
      <c r="C247" s="132" t="s">
        <v>2214</v>
      </c>
      <c r="D247" s="132" t="s">
        <v>2214</v>
      </c>
      <c r="E247" s="132" t="s">
        <v>2214</v>
      </c>
      <c r="F247" s="132" t="s">
        <v>2214</v>
      </c>
      <c r="G247" s="138" t="s">
        <v>2214</v>
      </c>
      <c r="H247" s="132" t="e">
        <v>#N/A</v>
      </c>
      <c r="I247" s="135" t="s">
        <v>2214</v>
      </c>
    </row>
    <row r="248" spans="1:9">
      <c r="A248" s="131">
        <v>39744</v>
      </c>
      <c r="B248" s="132">
        <v>94.84</v>
      </c>
      <c r="C248" s="132" t="s">
        <v>2214</v>
      </c>
      <c r="D248" s="132" t="s">
        <v>2214</v>
      </c>
      <c r="E248" s="132" t="s">
        <v>2214</v>
      </c>
      <c r="F248" s="132" t="s">
        <v>2214</v>
      </c>
      <c r="G248" s="138" t="s">
        <v>2214</v>
      </c>
      <c r="H248" s="132" t="e">
        <v>#N/A</v>
      </c>
      <c r="I248" s="135" t="s">
        <v>2214</v>
      </c>
    </row>
    <row r="249" spans="1:9">
      <c r="A249" s="131">
        <v>39745</v>
      </c>
      <c r="B249" s="132">
        <v>94.84</v>
      </c>
      <c r="C249" s="132" t="s">
        <v>2214</v>
      </c>
      <c r="D249" s="132" t="s">
        <v>2214</v>
      </c>
      <c r="E249" s="132" t="s">
        <v>2214</v>
      </c>
      <c r="F249" s="132" t="s">
        <v>2214</v>
      </c>
      <c r="G249" s="138" t="s">
        <v>2214</v>
      </c>
      <c r="H249" s="132" t="e">
        <v>#N/A</v>
      </c>
      <c r="I249" s="135" t="s">
        <v>2214</v>
      </c>
    </row>
    <row r="250" spans="1:9">
      <c r="A250" s="131">
        <v>39748</v>
      </c>
      <c r="B250" s="132">
        <v>94.84</v>
      </c>
      <c r="C250" s="132" t="s">
        <v>2214</v>
      </c>
      <c r="D250" s="132" t="s">
        <v>2214</v>
      </c>
      <c r="E250" s="132" t="s">
        <v>2214</v>
      </c>
      <c r="F250" s="132" t="s">
        <v>2214</v>
      </c>
      <c r="G250" s="138" t="s">
        <v>2214</v>
      </c>
      <c r="H250" s="132" t="e">
        <v>#N/A</v>
      </c>
      <c r="I250" s="135" t="s">
        <v>2214</v>
      </c>
    </row>
    <row r="251" spans="1:9">
      <c r="A251" s="131">
        <v>39749</v>
      </c>
      <c r="B251" s="132">
        <v>94.84</v>
      </c>
      <c r="C251" s="132" t="s">
        <v>2214</v>
      </c>
      <c r="D251" s="132" t="s">
        <v>2214</v>
      </c>
      <c r="E251" s="132" t="s">
        <v>2214</v>
      </c>
      <c r="F251" s="132" t="s">
        <v>2214</v>
      </c>
      <c r="G251" s="138" t="s">
        <v>2214</v>
      </c>
      <c r="H251" s="132" t="e">
        <v>#N/A</v>
      </c>
      <c r="I251" s="135" t="s">
        <v>2214</v>
      </c>
    </row>
    <row r="252" spans="1:9">
      <c r="A252" s="131">
        <v>39750</v>
      </c>
      <c r="B252" s="132">
        <v>94.84</v>
      </c>
      <c r="C252" s="132" t="s">
        <v>2214</v>
      </c>
      <c r="D252" s="132" t="s">
        <v>2214</v>
      </c>
      <c r="E252" s="132" t="s">
        <v>2214</v>
      </c>
      <c r="F252" s="132" t="s">
        <v>2214</v>
      </c>
      <c r="G252" s="138" t="s">
        <v>2214</v>
      </c>
      <c r="H252" s="132" t="e">
        <v>#N/A</v>
      </c>
      <c r="I252" s="135" t="s">
        <v>2214</v>
      </c>
    </row>
    <row r="253" spans="1:9">
      <c r="A253" s="131">
        <v>39751</v>
      </c>
      <c r="B253" s="132">
        <v>94.84</v>
      </c>
      <c r="C253" s="132" t="s">
        <v>2214</v>
      </c>
      <c r="D253" s="132" t="s">
        <v>2214</v>
      </c>
      <c r="E253" s="132" t="s">
        <v>2214</v>
      </c>
      <c r="F253" s="132" t="s">
        <v>2214</v>
      </c>
      <c r="G253" s="138" t="s">
        <v>2214</v>
      </c>
      <c r="H253" s="132" t="e">
        <v>#N/A</v>
      </c>
      <c r="I253" s="135" t="s">
        <v>2214</v>
      </c>
    </row>
    <row r="254" spans="1:9">
      <c r="A254" s="131">
        <v>39752</v>
      </c>
      <c r="B254" s="132">
        <v>94.84</v>
      </c>
      <c r="C254" s="132" t="s">
        <v>2214</v>
      </c>
      <c r="D254" s="132" t="s">
        <v>2214</v>
      </c>
      <c r="E254" s="132" t="s">
        <v>2214</v>
      </c>
      <c r="F254" s="132" t="s">
        <v>2214</v>
      </c>
      <c r="G254" s="138" t="s">
        <v>2214</v>
      </c>
      <c r="H254" s="132" t="e">
        <v>#N/A</v>
      </c>
      <c r="I254" s="135" t="s">
        <v>2214</v>
      </c>
    </row>
    <row r="255" spans="1:9">
      <c r="A255" s="131">
        <v>39755</v>
      </c>
      <c r="B255" s="132">
        <v>94.84</v>
      </c>
      <c r="C255" s="132" t="s">
        <v>2214</v>
      </c>
      <c r="D255" s="132" t="s">
        <v>2214</v>
      </c>
      <c r="E255" s="132" t="s">
        <v>2214</v>
      </c>
      <c r="F255" s="132" t="s">
        <v>2214</v>
      </c>
      <c r="G255" s="138" t="s">
        <v>2214</v>
      </c>
      <c r="H255" s="132" t="e">
        <v>#N/A</v>
      </c>
      <c r="I255" s="135" t="s">
        <v>2214</v>
      </c>
    </row>
    <row r="256" spans="1:9">
      <c r="A256" s="131">
        <v>39756</v>
      </c>
      <c r="B256" s="132">
        <v>94.84</v>
      </c>
      <c r="C256" s="132" t="s">
        <v>2214</v>
      </c>
      <c r="D256" s="132" t="s">
        <v>2214</v>
      </c>
      <c r="E256" s="132" t="s">
        <v>2214</v>
      </c>
      <c r="F256" s="132" t="s">
        <v>2214</v>
      </c>
      <c r="G256" s="138" t="s">
        <v>2214</v>
      </c>
      <c r="H256" s="132" t="e">
        <v>#N/A</v>
      </c>
      <c r="I256" s="135" t="s">
        <v>2214</v>
      </c>
    </row>
    <row r="257" spans="1:9">
      <c r="A257" s="131">
        <v>39757</v>
      </c>
      <c r="B257" s="132">
        <v>94.84</v>
      </c>
      <c r="C257" s="132" t="s">
        <v>2214</v>
      </c>
      <c r="D257" s="132" t="s">
        <v>2214</v>
      </c>
      <c r="E257" s="132" t="s">
        <v>2214</v>
      </c>
      <c r="F257" s="132" t="s">
        <v>2214</v>
      </c>
      <c r="G257" s="138" t="s">
        <v>2214</v>
      </c>
      <c r="H257" s="132" t="e">
        <v>#N/A</v>
      </c>
      <c r="I257" s="135" t="s">
        <v>2214</v>
      </c>
    </row>
    <row r="258" spans="1:9">
      <c r="A258" s="131">
        <v>39758</v>
      </c>
      <c r="B258" s="132">
        <v>94.84</v>
      </c>
      <c r="C258" s="132" t="s">
        <v>2214</v>
      </c>
      <c r="D258" s="132" t="s">
        <v>2214</v>
      </c>
      <c r="E258" s="132" t="s">
        <v>2214</v>
      </c>
      <c r="F258" s="132" t="s">
        <v>2214</v>
      </c>
      <c r="G258" s="138" t="s">
        <v>2214</v>
      </c>
      <c r="H258" s="132" t="e">
        <v>#N/A</v>
      </c>
      <c r="I258" s="135" t="s">
        <v>2214</v>
      </c>
    </row>
    <row r="259" spans="1:9">
      <c r="A259" s="131">
        <v>39759</v>
      </c>
      <c r="B259" s="132">
        <v>94.84</v>
      </c>
      <c r="C259" s="132" t="s">
        <v>2214</v>
      </c>
      <c r="D259" s="132" t="s">
        <v>2214</v>
      </c>
      <c r="E259" s="132" t="s">
        <v>2214</v>
      </c>
      <c r="F259" s="132" t="s">
        <v>2214</v>
      </c>
      <c r="G259" s="138" t="s">
        <v>2214</v>
      </c>
      <c r="H259" s="132" t="e">
        <v>#N/A</v>
      </c>
      <c r="I259" s="135" t="s">
        <v>2214</v>
      </c>
    </row>
    <row r="260" spans="1:9">
      <c r="A260" s="131">
        <v>39762</v>
      </c>
      <c r="B260" s="132">
        <v>94.84</v>
      </c>
      <c r="C260" s="132" t="s">
        <v>2214</v>
      </c>
      <c r="D260" s="132" t="s">
        <v>2214</v>
      </c>
      <c r="E260" s="132" t="s">
        <v>2214</v>
      </c>
      <c r="F260" s="132" t="s">
        <v>2214</v>
      </c>
      <c r="G260" s="138" t="s">
        <v>2214</v>
      </c>
      <c r="H260" s="132" t="e">
        <v>#N/A</v>
      </c>
      <c r="I260" s="135" t="s">
        <v>2214</v>
      </c>
    </row>
    <row r="261" spans="1:9">
      <c r="A261" s="131">
        <v>39763</v>
      </c>
      <c r="B261" s="132">
        <v>94.84</v>
      </c>
      <c r="C261" s="132" t="s">
        <v>2214</v>
      </c>
      <c r="D261" s="132" t="s">
        <v>2214</v>
      </c>
      <c r="E261" s="132" t="s">
        <v>2214</v>
      </c>
      <c r="F261" s="132" t="s">
        <v>2214</v>
      </c>
      <c r="G261" s="138" t="s">
        <v>2214</v>
      </c>
      <c r="H261" s="132" t="e">
        <v>#N/A</v>
      </c>
      <c r="I261" s="135" t="s">
        <v>2214</v>
      </c>
    </row>
    <row r="262" spans="1:9">
      <c r="A262" s="131">
        <v>39764</v>
      </c>
      <c r="B262" s="132">
        <v>94.84</v>
      </c>
      <c r="C262" s="132" t="s">
        <v>2214</v>
      </c>
      <c r="D262" s="132" t="s">
        <v>2214</v>
      </c>
      <c r="E262" s="132" t="s">
        <v>2214</v>
      </c>
      <c r="F262" s="132" t="s">
        <v>2214</v>
      </c>
      <c r="G262" s="138" t="s">
        <v>2214</v>
      </c>
      <c r="H262" s="132" t="e">
        <v>#N/A</v>
      </c>
      <c r="I262" s="135" t="s">
        <v>2214</v>
      </c>
    </row>
    <row r="263" spans="1:9">
      <c r="A263" s="131">
        <v>39765</v>
      </c>
      <c r="B263" s="132">
        <v>94.84</v>
      </c>
      <c r="C263" s="132" t="s">
        <v>2214</v>
      </c>
      <c r="D263" s="132" t="s">
        <v>2214</v>
      </c>
      <c r="E263" s="132" t="s">
        <v>2214</v>
      </c>
      <c r="F263" s="132" t="s">
        <v>2214</v>
      </c>
      <c r="G263" s="138" t="s">
        <v>2214</v>
      </c>
      <c r="H263" s="132" t="e">
        <v>#N/A</v>
      </c>
      <c r="I263" s="135" t="s">
        <v>2214</v>
      </c>
    </row>
    <row r="264" spans="1:9">
      <c r="A264" s="131">
        <v>39766</v>
      </c>
      <c r="B264" s="132">
        <v>94.84</v>
      </c>
      <c r="C264" s="132" t="s">
        <v>2214</v>
      </c>
      <c r="D264" s="132" t="s">
        <v>2214</v>
      </c>
      <c r="E264" s="132" t="s">
        <v>2214</v>
      </c>
      <c r="F264" s="132" t="s">
        <v>2214</v>
      </c>
      <c r="G264" s="138" t="s">
        <v>2214</v>
      </c>
      <c r="H264" s="132" t="e">
        <v>#N/A</v>
      </c>
      <c r="I264" s="135" t="s">
        <v>2214</v>
      </c>
    </row>
    <row r="265" spans="1:9">
      <c r="A265" s="131">
        <v>39769</v>
      </c>
      <c r="B265" s="132">
        <v>94.84</v>
      </c>
      <c r="C265" s="132" t="s">
        <v>2214</v>
      </c>
      <c r="D265" s="132" t="s">
        <v>2214</v>
      </c>
      <c r="E265" s="132" t="s">
        <v>2214</v>
      </c>
      <c r="F265" s="132" t="s">
        <v>2214</v>
      </c>
      <c r="G265" s="138" t="s">
        <v>2214</v>
      </c>
      <c r="H265" s="132" t="e">
        <v>#N/A</v>
      </c>
      <c r="I265" s="135" t="s">
        <v>2214</v>
      </c>
    </row>
    <row r="266" spans="1:9">
      <c r="A266" s="131">
        <v>39770</v>
      </c>
      <c r="B266" s="132">
        <v>94.84</v>
      </c>
      <c r="C266" s="132" t="s">
        <v>2214</v>
      </c>
      <c r="D266" s="132" t="s">
        <v>2214</v>
      </c>
      <c r="E266" s="132" t="s">
        <v>2214</v>
      </c>
      <c r="F266" s="132" t="s">
        <v>2214</v>
      </c>
      <c r="G266" s="138" t="s">
        <v>2214</v>
      </c>
      <c r="H266" s="132" t="e">
        <v>#N/A</v>
      </c>
      <c r="I266" s="135" t="s">
        <v>2214</v>
      </c>
    </row>
    <row r="267" spans="1:9">
      <c r="A267" s="131">
        <v>39771</v>
      </c>
      <c r="B267" s="132">
        <v>94.84</v>
      </c>
      <c r="C267" s="132" t="s">
        <v>2214</v>
      </c>
      <c r="D267" s="132" t="s">
        <v>2214</v>
      </c>
      <c r="E267" s="132" t="s">
        <v>2214</v>
      </c>
      <c r="F267" s="132" t="s">
        <v>2214</v>
      </c>
      <c r="G267" s="138" t="s">
        <v>2214</v>
      </c>
      <c r="H267" s="132" t="e">
        <v>#N/A</v>
      </c>
      <c r="I267" s="135" t="s">
        <v>2214</v>
      </c>
    </row>
    <row r="268" spans="1:9">
      <c r="A268" s="131">
        <v>39772</v>
      </c>
      <c r="B268" s="132">
        <v>94.84</v>
      </c>
      <c r="C268" s="132" t="s">
        <v>2214</v>
      </c>
      <c r="D268" s="132" t="s">
        <v>2214</v>
      </c>
      <c r="E268" s="132" t="s">
        <v>2214</v>
      </c>
      <c r="F268" s="132" t="s">
        <v>2214</v>
      </c>
      <c r="G268" s="138" t="s">
        <v>2214</v>
      </c>
      <c r="H268" s="132" t="e">
        <v>#N/A</v>
      </c>
      <c r="I268" s="135" t="s">
        <v>2214</v>
      </c>
    </row>
    <row r="269" spans="1:9">
      <c r="A269" s="131">
        <v>39773</v>
      </c>
      <c r="B269" s="132">
        <v>94.84</v>
      </c>
      <c r="C269" s="132" t="s">
        <v>2214</v>
      </c>
      <c r="D269" s="132" t="s">
        <v>2214</v>
      </c>
      <c r="E269" s="132" t="s">
        <v>2214</v>
      </c>
      <c r="F269" s="132" t="s">
        <v>2214</v>
      </c>
      <c r="G269" s="138" t="s">
        <v>2214</v>
      </c>
      <c r="H269" s="132" t="e">
        <v>#N/A</v>
      </c>
      <c r="I269" s="135" t="s">
        <v>2214</v>
      </c>
    </row>
    <row r="270" spans="1:9">
      <c r="A270" s="131">
        <v>39776</v>
      </c>
      <c r="B270" s="132">
        <v>94.84</v>
      </c>
      <c r="C270" s="132" t="s">
        <v>2214</v>
      </c>
      <c r="D270" s="132" t="s">
        <v>2214</v>
      </c>
      <c r="E270" s="132" t="s">
        <v>2214</v>
      </c>
      <c r="F270" s="132" t="s">
        <v>2214</v>
      </c>
      <c r="G270" s="138" t="s">
        <v>2214</v>
      </c>
      <c r="H270" s="132" t="e">
        <v>#N/A</v>
      </c>
      <c r="I270" s="135" t="s">
        <v>2214</v>
      </c>
    </row>
    <row r="271" spans="1:9">
      <c r="A271" s="131">
        <v>39777</v>
      </c>
      <c r="B271" s="132">
        <v>94.84</v>
      </c>
      <c r="C271" s="132" t="s">
        <v>2214</v>
      </c>
      <c r="D271" s="132" t="s">
        <v>2214</v>
      </c>
      <c r="E271" s="132" t="s">
        <v>2214</v>
      </c>
      <c r="F271" s="132" t="s">
        <v>2214</v>
      </c>
      <c r="G271" s="138" t="s">
        <v>2214</v>
      </c>
      <c r="H271" s="132" t="e">
        <v>#N/A</v>
      </c>
      <c r="I271" s="135" t="s">
        <v>2214</v>
      </c>
    </row>
    <row r="272" spans="1:9">
      <c r="A272" s="131">
        <v>39778</v>
      </c>
      <c r="B272" s="132">
        <v>94.84</v>
      </c>
      <c r="C272" s="132" t="s">
        <v>2214</v>
      </c>
      <c r="D272" s="132" t="s">
        <v>2214</v>
      </c>
      <c r="E272" s="132" t="s">
        <v>2214</v>
      </c>
      <c r="F272" s="132" t="s">
        <v>2214</v>
      </c>
      <c r="G272" s="138" t="s">
        <v>2214</v>
      </c>
      <c r="H272" s="132" t="e">
        <v>#N/A</v>
      </c>
      <c r="I272" s="135" t="s">
        <v>2214</v>
      </c>
    </row>
    <row r="273" spans="1:9">
      <c r="A273" s="131">
        <v>39779</v>
      </c>
      <c r="B273" s="132">
        <v>94.84</v>
      </c>
      <c r="C273" s="132" t="s">
        <v>2214</v>
      </c>
      <c r="D273" s="132" t="s">
        <v>2214</v>
      </c>
      <c r="E273" s="132" t="s">
        <v>2214</v>
      </c>
      <c r="F273" s="132" t="s">
        <v>2214</v>
      </c>
      <c r="G273" s="138" t="s">
        <v>2214</v>
      </c>
      <c r="H273" s="132" t="e">
        <v>#N/A</v>
      </c>
      <c r="I273" s="135" t="s">
        <v>2214</v>
      </c>
    </row>
    <row r="274" spans="1:9">
      <c r="A274" s="131">
        <v>39780</v>
      </c>
      <c r="B274" s="132">
        <v>94.84</v>
      </c>
      <c r="C274" s="132" t="s">
        <v>2214</v>
      </c>
      <c r="D274" s="132" t="s">
        <v>2214</v>
      </c>
      <c r="E274" s="132" t="s">
        <v>2214</v>
      </c>
      <c r="F274" s="132" t="s">
        <v>2214</v>
      </c>
      <c r="G274" s="138" t="s">
        <v>2214</v>
      </c>
      <c r="H274" s="132" t="e">
        <v>#N/A</v>
      </c>
      <c r="I274" s="135" t="s">
        <v>2214</v>
      </c>
    </row>
    <row r="275" spans="1:9">
      <c r="A275" s="131">
        <v>39783</v>
      </c>
      <c r="B275" s="132">
        <v>94.84</v>
      </c>
      <c r="C275" s="132" t="s">
        <v>2214</v>
      </c>
      <c r="D275" s="132" t="s">
        <v>2214</v>
      </c>
      <c r="E275" s="132" t="s">
        <v>2214</v>
      </c>
      <c r="F275" s="132" t="s">
        <v>2214</v>
      </c>
      <c r="G275" s="138" t="s">
        <v>2214</v>
      </c>
      <c r="H275" s="132" t="e">
        <v>#N/A</v>
      </c>
      <c r="I275" s="135" t="s">
        <v>2214</v>
      </c>
    </row>
    <row r="276" spans="1:9">
      <c r="A276" s="131">
        <v>39784</v>
      </c>
      <c r="B276" s="132">
        <v>94.84</v>
      </c>
      <c r="C276" s="132" t="s">
        <v>2214</v>
      </c>
      <c r="D276" s="132" t="s">
        <v>2214</v>
      </c>
      <c r="E276" s="132" t="s">
        <v>2214</v>
      </c>
      <c r="F276" s="132" t="s">
        <v>2214</v>
      </c>
      <c r="G276" s="138" t="s">
        <v>2214</v>
      </c>
      <c r="H276" s="132" t="e">
        <v>#N/A</v>
      </c>
      <c r="I276" s="135" t="s">
        <v>2214</v>
      </c>
    </row>
    <row r="277" spans="1:9">
      <c r="A277" s="131">
        <v>39785</v>
      </c>
      <c r="B277" s="132">
        <v>103.66</v>
      </c>
      <c r="C277" s="132" t="s">
        <v>2214</v>
      </c>
      <c r="D277" s="132" t="s">
        <v>2214</v>
      </c>
      <c r="E277" s="132" t="s">
        <v>2214</v>
      </c>
      <c r="F277" s="132" t="s">
        <v>2214</v>
      </c>
      <c r="G277" s="138" t="s">
        <v>2214</v>
      </c>
      <c r="H277" s="132" t="e">
        <v>#N/A</v>
      </c>
      <c r="I277" s="135" t="s">
        <v>2214</v>
      </c>
    </row>
    <row r="278" spans="1:9">
      <c r="A278" s="131">
        <v>39786</v>
      </c>
      <c r="B278" s="132">
        <v>103.66</v>
      </c>
      <c r="C278" s="132" t="s">
        <v>2214</v>
      </c>
      <c r="D278" s="132" t="s">
        <v>2214</v>
      </c>
      <c r="E278" s="132" t="s">
        <v>2214</v>
      </c>
      <c r="F278" s="132" t="s">
        <v>2214</v>
      </c>
      <c r="G278" s="138" t="s">
        <v>2214</v>
      </c>
      <c r="H278" s="132" t="e">
        <v>#N/A</v>
      </c>
      <c r="I278" s="135" t="s">
        <v>2214</v>
      </c>
    </row>
    <row r="279" spans="1:9">
      <c r="A279" s="131">
        <v>39787</v>
      </c>
      <c r="B279" s="132">
        <v>103.66</v>
      </c>
      <c r="C279" s="132" t="s">
        <v>2214</v>
      </c>
      <c r="D279" s="132" t="s">
        <v>2214</v>
      </c>
      <c r="E279" s="132" t="s">
        <v>2214</v>
      </c>
      <c r="F279" s="132" t="s">
        <v>2214</v>
      </c>
      <c r="G279" s="138" t="s">
        <v>2214</v>
      </c>
      <c r="H279" s="132" t="e">
        <v>#N/A</v>
      </c>
      <c r="I279" s="135" t="s">
        <v>2214</v>
      </c>
    </row>
    <row r="280" spans="1:9">
      <c r="A280" s="131">
        <v>39790</v>
      </c>
      <c r="B280" s="132">
        <v>103.66</v>
      </c>
      <c r="C280" s="132" t="s">
        <v>2214</v>
      </c>
      <c r="D280" s="132" t="s">
        <v>2214</v>
      </c>
      <c r="E280" s="132" t="s">
        <v>2214</v>
      </c>
      <c r="F280" s="132" t="s">
        <v>2214</v>
      </c>
      <c r="G280" s="138" t="s">
        <v>2214</v>
      </c>
      <c r="H280" s="132" t="e">
        <v>#N/A</v>
      </c>
      <c r="I280" s="135" t="s">
        <v>2214</v>
      </c>
    </row>
    <row r="281" spans="1:9">
      <c r="A281" s="131">
        <v>39791</v>
      </c>
      <c r="B281" s="132">
        <v>103.66</v>
      </c>
      <c r="C281" s="132" t="s">
        <v>2214</v>
      </c>
      <c r="D281" s="132" t="s">
        <v>2214</v>
      </c>
      <c r="E281" s="132" t="s">
        <v>2214</v>
      </c>
      <c r="F281" s="132" t="s">
        <v>2214</v>
      </c>
      <c r="G281" s="138" t="s">
        <v>2214</v>
      </c>
      <c r="H281" s="132" t="e">
        <v>#N/A</v>
      </c>
      <c r="I281" s="135" t="s">
        <v>2214</v>
      </c>
    </row>
    <row r="282" spans="1:9">
      <c r="A282" s="131">
        <v>39792</v>
      </c>
      <c r="B282" s="132">
        <v>103.66</v>
      </c>
      <c r="C282" s="132" t="s">
        <v>2214</v>
      </c>
      <c r="D282" s="132" t="s">
        <v>2214</v>
      </c>
      <c r="E282" s="132" t="s">
        <v>2214</v>
      </c>
      <c r="F282" s="132" t="s">
        <v>2214</v>
      </c>
      <c r="G282" s="138" t="s">
        <v>2214</v>
      </c>
      <c r="H282" s="132" t="e">
        <v>#N/A</v>
      </c>
      <c r="I282" s="135" t="s">
        <v>2214</v>
      </c>
    </row>
    <row r="283" spans="1:9">
      <c r="A283" s="131">
        <v>39793</v>
      </c>
      <c r="B283" s="132">
        <v>103.66</v>
      </c>
      <c r="C283" s="132" t="s">
        <v>2214</v>
      </c>
      <c r="D283" s="132" t="s">
        <v>2214</v>
      </c>
      <c r="E283" s="132" t="s">
        <v>2214</v>
      </c>
      <c r="F283" s="132" t="s">
        <v>2214</v>
      </c>
      <c r="G283" s="138" t="s">
        <v>2214</v>
      </c>
      <c r="H283" s="132" t="e">
        <v>#N/A</v>
      </c>
      <c r="I283" s="135" t="s">
        <v>2214</v>
      </c>
    </row>
    <row r="284" spans="1:9">
      <c r="A284" s="131">
        <v>39794</v>
      </c>
      <c r="B284" s="132">
        <v>103.66</v>
      </c>
      <c r="C284" s="132" t="s">
        <v>2214</v>
      </c>
      <c r="D284" s="132" t="s">
        <v>2214</v>
      </c>
      <c r="E284" s="132" t="s">
        <v>2214</v>
      </c>
      <c r="F284" s="132" t="s">
        <v>2214</v>
      </c>
      <c r="G284" s="138" t="s">
        <v>2214</v>
      </c>
      <c r="H284" s="132" t="e">
        <v>#N/A</v>
      </c>
      <c r="I284" s="135" t="s">
        <v>2214</v>
      </c>
    </row>
    <row r="285" spans="1:9">
      <c r="A285" s="131">
        <v>39797</v>
      </c>
      <c r="B285" s="132">
        <v>103.66</v>
      </c>
      <c r="C285" s="132" t="s">
        <v>2214</v>
      </c>
      <c r="D285" s="132" t="s">
        <v>2214</v>
      </c>
      <c r="E285" s="132" t="s">
        <v>2214</v>
      </c>
      <c r="F285" s="132" t="s">
        <v>2214</v>
      </c>
      <c r="G285" s="138" t="s">
        <v>2214</v>
      </c>
      <c r="H285" s="132" t="e">
        <v>#N/A</v>
      </c>
      <c r="I285" s="135" t="s">
        <v>2214</v>
      </c>
    </row>
    <row r="286" spans="1:9">
      <c r="A286" s="131">
        <v>39798</v>
      </c>
      <c r="B286" s="132">
        <v>103.66</v>
      </c>
      <c r="C286" s="132" t="s">
        <v>2214</v>
      </c>
      <c r="D286" s="132" t="s">
        <v>2214</v>
      </c>
      <c r="E286" s="132" t="s">
        <v>2214</v>
      </c>
      <c r="F286" s="132" t="s">
        <v>2214</v>
      </c>
      <c r="G286" s="138" t="s">
        <v>2214</v>
      </c>
      <c r="H286" s="132" t="e">
        <v>#N/A</v>
      </c>
      <c r="I286" s="135" t="s">
        <v>2214</v>
      </c>
    </row>
    <row r="287" spans="1:9">
      <c r="A287" s="131">
        <v>39799</v>
      </c>
      <c r="B287" s="132">
        <v>103.66</v>
      </c>
      <c r="C287" s="132" t="s">
        <v>2214</v>
      </c>
      <c r="D287" s="132" t="s">
        <v>2214</v>
      </c>
      <c r="E287" s="132" t="s">
        <v>2214</v>
      </c>
      <c r="F287" s="132" t="s">
        <v>2214</v>
      </c>
      <c r="G287" s="138" t="s">
        <v>2214</v>
      </c>
      <c r="H287" s="132" t="e">
        <v>#N/A</v>
      </c>
      <c r="I287" s="135" t="s">
        <v>2214</v>
      </c>
    </row>
    <row r="288" spans="1:9">
      <c r="A288" s="131">
        <v>39800</v>
      </c>
      <c r="B288" s="132">
        <v>103.66</v>
      </c>
      <c r="C288" s="132" t="s">
        <v>2214</v>
      </c>
      <c r="D288" s="132" t="s">
        <v>2214</v>
      </c>
      <c r="E288" s="132" t="s">
        <v>2214</v>
      </c>
      <c r="F288" s="132" t="s">
        <v>2214</v>
      </c>
      <c r="G288" s="138" t="s">
        <v>2214</v>
      </c>
      <c r="H288" s="132" t="e">
        <v>#N/A</v>
      </c>
      <c r="I288" s="135" t="s">
        <v>2214</v>
      </c>
    </row>
    <row r="289" spans="1:9">
      <c r="A289" s="131">
        <v>39801</v>
      </c>
      <c r="B289" s="132">
        <v>103.66</v>
      </c>
      <c r="C289" s="132" t="s">
        <v>2214</v>
      </c>
      <c r="D289" s="132" t="s">
        <v>2214</v>
      </c>
      <c r="E289" s="132" t="s">
        <v>2214</v>
      </c>
      <c r="F289" s="132" t="s">
        <v>2214</v>
      </c>
      <c r="G289" s="138" t="s">
        <v>2214</v>
      </c>
      <c r="H289" s="132" t="e">
        <v>#N/A</v>
      </c>
      <c r="I289" s="135" t="s">
        <v>2214</v>
      </c>
    </row>
    <row r="290" spans="1:9">
      <c r="A290" s="131">
        <v>39804</v>
      </c>
      <c r="B290" s="132">
        <v>107.59</v>
      </c>
      <c r="C290" s="132" t="s">
        <v>2214</v>
      </c>
      <c r="D290" s="132" t="s">
        <v>2214</v>
      </c>
      <c r="E290" s="132" t="s">
        <v>2214</v>
      </c>
      <c r="F290" s="132" t="s">
        <v>2214</v>
      </c>
      <c r="G290" s="138" t="s">
        <v>2214</v>
      </c>
      <c r="H290" s="132" t="e">
        <v>#N/A</v>
      </c>
      <c r="I290" s="135" t="s">
        <v>2214</v>
      </c>
    </row>
    <row r="291" spans="1:9">
      <c r="A291" s="131">
        <v>39805</v>
      </c>
      <c r="B291" s="132">
        <v>99.79</v>
      </c>
      <c r="C291" s="132" t="s">
        <v>2214</v>
      </c>
      <c r="D291" s="132" t="s">
        <v>2214</v>
      </c>
      <c r="E291" s="132" t="s">
        <v>2214</v>
      </c>
      <c r="F291" s="132" t="s">
        <v>2214</v>
      </c>
      <c r="G291" s="138" t="s">
        <v>2214</v>
      </c>
      <c r="H291" s="132" t="e">
        <v>#N/A</v>
      </c>
      <c r="I291" s="135" t="s">
        <v>2214</v>
      </c>
    </row>
    <row r="292" spans="1:9">
      <c r="A292" s="131">
        <v>39806</v>
      </c>
      <c r="B292" s="132">
        <v>99.79</v>
      </c>
      <c r="C292" s="132" t="s">
        <v>2214</v>
      </c>
      <c r="D292" s="132" t="s">
        <v>2214</v>
      </c>
      <c r="E292" s="132" t="s">
        <v>2214</v>
      </c>
      <c r="F292" s="132" t="s">
        <v>2214</v>
      </c>
      <c r="G292" s="138" t="s">
        <v>2214</v>
      </c>
      <c r="H292" s="132" t="e">
        <v>#N/A</v>
      </c>
      <c r="I292" s="135" t="s">
        <v>2214</v>
      </c>
    </row>
    <row r="293" spans="1:9">
      <c r="A293" s="131">
        <v>39807</v>
      </c>
      <c r="B293" s="132">
        <v>99.79</v>
      </c>
      <c r="C293" s="132" t="s">
        <v>2214</v>
      </c>
      <c r="D293" s="132" t="s">
        <v>2214</v>
      </c>
      <c r="E293" s="132" t="s">
        <v>2214</v>
      </c>
      <c r="F293" s="132" t="s">
        <v>2214</v>
      </c>
      <c r="G293" s="138" t="s">
        <v>2214</v>
      </c>
      <c r="H293" s="132" t="e">
        <v>#N/A</v>
      </c>
      <c r="I293" s="135" t="s">
        <v>2214</v>
      </c>
    </row>
    <row r="294" spans="1:9">
      <c r="A294" s="131">
        <v>39808</v>
      </c>
      <c r="B294" s="132">
        <v>99.79</v>
      </c>
      <c r="C294" s="132" t="s">
        <v>2214</v>
      </c>
      <c r="D294" s="132" t="s">
        <v>2214</v>
      </c>
      <c r="E294" s="132" t="s">
        <v>2214</v>
      </c>
      <c r="F294" s="132" t="s">
        <v>2214</v>
      </c>
      <c r="G294" s="138" t="s">
        <v>2214</v>
      </c>
      <c r="H294" s="132" t="e">
        <v>#N/A</v>
      </c>
      <c r="I294" s="135" t="s">
        <v>2214</v>
      </c>
    </row>
    <row r="295" spans="1:9">
      <c r="A295" s="131">
        <v>39811</v>
      </c>
      <c r="B295" s="132">
        <v>120</v>
      </c>
      <c r="C295" s="132" t="s">
        <v>2214</v>
      </c>
      <c r="D295" s="132" t="s">
        <v>2214</v>
      </c>
      <c r="E295" s="132" t="s">
        <v>2214</v>
      </c>
      <c r="F295" s="132" t="s">
        <v>2214</v>
      </c>
      <c r="G295" s="138" t="s">
        <v>2214</v>
      </c>
      <c r="H295" s="132" t="e">
        <v>#N/A</v>
      </c>
      <c r="I295" s="135" t="s">
        <v>2214</v>
      </c>
    </row>
    <row r="296" spans="1:9">
      <c r="A296" s="131">
        <v>39812</v>
      </c>
      <c r="B296" s="132">
        <v>120</v>
      </c>
      <c r="C296" s="132" t="s">
        <v>2214</v>
      </c>
      <c r="D296" s="132" t="s">
        <v>2214</v>
      </c>
      <c r="E296" s="132" t="s">
        <v>2214</v>
      </c>
      <c r="F296" s="132" t="s">
        <v>2214</v>
      </c>
      <c r="G296" s="138" t="s">
        <v>2214</v>
      </c>
      <c r="H296" s="132" t="e">
        <v>#N/A</v>
      </c>
      <c r="I296" s="135" t="s">
        <v>2214</v>
      </c>
    </row>
    <row r="297" spans="1:9">
      <c r="A297" s="131">
        <v>39813</v>
      </c>
      <c r="B297" s="132">
        <v>120</v>
      </c>
      <c r="C297" s="132" t="s">
        <v>2214</v>
      </c>
      <c r="D297" s="132" t="s">
        <v>2214</v>
      </c>
      <c r="E297" s="132" t="s">
        <v>2214</v>
      </c>
      <c r="F297" s="132" t="s">
        <v>2214</v>
      </c>
      <c r="G297" s="138" t="s">
        <v>2214</v>
      </c>
      <c r="H297" s="132" t="e">
        <v>#N/A</v>
      </c>
      <c r="I297" s="135" t="s">
        <v>2214</v>
      </c>
    </row>
    <row r="298" spans="1:9">
      <c r="A298" s="131">
        <v>39817</v>
      </c>
      <c r="B298" s="132">
        <v>120</v>
      </c>
      <c r="C298" s="132" t="s">
        <v>2214</v>
      </c>
      <c r="D298" s="132" t="s">
        <v>2214</v>
      </c>
      <c r="E298" s="132" t="s">
        <v>2214</v>
      </c>
      <c r="F298" s="132" t="s">
        <v>2214</v>
      </c>
      <c r="G298" s="138" t="s">
        <v>2214</v>
      </c>
      <c r="H298" s="132" t="e">
        <v>#N/A</v>
      </c>
      <c r="I298" s="135" t="s">
        <v>2214</v>
      </c>
    </row>
    <row r="299" spans="1:9">
      <c r="A299" s="131">
        <v>39818</v>
      </c>
      <c r="B299" s="132">
        <v>120</v>
      </c>
      <c r="C299" s="132" t="s">
        <v>2214</v>
      </c>
      <c r="D299" s="132" t="s">
        <v>2214</v>
      </c>
      <c r="E299" s="132" t="s">
        <v>2214</v>
      </c>
      <c r="F299" s="132" t="s">
        <v>2214</v>
      </c>
      <c r="G299" s="138" t="s">
        <v>2214</v>
      </c>
      <c r="H299" s="132" t="e">
        <v>#N/A</v>
      </c>
      <c r="I299" s="135" t="s">
        <v>2214</v>
      </c>
    </row>
    <row r="300" spans="1:9">
      <c r="A300" s="131">
        <v>39819</v>
      </c>
      <c r="B300" s="132">
        <v>99.71</v>
      </c>
      <c r="C300" s="132" t="s">
        <v>2214</v>
      </c>
      <c r="D300" s="132" t="s">
        <v>2214</v>
      </c>
      <c r="E300" s="132" t="s">
        <v>2214</v>
      </c>
      <c r="F300" s="132" t="s">
        <v>2214</v>
      </c>
      <c r="G300" s="138" t="s">
        <v>2214</v>
      </c>
      <c r="H300" s="132" t="e">
        <v>#N/A</v>
      </c>
      <c r="I300" s="135" t="s">
        <v>2214</v>
      </c>
    </row>
    <row r="301" spans="1:9">
      <c r="A301" s="131">
        <v>39820</v>
      </c>
      <c r="B301" s="132">
        <v>105.57</v>
      </c>
      <c r="C301" s="132" t="s">
        <v>2214</v>
      </c>
      <c r="D301" s="132" t="s">
        <v>2214</v>
      </c>
      <c r="E301" s="132" t="s">
        <v>2214</v>
      </c>
      <c r="F301" s="132" t="s">
        <v>2214</v>
      </c>
      <c r="G301" s="138" t="s">
        <v>2214</v>
      </c>
      <c r="H301" s="132" t="e">
        <v>#N/A</v>
      </c>
      <c r="I301" s="135" t="s">
        <v>2214</v>
      </c>
    </row>
    <row r="302" spans="1:9">
      <c r="A302" s="131">
        <v>39821</v>
      </c>
      <c r="B302" s="132">
        <v>92.47</v>
      </c>
      <c r="C302" s="132" t="s">
        <v>2214</v>
      </c>
      <c r="D302" s="132" t="s">
        <v>2214</v>
      </c>
      <c r="E302" s="132" t="s">
        <v>2214</v>
      </c>
      <c r="F302" s="132" t="s">
        <v>2214</v>
      </c>
      <c r="G302" s="138" t="s">
        <v>2214</v>
      </c>
      <c r="H302" s="132" t="e">
        <v>#N/A</v>
      </c>
      <c r="I302" s="135" t="s">
        <v>2214</v>
      </c>
    </row>
    <row r="303" spans="1:9">
      <c r="A303" s="131">
        <v>39822</v>
      </c>
      <c r="B303" s="132">
        <v>92.47</v>
      </c>
      <c r="C303" s="132" t="s">
        <v>2214</v>
      </c>
      <c r="D303" s="132" t="s">
        <v>2214</v>
      </c>
      <c r="E303" s="132" t="s">
        <v>2214</v>
      </c>
      <c r="F303" s="132" t="s">
        <v>2214</v>
      </c>
      <c r="G303" s="138" t="s">
        <v>2214</v>
      </c>
      <c r="H303" s="132" t="e">
        <v>#N/A</v>
      </c>
      <c r="I303" s="135" t="s">
        <v>2214</v>
      </c>
    </row>
    <row r="304" spans="1:9">
      <c r="A304" s="131">
        <v>39825</v>
      </c>
      <c r="B304" s="132">
        <v>92.47</v>
      </c>
      <c r="C304" s="132" t="s">
        <v>2214</v>
      </c>
      <c r="D304" s="132" t="s">
        <v>2214</v>
      </c>
      <c r="E304" s="132" t="s">
        <v>2214</v>
      </c>
      <c r="F304" s="132" t="s">
        <v>2214</v>
      </c>
      <c r="G304" s="138" t="s">
        <v>2214</v>
      </c>
      <c r="H304" s="132" t="e">
        <v>#N/A</v>
      </c>
      <c r="I304" s="135" t="s">
        <v>2214</v>
      </c>
    </row>
    <row r="305" spans="1:9">
      <c r="A305" s="131">
        <v>39826</v>
      </c>
      <c r="B305" s="132">
        <v>88.81</v>
      </c>
      <c r="C305" s="132" t="s">
        <v>2214</v>
      </c>
      <c r="D305" s="132" t="s">
        <v>2214</v>
      </c>
      <c r="E305" s="132" t="s">
        <v>2214</v>
      </c>
      <c r="F305" s="132" t="s">
        <v>2214</v>
      </c>
      <c r="G305" s="138" t="s">
        <v>2214</v>
      </c>
      <c r="H305" s="132" t="e">
        <v>#N/A</v>
      </c>
      <c r="I305" s="135" t="s">
        <v>2214</v>
      </c>
    </row>
    <row r="306" spans="1:9">
      <c r="A306" s="131">
        <v>39827</v>
      </c>
      <c r="B306" s="132">
        <v>88.81</v>
      </c>
      <c r="C306" s="132" t="s">
        <v>2214</v>
      </c>
      <c r="D306" s="132" t="s">
        <v>2214</v>
      </c>
      <c r="E306" s="132" t="s">
        <v>2214</v>
      </c>
      <c r="F306" s="132" t="s">
        <v>2214</v>
      </c>
      <c r="G306" s="138" t="s">
        <v>2214</v>
      </c>
      <c r="H306" s="132" t="e">
        <v>#N/A</v>
      </c>
      <c r="I306" s="135" t="s">
        <v>2214</v>
      </c>
    </row>
    <row r="307" spans="1:9">
      <c r="A307" s="131">
        <v>39828</v>
      </c>
      <c r="B307" s="132">
        <v>88.81</v>
      </c>
      <c r="C307" s="132" t="s">
        <v>2214</v>
      </c>
      <c r="D307" s="132" t="s">
        <v>2214</v>
      </c>
      <c r="E307" s="132" t="s">
        <v>2214</v>
      </c>
      <c r="F307" s="132" t="s">
        <v>2214</v>
      </c>
      <c r="G307" s="138" t="s">
        <v>2214</v>
      </c>
      <c r="H307" s="132" t="e">
        <v>#N/A</v>
      </c>
      <c r="I307" s="135" t="s">
        <v>2214</v>
      </c>
    </row>
    <row r="308" spans="1:9">
      <c r="A308" s="131">
        <v>39829</v>
      </c>
      <c r="B308" s="132">
        <v>88.81</v>
      </c>
      <c r="C308" s="132" t="s">
        <v>2214</v>
      </c>
      <c r="D308" s="132" t="s">
        <v>2214</v>
      </c>
      <c r="E308" s="132" t="s">
        <v>2214</v>
      </c>
      <c r="F308" s="132" t="s">
        <v>2214</v>
      </c>
      <c r="G308" s="138" t="s">
        <v>2214</v>
      </c>
      <c r="H308" s="132" t="e">
        <v>#N/A</v>
      </c>
      <c r="I308" s="135" t="s">
        <v>2214</v>
      </c>
    </row>
    <row r="309" spans="1:9">
      <c r="A309" s="131">
        <v>39832</v>
      </c>
      <c r="B309" s="132">
        <v>120</v>
      </c>
      <c r="C309" s="132" t="s">
        <v>2214</v>
      </c>
      <c r="D309" s="132" t="s">
        <v>2214</v>
      </c>
      <c r="E309" s="132" t="s">
        <v>2214</v>
      </c>
      <c r="F309" s="132" t="s">
        <v>2214</v>
      </c>
      <c r="G309" s="138" t="s">
        <v>2214</v>
      </c>
      <c r="H309" s="132" t="e">
        <v>#N/A</v>
      </c>
      <c r="I309" s="135" t="s">
        <v>2214</v>
      </c>
    </row>
    <row r="310" spans="1:9">
      <c r="A310" s="131">
        <v>39833</v>
      </c>
      <c r="B310" s="132">
        <v>120</v>
      </c>
      <c r="C310" s="132" t="s">
        <v>2214</v>
      </c>
      <c r="D310" s="132" t="s">
        <v>2214</v>
      </c>
      <c r="E310" s="132" t="s">
        <v>2214</v>
      </c>
      <c r="F310" s="132" t="s">
        <v>2214</v>
      </c>
      <c r="G310" s="138" t="s">
        <v>2214</v>
      </c>
      <c r="H310" s="132" t="e">
        <v>#N/A</v>
      </c>
      <c r="I310" s="135" t="s">
        <v>2214</v>
      </c>
    </row>
    <row r="311" spans="1:9">
      <c r="A311" s="131">
        <v>39834</v>
      </c>
      <c r="B311" s="132">
        <v>120</v>
      </c>
      <c r="C311" s="132" t="s">
        <v>2214</v>
      </c>
      <c r="D311" s="132" t="s">
        <v>2214</v>
      </c>
      <c r="E311" s="132" t="s">
        <v>2214</v>
      </c>
      <c r="F311" s="132" t="s">
        <v>2214</v>
      </c>
      <c r="G311" s="138" t="s">
        <v>2214</v>
      </c>
      <c r="H311" s="132" t="e">
        <v>#N/A</v>
      </c>
      <c r="I311" s="135" t="s">
        <v>2214</v>
      </c>
    </row>
    <row r="312" spans="1:9">
      <c r="A312" s="131">
        <v>39835</v>
      </c>
      <c r="B312" s="132">
        <v>120</v>
      </c>
      <c r="C312" s="132" t="s">
        <v>2214</v>
      </c>
      <c r="D312" s="132" t="s">
        <v>2214</v>
      </c>
      <c r="E312" s="132" t="s">
        <v>2214</v>
      </c>
      <c r="F312" s="132" t="s">
        <v>2214</v>
      </c>
      <c r="G312" s="138" t="s">
        <v>2214</v>
      </c>
      <c r="H312" s="132" t="e">
        <v>#N/A</v>
      </c>
      <c r="I312" s="135" t="s">
        <v>2214</v>
      </c>
    </row>
    <row r="313" spans="1:9">
      <c r="A313" s="131">
        <v>39836</v>
      </c>
      <c r="B313" s="132">
        <v>120</v>
      </c>
      <c r="C313" s="132" t="s">
        <v>2214</v>
      </c>
      <c r="D313" s="132" t="s">
        <v>2214</v>
      </c>
      <c r="E313" s="132" t="s">
        <v>2214</v>
      </c>
      <c r="F313" s="132" t="s">
        <v>2214</v>
      </c>
      <c r="G313" s="138" t="s">
        <v>2214</v>
      </c>
      <c r="H313" s="132" t="e">
        <v>#N/A</v>
      </c>
      <c r="I313" s="135" t="s">
        <v>2214</v>
      </c>
    </row>
    <row r="314" spans="1:9">
      <c r="A314" s="131">
        <v>39837</v>
      </c>
      <c r="B314" s="132">
        <v>120</v>
      </c>
      <c r="C314" s="132" t="s">
        <v>2214</v>
      </c>
      <c r="D314" s="132" t="s">
        <v>2214</v>
      </c>
      <c r="E314" s="132" t="s">
        <v>2214</v>
      </c>
      <c r="F314" s="132" t="s">
        <v>2214</v>
      </c>
      <c r="G314" s="138" t="s">
        <v>2214</v>
      </c>
      <c r="H314" s="132" t="e">
        <v>#N/A</v>
      </c>
      <c r="I314" s="135" t="s">
        <v>2214</v>
      </c>
    </row>
    <row r="315" spans="1:9">
      <c r="A315" s="131">
        <v>39845</v>
      </c>
      <c r="B315" s="132">
        <v>89.93</v>
      </c>
      <c r="C315" s="132" t="s">
        <v>2214</v>
      </c>
      <c r="D315" s="132" t="s">
        <v>2214</v>
      </c>
      <c r="E315" s="132" t="s">
        <v>2214</v>
      </c>
      <c r="F315" s="132" t="s">
        <v>2214</v>
      </c>
      <c r="G315" s="138" t="s">
        <v>2214</v>
      </c>
      <c r="H315" s="132" t="e">
        <v>#N/A</v>
      </c>
      <c r="I315" s="135" t="s">
        <v>2214</v>
      </c>
    </row>
    <row r="316" spans="1:9">
      <c r="A316" s="131">
        <v>39846</v>
      </c>
      <c r="B316" s="132">
        <v>89.93</v>
      </c>
      <c r="C316" s="132" t="s">
        <v>2214</v>
      </c>
      <c r="D316" s="132" t="s">
        <v>2214</v>
      </c>
      <c r="E316" s="132" t="s">
        <v>2214</v>
      </c>
      <c r="F316" s="132" t="s">
        <v>2214</v>
      </c>
      <c r="G316" s="138" t="s">
        <v>2214</v>
      </c>
      <c r="H316" s="132" t="e">
        <v>#N/A</v>
      </c>
      <c r="I316" s="135" t="s">
        <v>2214</v>
      </c>
    </row>
    <row r="317" spans="1:9">
      <c r="A317" s="131">
        <v>39847</v>
      </c>
      <c r="B317" s="132">
        <v>89.93</v>
      </c>
      <c r="C317" s="132" t="s">
        <v>2214</v>
      </c>
      <c r="D317" s="132" t="s">
        <v>2214</v>
      </c>
      <c r="E317" s="132" t="s">
        <v>2214</v>
      </c>
      <c r="F317" s="132" t="s">
        <v>2214</v>
      </c>
      <c r="G317" s="138" t="s">
        <v>2214</v>
      </c>
      <c r="H317" s="132" t="e">
        <v>#N/A</v>
      </c>
      <c r="I317" s="135" t="s">
        <v>2214</v>
      </c>
    </row>
    <row r="318" spans="1:9">
      <c r="A318" s="131">
        <v>39848</v>
      </c>
      <c r="B318" s="132">
        <v>89.93</v>
      </c>
      <c r="C318" s="132" t="s">
        <v>2214</v>
      </c>
      <c r="D318" s="132" t="s">
        <v>2214</v>
      </c>
      <c r="E318" s="132" t="s">
        <v>2214</v>
      </c>
      <c r="F318" s="132" t="s">
        <v>2214</v>
      </c>
      <c r="G318" s="138" t="s">
        <v>2214</v>
      </c>
      <c r="H318" s="132" t="e">
        <v>#N/A</v>
      </c>
      <c r="I318" s="135" t="s">
        <v>2214</v>
      </c>
    </row>
    <row r="319" spans="1:9">
      <c r="A319" s="131">
        <v>39849</v>
      </c>
      <c r="B319" s="132">
        <v>89.93</v>
      </c>
      <c r="C319" s="132" t="s">
        <v>2214</v>
      </c>
      <c r="D319" s="132" t="s">
        <v>2214</v>
      </c>
      <c r="E319" s="132" t="s">
        <v>2214</v>
      </c>
      <c r="F319" s="132" t="s">
        <v>2214</v>
      </c>
      <c r="G319" s="138" t="s">
        <v>2214</v>
      </c>
      <c r="H319" s="132" t="e">
        <v>#N/A</v>
      </c>
      <c r="I319" s="135" t="s">
        <v>2214</v>
      </c>
    </row>
    <row r="320" spans="1:9">
      <c r="A320" s="131">
        <v>39850</v>
      </c>
      <c r="B320" s="132">
        <v>101.4</v>
      </c>
      <c r="C320" s="132" t="s">
        <v>2214</v>
      </c>
      <c r="D320" s="132" t="s">
        <v>2214</v>
      </c>
      <c r="E320" s="132" t="s">
        <v>2214</v>
      </c>
      <c r="F320" s="132" t="s">
        <v>2214</v>
      </c>
      <c r="G320" s="138" t="s">
        <v>2214</v>
      </c>
      <c r="H320" s="132" t="e">
        <v>#N/A</v>
      </c>
      <c r="I320" s="135" t="s">
        <v>2214</v>
      </c>
    </row>
    <row r="321" spans="1:9">
      <c r="A321" s="131">
        <v>39853</v>
      </c>
      <c r="B321" s="132">
        <v>101.4</v>
      </c>
      <c r="C321" s="132" t="s">
        <v>2214</v>
      </c>
      <c r="D321" s="132" t="s">
        <v>2214</v>
      </c>
      <c r="E321" s="132" t="s">
        <v>2214</v>
      </c>
      <c r="F321" s="132" t="s">
        <v>2214</v>
      </c>
      <c r="G321" s="138" t="s">
        <v>2214</v>
      </c>
      <c r="H321" s="132" t="e">
        <v>#N/A</v>
      </c>
      <c r="I321" s="135" t="s">
        <v>2214</v>
      </c>
    </row>
    <row r="322" spans="1:9">
      <c r="A322" s="131">
        <v>39854</v>
      </c>
      <c r="B322" s="132">
        <v>101.4</v>
      </c>
      <c r="C322" s="132" t="s">
        <v>2214</v>
      </c>
      <c r="D322" s="132" t="s">
        <v>2214</v>
      </c>
      <c r="E322" s="132" t="s">
        <v>2214</v>
      </c>
      <c r="F322" s="132" t="s">
        <v>2214</v>
      </c>
      <c r="G322" s="138" t="s">
        <v>2214</v>
      </c>
      <c r="H322" s="132" t="e">
        <v>#N/A</v>
      </c>
      <c r="I322" s="135" t="s">
        <v>2214</v>
      </c>
    </row>
    <row r="323" spans="1:9">
      <c r="A323" s="131">
        <v>39855</v>
      </c>
      <c r="B323" s="132">
        <v>101.4</v>
      </c>
      <c r="C323" s="132" t="s">
        <v>2214</v>
      </c>
      <c r="D323" s="132" t="s">
        <v>2214</v>
      </c>
      <c r="E323" s="132" t="s">
        <v>2214</v>
      </c>
      <c r="F323" s="132" t="s">
        <v>2214</v>
      </c>
      <c r="G323" s="138" t="s">
        <v>2214</v>
      </c>
      <c r="H323" s="132" t="e">
        <v>#N/A</v>
      </c>
      <c r="I323" s="135" t="s">
        <v>2214</v>
      </c>
    </row>
    <row r="324" spans="1:9">
      <c r="A324" s="131">
        <v>39856</v>
      </c>
      <c r="B324" s="132">
        <v>101.4</v>
      </c>
      <c r="C324" s="132" t="s">
        <v>2214</v>
      </c>
      <c r="D324" s="132" t="s">
        <v>2214</v>
      </c>
      <c r="E324" s="132" t="s">
        <v>2214</v>
      </c>
      <c r="F324" s="132" t="s">
        <v>2214</v>
      </c>
      <c r="G324" s="138" t="s">
        <v>2214</v>
      </c>
      <c r="H324" s="132" t="e">
        <v>#N/A</v>
      </c>
      <c r="I324" s="135" t="s">
        <v>2214</v>
      </c>
    </row>
    <row r="325" spans="1:9">
      <c r="A325" s="131">
        <v>39857</v>
      </c>
      <c r="B325" s="132">
        <v>101.7</v>
      </c>
      <c r="C325" s="132" t="s">
        <v>2214</v>
      </c>
      <c r="D325" s="132" t="s">
        <v>2214</v>
      </c>
      <c r="E325" s="132" t="s">
        <v>2214</v>
      </c>
      <c r="F325" s="132" t="s">
        <v>2214</v>
      </c>
      <c r="G325" s="138" t="s">
        <v>2214</v>
      </c>
      <c r="H325" s="132" t="e">
        <v>#N/A</v>
      </c>
      <c r="I325" s="135" t="s">
        <v>2214</v>
      </c>
    </row>
    <row r="326" spans="1:9">
      <c r="A326" s="131">
        <v>39860</v>
      </c>
      <c r="B326" s="132">
        <v>101.7</v>
      </c>
      <c r="C326" s="132" t="s">
        <v>2214</v>
      </c>
      <c r="D326" s="132" t="s">
        <v>2214</v>
      </c>
      <c r="E326" s="132" t="s">
        <v>2214</v>
      </c>
      <c r="F326" s="132" t="s">
        <v>2214</v>
      </c>
      <c r="G326" s="138" t="s">
        <v>2214</v>
      </c>
      <c r="H326" s="132" t="e">
        <v>#N/A</v>
      </c>
      <c r="I326" s="135" t="s">
        <v>2214</v>
      </c>
    </row>
    <row r="327" spans="1:9">
      <c r="A327" s="131">
        <v>39861</v>
      </c>
      <c r="B327" s="132">
        <v>101.77</v>
      </c>
      <c r="C327" s="132" t="s">
        <v>2214</v>
      </c>
      <c r="D327" s="132" t="s">
        <v>2214</v>
      </c>
      <c r="E327" s="132" t="s">
        <v>2214</v>
      </c>
      <c r="F327" s="132" t="s">
        <v>2214</v>
      </c>
      <c r="G327" s="138" t="s">
        <v>2214</v>
      </c>
      <c r="H327" s="132" t="e">
        <v>#N/A</v>
      </c>
      <c r="I327" s="135" t="s">
        <v>2214</v>
      </c>
    </row>
    <row r="328" spans="1:9">
      <c r="A328" s="131">
        <v>39862</v>
      </c>
      <c r="B328" s="132">
        <v>101.77</v>
      </c>
      <c r="C328" s="132" t="s">
        <v>2214</v>
      </c>
      <c r="D328" s="132" t="s">
        <v>2214</v>
      </c>
      <c r="E328" s="132" t="s">
        <v>2214</v>
      </c>
      <c r="F328" s="132" t="s">
        <v>2214</v>
      </c>
      <c r="G328" s="138" t="s">
        <v>2214</v>
      </c>
      <c r="H328" s="132" t="e">
        <v>#N/A</v>
      </c>
      <c r="I328" s="135" t="s">
        <v>2214</v>
      </c>
    </row>
    <row r="329" spans="1:9">
      <c r="A329" s="131">
        <v>39863</v>
      </c>
      <c r="B329" s="132">
        <v>101.77</v>
      </c>
      <c r="C329" s="132" t="s">
        <v>2214</v>
      </c>
      <c r="D329" s="132" t="s">
        <v>2214</v>
      </c>
      <c r="E329" s="132" t="s">
        <v>2214</v>
      </c>
      <c r="F329" s="132" t="s">
        <v>2214</v>
      </c>
      <c r="G329" s="138" t="s">
        <v>2214</v>
      </c>
      <c r="H329" s="132" t="e">
        <v>#N/A</v>
      </c>
      <c r="I329" s="135" t="s">
        <v>2214</v>
      </c>
    </row>
    <row r="330" spans="1:9">
      <c r="A330" s="131">
        <v>39864</v>
      </c>
      <c r="B330" s="132">
        <v>101.77</v>
      </c>
      <c r="C330" s="132" t="s">
        <v>2214</v>
      </c>
      <c r="D330" s="132" t="s">
        <v>2214</v>
      </c>
      <c r="E330" s="132" t="s">
        <v>2214</v>
      </c>
      <c r="F330" s="132" t="s">
        <v>2214</v>
      </c>
      <c r="G330" s="138" t="s">
        <v>2214</v>
      </c>
      <c r="H330" s="132" t="e">
        <v>#N/A</v>
      </c>
      <c r="I330" s="135" t="s">
        <v>2214</v>
      </c>
    </row>
    <row r="331" spans="1:9">
      <c r="A331" s="131">
        <v>39867</v>
      </c>
      <c r="B331" s="132">
        <v>101.77</v>
      </c>
      <c r="C331" s="132" t="s">
        <v>2214</v>
      </c>
      <c r="D331" s="132" t="s">
        <v>2214</v>
      </c>
      <c r="E331" s="132" t="s">
        <v>2214</v>
      </c>
      <c r="F331" s="132" t="s">
        <v>2214</v>
      </c>
      <c r="G331" s="138" t="s">
        <v>2214</v>
      </c>
      <c r="H331" s="132" t="e">
        <v>#N/A</v>
      </c>
      <c r="I331" s="135" t="s">
        <v>2214</v>
      </c>
    </row>
    <row r="332" spans="1:9">
      <c r="A332" s="131">
        <v>39868</v>
      </c>
      <c r="B332" s="132">
        <v>101.77</v>
      </c>
      <c r="C332" s="132" t="s">
        <v>2214</v>
      </c>
      <c r="D332" s="132" t="s">
        <v>2214</v>
      </c>
      <c r="E332" s="132" t="s">
        <v>2214</v>
      </c>
      <c r="F332" s="132" t="s">
        <v>2214</v>
      </c>
      <c r="G332" s="138" t="s">
        <v>2214</v>
      </c>
      <c r="H332" s="132" t="e">
        <v>#N/A</v>
      </c>
      <c r="I332" s="135" t="s">
        <v>2214</v>
      </c>
    </row>
    <row r="333" spans="1:9">
      <c r="A333" s="131">
        <v>39869</v>
      </c>
      <c r="B333" s="132">
        <v>101.77</v>
      </c>
      <c r="C333" s="132" t="s">
        <v>2214</v>
      </c>
      <c r="D333" s="132" t="s">
        <v>2214</v>
      </c>
      <c r="E333" s="132" t="s">
        <v>2214</v>
      </c>
      <c r="F333" s="132" t="s">
        <v>2214</v>
      </c>
      <c r="G333" s="138" t="s">
        <v>2214</v>
      </c>
      <c r="H333" s="132" t="e">
        <v>#N/A</v>
      </c>
      <c r="I333" s="135" t="s">
        <v>2214</v>
      </c>
    </row>
    <row r="334" spans="1:9">
      <c r="A334" s="131">
        <v>39870</v>
      </c>
      <c r="B334" s="132">
        <v>101.77</v>
      </c>
      <c r="C334" s="132" t="s">
        <v>2214</v>
      </c>
      <c r="D334" s="132" t="s">
        <v>2214</v>
      </c>
      <c r="E334" s="132" t="s">
        <v>2214</v>
      </c>
      <c r="F334" s="132" t="s">
        <v>2214</v>
      </c>
      <c r="G334" s="138" t="s">
        <v>2214</v>
      </c>
      <c r="H334" s="132" t="e">
        <v>#N/A</v>
      </c>
      <c r="I334" s="135" t="s">
        <v>2214</v>
      </c>
    </row>
    <row r="335" spans="1:9">
      <c r="A335" s="131">
        <v>39871</v>
      </c>
      <c r="B335" s="132">
        <v>101.77</v>
      </c>
      <c r="C335" s="132" t="s">
        <v>2214</v>
      </c>
      <c r="D335" s="132" t="s">
        <v>2214</v>
      </c>
      <c r="E335" s="132" t="s">
        <v>2214</v>
      </c>
      <c r="F335" s="132" t="s">
        <v>2214</v>
      </c>
      <c r="G335" s="138" t="s">
        <v>2214</v>
      </c>
      <c r="H335" s="132" t="e">
        <v>#N/A</v>
      </c>
      <c r="I335" s="135" t="s">
        <v>2214</v>
      </c>
    </row>
    <row r="336" spans="1:9">
      <c r="A336" s="131">
        <v>39874</v>
      </c>
      <c r="B336" s="132">
        <v>101.77</v>
      </c>
      <c r="C336" s="132" t="s">
        <v>2214</v>
      </c>
      <c r="D336" s="132" t="s">
        <v>2214</v>
      </c>
      <c r="E336" s="132" t="s">
        <v>2214</v>
      </c>
      <c r="F336" s="132" t="s">
        <v>2214</v>
      </c>
      <c r="G336" s="138" t="s">
        <v>2214</v>
      </c>
      <c r="H336" s="132" t="e">
        <v>#N/A</v>
      </c>
      <c r="I336" s="135" t="s">
        <v>2214</v>
      </c>
    </row>
    <row r="337" spans="1:9">
      <c r="A337" s="131">
        <v>39875</v>
      </c>
      <c r="B337" s="132">
        <v>103.42</v>
      </c>
      <c r="C337" s="132" t="s">
        <v>2214</v>
      </c>
      <c r="D337" s="132" t="s">
        <v>2214</v>
      </c>
      <c r="E337" s="132" t="s">
        <v>2214</v>
      </c>
      <c r="F337" s="132" t="s">
        <v>2214</v>
      </c>
      <c r="G337" s="138" t="s">
        <v>2214</v>
      </c>
      <c r="H337" s="132" t="e">
        <v>#N/A</v>
      </c>
      <c r="I337" s="135" t="s">
        <v>2214</v>
      </c>
    </row>
    <row r="338" spans="1:9">
      <c r="A338" s="131">
        <v>39876</v>
      </c>
      <c r="B338" s="132">
        <v>103.42</v>
      </c>
      <c r="C338" s="132" t="s">
        <v>2214</v>
      </c>
      <c r="D338" s="132" t="s">
        <v>2214</v>
      </c>
      <c r="E338" s="132" t="s">
        <v>2214</v>
      </c>
      <c r="F338" s="132" t="s">
        <v>2214</v>
      </c>
      <c r="G338" s="138" t="s">
        <v>2214</v>
      </c>
      <c r="H338" s="132" t="e">
        <v>#N/A</v>
      </c>
      <c r="I338" s="135" t="s">
        <v>2214</v>
      </c>
    </row>
    <row r="339" spans="1:9">
      <c r="A339" s="131">
        <v>39877</v>
      </c>
      <c r="B339" s="132">
        <v>103.42</v>
      </c>
      <c r="C339" s="132" t="s">
        <v>2214</v>
      </c>
      <c r="D339" s="132" t="s">
        <v>2214</v>
      </c>
      <c r="E339" s="132" t="s">
        <v>2214</v>
      </c>
      <c r="F339" s="132" t="s">
        <v>2214</v>
      </c>
      <c r="G339" s="138" t="s">
        <v>2214</v>
      </c>
      <c r="H339" s="132" t="e">
        <v>#N/A</v>
      </c>
      <c r="I339" s="135" t="s">
        <v>2214</v>
      </c>
    </row>
    <row r="340" spans="1:9">
      <c r="A340" s="131">
        <v>39878</v>
      </c>
      <c r="B340" s="132">
        <v>103.42</v>
      </c>
      <c r="C340" s="132" t="s">
        <v>2214</v>
      </c>
      <c r="D340" s="132" t="s">
        <v>2214</v>
      </c>
      <c r="E340" s="132" t="s">
        <v>2214</v>
      </c>
      <c r="F340" s="132" t="s">
        <v>2214</v>
      </c>
      <c r="G340" s="138" t="s">
        <v>2214</v>
      </c>
      <c r="H340" s="132" t="e">
        <v>#N/A</v>
      </c>
      <c r="I340" s="135" t="s">
        <v>2214</v>
      </c>
    </row>
    <row r="341" spans="1:9">
      <c r="A341" s="131">
        <v>39881</v>
      </c>
      <c r="B341" s="132">
        <v>102.43</v>
      </c>
      <c r="C341" s="132" t="s">
        <v>2214</v>
      </c>
      <c r="D341" s="132" t="s">
        <v>2214</v>
      </c>
      <c r="E341" s="132" t="s">
        <v>2214</v>
      </c>
      <c r="F341" s="132" t="s">
        <v>2214</v>
      </c>
      <c r="G341" s="138" t="s">
        <v>2214</v>
      </c>
      <c r="H341" s="132" t="e">
        <v>#N/A</v>
      </c>
      <c r="I341" s="135" t="s">
        <v>2214</v>
      </c>
    </row>
    <row r="342" spans="1:9">
      <c r="A342" s="131">
        <v>39882</v>
      </c>
      <c r="B342" s="132">
        <v>102.43</v>
      </c>
      <c r="C342" s="132" t="s">
        <v>2214</v>
      </c>
      <c r="D342" s="132" t="s">
        <v>2214</v>
      </c>
      <c r="E342" s="132" t="s">
        <v>2214</v>
      </c>
      <c r="F342" s="132" t="s">
        <v>2214</v>
      </c>
      <c r="G342" s="138" t="s">
        <v>2214</v>
      </c>
      <c r="H342" s="132" t="e">
        <v>#N/A</v>
      </c>
      <c r="I342" s="135" t="s">
        <v>2214</v>
      </c>
    </row>
    <row r="343" spans="1:9">
      <c r="A343" s="131">
        <v>39883</v>
      </c>
      <c r="B343" s="132">
        <v>102.43</v>
      </c>
      <c r="C343" s="132" t="s">
        <v>2214</v>
      </c>
      <c r="D343" s="132" t="s">
        <v>2214</v>
      </c>
      <c r="E343" s="132" t="s">
        <v>2214</v>
      </c>
      <c r="F343" s="132" t="s">
        <v>2214</v>
      </c>
      <c r="G343" s="138" t="s">
        <v>2214</v>
      </c>
      <c r="H343" s="132" t="e">
        <v>#N/A</v>
      </c>
      <c r="I343" s="135" t="s">
        <v>2214</v>
      </c>
    </row>
    <row r="344" spans="1:9">
      <c r="A344" s="131">
        <v>39884</v>
      </c>
      <c r="B344" s="132">
        <v>102.43</v>
      </c>
      <c r="C344" s="132" t="s">
        <v>2214</v>
      </c>
      <c r="D344" s="132" t="s">
        <v>2214</v>
      </c>
      <c r="E344" s="132" t="s">
        <v>2214</v>
      </c>
      <c r="F344" s="132" t="s">
        <v>2214</v>
      </c>
      <c r="G344" s="138" t="s">
        <v>2214</v>
      </c>
      <c r="H344" s="132" t="e">
        <v>#N/A</v>
      </c>
      <c r="I344" s="135" t="s">
        <v>2214</v>
      </c>
    </row>
    <row r="345" spans="1:9">
      <c r="A345" s="131">
        <v>39885</v>
      </c>
      <c r="B345" s="132">
        <v>102.43</v>
      </c>
      <c r="C345" s="132" t="s">
        <v>2214</v>
      </c>
      <c r="D345" s="132" t="s">
        <v>2214</v>
      </c>
      <c r="E345" s="132" t="s">
        <v>2214</v>
      </c>
      <c r="F345" s="132" t="s">
        <v>2214</v>
      </c>
      <c r="G345" s="138" t="s">
        <v>2214</v>
      </c>
      <c r="H345" s="132" t="e">
        <v>#N/A</v>
      </c>
      <c r="I345" s="135" t="s">
        <v>2214</v>
      </c>
    </row>
    <row r="346" spans="1:9">
      <c r="A346" s="131">
        <v>39888</v>
      </c>
      <c r="B346" s="132">
        <v>102.43</v>
      </c>
      <c r="C346" s="132" t="s">
        <v>2214</v>
      </c>
      <c r="D346" s="132" t="s">
        <v>2214</v>
      </c>
      <c r="E346" s="132" t="s">
        <v>2214</v>
      </c>
      <c r="F346" s="132" t="s">
        <v>2214</v>
      </c>
      <c r="G346" s="138" t="s">
        <v>2214</v>
      </c>
      <c r="H346" s="132" t="e">
        <v>#N/A</v>
      </c>
      <c r="I346" s="135" t="s">
        <v>2214</v>
      </c>
    </row>
    <row r="347" spans="1:9">
      <c r="A347" s="131">
        <v>39889</v>
      </c>
      <c r="B347" s="132">
        <v>103.15</v>
      </c>
      <c r="C347" s="132" t="s">
        <v>2214</v>
      </c>
      <c r="D347" s="132" t="s">
        <v>2214</v>
      </c>
      <c r="E347" s="132" t="s">
        <v>2214</v>
      </c>
      <c r="F347" s="132" t="s">
        <v>2214</v>
      </c>
      <c r="G347" s="138" t="s">
        <v>2214</v>
      </c>
      <c r="H347" s="132" t="e">
        <v>#N/A</v>
      </c>
      <c r="I347" s="135" t="s">
        <v>2214</v>
      </c>
    </row>
    <row r="348" spans="1:9">
      <c r="A348" s="131">
        <v>39890</v>
      </c>
      <c r="B348" s="132">
        <v>103.15</v>
      </c>
      <c r="C348" s="132" t="s">
        <v>2214</v>
      </c>
      <c r="D348" s="132" t="s">
        <v>2214</v>
      </c>
      <c r="E348" s="132" t="s">
        <v>2214</v>
      </c>
      <c r="F348" s="132" t="s">
        <v>2214</v>
      </c>
      <c r="G348" s="138" t="s">
        <v>2214</v>
      </c>
      <c r="H348" s="132" t="e">
        <v>#N/A</v>
      </c>
      <c r="I348" s="135" t="s">
        <v>2214</v>
      </c>
    </row>
    <row r="349" spans="1:9">
      <c r="A349" s="131">
        <v>39891</v>
      </c>
      <c r="B349" s="132">
        <v>103.19</v>
      </c>
      <c r="C349" s="132" t="s">
        <v>2214</v>
      </c>
      <c r="D349" s="132" t="s">
        <v>2214</v>
      </c>
      <c r="E349" s="132" t="s">
        <v>2214</v>
      </c>
      <c r="F349" s="132" t="s">
        <v>2214</v>
      </c>
      <c r="G349" s="138" t="s">
        <v>2214</v>
      </c>
      <c r="H349" s="132" t="e">
        <v>#N/A</v>
      </c>
      <c r="I349" s="135" t="s">
        <v>2214</v>
      </c>
    </row>
    <row r="350" spans="1:9">
      <c r="A350" s="131">
        <v>39892</v>
      </c>
      <c r="B350" s="132">
        <v>103.04</v>
      </c>
      <c r="C350" s="132" t="s">
        <v>2214</v>
      </c>
      <c r="D350" s="132" t="s">
        <v>2214</v>
      </c>
      <c r="E350" s="132" t="s">
        <v>2214</v>
      </c>
      <c r="F350" s="132" t="s">
        <v>2214</v>
      </c>
      <c r="G350" s="138" t="s">
        <v>2214</v>
      </c>
      <c r="H350" s="132" t="e">
        <v>#N/A</v>
      </c>
      <c r="I350" s="135" t="s">
        <v>2214</v>
      </c>
    </row>
    <row r="351" spans="1:9">
      <c r="A351" s="131">
        <v>39895</v>
      </c>
      <c r="B351" s="132">
        <v>103.05</v>
      </c>
      <c r="C351" s="132" t="s">
        <v>2214</v>
      </c>
      <c r="D351" s="132" t="s">
        <v>2214</v>
      </c>
      <c r="E351" s="132" t="s">
        <v>2214</v>
      </c>
      <c r="F351" s="132" t="s">
        <v>2214</v>
      </c>
      <c r="G351" s="138" t="s">
        <v>2214</v>
      </c>
      <c r="H351" s="132" t="e">
        <v>#N/A</v>
      </c>
      <c r="I351" s="135" t="s">
        <v>2214</v>
      </c>
    </row>
    <row r="352" spans="1:9">
      <c r="A352" s="131">
        <v>39896</v>
      </c>
      <c r="B352" s="132">
        <v>103.05</v>
      </c>
      <c r="C352" s="132" t="s">
        <v>2214</v>
      </c>
      <c r="D352" s="132" t="s">
        <v>2214</v>
      </c>
      <c r="E352" s="132" t="s">
        <v>2214</v>
      </c>
      <c r="F352" s="132" t="s">
        <v>2214</v>
      </c>
      <c r="G352" s="138" t="s">
        <v>2214</v>
      </c>
      <c r="H352" s="132" t="e">
        <v>#N/A</v>
      </c>
      <c r="I352" s="135" t="s">
        <v>2214</v>
      </c>
    </row>
    <row r="353" spans="1:9">
      <c r="A353" s="131">
        <v>39897</v>
      </c>
      <c r="B353" s="132">
        <v>103.05</v>
      </c>
      <c r="C353" s="132" t="s">
        <v>2214</v>
      </c>
      <c r="D353" s="132" t="s">
        <v>2214</v>
      </c>
      <c r="E353" s="132" t="s">
        <v>2214</v>
      </c>
      <c r="F353" s="132" t="s">
        <v>2214</v>
      </c>
      <c r="G353" s="138" t="s">
        <v>2214</v>
      </c>
      <c r="H353" s="132" t="e">
        <v>#N/A</v>
      </c>
      <c r="I353" s="135" t="s">
        <v>2214</v>
      </c>
    </row>
    <row r="354" spans="1:9">
      <c r="A354" s="131">
        <v>39898</v>
      </c>
      <c r="B354" s="132">
        <v>103.05</v>
      </c>
      <c r="C354" s="132" t="s">
        <v>2214</v>
      </c>
      <c r="D354" s="132" t="s">
        <v>2214</v>
      </c>
      <c r="E354" s="132" t="s">
        <v>2214</v>
      </c>
      <c r="F354" s="132" t="s">
        <v>2214</v>
      </c>
      <c r="G354" s="138" t="s">
        <v>2214</v>
      </c>
      <c r="H354" s="132" t="e">
        <v>#N/A</v>
      </c>
      <c r="I354" s="135" t="s">
        <v>2214</v>
      </c>
    </row>
    <row r="355" spans="1:9">
      <c r="A355" s="131">
        <v>39899</v>
      </c>
      <c r="B355" s="132">
        <v>103.05</v>
      </c>
      <c r="C355" s="132" t="s">
        <v>2214</v>
      </c>
      <c r="D355" s="132" t="s">
        <v>2214</v>
      </c>
      <c r="E355" s="132" t="s">
        <v>2214</v>
      </c>
      <c r="F355" s="132" t="s">
        <v>2214</v>
      </c>
      <c r="G355" s="138" t="s">
        <v>2214</v>
      </c>
      <c r="H355" s="132" t="e">
        <v>#N/A</v>
      </c>
      <c r="I355" s="135" t="s">
        <v>2214</v>
      </c>
    </row>
    <row r="356" spans="1:9">
      <c r="A356" s="131">
        <v>39902</v>
      </c>
      <c r="B356" s="132">
        <v>103.05</v>
      </c>
      <c r="C356" s="132" t="s">
        <v>2214</v>
      </c>
      <c r="D356" s="132" t="s">
        <v>2214</v>
      </c>
      <c r="E356" s="132" t="s">
        <v>2214</v>
      </c>
      <c r="F356" s="132" t="s">
        <v>2214</v>
      </c>
      <c r="G356" s="138" t="s">
        <v>2214</v>
      </c>
      <c r="H356" s="132" t="e">
        <v>#N/A</v>
      </c>
      <c r="I356" s="135" t="s">
        <v>2214</v>
      </c>
    </row>
    <row r="357" spans="1:9">
      <c r="A357" s="131">
        <v>39903</v>
      </c>
      <c r="B357" s="132">
        <v>103.05</v>
      </c>
      <c r="C357" s="132" t="s">
        <v>2214</v>
      </c>
      <c r="D357" s="132" t="s">
        <v>2214</v>
      </c>
      <c r="E357" s="132" t="s">
        <v>2214</v>
      </c>
      <c r="F357" s="132" t="s">
        <v>2214</v>
      </c>
      <c r="G357" s="138" t="s">
        <v>2214</v>
      </c>
      <c r="H357" s="132" t="e">
        <v>#N/A</v>
      </c>
      <c r="I357" s="135" t="s">
        <v>2214</v>
      </c>
    </row>
    <row r="358" spans="1:9">
      <c r="A358" s="131">
        <v>39904</v>
      </c>
      <c r="B358" s="132">
        <v>103.05</v>
      </c>
      <c r="C358" s="132" t="s">
        <v>2214</v>
      </c>
      <c r="D358" s="132" t="s">
        <v>2214</v>
      </c>
      <c r="E358" s="132" t="s">
        <v>2214</v>
      </c>
      <c r="F358" s="132" t="s">
        <v>2214</v>
      </c>
      <c r="G358" s="138" t="s">
        <v>2214</v>
      </c>
      <c r="H358" s="132" t="e">
        <v>#N/A</v>
      </c>
      <c r="I358" s="135" t="s">
        <v>2214</v>
      </c>
    </row>
    <row r="359" spans="1:9">
      <c r="A359" s="131">
        <v>39905</v>
      </c>
      <c r="B359" s="132">
        <v>102.72</v>
      </c>
      <c r="C359" s="132" t="s">
        <v>2214</v>
      </c>
      <c r="D359" s="132" t="s">
        <v>2214</v>
      </c>
      <c r="E359" s="132" t="s">
        <v>2214</v>
      </c>
      <c r="F359" s="132" t="s">
        <v>2214</v>
      </c>
      <c r="G359" s="138" t="s">
        <v>2214</v>
      </c>
      <c r="H359" s="132" t="e">
        <v>#N/A</v>
      </c>
      <c r="I359" s="135" t="s">
        <v>2214</v>
      </c>
    </row>
    <row r="360" spans="1:9">
      <c r="A360" s="131">
        <v>39906</v>
      </c>
      <c r="B360" s="132">
        <v>102.72</v>
      </c>
      <c r="C360" s="132" t="s">
        <v>2214</v>
      </c>
      <c r="D360" s="132" t="s">
        <v>2214</v>
      </c>
      <c r="E360" s="132" t="s">
        <v>2214</v>
      </c>
      <c r="F360" s="132" t="s">
        <v>2214</v>
      </c>
      <c r="G360" s="138" t="s">
        <v>2214</v>
      </c>
      <c r="H360" s="132" t="e">
        <v>#N/A</v>
      </c>
      <c r="I360" s="135" t="s">
        <v>2214</v>
      </c>
    </row>
    <row r="361" spans="1:9">
      <c r="A361" s="131">
        <v>39910</v>
      </c>
      <c r="B361" s="132">
        <v>102.72</v>
      </c>
      <c r="C361" s="132" t="s">
        <v>2214</v>
      </c>
      <c r="D361" s="132" t="s">
        <v>2214</v>
      </c>
      <c r="E361" s="132" t="s">
        <v>2214</v>
      </c>
      <c r="F361" s="132" t="s">
        <v>2214</v>
      </c>
      <c r="G361" s="138" t="s">
        <v>2214</v>
      </c>
      <c r="H361" s="132" t="e">
        <v>#N/A</v>
      </c>
      <c r="I361" s="135" t="s">
        <v>2214</v>
      </c>
    </row>
    <row r="362" spans="1:9">
      <c r="A362" s="131">
        <v>39911</v>
      </c>
      <c r="B362" s="132">
        <v>102.72</v>
      </c>
      <c r="C362" s="132" t="s">
        <v>2214</v>
      </c>
      <c r="D362" s="132" t="s">
        <v>2214</v>
      </c>
      <c r="E362" s="132" t="s">
        <v>2214</v>
      </c>
      <c r="F362" s="132" t="s">
        <v>2214</v>
      </c>
      <c r="G362" s="138" t="s">
        <v>2214</v>
      </c>
      <c r="H362" s="132" t="e">
        <v>#N/A</v>
      </c>
      <c r="I362" s="135" t="s">
        <v>2214</v>
      </c>
    </row>
    <row r="363" spans="1:9">
      <c r="A363" s="131">
        <v>39912</v>
      </c>
      <c r="B363" s="132">
        <v>102.72</v>
      </c>
      <c r="C363" s="132" t="s">
        <v>2214</v>
      </c>
      <c r="D363" s="132" t="s">
        <v>2214</v>
      </c>
      <c r="E363" s="132" t="s">
        <v>2214</v>
      </c>
      <c r="F363" s="132" t="s">
        <v>2214</v>
      </c>
      <c r="G363" s="138" t="s">
        <v>2214</v>
      </c>
      <c r="H363" s="132" t="e">
        <v>#N/A</v>
      </c>
      <c r="I363" s="135" t="s">
        <v>2214</v>
      </c>
    </row>
    <row r="364" spans="1:9">
      <c r="A364" s="131">
        <v>39913</v>
      </c>
      <c r="B364" s="132">
        <v>102.72</v>
      </c>
      <c r="C364" s="132" t="s">
        <v>2214</v>
      </c>
      <c r="D364" s="132" t="s">
        <v>2214</v>
      </c>
      <c r="E364" s="132" t="s">
        <v>2214</v>
      </c>
      <c r="F364" s="132" t="s">
        <v>2214</v>
      </c>
      <c r="G364" s="138" t="s">
        <v>2214</v>
      </c>
      <c r="H364" s="132" t="e">
        <v>#N/A</v>
      </c>
      <c r="I364" s="135" t="s">
        <v>2214</v>
      </c>
    </row>
    <row r="365" spans="1:9">
      <c r="A365" s="131">
        <v>39916</v>
      </c>
      <c r="B365" s="132">
        <v>102.72</v>
      </c>
      <c r="C365" s="132" t="s">
        <v>2214</v>
      </c>
      <c r="D365" s="132" t="s">
        <v>2214</v>
      </c>
      <c r="E365" s="132" t="s">
        <v>2214</v>
      </c>
      <c r="F365" s="132" t="s">
        <v>2214</v>
      </c>
      <c r="G365" s="138" t="s">
        <v>2214</v>
      </c>
      <c r="H365" s="132" t="e">
        <v>#N/A</v>
      </c>
      <c r="I365" s="135" t="s">
        <v>2214</v>
      </c>
    </row>
    <row r="366" spans="1:9">
      <c r="A366" s="131">
        <v>39917</v>
      </c>
      <c r="B366" s="132">
        <v>102.72</v>
      </c>
      <c r="C366" s="132" t="s">
        <v>2214</v>
      </c>
      <c r="D366" s="132" t="s">
        <v>2214</v>
      </c>
      <c r="E366" s="132" t="s">
        <v>2214</v>
      </c>
      <c r="F366" s="132" t="s">
        <v>2214</v>
      </c>
      <c r="G366" s="138" t="s">
        <v>2214</v>
      </c>
      <c r="H366" s="132" t="e">
        <v>#N/A</v>
      </c>
      <c r="I366" s="135" t="s">
        <v>2214</v>
      </c>
    </row>
    <row r="367" spans="1:9">
      <c r="A367" s="131">
        <v>39918</v>
      </c>
      <c r="B367" s="132">
        <v>102.72</v>
      </c>
      <c r="C367" s="132" t="s">
        <v>2214</v>
      </c>
      <c r="D367" s="132" t="s">
        <v>2214</v>
      </c>
      <c r="E367" s="132" t="s">
        <v>2214</v>
      </c>
      <c r="F367" s="132" t="s">
        <v>2214</v>
      </c>
      <c r="G367" s="138" t="s">
        <v>2214</v>
      </c>
      <c r="H367" s="132" t="e">
        <v>#N/A</v>
      </c>
      <c r="I367" s="135" t="s">
        <v>2214</v>
      </c>
    </row>
    <row r="368" spans="1:9">
      <c r="A368" s="131">
        <v>39919</v>
      </c>
      <c r="B368" s="132">
        <v>102.72</v>
      </c>
      <c r="C368" s="132" t="s">
        <v>2214</v>
      </c>
      <c r="D368" s="132" t="s">
        <v>2214</v>
      </c>
      <c r="E368" s="132" t="s">
        <v>2214</v>
      </c>
      <c r="F368" s="132" t="s">
        <v>2214</v>
      </c>
      <c r="G368" s="138" t="s">
        <v>2214</v>
      </c>
      <c r="H368" s="132" t="e">
        <v>#N/A</v>
      </c>
      <c r="I368" s="135" t="s">
        <v>2214</v>
      </c>
    </row>
    <row r="369" spans="1:9">
      <c r="A369" s="131">
        <v>39920</v>
      </c>
      <c r="B369" s="132">
        <v>102.72</v>
      </c>
      <c r="C369" s="132" t="s">
        <v>2214</v>
      </c>
      <c r="D369" s="132" t="s">
        <v>2214</v>
      </c>
      <c r="E369" s="132" t="s">
        <v>2214</v>
      </c>
      <c r="F369" s="132" t="s">
        <v>2214</v>
      </c>
      <c r="G369" s="138" t="s">
        <v>2214</v>
      </c>
      <c r="H369" s="132" t="e">
        <v>#N/A</v>
      </c>
      <c r="I369" s="135" t="s">
        <v>2214</v>
      </c>
    </row>
    <row r="370" spans="1:9">
      <c r="A370" s="131">
        <v>39923</v>
      </c>
      <c r="B370" s="132">
        <v>102.72</v>
      </c>
      <c r="C370" s="132" t="s">
        <v>2214</v>
      </c>
      <c r="D370" s="132" t="s">
        <v>2214</v>
      </c>
      <c r="E370" s="132" t="s">
        <v>2214</v>
      </c>
      <c r="F370" s="132" t="s">
        <v>2214</v>
      </c>
      <c r="G370" s="138" t="s">
        <v>2214</v>
      </c>
      <c r="H370" s="132" t="e">
        <v>#N/A</v>
      </c>
      <c r="I370" s="135" t="s">
        <v>2214</v>
      </c>
    </row>
    <row r="371" spans="1:9">
      <c r="A371" s="131">
        <v>39924</v>
      </c>
      <c r="B371" s="132">
        <v>102.72</v>
      </c>
      <c r="C371" s="132" t="s">
        <v>2214</v>
      </c>
      <c r="D371" s="132" t="s">
        <v>2214</v>
      </c>
      <c r="E371" s="132" t="s">
        <v>2214</v>
      </c>
      <c r="F371" s="132" t="s">
        <v>2214</v>
      </c>
      <c r="G371" s="138" t="s">
        <v>2214</v>
      </c>
      <c r="H371" s="132" t="e">
        <v>#N/A</v>
      </c>
      <c r="I371" s="135" t="s">
        <v>2214</v>
      </c>
    </row>
    <row r="372" spans="1:9">
      <c r="A372" s="131">
        <v>39925</v>
      </c>
      <c r="B372" s="132">
        <v>102.44</v>
      </c>
      <c r="C372" s="132" t="s">
        <v>2214</v>
      </c>
      <c r="D372" s="132" t="s">
        <v>2214</v>
      </c>
      <c r="E372" s="132" t="s">
        <v>2214</v>
      </c>
      <c r="F372" s="132" t="s">
        <v>2214</v>
      </c>
      <c r="G372" s="138" t="s">
        <v>2214</v>
      </c>
      <c r="H372" s="132" t="e">
        <v>#N/A</v>
      </c>
      <c r="I372" s="135" t="s">
        <v>2214</v>
      </c>
    </row>
    <row r="373" spans="1:9">
      <c r="A373" s="131">
        <v>39926</v>
      </c>
      <c r="B373" s="132">
        <v>102.44</v>
      </c>
      <c r="C373" s="132" t="s">
        <v>2214</v>
      </c>
      <c r="D373" s="132" t="s">
        <v>2214</v>
      </c>
      <c r="E373" s="132" t="s">
        <v>2214</v>
      </c>
      <c r="F373" s="132" t="s">
        <v>2214</v>
      </c>
      <c r="G373" s="138" t="s">
        <v>2214</v>
      </c>
      <c r="H373" s="132" t="e">
        <v>#N/A</v>
      </c>
      <c r="I373" s="135" t="s">
        <v>2214</v>
      </c>
    </row>
    <row r="374" spans="1:9">
      <c r="A374" s="131">
        <v>39927</v>
      </c>
      <c r="B374" s="132">
        <v>102.44</v>
      </c>
      <c r="C374" s="132" t="s">
        <v>2214</v>
      </c>
      <c r="D374" s="132" t="s">
        <v>2214</v>
      </c>
      <c r="E374" s="132" t="s">
        <v>2214</v>
      </c>
      <c r="F374" s="132" t="s">
        <v>2214</v>
      </c>
      <c r="G374" s="138" t="s">
        <v>2214</v>
      </c>
      <c r="H374" s="132" t="e">
        <v>#N/A</v>
      </c>
      <c r="I374" s="135" t="s">
        <v>2214</v>
      </c>
    </row>
    <row r="375" spans="1:9">
      <c r="A375" s="131">
        <v>39930</v>
      </c>
      <c r="B375" s="132">
        <v>102.44</v>
      </c>
      <c r="C375" s="132" t="s">
        <v>2214</v>
      </c>
      <c r="D375" s="132" t="s">
        <v>2214</v>
      </c>
      <c r="E375" s="132" t="s">
        <v>2214</v>
      </c>
      <c r="F375" s="132" t="s">
        <v>2214</v>
      </c>
      <c r="G375" s="138" t="s">
        <v>2214</v>
      </c>
      <c r="H375" s="132" t="e">
        <v>#N/A</v>
      </c>
      <c r="I375" s="135" t="s">
        <v>2214</v>
      </c>
    </row>
    <row r="376" spans="1:9">
      <c r="A376" s="131">
        <v>39931</v>
      </c>
      <c r="B376" s="132">
        <v>102.44</v>
      </c>
      <c r="C376" s="132" t="s">
        <v>2214</v>
      </c>
      <c r="D376" s="132" t="s">
        <v>2214</v>
      </c>
      <c r="E376" s="132" t="s">
        <v>2214</v>
      </c>
      <c r="F376" s="132" t="s">
        <v>2214</v>
      </c>
      <c r="G376" s="138" t="s">
        <v>2214</v>
      </c>
      <c r="H376" s="132" t="e">
        <v>#N/A</v>
      </c>
      <c r="I376" s="135" t="s">
        <v>2214</v>
      </c>
    </row>
    <row r="377" spans="1:9">
      <c r="A377" s="131">
        <v>39932</v>
      </c>
      <c r="B377" s="132">
        <v>103.15</v>
      </c>
      <c r="C377" s="132" t="s">
        <v>2214</v>
      </c>
      <c r="D377" s="132" t="s">
        <v>2214</v>
      </c>
      <c r="E377" s="132" t="s">
        <v>2214</v>
      </c>
      <c r="F377" s="132" t="s">
        <v>2214</v>
      </c>
      <c r="G377" s="138" t="s">
        <v>2214</v>
      </c>
      <c r="H377" s="132" t="e">
        <v>#N/A</v>
      </c>
      <c r="I377" s="135" t="s">
        <v>2214</v>
      </c>
    </row>
    <row r="378" spans="1:9">
      <c r="A378" s="131">
        <v>39933</v>
      </c>
      <c r="B378" s="132">
        <v>103.15</v>
      </c>
      <c r="C378" s="132" t="s">
        <v>2214</v>
      </c>
      <c r="D378" s="132" t="s">
        <v>2214</v>
      </c>
      <c r="E378" s="132" t="s">
        <v>2214</v>
      </c>
      <c r="F378" s="132" t="s">
        <v>2214</v>
      </c>
      <c r="G378" s="138" t="s">
        <v>2214</v>
      </c>
      <c r="H378" s="132" t="e">
        <v>#N/A</v>
      </c>
      <c r="I378" s="135" t="s">
        <v>2214</v>
      </c>
    </row>
    <row r="379" spans="1:9">
      <c r="A379" s="131">
        <v>39937</v>
      </c>
      <c r="B379" s="132">
        <v>103.15</v>
      </c>
      <c r="C379" s="132" t="s">
        <v>2214</v>
      </c>
      <c r="D379" s="132" t="s">
        <v>2214</v>
      </c>
      <c r="E379" s="132" t="s">
        <v>2214</v>
      </c>
      <c r="F379" s="132" t="s">
        <v>2214</v>
      </c>
      <c r="G379" s="138" t="s">
        <v>2214</v>
      </c>
      <c r="H379" s="132" t="e">
        <v>#N/A</v>
      </c>
      <c r="I379" s="135" t="s">
        <v>2214</v>
      </c>
    </row>
    <row r="380" spans="1:9">
      <c r="A380" s="131">
        <v>39938</v>
      </c>
      <c r="B380" s="132">
        <v>103.15</v>
      </c>
      <c r="C380" s="132" t="s">
        <v>2214</v>
      </c>
      <c r="D380" s="132" t="s">
        <v>2214</v>
      </c>
      <c r="E380" s="132" t="s">
        <v>2214</v>
      </c>
      <c r="F380" s="132" t="s">
        <v>2214</v>
      </c>
      <c r="G380" s="138" t="s">
        <v>2214</v>
      </c>
      <c r="H380" s="132" t="e">
        <v>#N/A</v>
      </c>
      <c r="I380" s="135" t="s">
        <v>2214</v>
      </c>
    </row>
    <row r="381" spans="1:9">
      <c r="A381" s="131">
        <v>39939</v>
      </c>
      <c r="B381" s="132">
        <v>103.15</v>
      </c>
      <c r="C381" s="132" t="s">
        <v>2214</v>
      </c>
      <c r="D381" s="132" t="s">
        <v>2214</v>
      </c>
      <c r="E381" s="132" t="s">
        <v>2214</v>
      </c>
      <c r="F381" s="132" t="s">
        <v>2214</v>
      </c>
      <c r="G381" s="138" t="s">
        <v>2214</v>
      </c>
      <c r="H381" s="132" t="e">
        <v>#N/A</v>
      </c>
      <c r="I381" s="135" t="s">
        <v>2214</v>
      </c>
    </row>
    <row r="382" spans="1:9">
      <c r="A382" s="131">
        <v>39940</v>
      </c>
      <c r="B382" s="132">
        <v>103.15</v>
      </c>
      <c r="C382" s="132" t="s">
        <v>2214</v>
      </c>
      <c r="D382" s="132" t="s">
        <v>2214</v>
      </c>
      <c r="E382" s="132" t="s">
        <v>2214</v>
      </c>
      <c r="F382" s="132" t="s">
        <v>2214</v>
      </c>
      <c r="G382" s="138" t="s">
        <v>2214</v>
      </c>
      <c r="H382" s="132" t="e">
        <v>#N/A</v>
      </c>
      <c r="I382" s="135" t="s">
        <v>2214</v>
      </c>
    </row>
    <row r="383" spans="1:9">
      <c r="A383" s="131">
        <v>39941</v>
      </c>
      <c r="B383" s="132">
        <v>103.15</v>
      </c>
      <c r="C383" s="132" t="s">
        <v>2214</v>
      </c>
      <c r="D383" s="132" t="s">
        <v>2214</v>
      </c>
      <c r="E383" s="132" t="s">
        <v>2214</v>
      </c>
      <c r="F383" s="132" t="s">
        <v>2214</v>
      </c>
      <c r="G383" s="138" t="s">
        <v>2214</v>
      </c>
      <c r="H383" s="132" t="e">
        <v>#N/A</v>
      </c>
      <c r="I383" s="135" t="s">
        <v>2214</v>
      </c>
    </row>
    <row r="384" spans="1:9">
      <c r="A384" s="131">
        <v>39944</v>
      </c>
      <c r="B384" s="132">
        <v>103.06</v>
      </c>
      <c r="C384" s="132" t="s">
        <v>2214</v>
      </c>
      <c r="D384" s="132" t="s">
        <v>2214</v>
      </c>
      <c r="E384" s="132" t="s">
        <v>2214</v>
      </c>
      <c r="F384" s="132" t="s">
        <v>2214</v>
      </c>
      <c r="G384" s="138" t="s">
        <v>2214</v>
      </c>
      <c r="H384" s="132" t="e">
        <v>#N/A</v>
      </c>
      <c r="I384" s="135" t="s">
        <v>2214</v>
      </c>
    </row>
    <row r="385" spans="1:9">
      <c r="A385" s="131">
        <v>39945</v>
      </c>
      <c r="B385" s="132">
        <v>103.06</v>
      </c>
      <c r="C385" s="132" t="s">
        <v>2214</v>
      </c>
      <c r="D385" s="132" t="s">
        <v>2214</v>
      </c>
      <c r="E385" s="132" t="s">
        <v>2214</v>
      </c>
      <c r="F385" s="132" t="s">
        <v>2214</v>
      </c>
      <c r="G385" s="138" t="s">
        <v>2214</v>
      </c>
      <c r="H385" s="132" t="e">
        <v>#N/A</v>
      </c>
      <c r="I385" s="135" t="s">
        <v>2214</v>
      </c>
    </row>
    <row r="386" spans="1:9">
      <c r="A386" s="131">
        <v>39946</v>
      </c>
      <c r="B386" s="132">
        <v>103.06</v>
      </c>
      <c r="C386" s="132" t="s">
        <v>2214</v>
      </c>
      <c r="D386" s="132" t="s">
        <v>2214</v>
      </c>
      <c r="E386" s="132" t="s">
        <v>2214</v>
      </c>
      <c r="F386" s="132" t="s">
        <v>2214</v>
      </c>
      <c r="G386" s="138" t="s">
        <v>2214</v>
      </c>
      <c r="H386" s="132" t="e">
        <v>#N/A</v>
      </c>
      <c r="I386" s="135" t="s">
        <v>2214</v>
      </c>
    </row>
    <row r="387" spans="1:9">
      <c r="A387" s="131">
        <v>39947</v>
      </c>
      <c r="B387" s="132">
        <v>103.06</v>
      </c>
      <c r="C387" s="132" t="s">
        <v>2214</v>
      </c>
      <c r="D387" s="132" t="s">
        <v>2214</v>
      </c>
      <c r="E387" s="132" t="s">
        <v>2214</v>
      </c>
      <c r="F387" s="132" t="s">
        <v>2214</v>
      </c>
      <c r="G387" s="138" t="s">
        <v>2214</v>
      </c>
      <c r="H387" s="132" t="e">
        <v>#N/A</v>
      </c>
      <c r="I387" s="135" t="s">
        <v>2214</v>
      </c>
    </row>
    <row r="388" spans="1:9">
      <c r="A388" s="131">
        <v>39948</v>
      </c>
      <c r="B388" s="132">
        <v>103.06</v>
      </c>
      <c r="C388" s="132" t="s">
        <v>2214</v>
      </c>
      <c r="D388" s="132" t="s">
        <v>2214</v>
      </c>
      <c r="E388" s="132" t="s">
        <v>2214</v>
      </c>
      <c r="F388" s="132" t="s">
        <v>2214</v>
      </c>
      <c r="G388" s="138" t="s">
        <v>2214</v>
      </c>
      <c r="H388" s="132" t="e">
        <v>#N/A</v>
      </c>
      <c r="I388" s="135" t="s">
        <v>2214</v>
      </c>
    </row>
    <row r="389" spans="1:9">
      <c r="A389" s="131">
        <v>39951</v>
      </c>
      <c r="B389" s="132">
        <v>103.06</v>
      </c>
      <c r="C389" s="132" t="s">
        <v>2214</v>
      </c>
      <c r="D389" s="132" t="s">
        <v>2214</v>
      </c>
      <c r="E389" s="132" t="s">
        <v>2214</v>
      </c>
      <c r="F389" s="132" t="s">
        <v>2214</v>
      </c>
      <c r="G389" s="138" t="s">
        <v>2214</v>
      </c>
      <c r="H389" s="132" t="e">
        <v>#N/A</v>
      </c>
      <c r="I389" s="135" t="s">
        <v>2214</v>
      </c>
    </row>
    <row r="390" spans="1:9">
      <c r="A390" s="131">
        <v>39952</v>
      </c>
      <c r="B390" s="132">
        <v>103.06</v>
      </c>
      <c r="C390" s="132" t="s">
        <v>2214</v>
      </c>
      <c r="D390" s="132" t="s">
        <v>2214</v>
      </c>
      <c r="E390" s="132" t="s">
        <v>2214</v>
      </c>
      <c r="F390" s="132" t="s">
        <v>2214</v>
      </c>
      <c r="G390" s="138" t="s">
        <v>2214</v>
      </c>
      <c r="H390" s="132" t="e">
        <v>#N/A</v>
      </c>
      <c r="I390" s="135" t="s">
        <v>2214</v>
      </c>
    </row>
    <row r="391" spans="1:9">
      <c r="A391" s="131">
        <v>39953</v>
      </c>
      <c r="B391" s="132">
        <v>103.06</v>
      </c>
      <c r="C391" s="132" t="s">
        <v>2214</v>
      </c>
      <c r="D391" s="132" t="s">
        <v>2214</v>
      </c>
      <c r="E391" s="132" t="s">
        <v>2214</v>
      </c>
      <c r="F391" s="132" t="s">
        <v>2214</v>
      </c>
      <c r="G391" s="138" t="s">
        <v>2214</v>
      </c>
      <c r="H391" s="132" t="e">
        <v>#N/A</v>
      </c>
      <c r="I391" s="135" t="s">
        <v>2214</v>
      </c>
    </row>
    <row r="392" spans="1:9">
      <c r="A392" s="131">
        <v>39954</v>
      </c>
      <c r="B392" s="132">
        <v>102.9</v>
      </c>
      <c r="C392" s="132" t="s">
        <v>2214</v>
      </c>
      <c r="D392" s="132" t="s">
        <v>2214</v>
      </c>
      <c r="E392" s="132" t="s">
        <v>2214</v>
      </c>
      <c r="F392" s="132" t="s">
        <v>2214</v>
      </c>
      <c r="G392" s="138" t="s">
        <v>2214</v>
      </c>
      <c r="H392" s="132" t="e">
        <v>#N/A</v>
      </c>
      <c r="I392" s="135" t="s">
        <v>2214</v>
      </c>
    </row>
    <row r="393" spans="1:9">
      <c r="A393" s="131">
        <v>39955</v>
      </c>
      <c r="B393" s="132">
        <v>102.9</v>
      </c>
      <c r="C393" s="132" t="s">
        <v>2214</v>
      </c>
      <c r="D393" s="132" t="s">
        <v>2214</v>
      </c>
      <c r="E393" s="132" t="s">
        <v>2214</v>
      </c>
      <c r="F393" s="132" t="s">
        <v>2214</v>
      </c>
      <c r="G393" s="138" t="s">
        <v>2214</v>
      </c>
      <c r="H393" s="132" t="e">
        <v>#N/A</v>
      </c>
      <c r="I393" s="135" t="s">
        <v>2214</v>
      </c>
    </row>
    <row r="394" spans="1:9">
      <c r="A394" s="131">
        <v>39958</v>
      </c>
      <c r="B394" s="132">
        <v>102.9</v>
      </c>
      <c r="C394" s="132" t="s">
        <v>2214</v>
      </c>
      <c r="D394" s="132" t="s">
        <v>2214</v>
      </c>
      <c r="E394" s="132" t="s">
        <v>2214</v>
      </c>
      <c r="F394" s="132" t="s">
        <v>2214</v>
      </c>
      <c r="G394" s="138" t="s">
        <v>2214</v>
      </c>
      <c r="H394" s="132" t="e">
        <v>#N/A</v>
      </c>
      <c r="I394" s="135" t="s">
        <v>2214</v>
      </c>
    </row>
    <row r="395" spans="1:9">
      <c r="A395" s="131">
        <v>39959</v>
      </c>
      <c r="B395" s="132">
        <v>101.57</v>
      </c>
      <c r="C395" s="132" t="s">
        <v>2214</v>
      </c>
      <c r="D395" s="132" t="s">
        <v>2214</v>
      </c>
      <c r="E395" s="132" t="s">
        <v>2214</v>
      </c>
      <c r="F395" s="132" t="s">
        <v>2214</v>
      </c>
      <c r="G395" s="138" t="s">
        <v>2214</v>
      </c>
      <c r="H395" s="132" t="e">
        <v>#N/A</v>
      </c>
      <c r="I395" s="135" t="s">
        <v>2214</v>
      </c>
    </row>
    <row r="396" spans="1:9">
      <c r="A396" s="131">
        <v>39960</v>
      </c>
      <c r="B396" s="132">
        <v>101.57</v>
      </c>
      <c r="C396" s="132" t="s">
        <v>2214</v>
      </c>
      <c r="D396" s="132" t="s">
        <v>2214</v>
      </c>
      <c r="E396" s="132" t="s">
        <v>2214</v>
      </c>
      <c r="F396" s="132" t="s">
        <v>2214</v>
      </c>
      <c r="G396" s="138" t="s">
        <v>2214</v>
      </c>
      <c r="H396" s="132" t="e">
        <v>#N/A</v>
      </c>
      <c r="I396" s="135" t="s">
        <v>2214</v>
      </c>
    </row>
    <row r="397" spans="1:9">
      <c r="A397" s="131">
        <v>39964</v>
      </c>
      <c r="B397" s="132">
        <v>101.57</v>
      </c>
      <c r="C397" s="132" t="s">
        <v>2214</v>
      </c>
      <c r="D397" s="132" t="s">
        <v>2214</v>
      </c>
      <c r="E397" s="132" t="s">
        <v>2214</v>
      </c>
      <c r="F397" s="132" t="s">
        <v>2214</v>
      </c>
      <c r="G397" s="138" t="s">
        <v>2214</v>
      </c>
      <c r="H397" s="132" t="e">
        <v>#N/A</v>
      </c>
      <c r="I397" s="135" t="s">
        <v>2214</v>
      </c>
    </row>
    <row r="398" spans="1:9">
      <c r="A398" s="131">
        <v>39965</v>
      </c>
      <c r="B398" s="132">
        <v>101.57</v>
      </c>
      <c r="C398" s="132" t="s">
        <v>2214</v>
      </c>
      <c r="D398" s="132" t="s">
        <v>2214</v>
      </c>
      <c r="E398" s="132" t="s">
        <v>2214</v>
      </c>
      <c r="F398" s="132" t="s">
        <v>2214</v>
      </c>
      <c r="G398" s="138" t="s">
        <v>2214</v>
      </c>
      <c r="H398" s="132" t="e">
        <v>#N/A</v>
      </c>
      <c r="I398" s="135" t="s">
        <v>2214</v>
      </c>
    </row>
    <row r="399" spans="1:9">
      <c r="A399" s="131">
        <v>39966</v>
      </c>
      <c r="B399" s="132">
        <v>101.57</v>
      </c>
      <c r="C399" s="132" t="s">
        <v>2214</v>
      </c>
      <c r="D399" s="132" t="s">
        <v>2214</v>
      </c>
      <c r="E399" s="132" t="s">
        <v>2214</v>
      </c>
      <c r="F399" s="132" t="s">
        <v>2214</v>
      </c>
      <c r="G399" s="138" t="s">
        <v>2214</v>
      </c>
      <c r="H399" s="132" t="e">
        <v>#N/A</v>
      </c>
      <c r="I399" s="135" t="s">
        <v>2214</v>
      </c>
    </row>
    <row r="400" spans="1:9">
      <c r="A400" s="131">
        <v>39967</v>
      </c>
      <c r="B400" s="132">
        <v>101.57</v>
      </c>
      <c r="C400" s="132" t="s">
        <v>2214</v>
      </c>
      <c r="D400" s="132" t="s">
        <v>2214</v>
      </c>
      <c r="E400" s="132" t="s">
        <v>2214</v>
      </c>
      <c r="F400" s="132" t="s">
        <v>2214</v>
      </c>
      <c r="G400" s="138" t="s">
        <v>2214</v>
      </c>
      <c r="H400" s="132" t="e">
        <v>#N/A</v>
      </c>
      <c r="I400" s="135" t="s">
        <v>2214</v>
      </c>
    </row>
    <row r="401" spans="1:9">
      <c r="A401" s="131">
        <v>39968</v>
      </c>
      <c r="B401" s="132">
        <v>101.57</v>
      </c>
      <c r="C401" s="132" t="s">
        <v>2214</v>
      </c>
      <c r="D401" s="132" t="s">
        <v>2214</v>
      </c>
      <c r="E401" s="132" t="s">
        <v>2214</v>
      </c>
      <c r="F401" s="132" t="s">
        <v>2214</v>
      </c>
      <c r="G401" s="138" t="s">
        <v>2214</v>
      </c>
      <c r="H401" s="132" t="e">
        <v>#N/A</v>
      </c>
      <c r="I401" s="135" t="s">
        <v>2214</v>
      </c>
    </row>
    <row r="402" spans="1:9">
      <c r="A402" s="131">
        <v>39969</v>
      </c>
      <c r="B402" s="132">
        <v>101.57</v>
      </c>
      <c r="C402" s="132" t="s">
        <v>2214</v>
      </c>
      <c r="D402" s="132" t="s">
        <v>2214</v>
      </c>
      <c r="E402" s="132" t="s">
        <v>2214</v>
      </c>
      <c r="F402" s="132" t="s">
        <v>2214</v>
      </c>
      <c r="G402" s="138" t="s">
        <v>2214</v>
      </c>
      <c r="H402" s="132" t="e">
        <v>#N/A</v>
      </c>
      <c r="I402" s="135" t="s">
        <v>2214</v>
      </c>
    </row>
    <row r="403" spans="1:9">
      <c r="A403" s="131">
        <v>39972</v>
      </c>
      <c r="B403" s="132">
        <v>101.57</v>
      </c>
      <c r="C403" s="132" t="s">
        <v>2214</v>
      </c>
      <c r="D403" s="132" t="s">
        <v>2214</v>
      </c>
      <c r="E403" s="132" t="s">
        <v>2214</v>
      </c>
      <c r="F403" s="132" t="s">
        <v>2214</v>
      </c>
      <c r="G403" s="138" t="s">
        <v>2214</v>
      </c>
      <c r="H403" s="132" t="e">
        <v>#N/A</v>
      </c>
      <c r="I403" s="135" t="s">
        <v>2214</v>
      </c>
    </row>
    <row r="404" spans="1:9">
      <c r="A404" s="131">
        <v>39973</v>
      </c>
      <c r="B404" s="132">
        <v>101.57</v>
      </c>
      <c r="C404" s="132" t="s">
        <v>2214</v>
      </c>
      <c r="D404" s="132" t="s">
        <v>2214</v>
      </c>
      <c r="E404" s="132" t="s">
        <v>2214</v>
      </c>
      <c r="F404" s="132" t="s">
        <v>2214</v>
      </c>
      <c r="G404" s="138" t="s">
        <v>2214</v>
      </c>
      <c r="H404" s="132" t="e">
        <v>#N/A</v>
      </c>
      <c r="I404" s="135" t="s">
        <v>2214</v>
      </c>
    </row>
    <row r="405" spans="1:9">
      <c r="A405" s="131">
        <v>39974</v>
      </c>
      <c r="B405" s="132">
        <v>101.57</v>
      </c>
      <c r="C405" s="132" t="s">
        <v>2214</v>
      </c>
      <c r="D405" s="132" t="s">
        <v>2214</v>
      </c>
      <c r="E405" s="132" t="s">
        <v>2214</v>
      </c>
      <c r="F405" s="132" t="s">
        <v>2214</v>
      </c>
      <c r="G405" s="138" t="s">
        <v>2214</v>
      </c>
      <c r="H405" s="132" t="e">
        <v>#N/A</v>
      </c>
      <c r="I405" s="135" t="s">
        <v>2214</v>
      </c>
    </row>
    <row r="406" spans="1:9">
      <c r="A406" s="131">
        <v>39975</v>
      </c>
      <c r="B406" s="132">
        <v>101.57</v>
      </c>
      <c r="C406" s="132" t="s">
        <v>2214</v>
      </c>
      <c r="D406" s="132" t="s">
        <v>2214</v>
      </c>
      <c r="E406" s="132" t="s">
        <v>2214</v>
      </c>
      <c r="F406" s="132" t="s">
        <v>2214</v>
      </c>
      <c r="G406" s="138" t="s">
        <v>2214</v>
      </c>
      <c r="H406" s="132" t="e">
        <v>#N/A</v>
      </c>
      <c r="I406" s="135" t="s">
        <v>2214</v>
      </c>
    </row>
    <row r="407" spans="1:9">
      <c r="A407" s="131">
        <v>39976</v>
      </c>
      <c r="B407" s="132">
        <v>101.57</v>
      </c>
      <c r="C407" s="132" t="s">
        <v>2214</v>
      </c>
      <c r="D407" s="132" t="s">
        <v>2214</v>
      </c>
      <c r="E407" s="132" t="s">
        <v>2214</v>
      </c>
      <c r="F407" s="132" t="s">
        <v>2214</v>
      </c>
      <c r="G407" s="138" t="s">
        <v>2214</v>
      </c>
      <c r="H407" s="132" t="e">
        <v>#N/A</v>
      </c>
      <c r="I407" s="135" t="s">
        <v>2214</v>
      </c>
    </row>
    <row r="408" spans="1:9">
      <c r="A408" s="131">
        <v>39979</v>
      </c>
      <c r="B408" s="132">
        <v>101.57</v>
      </c>
      <c r="C408" s="132" t="s">
        <v>2214</v>
      </c>
      <c r="D408" s="132" t="s">
        <v>2214</v>
      </c>
      <c r="E408" s="132" t="s">
        <v>2214</v>
      </c>
      <c r="F408" s="132" t="s">
        <v>2214</v>
      </c>
      <c r="G408" s="138" t="s">
        <v>2214</v>
      </c>
      <c r="H408" s="132" t="e">
        <v>#N/A</v>
      </c>
      <c r="I408" s="135" t="s">
        <v>2214</v>
      </c>
    </row>
    <row r="409" spans="1:9">
      <c r="A409" s="131">
        <v>39980</v>
      </c>
      <c r="B409" s="132">
        <v>101.57</v>
      </c>
      <c r="C409" s="132" t="s">
        <v>2214</v>
      </c>
      <c r="D409" s="132" t="s">
        <v>2214</v>
      </c>
      <c r="E409" s="132" t="s">
        <v>2214</v>
      </c>
      <c r="F409" s="132" t="s">
        <v>2214</v>
      </c>
      <c r="G409" s="138" t="s">
        <v>2214</v>
      </c>
      <c r="H409" s="132" t="e">
        <v>#N/A</v>
      </c>
      <c r="I409" s="135" t="s">
        <v>2214</v>
      </c>
    </row>
    <row r="410" spans="1:9">
      <c r="A410" s="131">
        <v>39981</v>
      </c>
      <c r="B410" s="132">
        <v>101.57</v>
      </c>
      <c r="C410" s="132" t="s">
        <v>2214</v>
      </c>
      <c r="D410" s="132" t="s">
        <v>2214</v>
      </c>
      <c r="E410" s="132" t="s">
        <v>2214</v>
      </c>
      <c r="F410" s="132" t="s">
        <v>2214</v>
      </c>
      <c r="G410" s="138" t="s">
        <v>2214</v>
      </c>
      <c r="H410" s="132" t="e">
        <v>#N/A</v>
      </c>
      <c r="I410" s="135" t="s">
        <v>2214</v>
      </c>
    </row>
    <row r="411" spans="1:9">
      <c r="A411" s="131">
        <v>39982</v>
      </c>
      <c r="B411" s="132">
        <v>101.57</v>
      </c>
      <c r="C411" s="132" t="s">
        <v>2214</v>
      </c>
      <c r="D411" s="132" t="s">
        <v>2214</v>
      </c>
      <c r="E411" s="132" t="s">
        <v>2214</v>
      </c>
      <c r="F411" s="132" t="s">
        <v>2214</v>
      </c>
      <c r="G411" s="138" t="s">
        <v>2214</v>
      </c>
      <c r="H411" s="132" t="e">
        <v>#N/A</v>
      </c>
      <c r="I411" s="135" t="s">
        <v>2214</v>
      </c>
    </row>
    <row r="412" spans="1:9">
      <c r="A412" s="131">
        <v>39983</v>
      </c>
      <c r="B412" s="132">
        <v>101.57</v>
      </c>
      <c r="C412" s="132" t="s">
        <v>2214</v>
      </c>
      <c r="D412" s="132" t="s">
        <v>2214</v>
      </c>
      <c r="E412" s="132" t="s">
        <v>2214</v>
      </c>
      <c r="F412" s="132" t="s">
        <v>2214</v>
      </c>
      <c r="G412" s="138" t="s">
        <v>2214</v>
      </c>
      <c r="H412" s="132" t="e">
        <v>#N/A</v>
      </c>
      <c r="I412" s="135" t="s">
        <v>2214</v>
      </c>
    </row>
    <row r="413" spans="1:9">
      <c r="A413" s="131">
        <v>39986</v>
      </c>
      <c r="B413" s="132">
        <v>101.57</v>
      </c>
      <c r="C413" s="132" t="s">
        <v>2214</v>
      </c>
      <c r="D413" s="132" t="s">
        <v>2214</v>
      </c>
      <c r="E413" s="132" t="s">
        <v>2214</v>
      </c>
      <c r="F413" s="132" t="s">
        <v>2214</v>
      </c>
      <c r="G413" s="138" t="s">
        <v>2214</v>
      </c>
      <c r="H413" s="132" t="e">
        <v>#N/A</v>
      </c>
      <c r="I413" s="135" t="s">
        <v>2214</v>
      </c>
    </row>
    <row r="414" spans="1:9">
      <c r="A414" s="131">
        <v>39987</v>
      </c>
      <c r="B414" s="132">
        <v>101.57</v>
      </c>
      <c r="C414" s="132" t="s">
        <v>2214</v>
      </c>
      <c r="D414" s="132" t="s">
        <v>2214</v>
      </c>
      <c r="E414" s="132" t="s">
        <v>2214</v>
      </c>
      <c r="F414" s="132" t="s">
        <v>2214</v>
      </c>
      <c r="G414" s="138" t="s">
        <v>2214</v>
      </c>
      <c r="H414" s="132" t="e">
        <v>#N/A</v>
      </c>
      <c r="I414" s="135" t="s">
        <v>2214</v>
      </c>
    </row>
    <row r="415" spans="1:9">
      <c r="A415" s="131">
        <v>39988</v>
      </c>
      <c r="B415" s="132">
        <v>101.57</v>
      </c>
      <c r="C415" s="132" t="s">
        <v>2214</v>
      </c>
      <c r="D415" s="132" t="s">
        <v>2214</v>
      </c>
      <c r="E415" s="132" t="s">
        <v>2214</v>
      </c>
      <c r="F415" s="132" t="s">
        <v>2214</v>
      </c>
      <c r="G415" s="138" t="s">
        <v>2214</v>
      </c>
      <c r="H415" s="132" t="e">
        <v>#N/A</v>
      </c>
      <c r="I415" s="135" t="s">
        <v>2214</v>
      </c>
    </row>
    <row r="416" spans="1:9">
      <c r="A416" s="131">
        <v>39989</v>
      </c>
      <c r="B416" s="132">
        <v>101.57</v>
      </c>
      <c r="C416" s="132" t="s">
        <v>2214</v>
      </c>
      <c r="D416" s="132" t="s">
        <v>2214</v>
      </c>
      <c r="E416" s="132" t="s">
        <v>2214</v>
      </c>
      <c r="F416" s="132" t="s">
        <v>2214</v>
      </c>
      <c r="G416" s="138" t="s">
        <v>2214</v>
      </c>
      <c r="H416" s="132" t="e">
        <v>#N/A</v>
      </c>
      <c r="I416" s="135" t="s">
        <v>2214</v>
      </c>
    </row>
    <row r="417" spans="1:9">
      <c r="A417" s="131">
        <v>39990</v>
      </c>
      <c r="B417" s="132">
        <v>101.57</v>
      </c>
      <c r="C417" s="132" t="s">
        <v>2214</v>
      </c>
      <c r="D417" s="132" t="s">
        <v>2214</v>
      </c>
      <c r="E417" s="132" t="s">
        <v>2214</v>
      </c>
      <c r="F417" s="132" t="s">
        <v>2214</v>
      </c>
      <c r="G417" s="138" t="s">
        <v>2214</v>
      </c>
      <c r="H417" s="132" t="e">
        <v>#N/A</v>
      </c>
      <c r="I417" s="135" t="s">
        <v>2214</v>
      </c>
    </row>
    <row r="418" spans="1:9">
      <c r="A418" s="131">
        <v>39993</v>
      </c>
      <c r="B418" s="132">
        <v>101.57</v>
      </c>
      <c r="C418" s="132" t="s">
        <v>2214</v>
      </c>
      <c r="D418" s="132" t="s">
        <v>2214</v>
      </c>
      <c r="E418" s="132" t="s">
        <v>2214</v>
      </c>
      <c r="F418" s="132" t="s">
        <v>2214</v>
      </c>
      <c r="G418" s="138" t="s">
        <v>2214</v>
      </c>
      <c r="H418" s="132" t="e">
        <v>#N/A</v>
      </c>
      <c r="I418" s="135" t="s">
        <v>2214</v>
      </c>
    </row>
    <row r="419" spans="1:9">
      <c r="A419" s="131">
        <v>39994</v>
      </c>
      <c r="B419" s="132">
        <v>101.57</v>
      </c>
      <c r="C419" s="132" t="s">
        <v>2214</v>
      </c>
      <c r="D419" s="132" t="s">
        <v>2214</v>
      </c>
      <c r="E419" s="132" t="s">
        <v>2214</v>
      </c>
      <c r="F419" s="132" t="s">
        <v>2214</v>
      </c>
      <c r="G419" s="138" t="s">
        <v>2214</v>
      </c>
      <c r="H419" s="132" t="e">
        <v>#N/A</v>
      </c>
      <c r="I419" s="135" t="s">
        <v>2214</v>
      </c>
    </row>
    <row r="420" spans="1:9">
      <c r="A420" s="131">
        <v>39995</v>
      </c>
      <c r="B420" s="132">
        <v>101.57</v>
      </c>
      <c r="C420" s="132" t="s">
        <v>2214</v>
      </c>
      <c r="D420" s="132" t="s">
        <v>2214</v>
      </c>
      <c r="E420" s="132" t="s">
        <v>2214</v>
      </c>
      <c r="F420" s="132" t="s">
        <v>2214</v>
      </c>
      <c r="G420" s="138" t="s">
        <v>2214</v>
      </c>
      <c r="H420" s="132" t="e">
        <v>#N/A</v>
      </c>
      <c r="I420" s="135" t="s">
        <v>2214</v>
      </c>
    </row>
    <row r="421" spans="1:9">
      <c r="A421" s="131">
        <v>39996</v>
      </c>
      <c r="B421" s="132">
        <v>101.57</v>
      </c>
      <c r="C421" s="132" t="s">
        <v>2214</v>
      </c>
      <c r="D421" s="132" t="s">
        <v>2214</v>
      </c>
      <c r="E421" s="132" t="s">
        <v>2214</v>
      </c>
      <c r="F421" s="132" t="s">
        <v>2214</v>
      </c>
      <c r="G421" s="138" t="s">
        <v>2214</v>
      </c>
      <c r="H421" s="132" t="e">
        <v>#N/A</v>
      </c>
      <c r="I421" s="135" t="s">
        <v>2214</v>
      </c>
    </row>
    <row r="422" spans="1:9">
      <c r="A422" s="131">
        <v>39997</v>
      </c>
      <c r="B422" s="132">
        <v>101.57</v>
      </c>
      <c r="C422" s="132" t="s">
        <v>2214</v>
      </c>
      <c r="D422" s="132" t="s">
        <v>2214</v>
      </c>
      <c r="E422" s="132" t="s">
        <v>2214</v>
      </c>
      <c r="F422" s="132" t="s">
        <v>2214</v>
      </c>
      <c r="G422" s="138" t="s">
        <v>2214</v>
      </c>
      <c r="H422" s="132" t="e">
        <v>#N/A</v>
      </c>
      <c r="I422" s="135" t="s">
        <v>2214</v>
      </c>
    </row>
    <row r="423" spans="1:9">
      <c r="A423" s="131">
        <v>40000</v>
      </c>
      <c r="B423" s="132">
        <v>101.57</v>
      </c>
      <c r="C423" s="132" t="s">
        <v>2214</v>
      </c>
      <c r="D423" s="132" t="s">
        <v>2214</v>
      </c>
      <c r="E423" s="132" t="s">
        <v>2214</v>
      </c>
      <c r="F423" s="132" t="s">
        <v>2214</v>
      </c>
      <c r="G423" s="138" t="s">
        <v>2214</v>
      </c>
      <c r="H423" s="132" t="e">
        <v>#N/A</v>
      </c>
      <c r="I423" s="135" t="s">
        <v>2214</v>
      </c>
    </row>
    <row r="424" spans="1:9">
      <c r="A424" s="131">
        <v>40001</v>
      </c>
      <c r="B424" s="132">
        <v>101.57</v>
      </c>
      <c r="C424" s="132" t="s">
        <v>2214</v>
      </c>
      <c r="D424" s="132" t="s">
        <v>2214</v>
      </c>
      <c r="E424" s="132" t="s">
        <v>2214</v>
      </c>
      <c r="F424" s="132" t="s">
        <v>2214</v>
      </c>
      <c r="G424" s="138" t="s">
        <v>2214</v>
      </c>
      <c r="H424" s="132" t="e">
        <v>#N/A</v>
      </c>
      <c r="I424" s="135" t="s">
        <v>2214</v>
      </c>
    </row>
    <row r="425" spans="1:9">
      <c r="A425" s="131">
        <v>40002</v>
      </c>
      <c r="B425" s="132">
        <v>101.57</v>
      </c>
      <c r="C425" s="132" t="s">
        <v>2214</v>
      </c>
      <c r="D425" s="132" t="s">
        <v>2214</v>
      </c>
      <c r="E425" s="132" t="s">
        <v>2214</v>
      </c>
      <c r="F425" s="132" t="s">
        <v>2214</v>
      </c>
      <c r="G425" s="138" t="s">
        <v>2214</v>
      </c>
      <c r="H425" s="132" t="e">
        <v>#N/A</v>
      </c>
      <c r="I425" s="135" t="s">
        <v>2214</v>
      </c>
    </row>
    <row r="426" spans="1:9">
      <c r="A426" s="131">
        <v>40003</v>
      </c>
      <c r="B426" s="132">
        <v>101.57</v>
      </c>
      <c r="C426" s="132" t="s">
        <v>2214</v>
      </c>
      <c r="D426" s="132" t="s">
        <v>2214</v>
      </c>
      <c r="E426" s="132" t="s">
        <v>2214</v>
      </c>
      <c r="F426" s="132" t="s">
        <v>2214</v>
      </c>
      <c r="G426" s="138" t="s">
        <v>2214</v>
      </c>
      <c r="H426" s="132" t="e">
        <v>#N/A</v>
      </c>
      <c r="I426" s="135" t="s">
        <v>2214</v>
      </c>
    </row>
    <row r="427" spans="1:9">
      <c r="A427" s="131">
        <v>40004</v>
      </c>
      <c r="B427" s="132">
        <v>101.57</v>
      </c>
      <c r="C427" s="132" t="s">
        <v>2214</v>
      </c>
      <c r="D427" s="132" t="s">
        <v>2214</v>
      </c>
      <c r="E427" s="132" t="s">
        <v>2214</v>
      </c>
      <c r="F427" s="132" t="s">
        <v>2214</v>
      </c>
      <c r="G427" s="138" t="s">
        <v>2214</v>
      </c>
      <c r="H427" s="132" t="e">
        <v>#N/A</v>
      </c>
      <c r="I427" s="135" t="s">
        <v>2214</v>
      </c>
    </row>
    <row r="428" spans="1:9">
      <c r="A428" s="131">
        <v>40007</v>
      </c>
      <c r="B428" s="132">
        <v>101.57</v>
      </c>
      <c r="C428" s="132" t="s">
        <v>2214</v>
      </c>
      <c r="D428" s="132" t="s">
        <v>2214</v>
      </c>
      <c r="E428" s="132" t="s">
        <v>2214</v>
      </c>
      <c r="F428" s="132" t="s">
        <v>2214</v>
      </c>
      <c r="G428" s="138" t="s">
        <v>2214</v>
      </c>
      <c r="H428" s="132" t="e">
        <v>#N/A</v>
      </c>
      <c r="I428" s="135" t="s">
        <v>2214</v>
      </c>
    </row>
    <row r="429" spans="1:9">
      <c r="A429" s="131">
        <v>40008</v>
      </c>
      <c r="B429" s="132">
        <v>101.57</v>
      </c>
      <c r="C429" s="132" t="s">
        <v>2214</v>
      </c>
      <c r="D429" s="132" t="s">
        <v>2214</v>
      </c>
      <c r="E429" s="132" t="s">
        <v>2214</v>
      </c>
      <c r="F429" s="132" t="s">
        <v>2214</v>
      </c>
      <c r="G429" s="138" t="s">
        <v>2214</v>
      </c>
      <c r="H429" s="132" t="e">
        <v>#N/A</v>
      </c>
      <c r="I429" s="135" t="s">
        <v>2214</v>
      </c>
    </row>
    <row r="430" spans="1:9">
      <c r="A430" s="131">
        <v>40009</v>
      </c>
      <c r="B430" s="132">
        <v>101.57</v>
      </c>
      <c r="C430" s="132" t="s">
        <v>2214</v>
      </c>
      <c r="D430" s="132" t="s">
        <v>2214</v>
      </c>
      <c r="E430" s="132" t="s">
        <v>2214</v>
      </c>
      <c r="F430" s="132" t="s">
        <v>2214</v>
      </c>
      <c r="G430" s="138" t="s">
        <v>2214</v>
      </c>
      <c r="H430" s="132" t="e">
        <v>#N/A</v>
      </c>
      <c r="I430" s="135" t="s">
        <v>2214</v>
      </c>
    </row>
    <row r="431" spans="1:9">
      <c r="A431" s="131">
        <v>40010</v>
      </c>
      <c r="B431" s="132">
        <v>101.57</v>
      </c>
      <c r="C431" s="132" t="s">
        <v>2214</v>
      </c>
      <c r="D431" s="132" t="s">
        <v>2214</v>
      </c>
      <c r="E431" s="132" t="s">
        <v>2214</v>
      </c>
      <c r="F431" s="132" t="s">
        <v>2214</v>
      </c>
      <c r="G431" s="138" t="s">
        <v>2214</v>
      </c>
      <c r="H431" s="132" t="e">
        <v>#N/A</v>
      </c>
      <c r="I431" s="135" t="s">
        <v>2214</v>
      </c>
    </row>
    <row r="432" spans="1:9">
      <c r="A432" s="131">
        <v>40011</v>
      </c>
      <c r="B432" s="132">
        <v>101.57</v>
      </c>
      <c r="C432" s="132" t="s">
        <v>2214</v>
      </c>
      <c r="D432" s="132" t="s">
        <v>2214</v>
      </c>
      <c r="E432" s="132" t="s">
        <v>2214</v>
      </c>
      <c r="F432" s="132" t="s">
        <v>2214</v>
      </c>
      <c r="G432" s="138" t="s">
        <v>2214</v>
      </c>
      <c r="H432" s="132" t="e">
        <v>#N/A</v>
      </c>
      <c r="I432" s="135" t="s">
        <v>2214</v>
      </c>
    </row>
    <row r="433" spans="1:9">
      <c r="A433" s="131">
        <v>40014</v>
      </c>
      <c r="B433" s="132">
        <v>101.57</v>
      </c>
      <c r="C433" s="132" t="s">
        <v>2214</v>
      </c>
      <c r="D433" s="132" t="s">
        <v>2214</v>
      </c>
      <c r="E433" s="132" t="s">
        <v>2214</v>
      </c>
      <c r="F433" s="132" t="s">
        <v>2214</v>
      </c>
      <c r="G433" s="138" t="s">
        <v>2214</v>
      </c>
      <c r="H433" s="132" t="e">
        <v>#N/A</v>
      </c>
      <c r="I433" s="135" t="s">
        <v>2214</v>
      </c>
    </row>
    <row r="434" spans="1:9">
      <c r="A434" s="131">
        <v>40015</v>
      </c>
      <c r="B434" s="132">
        <v>101.57</v>
      </c>
      <c r="C434" s="132" t="s">
        <v>2214</v>
      </c>
      <c r="D434" s="132" t="s">
        <v>2214</v>
      </c>
      <c r="E434" s="132" t="s">
        <v>2214</v>
      </c>
      <c r="F434" s="132" t="s">
        <v>2214</v>
      </c>
      <c r="G434" s="138" t="s">
        <v>2214</v>
      </c>
      <c r="H434" s="132" t="e">
        <v>#N/A</v>
      </c>
      <c r="I434" s="135" t="s">
        <v>2214</v>
      </c>
    </row>
    <row r="435" spans="1:9">
      <c r="A435" s="131">
        <v>40016</v>
      </c>
      <c r="B435" s="132">
        <v>101.57</v>
      </c>
      <c r="C435" s="132" t="s">
        <v>2214</v>
      </c>
      <c r="D435" s="132" t="s">
        <v>2214</v>
      </c>
      <c r="E435" s="132" t="s">
        <v>2214</v>
      </c>
      <c r="F435" s="132" t="s">
        <v>2214</v>
      </c>
      <c r="G435" s="138" t="s">
        <v>2214</v>
      </c>
      <c r="H435" s="132" t="e">
        <v>#N/A</v>
      </c>
      <c r="I435" s="135" t="s">
        <v>2214</v>
      </c>
    </row>
    <row r="436" spans="1:9">
      <c r="A436" s="131">
        <v>40017</v>
      </c>
      <c r="B436" s="132">
        <v>101.57</v>
      </c>
      <c r="C436" s="132" t="s">
        <v>2214</v>
      </c>
      <c r="D436" s="132" t="s">
        <v>2214</v>
      </c>
      <c r="E436" s="132" t="s">
        <v>2214</v>
      </c>
      <c r="F436" s="132" t="s">
        <v>2214</v>
      </c>
      <c r="G436" s="138" t="s">
        <v>2214</v>
      </c>
      <c r="H436" s="132" t="e">
        <v>#N/A</v>
      </c>
      <c r="I436" s="135" t="s">
        <v>2214</v>
      </c>
    </row>
    <row r="437" spans="1:9">
      <c r="A437" s="131">
        <v>40018</v>
      </c>
      <c r="B437" s="132">
        <v>101.57</v>
      </c>
      <c r="C437" s="132" t="s">
        <v>2214</v>
      </c>
      <c r="D437" s="132" t="s">
        <v>2214</v>
      </c>
      <c r="E437" s="132" t="s">
        <v>2214</v>
      </c>
      <c r="F437" s="132" t="s">
        <v>2214</v>
      </c>
      <c r="G437" s="138" t="s">
        <v>2214</v>
      </c>
      <c r="H437" s="132" t="e">
        <v>#N/A</v>
      </c>
      <c r="I437" s="135" t="s">
        <v>2214</v>
      </c>
    </row>
    <row r="438" spans="1:9">
      <c r="A438" s="131">
        <v>40021</v>
      </c>
      <c r="B438" s="132">
        <v>101.57</v>
      </c>
      <c r="C438" s="132" t="s">
        <v>2214</v>
      </c>
      <c r="D438" s="132" t="s">
        <v>2214</v>
      </c>
      <c r="E438" s="132" t="s">
        <v>2214</v>
      </c>
      <c r="F438" s="132" t="s">
        <v>2214</v>
      </c>
      <c r="G438" s="138" t="s">
        <v>2214</v>
      </c>
      <c r="H438" s="132" t="e">
        <v>#N/A</v>
      </c>
      <c r="I438" s="135" t="s">
        <v>2214</v>
      </c>
    </row>
    <row r="439" spans="1:9">
      <c r="A439" s="131">
        <v>40022</v>
      </c>
      <c r="B439" s="132">
        <v>101.57</v>
      </c>
      <c r="C439" s="132" t="s">
        <v>2214</v>
      </c>
      <c r="D439" s="132" t="s">
        <v>2214</v>
      </c>
      <c r="E439" s="132" t="s">
        <v>2214</v>
      </c>
      <c r="F439" s="132" t="s">
        <v>2214</v>
      </c>
      <c r="G439" s="138" t="s">
        <v>2214</v>
      </c>
      <c r="H439" s="132" t="e">
        <v>#N/A</v>
      </c>
      <c r="I439" s="135" t="s">
        <v>2214</v>
      </c>
    </row>
    <row r="440" spans="1:9">
      <c r="A440" s="131">
        <v>40023</v>
      </c>
      <c r="B440" s="132">
        <v>101.57</v>
      </c>
      <c r="C440" s="132" t="s">
        <v>2214</v>
      </c>
      <c r="D440" s="132" t="s">
        <v>2214</v>
      </c>
      <c r="E440" s="132" t="s">
        <v>2214</v>
      </c>
      <c r="F440" s="132" t="s">
        <v>2214</v>
      </c>
      <c r="G440" s="138" t="s">
        <v>2214</v>
      </c>
      <c r="H440" s="132" t="e">
        <v>#N/A</v>
      </c>
      <c r="I440" s="135" t="s">
        <v>2214</v>
      </c>
    </row>
    <row r="441" spans="1:9">
      <c r="A441" s="131">
        <v>40024</v>
      </c>
      <c r="B441" s="132">
        <v>101.57</v>
      </c>
      <c r="C441" s="132" t="s">
        <v>2214</v>
      </c>
      <c r="D441" s="132" t="s">
        <v>2214</v>
      </c>
      <c r="E441" s="132" t="s">
        <v>2214</v>
      </c>
      <c r="F441" s="132" t="s">
        <v>2214</v>
      </c>
      <c r="G441" s="138" t="s">
        <v>2214</v>
      </c>
      <c r="H441" s="132" t="e">
        <v>#N/A</v>
      </c>
      <c r="I441" s="135" t="s">
        <v>2214</v>
      </c>
    </row>
    <row r="442" spans="1:9">
      <c r="A442" s="131">
        <v>40025</v>
      </c>
      <c r="B442" s="132">
        <v>101.57</v>
      </c>
      <c r="C442" s="132" t="s">
        <v>2214</v>
      </c>
      <c r="D442" s="132" t="s">
        <v>2214</v>
      </c>
      <c r="E442" s="132" t="s">
        <v>2214</v>
      </c>
      <c r="F442" s="132" t="s">
        <v>2214</v>
      </c>
      <c r="G442" s="138" t="s">
        <v>2214</v>
      </c>
      <c r="H442" s="132" t="e">
        <v>#N/A</v>
      </c>
      <c r="I442" s="135" t="s">
        <v>2214</v>
      </c>
    </row>
    <row r="443" spans="1:9">
      <c r="A443" s="131">
        <v>40028</v>
      </c>
      <c r="B443" s="132">
        <v>101.57</v>
      </c>
      <c r="C443" s="132" t="s">
        <v>2214</v>
      </c>
      <c r="D443" s="132" t="s">
        <v>2214</v>
      </c>
      <c r="E443" s="132" t="s">
        <v>2214</v>
      </c>
      <c r="F443" s="132" t="s">
        <v>2214</v>
      </c>
      <c r="G443" s="138" t="s">
        <v>2214</v>
      </c>
      <c r="H443" s="132" t="e">
        <v>#N/A</v>
      </c>
      <c r="I443" s="135" t="s">
        <v>2214</v>
      </c>
    </row>
    <row r="444" spans="1:9">
      <c r="A444" s="131">
        <v>40029</v>
      </c>
      <c r="B444" s="132">
        <v>101.57</v>
      </c>
      <c r="C444" s="132" t="s">
        <v>2214</v>
      </c>
      <c r="D444" s="132" t="s">
        <v>2214</v>
      </c>
      <c r="E444" s="132" t="s">
        <v>2214</v>
      </c>
      <c r="F444" s="132" t="s">
        <v>2214</v>
      </c>
      <c r="G444" s="138" t="s">
        <v>2214</v>
      </c>
      <c r="H444" s="132" t="e">
        <v>#N/A</v>
      </c>
      <c r="I444" s="135" t="s">
        <v>2214</v>
      </c>
    </row>
    <row r="445" spans="1:9">
      <c r="A445" s="131">
        <v>40030</v>
      </c>
      <c r="B445" s="132">
        <v>101.57</v>
      </c>
      <c r="C445" s="132" t="s">
        <v>2214</v>
      </c>
      <c r="D445" s="132" t="s">
        <v>2214</v>
      </c>
      <c r="E445" s="132" t="s">
        <v>2214</v>
      </c>
      <c r="F445" s="132" t="s">
        <v>2214</v>
      </c>
      <c r="G445" s="138" t="s">
        <v>2214</v>
      </c>
      <c r="H445" s="132" t="e">
        <v>#N/A</v>
      </c>
      <c r="I445" s="135" t="s">
        <v>2214</v>
      </c>
    </row>
    <row r="446" spans="1:9">
      <c r="A446" s="131">
        <v>40031</v>
      </c>
      <c r="B446" s="132">
        <v>101.57</v>
      </c>
      <c r="C446" s="132" t="s">
        <v>2214</v>
      </c>
      <c r="D446" s="132" t="s">
        <v>2214</v>
      </c>
      <c r="E446" s="132" t="s">
        <v>2214</v>
      </c>
      <c r="F446" s="132" t="s">
        <v>2214</v>
      </c>
      <c r="G446" s="138" t="s">
        <v>2214</v>
      </c>
      <c r="H446" s="132" t="e">
        <v>#N/A</v>
      </c>
      <c r="I446" s="135" t="s">
        <v>2214</v>
      </c>
    </row>
    <row r="447" spans="1:9">
      <c r="A447" s="131">
        <v>40032</v>
      </c>
      <c r="B447" s="132">
        <v>101.57</v>
      </c>
      <c r="C447" s="132" t="s">
        <v>2214</v>
      </c>
      <c r="D447" s="132" t="s">
        <v>2214</v>
      </c>
      <c r="E447" s="132" t="s">
        <v>2214</v>
      </c>
      <c r="F447" s="132" t="s">
        <v>2214</v>
      </c>
      <c r="G447" s="138" t="s">
        <v>2214</v>
      </c>
      <c r="H447" s="132" t="e">
        <v>#N/A</v>
      </c>
      <c r="I447" s="135" t="s">
        <v>2214</v>
      </c>
    </row>
    <row r="448" spans="1:9">
      <c r="A448" s="131">
        <v>40035</v>
      </c>
      <c r="B448" s="132">
        <v>101.57</v>
      </c>
      <c r="C448" s="132" t="s">
        <v>2214</v>
      </c>
      <c r="D448" s="132" t="s">
        <v>2214</v>
      </c>
      <c r="E448" s="132" t="s">
        <v>2214</v>
      </c>
      <c r="F448" s="132" t="s">
        <v>2214</v>
      </c>
      <c r="G448" s="138" t="s">
        <v>2214</v>
      </c>
      <c r="H448" s="132" t="e">
        <v>#N/A</v>
      </c>
      <c r="I448" s="135" t="s">
        <v>2214</v>
      </c>
    </row>
    <row r="449" spans="1:9">
      <c r="A449" s="131">
        <v>40036</v>
      </c>
      <c r="B449" s="132">
        <v>101.57</v>
      </c>
      <c r="C449" s="132" t="s">
        <v>2214</v>
      </c>
      <c r="D449" s="132" t="s">
        <v>2214</v>
      </c>
      <c r="E449" s="132" t="s">
        <v>2214</v>
      </c>
      <c r="F449" s="132" t="s">
        <v>2214</v>
      </c>
      <c r="G449" s="138" t="s">
        <v>2214</v>
      </c>
      <c r="H449" s="132" t="e">
        <v>#N/A</v>
      </c>
      <c r="I449" s="135" t="s">
        <v>2214</v>
      </c>
    </row>
    <row r="450" spans="1:9">
      <c r="A450" s="131">
        <v>40037</v>
      </c>
      <c r="B450" s="132">
        <v>101.57</v>
      </c>
      <c r="C450" s="132" t="s">
        <v>2214</v>
      </c>
      <c r="D450" s="132" t="s">
        <v>2214</v>
      </c>
      <c r="E450" s="132" t="s">
        <v>2214</v>
      </c>
      <c r="F450" s="132" t="s">
        <v>2214</v>
      </c>
      <c r="G450" s="138" t="s">
        <v>2214</v>
      </c>
      <c r="H450" s="132" t="e">
        <v>#N/A</v>
      </c>
      <c r="I450" s="135" t="s">
        <v>2214</v>
      </c>
    </row>
    <row r="451" spans="1:9">
      <c r="A451" s="131">
        <v>40038</v>
      </c>
      <c r="B451" s="132">
        <v>101.57</v>
      </c>
      <c r="C451" s="132" t="s">
        <v>2214</v>
      </c>
      <c r="D451" s="132" t="s">
        <v>2214</v>
      </c>
      <c r="E451" s="132" t="s">
        <v>2214</v>
      </c>
      <c r="F451" s="132" t="s">
        <v>2214</v>
      </c>
      <c r="G451" s="138" t="s">
        <v>2214</v>
      </c>
      <c r="H451" s="132" t="e">
        <v>#N/A</v>
      </c>
      <c r="I451" s="135" t="s">
        <v>2214</v>
      </c>
    </row>
    <row r="452" spans="1:9">
      <c r="A452" s="131">
        <v>40039</v>
      </c>
      <c r="B452" s="132">
        <v>101.57</v>
      </c>
      <c r="C452" s="132" t="s">
        <v>2214</v>
      </c>
      <c r="D452" s="132" t="s">
        <v>2214</v>
      </c>
      <c r="E452" s="132" t="s">
        <v>2214</v>
      </c>
      <c r="F452" s="132" t="s">
        <v>2214</v>
      </c>
      <c r="G452" s="138" t="s">
        <v>2214</v>
      </c>
      <c r="H452" s="132" t="e">
        <v>#N/A</v>
      </c>
      <c r="I452" s="135" t="s">
        <v>2214</v>
      </c>
    </row>
    <row r="453" spans="1:9">
      <c r="A453" s="131">
        <v>40042</v>
      </c>
      <c r="B453" s="132">
        <v>101.57</v>
      </c>
      <c r="C453" s="132" t="s">
        <v>2214</v>
      </c>
      <c r="D453" s="132" t="s">
        <v>2214</v>
      </c>
      <c r="E453" s="132" t="s">
        <v>2214</v>
      </c>
      <c r="F453" s="132" t="s">
        <v>2214</v>
      </c>
      <c r="G453" s="138" t="s">
        <v>2214</v>
      </c>
      <c r="H453" s="132" t="e">
        <v>#N/A</v>
      </c>
      <c r="I453" s="135" t="s">
        <v>2214</v>
      </c>
    </row>
    <row r="454" spans="1:9">
      <c r="A454" s="131">
        <v>40043</v>
      </c>
      <c r="B454" s="132">
        <v>101.57</v>
      </c>
      <c r="C454" s="132" t="s">
        <v>2214</v>
      </c>
      <c r="D454" s="132" t="s">
        <v>2214</v>
      </c>
      <c r="E454" s="132" t="s">
        <v>2214</v>
      </c>
      <c r="F454" s="132" t="s">
        <v>2214</v>
      </c>
      <c r="G454" s="138" t="s">
        <v>2214</v>
      </c>
      <c r="H454" s="132" t="e">
        <v>#N/A</v>
      </c>
      <c r="I454" s="135" t="s">
        <v>2214</v>
      </c>
    </row>
    <row r="455" spans="1:9">
      <c r="A455" s="131">
        <v>40044</v>
      </c>
      <c r="B455" s="132">
        <v>101.57</v>
      </c>
      <c r="C455" s="132" t="s">
        <v>2214</v>
      </c>
      <c r="D455" s="132" t="s">
        <v>2214</v>
      </c>
      <c r="E455" s="132" t="s">
        <v>2214</v>
      </c>
      <c r="F455" s="132" t="s">
        <v>2214</v>
      </c>
      <c r="G455" s="138" t="s">
        <v>2214</v>
      </c>
      <c r="H455" s="132" t="e">
        <v>#N/A</v>
      </c>
      <c r="I455" s="135" t="s">
        <v>2214</v>
      </c>
    </row>
    <row r="456" spans="1:9">
      <c r="A456" s="131">
        <v>40045</v>
      </c>
      <c r="B456" s="132">
        <v>100.6</v>
      </c>
      <c r="C456" s="132" t="s">
        <v>2214</v>
      </c>
      <c r="D456" s="132" t="s">
        <v>2214</v>
      </c>
      <c r="E456" s="132" t="s">
        <v>2214</v>
      </c>
      <c r="F456" s="132" t="s">
        <v>2214</v>
      </c>
      <c r="G456" s="138" t="s">
        <v>2214</v>
      </c>
      <c r="H456" s="132" t="e">
        <v>#N/A</v>
      </c>
      <c r="I456" s="135" t="s">
        <v>2214</v>
      </c>
    </row>
    <row r="457" spans="1:9">
      <c r="A457" s="131">
        <v>40046</v>
      </c>
      <c r="B457" s="132">
        <v>100.6</v>
      </c>
      <c r="C457" s="132" t="s">
        <v>2214</v>
      </c>
      <c r="D457" s="132" t="s">
        <v>2214</v>
      </c>
      <c r="E457" s="132" t="s">
        <v>2214</v>
      </c>
      <c r="F457" s="132" t="s">
        <v>2214</v>
      </c>
      <c r="G457" s="138" t="s">
        <v>2214</v>
      </c>
      <c r="H457" s="132" t="e">
        <v>#N/A</v>
      </c>
      <c r="I457" s="135" t="s">
        <v>2214</v>
      </c>
    </row>
    <row r="458" spans="1:9">
      <c r="A458" s="131">
        <v>40049</v>
      </c>
      <c r="B458" s="132">
        <v>100.6</v>
      </c>
      <c r="C458" s="132" t="s">
        <v>2214</v>
      </c>
      <c r="D458" s="132" t="s">
        <v>2214</v>
      </c>
      <c r="E458" s="132" t="s">
        <v>2214</v>
      </c>
      <c r="F458" s="132" t="s">
        <v>2214</v>
      </c>
      <c r="G458" s="138" t="s">
        <v>2214</v>
      </c>
      <c r="H458" s="132" t="e">
        <v>#N/A</v>
      </c>
      <c r="I458" s="135" t="s">
        <v>2214</v>
      </c>
    </row>
    <row r="459" spans="1:9">
      <c r="A459" s="131">
        <v>40050</v>
      </c>
      <c r="B459" s="132">
        <v>100.6</v>
      </c>
      <c r="C459" s="132" t="s">
        <v>2214</v>
      </c>
      <c r="D459" s="132" t="s">
        <v>2214</v>
      </c>
      <c r="E459" s="132" t="s">
        <v>2214</v>
      </c>
      <c r="F459" s="132" t="s">
        <v>2214</v>
      </c>
      <c r="G459" s="138" t="s">
        <v>2214</v>
      </c>
      <c r="H459" s="132" t="e">
        <v>#N/A</v>
      </c>
      <c r="I459" s="135" t="s">
        <v>2214</v>
      </c>
    </row>
    <row r="460" spans="1:9">
      <c r="A460" s="131">
        <v>40051</v>
      </c>
      <c r="B460" s="132">
        <v>100.6</v>
      </c>
      <c r="C460" s="132" t="s">
        <v>2214</v>
      </c>
      <c r="D460" s="132" t="s">
        <v>2214</v>
      </c>
      <c r="E460" s="132" t="s">
        <v>2214</v>
      </c>
      <c r="F460" s="132" t="s">
        <v>2214</v>
      </c>
      <c r="G460" s="138" t="s">
        <v>2214</v>
      </c>
      <c r="H460" s="132" t="e">
        <v>#N/A</v>
      </c>
      <c r="I460" s="135" t="s">
        <v>2214</v>
      </c>
    </row>
    <row r="461" spans="1:9">
      <c r="A461" s="131">
        <v>40052</v>
      </c>
      <c r="B461" s="132">
        <v>100.6</v>
      </c>
      <c r="C461" s="132" t="s">
        <v>2214</v>
      </c>
      <c r="D461" s="132" t="s">
        <v>2214</v>
      </c>
      <c r="E461" s="132" t="s">
        <v>2214</v>
      </c>
      <c r="F461" s="132" t="s">
        <v>2214</v>
      </c>
      <c r="G461" s="138" t="s">
        <v>2214</v>
      </c>
      <c r="H461" s="132" t="e">
        <v>#N/A</v>
      </c>
      <c r="I461" s="135" t="s">
        <v>2214</v>
      </c>
    </row>
    <row r="462" spans="1:9">
      <c r="A462" s="131">
        <v>40053</v>
      </c>
      <c r="B462" s="132">
        <v>100.6</v>
      </c>
      <c r="C462" s="132" t="s">
        <v>2214</v>
      </c>
      <c r="D462" s="132" t="s">
        <v>2214</v>
      </c>
      <c r="E462" s="132" t="s">
        <v>2214</v>
      </c>
      <c r="F462" s="132" t="s">
        <v>2214</v>
      </c>
      <c r="G462" s="138" t="s">
        <v>2214</v>
      </c>
      <c r="H462" s="132" t="e">
        <v>#N/A</v>
      </c>
      <c r="I462" s="135" t="s">
        <v>2214</v>
      </c>
    </row>
    <row r="463" spans="1:9">
      <c r="A463" s="131">
        <v>40056</v>
      </c>
      <c r="B463" s="132">
        <v>100.6</v>
      </c>
      <c r="C463" s="132" t="s">
        <v>2214</v>
      </c>
      <c r="D463" s="132" t="s">
        <v>2214</v>
      </c>
      <c r="E463" s="132" t="s">
        <v>2214</v>
      </c>
      <c r="F463" s="132" t="s">
        <v>2214</v>
      </c>
      <c r="G463" s="138" t="s">
        <v>2214</v>
      </c>
      <c r="H463" s="132" t="e">
        <v>#N/A</v>
      </c>
      <c r="I463" s="135" t="s">
        <v>2214</v>
      </c>
    </row>
    <row r="464" spans="1:9">
      <c r="A464" s="131">
        <v>40057</v>
      </c>
      <c r="B464" s="132">
        <v>100.6</v>
      </c>
      <c r="C464" s="132" t="s">
        <v>2214</v>
      </c>
      <c r="D464" s="132" t="s">
        <v>2214</v>
      </c>
      <c r="E464" s="132" t="s">
        <v>2214</v>
      </c>
      <c r="F464" s="132" t="s">
        <v>2214</v>
      </c>
      <c r="G464" s="138" t="s">
        <v>2214</v>
      </c>
      <c r="H464" s="132" t="e">
        <v>#N/A</v>
      </c>
      <c r="I464" s="135" t="s">
        <v>2214</v>
      </c>
    </row>
    <row r="465" spans="1:9">
      <c r="A465" s="131">
        <v>40058</v>
      </c>
      <c r="B465" s="132">
        <v>100.6</v>
      </c>
      <c r="C465" s="132" t="s">
        <v>2214</v>
      </c>
      <c r="D465" s="132" t="s">
        <v>2214</v>
      </c>
      <c r="E465" s="132" t="s">
        <v>2214</v>
      </c>
      <c r="F465" s="132" t="s">
        <v>2214</v>
      </c>
      <c r="G465" s="138" t="s">
        <v>2214</v>
      </c>
      <c r="H465" s="132" t="e">
        <v>#N/A</v>
      </c>
      <c r="I465" s="135" t="s">
        <v>2214</v>
      </c>
    </row>
    <row r="466" spans="1:9">
      <c r="A466" s="131">
        <v>40059</v>
      </c>
      <c r="B466" s="132">
        <v>100.6</v>
      </c>
      <c r="C466" s="132" t="s">
        <v>2214</v>
      </c>
      <c r="D466" s="132" t="s">
        <v>2214</v>
      </c>
      <c r="E466" s="132" t="s">
        <v>2214</v>
      </c>
      <c r="F466" s="132" t="s">
        <v>2214</v>
      </c>
      <c r="G466" s="138" t="s">
        <v>2214</v>
      </c>
      <c r="H466" s="132" t="e">
        <v>#N/A</v>
      </c>
      <c r="I466" s="135" t="s">
        <v>2214</v>
      </c>
    </row>
    <row r="467" spans="1:9">
      <c r="A467" s="131">
        <v>40060</v>
      </c>
      <c r="B467" s="132">
        <v>100.6</v>
      </c>
      <c r="C467" s="132" t="s">
        <v>2214</v>
      </c>
      <c r="D467" s="132" t="s">
        <v>2214</v>
      </c>
      <c r="E467" s="132" t="s">
        <v>2214</v>
      </c>
      <c r="F467" s="132" t="s">
        <v>2214</v>
      </c>
      <c r="G467" s="138" t="s">
        <v>2214</v>
      </c>
      <c r="H467" s="132" t="e">
        <v>#N/A</v>
      </c>
      <c r="I467" s="135" t="s">
        <v>2214</v>
      </c>
    </row>
    <row r="468" spans="1:9">
      <c r="A468" s="131">
        <v>40063</v>
      </c>
      <c r="B468" s="132">
        <v>100.41</v>
      </c>
      <c r="C468" s="132" t="s">
        <v>2214</v>
      </c>
      <c r="D468" s="132" t="s">
        <v>2214</v>
      </c>
      <c r="E468" s="132" t="s">
        <v>2214</v>
      </c>
      <c r="F468" s="132" t="s">
        <v>2214</v>
      </c>
      <c r="G468" s="138" t="s">
        <v>2214</v>
      </c>
      <c r="H468" s="132" t="e">
        <v>#N/A</v>
      </c>
      <c r="I468" s="135" t="s">
        <v>2214</v>
      </c>
    </row>
    <row r="469" spans="1:9">
      <c r="A469" s="131">
        <v>40064</v>
      </c>
      <c r="B469" s="132">
        <v>100.41</v>
      </c>
      <c r="C469" s="132" t="s">
        <v>2214</v>
      </c>
      <c r="D469" s="132" t="s">
        <v>2214</v>
      </c>
      <c r="E469" s="132" t="s">
        <v>2214</v>
      </c>
      <c r="F469" s="132" t="s">
        <v>2214</v>
      </c>
      <c r="G469" s="138" t="s">
        <v>2214</v>
      </c>
      <c r="H469" s="132" t="e">
        <v>#N/A</v>
      </c>
      <c r="I469" s="135" t="s">
        <v>2214</v>
      </c>
    </row>
    <row r="470" spans="1:9">
      <c r="A470" s="131">
        <v>40065</v>
      </c>
      <c r="B470" s="132">
        <v>100.41</v>
      </c>
      <c r="C470" s="132" t="s">
        <v>2214</v>
      </c>
      <c r="D470" s="132" t="s">
        <v>2214</v>
      </c>
      <c r="E470" s="132" t="s">
        <v>2214</v>
      </c>
      <c r="F470" s="132" t="s">
        <v>2214</v>
      </c>
      <c r="G470" s="138" t="s">
        <v>2214</v>
      </c>
      <c r="H470" s="132" t="e">
        <v>#N/A</v>
      </c>
      <c r="I470" s="135" t="s">
        <v>2214</v>
      </c>
    </row>
    <row r="471" spans="1:9">
      <c r="A471" s="131">
        <v>40066</v>
      </c>
      <c r="B471" s="132">
        <v>100.41</v>
      </c>
      <c r="C471" s="132" t="s">
        <v>2214</v>
      </c>
      <c r="D471" s="132" t="s">
        <v>2214</v>
      </c>
      <c r="E471" s="132" t="s">
        <v>2214</v>
      </c>
      <c r="F471" s="132" t="s">
        <v>2214</v>
      </c>
      <c r="G471" s="138" t="s">
        <v>2214</v>
      </c>
      <c r="H471" s="132" t="e">
        <v>#N/A</v>
      </c>
      <c r="I471" s="135" t="s">
        <v>2214</v>
      </c>
    </row>
    <row r="472" spans="1:9">
      <c r="A472" s="131">
        <v>40067</v>
      </c>
      <c r="B472" s="132">
        <v>100.41</v>
      </c>
      <c r="C472" s="132" t="s">
        <v>2214</v>
      </c>
      <c r="D472" s="132" t="s">
        <v>2214</v>
      </c>
      <c r="E472" s="132" t="s">
        <v>2214</v>
      </c>
      <c r="F472" s="132" t="s">
        <v>2214</v>
      </c>
      <c r="G472" s="138" t="s">
        <v>2214</v>
      </c>
      <c r="H472" s="132" t="e">
        <v>#N/A</v>
      </c>
      <c r="I472" s="135" t="s">
        <v>2214</v>
      </c>
    </row>
    <row r="473" spans="1:9">
      <c r="A473" s="131">
        <v>40070</v>
      </c>
      <c r="B473" s="132">
        <v>100.41</v>
      </c>
      <c r="C473" s="132" t="s">
        <v>2214</v>
      </c>
      <c r="D473" s="132" t="s">
        <v>2214</v>
      </c>
      <c r="E473" s="132" t="s">
        <v>2214</v>
      </c>
      <c r="F473" s="132" t="s">
        <v>2214</v>
      </c>
      <c r="G473" s="138" t="s">
        <v>2214</v>
      </c>
      <c r="H473" s="132" t="e">
        <v>#N/A</v>
      </c>
      <c r="I473" s="135" t="s">
        <v>2214</v>
      </c>
    </row>
    <row r="474" spans="1:9">
      <c r="A474" s="131">
        <v>40071</v>
      </c>
      <c r="B474" s="132">
        <v>100.41</v>
      </c>
      <c r="C474" s="132" t="s">
        <v>2214</v>
      </c>
      <c r="D474" s="132" t="s">
        <v>2214</v>
      </c>
      <c r="E474" s="132" t="s">
        <v>2214</v>
      </c>
      <c r="F474" s="132" t="s">
        <v>2214</v>
      </c>
      <c r="G474" s="138" t="s">
        <v>2214</v>
      </c>
      <c r="H474" s="132" t="e">
        <v>#N/A</v>
      </c>
      <c r="I474" s="135" t="s">
        <v>2214</v>
      </c>
    </row>
    <row r="475" spans="1:9">
      <c r="A475" s="131">
        <v>40072</v>
      </c>
      <c r="B475" s="132">
        <v>100.41</v>
      </c>
      <c r="C475" s="132" t="s">
        <v>2214</v>
      </c>
      <c r="D475" s="132" t="s">
        <v>2214</v>
      </c>
      <c r="E475" s="132" t="s">
        <v>2214</v>
      </c>
      <c r="F475" s="132" t="s">
        <v>2214</v>
      </c>
      <c r="G475" s="138" t="s">
        <v>2214</v>
      </c>
      <c r="H475" s="132" t="e">
        <v>#N/A</v>
      </c>
      <c r="I475" s="135" t="s">
        <v>2214</v>
      </c>
    </row>
    <row r="476" spans="1:9">
      <c r="A476" s="131">
        <v>40073</v>
      </c>
      <c r="B476" s="132">
        <v>100.41</v>
      </c>
      <c r="C476" s="132" t="s">
        <v>2214</v>
      </c>
      <c r="D476" s="132" t="s">
        <v>2214</v>
      </c>
      <c r="E476" s="132" t="s">
        <v>2214</v>
      </c>
      <c r="F476" s="132" t="s">
        <v>2214</v>
      </c>
      <c r="G476" s="138" t="s">
        <v>2214</v>
      </c>
      <c r="H476" s="132" t="e">
        <v>#N/A</v>
      </c>
      <c r="I476" s="135" t="s">
        <v>2214</v>
      </c>
    </row>
    <row r="477" spans="1:9">
      <c r="A477" s="131">
        <v>40074</v>
      </c>
      <c r="B477" s="132">
        <v>100.41</v>
      </c>
      <c r="C477" s="132" t="s">
        <v>2214</v>
      </c>
      <c r="D477" s="132" t="s">
        <v>2214</v>
      </c>
      <c r="E477" s="132" t="s">
        <v>2214</v>
      </c>
      <c r="F477" s="132" t="s">
        <v>2214</v>
      </c>
      <c r="G477" s="138" t="s">
        <v>2214</v>
      </c>
      <c r="H477" s="132" t="e">
        <v>#N/A</v>
      </c>
      <c r="I477" s="135" t="s">
        <v>2214</v>
      </c>
    </row>
    <row r="478" spans="1:9">
      <c r="A478" s="131">
        <v>40077</v>
      </c>
      <c r="B478" s="132">
        <v>100.41</v>
      </c>
      <c r="C478" s="132" t="s">
        <v>2214</v>
      </c>
      <c r="D478" s="132" t="s">
        <v>2214</v>
      </c>
      <c r="E478" s="132" t="s">
        <v>2214</v>
      </c>
      <c r="F478" s="132" t="s">
        <v>2214</v>
      </c>
      <c r="G478" s="138" t="s">
        <v>2214</v>
      </c>
      <c r="H478" s="132" t="e">
        <v>#N/A</v>
      </c>
      <c r="I478" s="135" t="s">
        <v>2214</v>
      </c>
    </row>
    <row r="479" spans="1:9">
      <c r="A479" s="131">
        <v>40078</v>
      </c>
      <c r="B479" s="132">
        <v>100.41</v>
      </c>
      <c r="C479" s="132" t="s">
        <v>2214</v>
      </c>
      <c r="D479" s="132" t="s">
        <v>2214</v>
      </c>
      <c r="E479" s="132" t="s">
        <v>2214</v>
      </c>
      <c r="F479" s="132" t="s">
        <v>2214</v>
      </c>
      <c r="G479" s="138" t="s">
        <v>2214</v>
      </c>
      <c r="H479" s="132" t="e">
        <v>#N/A</v>
      </c>
      <c r="I479" s="135" t="s">
        <v>2214</v>
      </c>
    </row>
    <row r="480" spans="1:9">
      <c r="A480" s="131">
        <v>40079</v>
      </c>
      <c r="B480" s="132">
        <v>100.41</v>
      </c>
      <c r="C480" s="132" t="s">
        <v>2214</v>
      </c>
      <c r="D480" s="132" t="s">
        <v>2214</v>
      </c>
      <c r="E480" s="132" t="s">
        <v>2214</v>
      </c>
      <c r="F480" s="132" t="s">
        <v>2214</v>
      </c>
      <c r="G480" s="138" t="s">
        <v>2214</v>
      </c>
      <c r="H480" s="132" t="e">
        <v>#N/A</v>
      </c>
      <c r="I480" s="135" t="s">
        <v>2214</v>
      </c>
    </row>
    <row r="481" spans="1:9">
      <c r="A481" s="131">
        <v>40080</v>
      </c>
      <c r="B481" s="132">
        <v>100.41</v>
      </c>
      <c r="C481" s="132" t="s">
        <v>2214</v>
      </c>
      <c r="D481" s="132" t="s">
        <v>2214</v>
      </c>
      <c r="E481" s="132" t="s">
        <v>2214</v>
      </c>
      <c r="F481" s="132" t="s">
        <v>2214</v>
      </c>
      <c r="G481" s="138" t="s">
        <v>2214</v>
      </c>
      <c r="H481" s="132" t="e">
        <v>#N/A</v>
      </c>
      <c r="I481" s="135" t="s">
        <v>2214</v>
      </c>
    </row>
    <row r="482" spans="1:9">
      <c r="A482" s="131">
        <v>40081</v>
      </c>
      <c r="B482" s="132">
        <v>100.41</v>
      </c>
      <c r="C482" s="132" t="s">
        <v>2214</v>
      </c>
      <c r="D482" s="132" t="s">
        <v>2214</v>
      </c>
      <c r="E482" s="132" t="s">
        <v>2214</v>
      </c>
      <c r="F482" s="132" t="s">
        <v>2214</v>
      </c>
      <c r="G482" s="138" t="s">
        <v>2214</v>
      </c>
      <c r="H482" s="132" t="e">
        <v>#N/A</v>
      </c>
      <c r="I482" s="135" t="s">
        <v>2214</v>
      </c>
    </row>
    <row r="483" spans="1:9">
      <c r="A483" s="131">
        <v>40083</v>
      </c>
      <c r="B483" s="132">
        <v>100.41</v>
      </c>
      <c r="C483" s="132" t="s">
        <v>2214</v>
      </c>
      <c r="D483" s="132" t="s">
        <v>2214</v>
      </c>
      <c r="E483" s="132" t="s">
        <v>2214</v>
      </c>
      <c r="F483" s="132" t="s">
        <v>2214</v>
      </c>
      <c r="G483" s="138" t="s">
        <v>2214</v>
      </c>
      <c r="H483" s="132" t="e">
        <v>#N/A</v>
      </c>
      <c r="I483" s="135" t="s">
        <v>2214</v>
      </c>
    </row>
    <row r="484" spans="1:9">
      <c r="A484" s="131">
        <v>40084</v>
      </c>
      <c r="B484" s="132">
        <v>100.41</v>
      </c>
      <c r="C484" s="132" t="s">
        <v>2214</v>
      </c>
      <c r="D484" s="132" t="s">
        <v>2214</v>
      </c>
      <c r="E484" s="132" t="s">
        <v>2214</v>
      </c>
      <c r="F484" s="132" t="s">
        <v>2214</v>
      </c>
      <c r="G484" s="138" t="s">
        <v>2214</v>
      </c>
      <c r="H484" s="132" t="e">
        <v>#N/A</v>
      </c>
      <c r="I484" s="135" t="s">
        <v>2214</v>
      </c>
    </row>
    <row r="485" spans="1:9">
      <c r="A485" s="131">
        <v>40085</v>
      </c>
      <c r="B485" s="132">
        <v>100.41</v>
      </c>
      <c r="C485" s="132" t="s">
        <v>2214</v>
      </c>
      <c r="D485" s="132" t="s">
        <v>2214</v>
      </c>
      <c r="E485" s="132" t="s">
        <v>2214</v>
      </c>
      <c r="F485" s="132" t="s">
        <v>2214</v>
      </c>
      <c r="G485" s="138" t="s">
        <v>2214</v>
      </c>
      <c r="H485" s="132" t="e">
        <v>#N/A</v>
      </c>
      <c r="I485" s="135" t="s">
        <v>2214</v>
      </c>
    </row>
    <row r="486" spans="1:9">
      <c r="A486" s="131">
        <v>40086</v>
      </c>
      <c r="B486" s="132">
        <v>100.41</v>
      </c>
      <c r="C486" s="132" t="s">
        <v>2214</v>
      </c>
      <c r="D486" s="132" t="s">
        <v>2214</v>
      </c>
      <c r="E486" s="132" t="s">
        <v>2214</v>
      </c>
      <c r="F486" s="132" t="s">
        <v>2214</v>
      </c>
      <c r="G486" s="138" t="s">
        <v>2214</v>
      </c>
      <c r="H486" s="132" t="e">
        <v>#N/A</v>
      </c>
      <c r="I486" s="135" t="s">
        <v>2214</v>
      </c>
    </row>
    <row r="487" spans="1:9">
      <c r="A487" s="131">
        <v>40095</v>
      </c>
      <c r="B487" s="132">
        <v>100.41</v>
      </c>
      <c r="C487" s="132" t="s">
        <v>2214</v>
      </c>
      <c r="D487" s="132" t="s">
        <v>2214</v>
      </c>
      <c r="E487" s="132" t="s">
        <v>2214</v>
      </c>
      <c r="F487" s="132" t="s">
        <v>2214</v>
      </c>
      <c r="G487" s="138" t="s">
        <v>2214</v>
      </c>
      <c r="H487" s="132" t="e">
        <v>#N/A</v>
      </c>
      <c r="I487" s="135" t="s">
        <v>2214</v>
      </c>
    </row>
    <row r="488" spans="1:9">
      <c r="A488" s="131">
        <v>40096</v>
      </c>
      <c r="B488" s="132">
        <v>100.41</v>
      </c>
      <c r="C488" s="132" t="s">
        <v>2214</v>
      </c>
      <c r="D488" s="132" t="s">
        <v>2214</v>
      </c>
      <c r="E488" s="132" t="s">
        <v>2214</v>
      </c>
      <c r="F488" s="132" t="s">
        <v>2214</v>
      </c>
      <c r="G488" s="138" t="s">
        <v>2214</v>
      </c>
      <c r="H488" s="132" t="e">
        <v>#N/A</v>
      </c>
      <c r="I488" s="135" t="s">
        <v>2214</v>
      </c>
    </row>
    <row r="489" spans="1:9">
      <c r="A489" s="131">
        <v>40098</v>
      </c>
      <c r="B489" s="132">
        <v>100.41</v>
      </c>
      <c r="C489" s="132" t="s">
        <v>2214</v>
      </c>
      <c r="D489" s="132" t="s">
        <v>2214</v>
      </c>
      <c r="E489" s="132" t="s">
        <v>2214</v>
      </c>
      <c r="F489" s="132" t="s">
        <v>2214</v>
      </c>
      <c r="G489" s="138" t="s">
        <v>2214</v>
      </c>
      <c r="H489" s="132" t="e">
        <v>#N/A</v>
      </c>
      <c r="I489" s="135" t="s">
        <v>2214</v>
      </c>
    </row>
    <row r="490" spans="1:9">
      <c r="A490" s="131">
        <v>40099</v>
      </c>
      <c r="B490" s="132">
        <v>100.41</v>
      </c>
      <c r="C490" s="132" t="s">
        <v>2214</v>
      </c>
      <c r="D490" s="132" t="s">
        <v>2214</v>
      </c>
      <c r="E490" s="132" t="s">
        <v>2214</v>
      </c>
      <c r="F490" s="132" t="s">
        <v>2214</v>
      </c>
      <c r="G490" s="138" t="s">
        <v>2214</v>
      </c>
      <c r="H490" s="132" t="e">
        <v>#N/A</v>
      </c>
      <c r="I490" s="135" t="s">
        <v>2214</v>
      </c>
    </row>
    <row r="491" spans="1:9">
      <c r="A491" s="131">
        <v>40100</v>
      </c>
      <c r="B491" s="132">
        <v>99.67</v>
      </c>
      <c r="C491" s="132" t="s">
        <v>2214</v>
      </c>
      <c r="D491" s="132" t="s">
        <v>2214</v>
      </c>
      <c r="E491" s="132" t="s">
        <v>2214</v>
      </c>
      <c r="F491" s="132" t="s">
        <v>2214</v>
      </c>
      <c r="G491" s="138" t="s">
        <v>2214</v>
      </c>
      <c r="H491" s="132" t="e">
        <v>#N/A</v>
      </c>
      <c r="I491" s="135" t="s">
        <v>2214</v>
      </c>
    </row>
    <row r="492" spans="1:9">
      <c r="A492" s="131">
        <v>40101</v>
      </c>
      <c r="B492" s="132">
        <v>99.67</v>
      </c>
      <c r="C492" s="132" t="s">
        <v>2214</v>
      </c>
      <c r="D492" s="132" t="s">
        <v>2214</v>
      </c>
      <c r="E492" s="132" t="s">
        <v>2214</v>
      </c>
      <c r="F492" s="132" t="s">
        <v>2214</v>
      </c>
      <c r="G492" s="138" t="s">
        <v>2214</v>
      </c>
      <c r="H492" s="132" t="e">
        <v>#N/A</v>
      </c>
      <c r="I492" s="135" t="s">
        <v>2214</v>
      </c>
    </row>
    <row r="493" spans="1:9">
      <c r="A493" s="131">
        <v>40102</v>
      </c>
      <c r="B493" s="132">
        <v>99.67</v>
      </c>
      <c r="C493" s="132" t="s">
        <v>2214</v>
      </c>
      <c r="D493" s="132" t="s">
        <v>2214</v>
      </c>
      <c r="E493" s="132" t="s">
        <v>2214</v>
      </c>
      <c r="F493" s="132" t="s">
        <v>2214</v>
      </c>
      <c r="G493" s="138" t="s">
        <v>2214</v>
      </c>
      <c r="H493" s="132" t="e">
        <v>#N/A</v>
      </c>
      <c r="I493" s="135" t="s">
        <v>2214</v>
      </c>
    </row>
    <row r="494" spans="1:9">
      <c r="A494" s="131">
        <v>40105</v>
      </c>
      <c r="B494" s="132">
        <v>99.67</v>
      </c>
      <c r="C494" s="132" t="s">
        <v>2214</v>
      </c>
      <c r="D494" s="132" t="s">
        <v>2214</v>
      </c>
      <c r="E494" s="132" t="s">
        <v>2214</v>
      </c>
      <c r="F494" s="132" t="s">
        <v>2214</v>
      </c>
      <c r="G494" s="138" t="s">
        <v>2214</v>
      </c>
      <c r="H494" s="132" t="e">
        <v>#N/A</v>
      </c>
      <c r="I494" s="135" t="s">
        <v>2214</v>
      </c>
    </row>
    <row r="495" spans="1:9">
      <c r="A495" s="131">
        <v>40106</v>
      </c>
      <c r="B495" s="132">
        <v>99.67</v>
      </c>
      <c r="C495" s="132" t="s">
        <v>2214</v>
      </c>
      <c r="D495" s="132" t="s">
        <v>2214</v>
      </c>
      <c r="E495" s="132" t="s">
        <v>2214</v>
      </c>
      <c r="F495" s="132" t="s">
        <v>2214</v>
      </c>
      <c r="G495" s="138" t="s">
        <v>2214</v>
      </c>
      <c r="H495" s="132" t="e">
        <v>#N/A</v>
      </c>
      <c r="I495" s="135" t="s">
        <v>2214</v>
      </c>
    </row>
    <row r="496" spans="1:9">
      <c r="A496" s="131">
        <v>40107</v>
      </c>
      <c r="B496" s="132">
        <v>99.67</v>
      </c>
      <c r="C496" s="132" t="s">
        <v>2214</v>
      </c>
      <c r="D496" s="132" t="s">
        <v>2214</v>
      </c>
      <c r="E496" s="132" t="s">
        <v>2214</v>
      </c>
      <c r="F496" s="132" t="s">
        <v>2214</v>
      </c>
      <c r="G496" s="138" t="s">
        <v>2214</v>
      </c>
      <c r="H496" s="132" t="e">
        <v>#N/A</v>
      </c>
      <c r="I496" s="135" t="s">
        <v>2214</v>
      </c>
    </row>
    <row r="497" spans="1:9">
      <c r="A497" s="131">
        <v>40108</v>
      </c>
      <c r="B497" s="132">
        <v>99.67</v>
      </c>
      <c r="C497" s="132" t="s">
        <v>2214</v>
      </c>
      <c r="D497" s="132" t="s">
        <v>2214</v>
      </c>
      <c r="E497" s="132" t="s">
        <v>2214</v>
      </c>
      <c r="F497" s="132" t="s">
        <v>2214</v>
      </c>
      <c r="G497" s="138" t="s">
        <v>2214</v>
      </c>
      <c r="H497" s="132" t="e">
        <v>#N/A</v>
      </c>
      <c r="I497" s="135" t="s">
        <v>2214</v>
      </c>
    </row>
    <row r="498" spans="1:9">
      <c r="A498" s="131">
        <v>40109</v>
      </c>
      <c r="B498" s="132">
        <v>99.67</v>
      </c>
      <c r="C498" s="132" t="s">
        <v>2214</v>
      </c>
      <c r="D498" s="132" t="s">
        <v>2214</v>
      </c>
      <c r="E498" s="132" t="s">
        <v>2214</v>
      </c>
      <c r="F498" s="132" t="s">
        <v>2214</v>
      </c>
      <c r="G498" s="138" t="s">
        <v>2214</v>
      </c>
      <c r="H498" s="132" t="e">
        <v>#N/A</v>
      </c>
      <c r="I498" s="135" t="s">
        <v>2214</v>
      </c>
    </row>
    <row r="499" spans="1:9">
      <c r="A499" s="131">
        <v>40112</v>
      </c>
      <c r="B499" s="132">
        <v>99.67</v>
      </c>
      <c r="C499" s="132" t="s">
        <v>2214</v>
      </c>
      <c r="D499" s="132" t="s">
        <v>2214</v>
      </c>
      <c r="E499" s="132" t="s">
        <v>2214</v>
      </c>
      <c r="F499" s="132" t="s">
        <v>2214</v>
      </c>
      <c r="G499" s="138" t="s">
        <v>2214</v>
      </c>
      <c r="H499" s="132" t="e">
        <v>#N/A</v>
      </c>
      <c r="I499" s="135" t="s">
        <v>2214</v>
      </c>
    </row>
    <row r="500" spans="1:9">
      <c r="A500" s="131">
        <v>40113</v>
      </c>
      <c r="B500" s="132">
        <v>99.67</v>
      </c>
      <c r="C500" s="132" t="s">
        <v>2214</v>
      </c>
      <c r="D500" s="132" t="s">
        <v>2214</v>
      </c>
      <c r="E500" s="132" t="s">
        <v>2214</v>
      </c>
      <c r="F500" s="132" t="s">
        <v>2214</v>
      </c>
      <c r="G500" s="138" t="s">
        <v>2214</v>
      </c>
      <c r="H500" s="132" t="e">
        <v>#N/A</v>
      </c>
      <c r="I500" s="135" t="s">
        <v>2214</v>
      </c>
    </row>
    <row r="501" spans="1:9">
      <c r="A501" s="131">
        <v>40114</v>
      </c>
      <c r="B501" s="132">
        <v>99.67</v>
      </c>
      <c r="C501" s="132" t="s">
        <v>2214</v>
      </c>
      <c r="D501" s="132" t="s">
        <v>2214</v>
      </c>
      <c r="E501" s="132" t="s">
        <v>2214</v>
      </c>
      <c r="F501" s="132" t="s">
        <v>2214</v>
      </c>
      <c r="G501" s="138" t="s">
        <v>2214</v>
      </c>
      <c r="H501" s="132" t="e">
        <v>#N/A</v>
      </c>
      <c r="I501" s="135" t="s">
        <v>2214</v>
      </c>
    </row>
    <row r="502" spans="1:9">
      <c r="A502" s="131">
        <v>40115</v>
      </c>
      <c r="B502" s="132">
        <v>99.67</v>
      </c>
      <c r="C502" s="132" t="s">
        <v>2214</v>
      </c>
      <c r="D502" s="132" t="s">
        <v>2214</v>
      </c>
      <c r="E502" s="132" t="s">
        <v>2214</v>
      </c>
      <c r="F502" s="132" t="s">
        <v>2214</v>
      </c>
      <c r="G502" s="138" t="s">
        <v>2214</v>
      </c>
      <c r="H502" s="132" t="e">
        <v>#N/A</v>
      </c>
      <c r="I502" s="135" t="s">
        <v>2214</v>
      </c>
    </row>
    <row r="503" spans="1:9">
      <c r="A503" s="131">
        <v>40116</v>
      </c>
      <c r="B503" s="132">
        <v>99.67</v>
      </c>
      <c r="C503" s="132" t="s">
        <v>2214</v>
      </c>
      <c r="D503" s="132" t="s">
        <v>2214</v>
      </c>
      <c r="E503" s="132" t="s">
        <v>2214</v>
      </c>
      <c r="F503" s="132" t="s">
        <v>2214</v>
      </c>
      <c r="G503" s="138" t="s">
        <v>2214</v>
      </c>
      <c r="H503" s="132" t="e">
        <v>#N/A</v>
      </c>
      <c r="I503" s="135" t="s">
        <v>2214</v>
      </c>
    </row>
    <row r="504" spans="1:9">
      <c r="A504" s="131">
        <v>40119</v>
      </c>
      <c r="B504" s="132">
        <v>99.67</v>
      </c>
      <c r="C504" s="132" t="s">
        <v>2214</v>
      </c>
      <c r="D504" s="132" t="s">
        <v>2214</v>
      </c>
      <c r="E504" s="132" t="s">
        <v>2214</v>
      </c>
      <c r="F504" s="132" t="s">
        <v>2214</v>
      </c>
      <c r="G504" s="138" t="s">
        <v>2214</v>
      </c>
      <c r="H504" s="132" t="e">
        <v>#N/A</v>
      </c>
      <c r="I504" s="135" t="s">
        <v>2214</v>
      </c>
    </row>
    <row r="505" spans="1:9">
      <c r="A505" s="131">
        <v>40120</v>
      </c>
      <c r="B505" s="132">
        <v>99.67</v>
      </c>
      <c r="C505" s="132" t="s">
        <v>2214</v>
      </c>
      <c r="D505" s="132" t="s">
        <v>2214</v>
      </c>
      <c r="E505" s="132" t="s">
        <v>2214</v>
      </c>
      <c r="F505" s="132" t="s">
        <v>2214</v>
      </c>
      <c r="G505" s="138" t="s">
        <v>2214</v>
      </c>
      <c r="H505" s="132" t="e">
        <v>#N/A</v>
      </c>
      <c r="I505" s="135" t="s">
        <v>2214</v>
      </c>
    </row>
    <row r="506" spans="1:9">
      <c r="A506" s="131">
        <v>40121</v>
      </c>
      <c r="B506" s="132">
        <v>99.67</v>
      </c>
      <c r="C506" s="132" t="s">
        <v>2214</v>
      </c>
      <c r="D506" s="132" t="s">
        <v>2214</v>
      </c>
      <c r="E506" s="132" t="s">
        <v>2214</v>
      </c>
      <c r="F506" s="132" t="s">
        <v>2214</v>
      </c>
      <c r="G506" s="138" t="s">
        <v>2214</v>
      </c>
      <c r="H506" s="132" t="e">
        <v>#N/A</v>
      </c>
      <c r="I506" s="135" t="s">
        <v>2214</v>
      </c>
    </row>
    <row r="507" spans="1:9">
      <c r="A507" s="131">
        <v>40122</v>
      </c>
      <c r="B507" s="132">
        <v>99.67</v>
      </c>
      <c r="C507" s="132" t="s">
        <v>2214</v>
      </c>
      <c r="D507" s="132" t="s">
        <v>2214</v>
      </c>
      <c r="E507" s="132" t="s">
        <v>2214</v>
      </c>
      <c r="F507" s="132" t="s">
        <v>2214</v>
      </c>
      <c r="G507" s="138" t="s">
        <v>2214</v>
      </c>
      <c r="H507" s="132" t="e">
        <v>#N/A</v>
      </c>
      <c r="I507" s="135" t="s">
        <v>2214</v>
      </c>
    </row>
    <row r="508" spans="1:9">
      <c r="A508" s="131">
        <v>40123</v>
      </c>
      <c r="B508" s="132">
        <v>99.67</v>
      </c>
      <c r="C508" s="132" t="s">
        <v>2214</v>
      </c>
      <c r="D508" s="132" t="s">
        <v>2214</v>
      </c>
      <c r="E508" s="132" t="s">
        <v>2214</v>
      </c>
      <c r="F508" s="132" t="s">
        <v>2214</v>
      </c>
      <c r="G508" s="138" t="s">
        <v>2214</v>
      </c>
      <c r="H508" s="132" t="e">
        <v>#N/A</v>
      </c>
      <c r="I508" s="135" t="s">
        <v>2214</v>
      </c>
    </row>
    <row r="509" spans="1:9">
      <c r="A509" s="131">
        <v>40126</v>
      </c>
      <c r="B509" s="132">
        <v>99.67</v>
      </c>
      <c r="C509" s="132" t="s">
        <v>2214</v>
      </c>
      <c r="D509" s="132" t="s">
        <v>2214</v>
      </c>
      <c r="E509" s="132" t="s">
        <v>2214</v>
      </c>
      <c r="F509" s="132" t="s">
        <v>2214</v>
      </c>
      <c r="G509" s="138" t="s">
        <v>2214</v>
      </c>
      <c r="H509" s="132" t="e">
        <v>#N/A</v>
      </c>
      <c r="I509" s="135" t="s">
        <v>2214</v>
      </c>
    </row>
    <row r="510" spans="1:9">
      <c r="A510" s="131">
        <v>40127</v>
      </c>
      <c r="B510" s="132">
        <v>99.67</v>
      </c>
      <c r="C510" s="132" t="s">
        <v>2214</v>
      </c>
      <c r="D510" s="132" t="s">
        <v>2214</v>
      </c>
      <c r="E510" s="132" t="s">
        <v>2214</v>
      </c>
      <c r="F510" s="132" t="s">
        <v>2214</v>
      </c>
      <c r="G510" s="138" t="s">
        <v>2214</v>
      </c>
      <c r="H510" s="132" t="e">
        <v>#N/A</v>
      </c>
      <c r="I510" s="135" t="s">
        <v>2214</v>
      </c>
    </row>
    <row r="511" spans="1:9">
      <c r="A511" s="131">
        <v>40128</v>
      </c>
      <c r="B511" s="132">
        <v>99.67</v>
      </c>
      <c r="C511" s="132" t="s">
        <v>2214</v>
      </c>
      <c r="D511" s="132" t="s">
        <v>2214</v>
      </c>
      <c r="E511" s="132" t="s">
        <v>2214</v>
      </c>
      <c r="F511" s="132" t="s">
        <v>2214</v>
      </c>
      <c r="G511" s="138" t="s">
        <v>2214</v>
      </c>
      <c r="H511" s="132" t="e">
        <v>#N/A</v>
      </c>
      <c r="I511" s="135" t="s">
        <v>2214</v>
      </c>
    </row>
    <row r="512" spans="1:9">
      <c r="A512" s="131">
        <v>40129</v>
      </c>
      <c r="B512" s="132">
        <v>99.67</v>
      </c>
      <c r="C512" s="132" t="s">
        <v>2214</v>
      </c>
      <c r="D512" s="132" t="s">
        <v>2214</v>
      </c>
      <c r="E512" s="132" t="s">
        <v>2214</v>
      </c>
      <c r="F512" s="132" t="s">
        <v>2214</v>
      </c>
      <c r="G512" s="138" t="s">
        <v>2214</v>
      </c>
      <c r="H512" s="132" t="e">
        <v>#N/A</v>
      </c>
      <c r="I512" s="135" t="s">
        <v>2214</v>
      </c>
    </row>
    <row r="513" spans="1:9">
      <c r="A513" s="131">
        <v>40130</v>
      </c>
      <c r="B513" s="132">
        <v>99.67</v>
      </c>
      <c r="C513" s="132" t="s">
        <v>2214</v>
      </c>
      <c r="D513" s="132" t="s">
        <v>2214</v>
      </c>
      <c r="E513" s="132" t="s">
        <v>2214</v>
      </c>
      <c r="F513" s="132" t="s">
        <v>2214</v>
      </c>
      <c r="G513" s="138" t="s">
        <v>2214</v>
      </c>
      <c r="H513" s="132" t="e">
        <v>#N/A</v>
      </c>
      <c r="I513" s="135" t="s">
        <v>2214</v>
      </c>
    </row>
    <row r="514" spans="1:9">
      <c r="A514" s="131">
        <v>40133</v>
      </c>
      <c r="B514" s="132">
        <v>99.67</v>
      </c>
      <c r="C514" s="132" t="s">
        <v>2214</v>
      </c>
      <c r="D514" s="132" t="s">
        <v>2214</v>
      </c>
      <c r="E514" s="132" t="s">
        <v>2214</v>
      </c>
      <c r="F514" s="132" t="s">
        <v>2214</v>
      </c>
      <c r="G514" s="138" t="s">
        <v>2214</v>
      </c>
      <c r="H514" s="132" t="e">
        <v>#N/A</v>
      </c>
      <c r="I514" s="135" t="s">
        <v>2214</v>
      </c>
    </row>
    <row r="515" spans="1:9">
      <c r="A515" s="131">
        <v>40134</v>
      </c>
      <c r="B515" s="132">
        <v>99.67</v>
      </c>
      <c r="C515" s="132" t="s">
        <v>2214</v>
      </c>
      <c r="D515" s="132" t="s">
        <v>2214</v>
      </c>
      <c r="E515" s="132" t="s">
        <v>2214</v>
      </c>
      <c r="F515" s="132" t="s">
        <v>2214</v>
      </c>
      <c r="G515" s="138" t="s">
        <v>2214</v>
      </c>
      <c r="H515" s="132" t="e">
        <v>#N/A</v>
      </c>
      <c r="I515" s="135" t="s">
        <v>2214</v>
      </c>
    </row>
    <row r="516" spans="1:9">
      <c r="A516" s="131">
        <v>40135</v>
      </c>
      <c r="B516" s="132">
        <v>99.67</v>
      </c>
      <c r="C516" s="132" t="s">
        <v>2214</v>
      </c>
      <c r="D516" s="132" t="s">
        <v>2214</v>
      </c>
      <c r="E516" s="132" t="s">
        <v>2214</v>
      </c>
      <c r="F516" s="132" t="s">
        <v>2214</v>
      </c>
      <c r="G516" s="138" t="s">
        <v>2214</v>
      </c>
      <c r="H516" s="132" t="e">
        <v>#N/A</v>
      </c>
      <c r="I516" s="135" t="s">
        <v>2214</v>
      </c>
    </row>
    <row r="517" spans="1:9">
      <c r="A517" s="131">
        <v>40136</v>
      </c>
      <c r="B517" s="132">
        <v>99.67</v>
      </c>
      <c r="C517" s="132" t="s">
        <v>2214</v>
      </c>
      <c r="D517" s="132" t="s">
        <v>2214</v>
      </c>
      <c r="E517" s="132" t="s">
        <v>2214</v>
      </c>
      <c r="F517" s="132" t="s">
        <v>2214</v>
      </c>
      <c r="G517" s="138" t="s">
        <v>2214</v>
      </c>
      <c r="H517" s="132" t="e">
        <v>#N/A</v>
      </c>
      <c r="I517" s="135" t="s">
        <v>2214</v>
      </c>
    </row>
    <row r="518" spans="1:9">
      <c r="A518" s="131">
        <v>40137</v>
      </c>
      <c r="B518" s="132">
        <v>99.67</v>
      </c>
      <c r="C518" s="132" t="s">
        <v>2214</v>
      </c>
      <c r="D518" s="132" t="s">
        <v>2214</v>
      </c>
      <c r="E518" s="132" t="s">
        <v>2214</v>
      </c>
      <c r="F518" s="132" t="s">
        <v>2214</v>
      </c>
      <c r="G518" s="138" t="s">
        <v>2214</v>
      </c>
      <c r="H518" s="132" t="e">
        <v>#N/A</v>
      </c>
      <c r="I518" s="135" t="s">
        <v>2214</v>
      </c>
    </row>
    <row r="519" spans="1:9">
      <c r="A519" s="131">
        <v>40140</v>
      </c>
      <c r="B519" s="132">
        <v>99.67</v>
      </c>
      <c r="C519" s="132" t="s">
        <v>2214</v>
      </c>
      <c r="D519" s="132" t="s">
        <v>2214</v>
      </c>
      <c r="E519" s="132" t="s">
        <v>2214</v>
      </c>
      <c r="F519" s="132" t="s">
        <v>2214</v>
      </c>
      <c r="G519" s="138" t="s">
        <v>2214</v>
      </c>
      <c r="H519" s="132" t="e">
        <v>#N/A</v>
      </c>
      <c r="I519" s="135" t="s">
        <v>2214</v>
      </c>
    </row>
    <row r="520" spans="1:9">
      <c r="A520" s="131">
        <v>40141</v>
      </c>
      <c r="B520" s="132">
        <v>99.67</v>
      </c>
      <c r="C520" s="132" t="s">
        <v>2214</v>
      </c>
      <c r="D520" s="132" t="s">
        <v>2214</v>
      </c>
      <c r="E520" s="132" t="s">
        <v>2214</v>
      </c>
      <c r="F520" s="132" t="s">
        <v>2214</v>
      </c>
      <c r="G520" s="138" t="s">
        <v>2214</v>
      </c>
      <c r="H520" s="132" t="e">
        <v>#N/A</v>
      </c>
      <c r="I520" s="135" t="s">
        <v>2214</v>
      </c>
    </row>
    <row r="521" spans="1:9">
      <c r="A521" s="131">
        <v>40142</v>
      </c>
      <c r="B521" s="132">
        <v>99.67</v>
      </c>
      <c r="C521" s="132" t="s">
        <v>2214</v>
      </c>
      <c r="D521" s="132" t="s">
        <v>2214</v>
      </c>
      <c r="E521" s="132" t="s">
        <v>2214</v>
      </c>
      <c r="F521" s="132" t="s">
        <v>2214</v>
      </c>
      <c r="G521" s="138" t="s">
        <v>2214</v>
      </c>
      <c r="H521" s="132" t="e">
        <v>#N/A</v>
      </c>
      <c r="I521" s="135" t="s">
        <v>2214</v>
      </c>
    </row>
    <row r="522" spans="1:9">
      <c r="A522" s="131">
        <v>40143</v>
      </c>
      <c r="B522" s="132">
        <v>99.67</v>
      </c>
      <c r="C522" s="132" t="s">
        <v>2214</v>
      </c>
      <c r="D522" s="132" t="s">
        <v>2214</v>
      </c>
      <c r="E522" s="132" t="s">
        <v>2214</v>
      </c>
      <c r="F522" s="132" t="s">
        <v>2214</v>
      </c>
      <c r="G522" s="138" t="s">
        <v>2214</v>
      </c>
      <c r="H522" s="132" t="e">
        <v>#N/A</v>
      </c>
      <c r="I522" s="135" t="s">
        <v>2214</v>
      </c>
    </row>
    <row r="523" spans="1:9">
      <c r="A523" s="131">
        <v>40144</v>
      </c>
      <c r="B523" s="132">
        <v>99.67</v>
      </c>
      <c r="C523" s="132" t="s">
        <v>2214</v>
      </c>
      <c r="D523" s="132" t="s">
        <v>2214</v>
      </c>
      <c r="E523" s="132" t="s">
        <v>2214</v>
      </c>
      <c r="F523" s="132" t="s">
        <v>2214</v>
      </c>
      <c r="G523" s="138" t="s">
        <v>2214</v>
      </c>
      <c r="H523" s="132" t="e">
        <v>#N/A</v>
      </c>
      <c r="I523" s="135" t="s">
        <v>2214</v>
      </c>
    </row>
    <row r="524" spans="1:9">
      <c r="A524" s="131">
        <v>40147</v>
      </c>
      <c r="B524" s="132">
        <v>99.67</v>
      </c>
      <c r="C524" s="132" t="s">
        <v>2214</v>
      </c>
      <c r="D524" s="132" t="s">
        <v>2214</v>
      </c>
      <c r="E524" s="132" t="s">
        <v>2214</v>
      </c>
      <c r="F524" s="132" t="s">
        <v>2214</v>
      </c>
      <c r="G524" s="138" t="s">
        <v>2214</v>
      </c>
      <c r="H524" s="132" t="e">
        <v>#N/A</v>
      </c>
      <c r="I524" s="135" t="s">
        <v>2214</v>
      </c>
    </row>
    <row r="525" spans="1:9">
      <c r="A525" s="131">
        <v>40148</v>
      </c>
      <c r="B525" s="132">
        <v>99.67</v>
      </c>
      <c r="C525" s="132" t="s">
        <v>2214</v>
      </c>
      <c r="D525" s="132" t="s">
        <v>2214</v>
      </c>
      <c r="E525" s="132" t="s">
        <v>2214</v>
      </c>
      <c r="F525" s="132" t="s">
        <v>2214</v>
      </c>
      <c r="G525" s="138" t="s">
        <v>2214</v>
      </c>
      <c r="H525" s="132" t="e">
        <v>#N/A</v>
      </c>
      <c r="I525" s="135" t="s">
        <v>2214</v>
      </c>
    </row>
    <row r="526" spans="1:9">
      <c r="A526" s="131">
        <v>40149</v>
      </c>
      <c r="B526" s="132">
        <v>99.67</v>
      </c>
      <c r="C526" s="132" t="s">
        <v>2214</v>
      </c>
      <c r="D526" s="132" t="s">
        <v>2214</v>
      </c>
      <c r="E526" s="132" t="s">
        <v>2214</v>
      </c>
      <c r="F526" s="132" t="s">
        <v>2214</v>
      </c>
      <c r="G526" s="138" t="s">
        <v>2214</v>
      </c>
      <c r="H526" s="132" t="e">
        <v>#N/A</v>
      </c>
      <c r="I526" s="135" t="s">
        <v>2214</v>
      </c>
    </row>
    <row r="527" spans="1:9">
      <c r="A527" s="131">
        <v>40150</v>
      </c>
      <c r="B527" s="132">
        <v>99.67</v>
      </c>
      <c r="C527" s="132" t="s">
        <v>2214</v>
      </c>
      <c r="D527" s="132" t="s">
        <v>2214</v>
      </c>
      <c r="E527" s="132" t="s">
        <v>2214</v>
      </c>
      <c r="F527" s="132" t="s">
        <v>2214</v>
      </c>
      <c r="G527" s="138" t="s">
        <v>2214</v>
      </c>
      <c r="H527" s="132" t="e">
        <v>#N/A</v>
      </c>
      <c r="I527" s="135" t="s">
        <v>2214</v>
      </c>
    </row>
    <row r="528" spans="1:9">
      <c r="A528" s="131">
        <v>40151</v>
      </c>
      <c r="B528" s="132">
        <v>99.67</v>
      </c>
      <c r="C528" s="132" t="s">
        <v>2214</v>
      </c>
      <c r="D528" s="132" t="s">
        <v>2214</v>
      </c>
      <c r="E528" s="132" t="s">
        <v>2214</v>
      </c>
      <c r="F528" s="132" t="s">
        <v>2214</v>
      </c>
      <c r="G528" s="138" t="s">
        <v>2214</v>
      </c>
      <c r="H528" s="132" t="e">
        <v>#N/A</v>
      </c>
      <c r="I528" s="135" t="s">
        <v>2214</v>
      </c>
    </row>
    <row r="529" spans="1:9">
      <c r="A529" s="131">
        <v>40154</v>
      </c>
      <c r="B529" s="132">
        <v>99.67</v>
      </c>
      <c r="C529" s="132" t="s">
        <v>2214</v>
      </c>
      <c r="D529" s="132" t="s">
        <v>2214</v>
      </c>
      <c r="E529" s="132" t="s">
        <v>2214</v>
      </c>
      <c r="F529" s="132" t="s">
        <v>2214</v>
      </c>
      <c r="G529" s="138" t="s">
        <v>2214</v>
      </c>
      <c r="H529" s="132" t="e">
        <v>#N/A</v>
      </c>
      <c r="I529" s="135" t="s">
        <v>2214</v>
      </c>
    </row>
    <row r="530" spans="1:9">
      <c r="A530" s="131">
        <v>40155</v>
      </c>
      <c r="B530" s="132">
        <v>99.67</v>
      </c>
      <c r="C530" s="132" t="s">
        <v>2214</v>
      </c>
      <c r="D530" s="132" t="s">
        <v>2214</v>
      </c>
      <c r="E530" s="132" t="s">
        <v>2214</v>
      </c>
      <c r="F530" s="132" t="s">
        <v>2214</v>
      </c>
      <c r="G530" s="138" t="s">
        <v>2214</v>
      </c>
      <c r="H530" s="132" t="e">
        <v>#N/A</v>
      </c>
      <c r="I530" s="135" t="s">
        <v>2214</v>
      </c>
    </row>
    <row r="531" spans="1:9">
      <c r="A531" s="131">
        <v>40156</v>
      </c>
      <c r="B531" s="132">
        <v>99.67</v>
      </c>
      <c r="C531" s="132" t="s">
        <v>2214</v>
      </c>
      <c r="D531" s="132" t="s">
        <v>2214</v>
      </c>
      <c r="E531" s="132" t="s">
        <v>2214</v>
      </c>
      <c r="F531" s="132" t="s">
        <v>2214</v>
      </c>
      <c r="G531" s="138" t="s">
        <v>2214</v>
      </c>
      <c r="H531" s="132" t="e">
        <v>#N/A</v>
      </c>
      <c r="I531" s="135" t="s">
        <v>2214</v>
      </c>
    </row>
    <row r="532" spans="1:9">
      <c r="A532" s="131">
        <v>40157</v>
      </c>
      <c r="B532" s="132">
        <v>99.67</v>
      </c>
      <c r="C532" s="132" t="s">
        <v>2214</v>
      </c>
      <c r="D532" s="132" t="s">
        <v>2214</v>
      </c>
      <c r="E532" s="132" t="s">
        <v>2214</v>
      </c>
      <c r="F532" s="132" t="s">
        <v>2214</v>
      </c>
      <c r="G532" s="138" t="s">
        <v>2214</v>
      </c>
      <c r="H532" s="132" t="e">
        <v>#N/A</v>
      </c>
      <c r="I532" s="135" t="s">
        <v>2214</v>
      </c>
    </row>
    <row r="533" spans="1:9">
      <c r="A533" s="131">
        <v>40158</v>
      </c>
      <c r="B533" s="132">
        <v>99.67</v>
      </c>
      <c r="C533" s="132" t="s">
        <v>2214</v>
      </c>
      <c r="D533" s="132" t="s">
        <v>2214</v>
      </c>
      <c r="E533" s="132" t="s">
        <v>2214</v>
      </c>
      <c r="F533" s="132" t="s">
        <v>2214</v>
      </c>
      <c r="G533" s="138" t="s">
        <v>2214</v>
      </c>
      <c r="H533" s="132" t="e">
        <v>#N/A</v>
      </c>
      <c r="I533" s="135" t="s">
        <v>2214</v>
      </c>
    </row>
    <row r="534" spans="1:9">
      <c r="A534" s="131">
        <v>40161</v>
      </c>
      <c r="B534" s="132">
        <v>99.67</v>
      </c>
      <c r="C534" s="132" t="s">
        <v>2214</v>
      </c>
      <c r="D534" s="132" t="s">
        <v>2214</v>
      </c>
      <c r="E534" s="132" t="s">
        <v>2214</v>
      </c>
      <c r="F534" s="132" t="s">
        <v>2214</v>
      </c>
      <c r="G534" s="138" t="s">
        <v>2214</v>
      </c>
      <c r="H534" s="132" t="e">
        <v>#N/A</v>
      </c>
      <c r="I534" s="135" t="s">
        <v>2214</v>
      </c>
    </row>
    <row r="535" spans="1:9">
      <c r="A535" s="131">
        <v>40162</v>
      </c>
      <c r="B535" s="132">
        <v>100.35</v>
      </c>
      <c r="C535" s="132" t="s">
        <v>2214</v>
      </c>
      <c r="D535" s="132" t="s">
        <v>2214</v>
      </c>
      <c r="E535" s="132" t="s">
        <v>2214</v>
      </c>
      <c r="F535" s="132" t="s">
        <v>2214</v>
      </c>
      <c r="G535" s="138" t="s">
        <v>2214</v>
      </c>
      <c r="H535" s="132" t="e">
        <v>#N/A</v>
      </c>
      <c r="I535" s="135" t="s">
        <v>2214</v>
      </c>
    </row>
    <row r="536" spans="1:9">
      <c r="A536" s="131">
        <v>40163</v>
      </c>
      <c r="B536" s="132">
        <v>100.51</v>
      </c>
      <c r="C536" s="132" t="s">
        <v>2214</v>
      </c>
      <c r="D536" s="132" t="s">
        <v>2214</v>
      </c>
      <c r="E536" s="132" t="s">
        <v>2214</v>
      </c>
      <c r="F536" s="132" t="s">
        <v>2214</v>
      </c>
      <c r="G536" s="138" t="s">
        <v>2214</v>
      </c>
      <c r="H536" s="132" t="e">
        <v>#N/A</v>
      </c>
      <c r="I536" s="135" t="s">
        <v>2214</v>
      </c>
    </row>
    <row r="537" spans="1:9">
      <c r="A537" s="131">
        <v>40164</v>
      </c>
      <c r="B537" s="132">
        <v>100.51</v>
      </c>
      <c r="C537" s="132" t="s">
        <v>2214</v>
      </c>
      <c r="D537" s="132" t="s">
        <v>2214</v>
      </c>
      <c r="E537" s="132" t="s">
        <v>2214</v>
      </c>
      <c r="F537" s="132" t="s">
        <v>2214</v>
      </c>
      <c r="G537" s="138" t="s">
        <v>2214</v>
      </c>
      <c r="H537" s="132" t="e">
        <v>#N/A</v>
      </c>
      <c r="I537" s="135" t="s">
        <v>2214</v>
      </c>
    </row>
    <row r="538" spans="1:9">
      <c r="A538" s="131">
        <v>40165</v>
      </c>
      <c r="B538" s="132">
        <v>100.51</v>
      </c>
      <c r="C538" s="132" t="s">
        <v>2214</v>
      </c>
      <c r="D538" s="132" t="s">
        <v>2214</v>
      </c>
      <c r="E538" s="132" t="s">
        <v>2214</v>
      </c>
      <c r="F538" s="132" t="s">
        <v>2214</v>
      </c>
      <c r="G538" s="138" t="s">
        <v>2214</v>
      </c>
      <c r="H538" s="132" t="e">
        <v>#N/A</v>
      </c>
      <c r="I538" s="135" t="s">
        <v>2214</v>
      </c>
    </row>
    <row r="539" spans="1:9">
      <c r="A539" s="131">
        <v>40168</v>
      </c>
      <c r="B539" s="132">
        <v>100.51</v>
      </c>
      <c r="C539" s="132" t="s">
        <v>2214</v>
      </c>
      <c r="D539" s="132" t="s">
        <v>2214</v>
      </c>
      <c r="E539" s="132" t="s">
        <v>2214</v>
      </c>
      <c r="F539" s="132" t="s">
        <v>2214</v>
      </c>
      <c r="G539" s="138" t="s">
        <v>2214</v>
      </c>
      <c r="H539" s="132" t="e">
        <v>#N/A</v>
      </c>
      <c r="I539" s="135" t="s">
        <v>2214</v>
      </c>
    </row>
    <row r="540" spans="1:9">
      <c r="A540" s="131">
        <v>40169</v>
      </c>
      <c r="B540" s="132">
        <v>100.51</v>
      </c>
      <c r="C540" s="132" t="s">
        <v>2214</v>
      </c>
      <c r="D540" s="132" t="s">
        <v>2214</v>
      </c>
      <c r="E540" s="132" t="s">
        <v>2214</v>
      </c>
      <c r="F540" s="132" t="s">
        <v>2214</v>
      </c>
      <c r="G540" s="138" t="s">
        <v>2214</v>
      </c>
      <c r="H540" s="132" t="e">
        <v>#N/A</v>
      </c>
      <c r="I540" s="135" t="s">
        <v>2214</v>
      </c>
    </row>
    <row r="541" spans="1:9">
      <c r="A541" s="131">
        <v>40170</v>
      </c>
      <c r="B541" s="132">
        <v>100.51</v>
      </c>
      <c r="C541" s="132" t="s">
        <v>2214</v>
      </c>
      <c r="D541" s="132" t="s">
        <v>2214</v>
      </c>
      <c r="E541" s="132" t="s">
        <v>2214</v>
      </c>
      <c r="F541" s="132" t="s">
        <v>2214</v>
      </c>
      <c r="G541" s="138" t="s">
        <v>2214</v>
      </c>
      <c r="H541" s="132" t="e">
        <v>#N/A</v>
      </c>
      <c r="I541" s="135" t="s">
        <v>2214</v>
      </c>
    </row>
    <row r="542" spans="1:9">
      <c r="A542" s="131">
        <v>40171</v>
      </c>
      <c r="B542" s="132">
        <v>100.51</v>
      </c>
      <c r="C542" s="132" t="s">
        <v>2214</v>
      </c>
      <c r="D542" s="132" t="s">
        <v>2214</v>
      </c>
      <c r="E542" s="132" t="s">
        <v>2214</v>
      </c>
      <c r="F542" s="132" t="s">
        <v>2214</v>
      </c>
      <c r="G542" s="138" t="s">
        <v>2214</v>
      </c>
      <c r="H542" s="132" t="e">
        <v>#N/A</v>
      </c>
      <c r="I542" s="135" t="s">
        <v>2214</v>
      </c>
    </row>
    <row r="543" spans="1:9">
      <c r="A543" s="131">
        <v>40172</v>
      </c>
      <c r="B543" s="132">
        <v>100.51</v>
      </c>
      <c r="C543" s="132" t="s">
        <v>2214</v>
      </c>
      <c r="D543" s="132" t="s">
        <v>2214</v>
      </c>
      <c r="E543" s="132" t="s">
        <v>2214</v>
      </c>
      <c r="F543" s="132" t="s">
        <v>2214</v>
      </c>
      <c r="G543" s="138" t="s">
        <v>2214</v>
      </c>
      <c r="H543" s="132" t="e">
        <v>#N/A</v>
      </c>
      <c r="I543" s="135" t="s">
        <v>2214</v>
      </c>
    </row>
    <row r="544" spans="1:9">
      <c r="A544" s="131">
        <v>40175</v>
      </c>
      <c r="B544" s="132">
        <v>100.6</v>
      </c>
      <c r="C544" s="132" t="s">
        <v>2214</v>
      </c>
      <c r="D544" s="132" t="s">
        <v>2214</v>
      </c>
      <c r="E544" s="132" t="s">
        <v>2214</v>
      </c>
      <c r="F544" s="132" t="s">
        <v>2214</v>
      </c>
      <c r="G544" s="138" t="s">
        <v>2214</v>
      </c>
      <c r="H544" s="132" t="e">
        <v>#N/A</v>
      </c>
      <c r="I544" s="135" t="s">
        <v>2214</v>
      </c>
    </row>
    <row r="545" spans="1:9">
      <c r="A545" s="131">
        <v>40176</v>
      </c>
      <c r="B545" s="132">
        <v>100.6</v>
      </c>
      <c r="C545" s="132" t="s">
        <v>2214</v>
      </c>
      <c r="D545" s="132" t="s">
        <v>2214</v>
      </c>
      <c r="E545" s="132" t="s">
        <v>2214</v>
      </c>
      <c r="F545" s="132" t="s">
        <v>2214</v>
      </c>
      <c r="G545" s="138" t="s">
        <v>2214</v>
      </c>
      <c r="H545" s="132" t="e">
        <v>#N/A</v>
      </c>
      <c r="I545" s="135" t="s">
        <v>2214</v>
      </c>
    </row>
    <row r="546" spans="1:9">
      <c r="A546" s="131">
        <v>40177</v>
      </c>
      <c r="B546" s="132">
        <v>100.55</v>
      </c>
      <c r="C546" s="132" t="s">
        <v>2214</v>
      </c>
      <c r="D546" s="132" t="s">
        <v>2214</v>
      </c>
      <c r="E546" s="132" t="s">
        <v>2214</v>
      </c>
      <c r="F546" s="132" t="s">
        <v>2214</v>
      </c>
      <c r="G546" s="138" t="s">
        <v>2214</v>
      </c>
      <c r="H546" s="132" t="e">
        <v>#N/A</v>
      </c>
      <c r="I546" s="135" t="s">
        <v>2214</v>
      </c>
    </row>
    <row r="547" spans="1:9">
      <c r="A547" s="131">
        <v>40178</v>
      </c>
      <c r="B547" s="132">
        <v>100.55</v>
      </c>
      <c r="C547" s="132" t="s">
        <v>2214</v>
      </c>
      <c r="D547" s="132" t="s">
        <v>2214</v>
      </c>
      <c r="E547" s="132" t="s">
        <v>2214</v>
      </c>
      <c r="F547" s="132" t="s">
        <v>2214</v>
      </c>
      <c r="G547" s="138" t="s">
        <v>2214</v>
      </c>
      <c r="H547" s="132" t="e">
        <v>#N/A</v>
      </c>
      <c r="I547" s="135" t="s">
        <v>2214</v>
      </c>
    </row>
    <row r="548" spans="1:9">
      <c r="A548" s="131">
        <v>40182</v>
      </c>
      <c r="B548" s="132">
        <v>100.55</v>
      </c>
      <c r="C548" s="132" t="s">
        <v>2214</v>
      </c>
      <c r="D548" s="132" t="s">
        <v>2214</v>
      </c>
      <c r="E548" s="132" t="s">
        <v>2214</v>
      </c>
      <c r="F548" s="132" t="s">
        <v>2214</v>
      </c>
      <c r="G548" s="138" t="s">
        <v>2214</v>
      </c>
      <c r="H548" s="132" t="e">
        <v>#N/A</v>
      </c>
      <c r="I548" s="135" t="s">
        <v>2214</v>
      </c>
    </row>
    <row r="549" spans="1:9">
      <c r="A549" s="131">
        <v>40183</v>
      </c>
      <c r="B549" s="132">
        <v>100.55</v>
      </c>
      <c r="C549" s="132" t="s">
        <v>2214</v>
      </c>
      <c r="D549" s="132" t="s">
        <v>2214</v>
      </c>
      <c r="E549" s="132" t="s">
        <v>2214</v>
      </c>
      <c r="F549" s="132" t="s">
        <v>2214</v>
      </c>
      <c r="G549" s="138" t="s">
        <v>2214</v>
      </c>
      <c r="H549" s="132" t="e">
        <v>#N/A</v>
      </c>
      <c r="I549" s="135" t="s">
        <v>2214</v>
      </c>
    </row>
    <row r="550" spans="1:9">
      <c r="A550" s="131">
        <v>40184</v>
      </c>
      <c r="B550" s="132">
        <v>100.55</v>
      </c>
      <c r="C550" s="132" t="s">
        <v>2214</v>
      </c>
      <c r="D550" s="132" t="s">
        <v>2214</v>
      </c>
      <c r="E550" s="132" t="s">
        <v>2214</v>
      </c>
      <c r="F550" s="132" t="s">
        <v>2214</v>
      </c>
      <c r="G550" s="138" t="s">
        <v>2214</v>
      </c>
      <c r="H550" s="132" t="e">
        <v>#N/A</v>
      </c>
      <c r="I550" s="135" t="s">
        <v>2214</v>
      </c>
    </row>
    <row r="551" spans="1:9">
      <c r="A551" s="131">
        <v>40185</v>
      </c>
      <c r="B551" s="132">
        <v>100.55</v>
      </c>
      <c r="C551" s="132" t="s">
        <v>2214</v>
      </c>
      <c r="D551" s="132" t="s">
        <v>2214</v>
      </c>
      <c r="E551" s="132" t="s">
        <v>2214</v>
      </c>
      <c r="F551" s="132" t="s">
        <v>2214</v>
      </c>
      <c r="G551" s="138" t="s">
        <v>2214</v>
      </c>
      <c r="H551" s="132" t="e">
        <v>#N/A</v>
      </c>
      <c r="I551" s="135" t="s">
        <v>2214</v>
      </c>
    </row>
    <row r="552" spans="1:9">
      <c r="A552" s="131">
        <v>40186</v>
      </c>
      <c r="B552" s="132">
        <v>100.55</v>
      </c>
      <c r="C552" s="132" t="s">
        <v>2214</v>
      </c>
      <c r="D552" s="132" t="s">
        <v>2214</v>
      </c>
      <c r="E552" s="132" t="s">
        <v>2214</v>
      </c>
      <c r="F552" s="132" t="s">
        <v>2214</v>
      </c>
      <c r="G552" s="138" t="s">
        <v>2214</v>
      </c>
      <c r="H552" s="132" t="e">
        <v>#N/A</v>
      </c>
      <c r="I552" s="135" t="s">
        <v>2214</v>
      </c>
    </row>
    <row r="553" spans="1:9">
      <c r="A553" s="131">
        <v>40189</v>
      </c>
      <c r="B553" s="132">
        <v>100.55</v>
      </c>
      <c r="C553" s="132" t="s">
        <v>2214</v>
      </c>
      <c r="D553" s="132" t="s">
        <v>2214</v>
      </c>
      <c r="E553" s="132" t="s">
        <v>2214</v>
      </c>
      <c r="F553" s="132" t="s">
        <v>2214</v>
      </c>
      <c r="G553" s="138" t="s">
        <v>2214</v>
      </c>
      <c r="H553" s="132" t="e">
        <v>#N/A</v>
      </c>
      <c r="I553" s="135" t="s">
        <v>2214</v>
      </c>
    </row>
    <row r="554" spans="1:9">
      <c r="A554" s="131">
        <v>40190</v>
      </c>
      <c r="B554" s="132">
        <v>100.55</v>
      </c>
      <c r="C554" s="132" t="s">
        <v>2214</v>
      </c>
      <c r="D554" s="132" t="s">
        <v>2214</v>
      </c>
      <c r="E554" s="132" t="s">
        <v>2214</v>
      </c>
      <c r="F554" s="132" t="s">
        <v>2214</v>
      </c>
      <c r="G554" s="138" t="s">
        <v>2214</v>
      </c>
      <c r="H554" s="132" t="e">
        <v>#N/A</v>
      </c>
      <c r="I554" s="135" t="s">
        <v>2214</v>
      </c>
    </row>
    <row r="555" spans="1:9">
      <c r="A555" s="131">
        <v>40191</v>
      </c>
      <c r="B555" s="132">
        <v>100.55</v>
      </c>
      <c r="C555" s="132" t="s">
        <v>2214</v>
      </c>
      <c r="D555" s="132" t="s">
        <v>2214</v>
      </c>
      <c r="E555" s="132" t="s">
        <v>2214</v>
      </c>
      <c r="F555" s="132" t="s">
        <v>2214</v>
      </c>
      <c r="G555" s="138" t="s">
        <v>2214</v>
      </c>
      <c r="H555" s="132" t="e">
        <v>#N/A</v>
      </c>
      <c r="I555" s="135" t="s">
        <v>2214</v>
      </c>
    </row>
    <row r="556" spans="1:9">
      <c r="A556" s="131">
        <v>40192</v>
      </c>
      <c r="B556" s="132">
        <v>100.55</v>
      </c>
      <c r="C556" s="132" t="s">
        <v>2214</v>
      </c>
      <c r="D556" s="132" t="s">
        <v>2214</v>
      </c>
      <c r="E556" s="132" t="s">
        <v>2214</v>
      </c>
      <c r="F556" s="132" t="s">
        <v>2214</v>
      </c>
      <c r="G556" s="138" t="s">
        <v>2214</v>
      </c>
      <c r="H556" s="132" t="e">
        <v>#N/A</v>
      </c>
      <c r="I556" s="135" t="s">
        <v>2214</v>
      </c>
    </row>
    <row r="557" spans="1:9">
      <c r="A557" s="131">
        <v>40193</v>
      </c>
      <c r="B557" s="132">
        <v>100.55</v>
      </c>
      <c r="C557" s="132" t="s">
        <v>2214</v>
      </c>
      <c r="D557" s="132" t="s">
        <v>2214</v>
      </c>
      <c r="E557" s="132" t="s">
        <v>2214</v>
      </c>
      <c r="F557" s="132" t="s">
        <v>2214</v>
      </c>
      <c r="G557" s="138" t="s">
        <v>2214</v>
      </c>
      <c r="H557" s="132" t="e">
        <v>#N/A</v>
      </c>
      <c r="I557" s="135" t="s">
        <v>2214</v>
      </c>
    </row>
    <row r="558" spans="1:9">
      <c r="A558" s="131">
        <v>40196</v>
      </c>
      <c r="B558" s="132">
        <v>100.55</v>
      </c>
      <c r="C558" s="132" t="s">
        <v>2214</v>
      </c>
      <c r="D558" s="132" t="s">
        <v>2214</v>
      </c>
      <c r="E558" s="132" t="s">
        <v>2214</v>
      </c>
      <c r="F558" s="132" t="s">
        <v>2214</v>
      </c>
      <c r="G558" s="138" t="s">
        <v>2214</v>
      </c>
      <c r="H558" s="132" t="e">
        <v>#N/A</v>
      </c>
      <c r="I558" s="135" t="s">
        <v>2214</v>
      </c>
    </row>
    <row r="559" spans="1:9">
      <c r="A559" s="131">
        <v>40197</v>
      </c>
      <c r="B559" s="132">
        <v>100.55</v>
      </c>
      <c r="C559" s="132" t="s">
        <v>2214</v>
      </c>
      <c r="D559" s="132" t="s">
        <v>2214</v>
      </c>
      <c r="E559" s="132" t="s">
        <v>2214</v>
      </c>
      <c r="F559" s="132" t="s">
        <v>2214</v>
      </c>
      <c r="G559" s="138" t="s">
        <v>2214</v>
      </c>
      <c r="H559" s="132" t="e">
        <v>#N/A</v>
      </c>
      <c r="I559" s="135" t="s">
        <v>2214</v>
      </c>
    </row>
    <row r="560" spans="1:9">
      <c r="A560" s="131">
        <v>40198</v>
      </c>
      <c r="B560" s="132">
        <v>100.55</v>
      </c>
      <c r="C560" s="132" t="s">
        <v>2214</v>
      </c>
      <c r="D560" s="132" t="s">
        <v>2214</v>
      </c>
      <c r="E560" s="132" t="s">
        <v>2214</v>
      </c>
      <c r="F560" s="132" t="s">
        <v>2214</v>
      </c>
      <c r="G560" s="138" t="s">
        <v>2214</v>
      </c>
      <c r="H560" s="132" t="e">
        <v>#N/A</v>
      </c>
      <c r="I560" s="135" t="s">
        <v>2214</v>
      </c>
    </row>
    <row r="561" spans="1:9">
      <c r="A561" s="131">
        <v>40199</v>
      </c>
      <c r="B561" s="132">
        <v>100.55</v>
      </c>
      <c r="C561" s="132" t="s">
        <v>2214</v>
      </c>
      <c r="D561" s="132" t="s">
        <v>2214</v>
      </c>
      <c r="E561" s="132" t="s">
        <v>2214</v>
      </c>
      <c r="F561" s="132" t="s">
        <v>2214</v>
      </c>
      <c r="G561" s="138" t="s">
        <v>2214</v>
      </c>
      <c r="H561" s="132" t="e">
        <v>#N/A</v>
      </c>
      <c r="I561" s="135" t="s">
        <v>2214</v>
      </c>
    </row>
    <row r="562" spans="1:9">
      <c r="A562" s="131">
        <v>40200</v>
      </c>
      <c r="B562" s="132">
        <v>100.55</v>
      </c>
      <c r="C562" s="132" t="s">
        <v>2214</v>
      </c>
      <c r="D562" s="132" t="s">
        <v>2214</v>
      </c>
      <c r="E562" s="132" t="s">
        <v>2214</v>
      </c>
      <c r="F562" s="132" t="s">
        <v>2214</v>
      </c>
      <c r="G562" s="138" t="s">
        <v>2214</v>
      </c>
      <c r="H562" s="132" t="e">
        <v>#N/A</v>
      </c>
      <c r="I562" s="135" t="s">
        <v>2214</v>
      </c>
    </row>
    <row r="563" spans="1:9">
      <c r="A563" s="131">
        <v>40203</v>
      </c>
      <c r="B563" s="132">
        <v>100.55</v>
      </c>
      <c r="C563" s="132" t="s">
        <v>2214</v>
      </c>
      <c r="D563" s="132" t="s">
        <v>2214</v>
      </c>
      <c r="E563" s="132" t="s">
        <v>2214</v>
      </c>
      <c r="F563" s="132" t="s">
        <v>2214</v>
      </c>
      <c r="G563" s="138" t="s">
        <v>2214</v>
      </c>
      <c r="H563" s="132" t="e">
        <v>#N/A</v>
      </c>
      <c r="I563" s="135" t="s">
        <v>2214</v>
      </c>
    </row>
    <row r="564" spans="1:9">
      <c r="A564" s="131">
        <v>40204</v>
      </c>
      <c r="B564" s="132">
        <v>100.55</v>
      </c>
      <c r="C564" s="132" t="s">
        <v>2214</v>
      </c>
      <c r="D564" s="132" t="s">
        <v>2214</v>
      </c>
      <c r="E564" s="132" t="s">
        <v>2214</v>
      </c>
      <c r="F564" s="132" t="s">
        <v>2214</v>
      </c>
      <c r="G564" s="138" t="s">
        <v>2214</v>
      </c>
      <c r="H564" s="132" t="e">
        <v>#N/A</v>
      </c>
      <c r="I564" s="135" t="s">
        <v>2214</v>
      </c>
    </row>
    <row r="565" spans="1:9">
      <c r="A565" s="131">
        <v>40205</v>
      </c>
      <c r="B565" s="132">
        <v>100.55</v>
      </c>
      <c r="C565" s="132" t="s">
        <v>2214</v>
      </c>
      <c r="D565" s="132" t="s">
        <v>2214</v>
      </c>
      <c r="E565" s="132" t="s">
        <v>2214</v>
      </c>
      <c r="F565" s="132" t="s">
        <v>2214</v>
      </c>
      <c r="G565" s="138" t="s">
        <v>2214</v>
      </c>
      <c r="H565" s="132" t="e">
        <v>#N/A</v>
      </c>
      <c r="I565" s="135" t="s">
        <v>2214</v>
      </c>
    </row>
    <row r="566" spans="1:9">
      <c r="A566" s="131">
        <v>40206</v>
      </c>
      <c r="B566" s="132">
        <v>100.55</v>
      </c>
      <c r="C566" s="132" t="s">
        <v>2214</v>
      </c>
      <c r="D566" s="132" t="s">
        <v>2214</v>
      </c>
      <c r="E566" s="132" t="s">
        <v>2214</v>
      </c>
      <c r="F566" s="132" t="s">
        <v>2214</v>
      </c>
      <c r="G566" s="138" t="s">
        <v>2214</v>
      </c>
      <c r="H566" s="132" t="e">
        <v>#N/A</v>
      </c>
      <c r="I566" s="135" t="s">
        <v>2214</v>
      </c>
    </row>
    <row r="567" spans="1:9">
      <c r="A567" s="131">
        <v>40207</v>
      </c>
      <c r="B567" s="132">
        <v>100.55</v>
      </c>
      <c r="C567" s="132" t="s">
        <v>2214</v>
      </c>
      <c r="D567" s="132" t="s">
        <v>2214</v>
      </c>
      <c r="E567" s="132" t="s">
        <v>2214</v>
      </c>
      <c r="F567" s="132" t="s">
        <v>2214</v>
      </c>
      <c r="G567" s="138" t="s">
        <v>2214</v>
      </c>
      <c r="H567" s="132" t="e">
        <v>#N/A</v>
      </c>
      <c r="I567" s="135" t="s">
        <v>2214</v>
      </c>
    </row>
    <row r="568" spans="1:9">
      <c r="A568" s="131">
        <v>40210</v>
      </c>
      <c r="B568" s="132">
        <v>100.55</v>
      </c>
      <c r="C568" s="132" t="s">
        <v>2214</v>
      </c>
      <c r="D568" s="132" t="s">
        <v>2214</v>
      </c>
      <c r="E568" s="132" t="s">
        <v>2214</v>
      </c>
      <c r="F568" s="132" t="s">
        <v>2214</v>
      </c>
      <c r="G568" s="138" t="s">
        <v>2214</v>
      </c>
      <c r="H568" s="132" t="e">
        <v>#N/A</v>
      </c>
      <c r="I568" s="135" t="s">
        <v>2214</v>
      </c>
    </row>
    <row r="569" spans="1:9">
      <c r="A569" s="131">
        <v>40211</v>
      </c>
      <c r="B569" s="132">
        <v>100.55</v>
      </c>
      <c r="C569" s="132" t="s">
        <v>2214</v>
      </c>
      <c r="D569" s="132" t="s">
        <v>2214</v>
      </c>
      <c r="E569" s="132" t="s">
        <v>2214</v>
      </c>
      <c r="F569" s="132" t="s">
        <v>2214</v>
      </c>
      <c r="G569" s="138" t="s">
        <v>2214</v>
      </c>
      <c r="H569" s="132" t="e">
        <v>#N/A</v>
      </c>
      <c r="I569" s="135" t="s">
        <v>2214</v>
      </c>
    </row>
    <row r="570" spans="1:9">
      <c r="A570" s="131">
        <v>40212</v>
      </c>
      <c r="B570" s="132">
        <v>100.55</v>
      </c>
      <c r="C570" s="132" t="s">
        <v>2214</v>
      </c>
      <c r="D570" s="132" t="s">
        <v>2214</v>
      </c>
      <c r="E570" s="132" t="s">
        <v>2214</v>
      </c>
      <c r="F570" s="132" t="s">
        <v>2214</v>
      </c>
      <c r="G570" s="138" t="s">
        <v>2214</v>
      </c>
      <c r="H570" s="132" t="e">
        <v>#N/A</v>
      </c>
      <c r="I570" s="135" t="s">
        <v>2214</v>
      </c>
    </row>
    <row r="571" spans="1:9">
      <c r="A571" s="131">
        <v>40213</v>
      </c>
      <c r="B571" s="132">
        <v>100.55</v>
      </c>
      <c r="C571" s="132" t="s">
        <v>2214</v>
      </c>
      <c r="D571" s="132" t="s">
        <v>2214</v>
      </c>
      <c r="E571" s="132" t="s">
        <v>2214</v>
      </c>
      <c r="F571" s="132" t="s">
        <v>2214</v>
      </c>
      <c r="G571" s="138" t="s">
        <v>2214</v>
      </c>
      <c r="H571" s="132" t="e">
        <v>#N/A</v>
      </c>
      <c r="I571" s="135" t="s">
        <v>2214</v>
      </c>
    </row>
    <row r="572" spans="1:9">
      <c r="A572" s="131">
        <v>40214</v>
      </c>
      <c r="B572" s="132">
        <v>100.55</v>
      </c>
      <c r="C572" s="132" t="s">
        <v>2214</v>
      </c>
      <c r="D572" s="132" t="s">
        <v>2214</v>
      </c>
      <c r="E572" s="132" t="s">
        <v>2214</v>
      </c>
      <c r="F572" s="132" t="s">
        <v>2214</v>
      </c>
      <c r="G572" s="138" t="s">
        <v>2214</v>
      </c>
      <c r="H572" s="132" t="e">
        <v>#N/A</v>
      </c>
      <c r="I572" s="135" t="s">
        <v>2214</v>
      </c>
    </row>
    <row r="573" spans="1:9">
      <c r="A573" s="131">
        <v>40217</v>
      </c>
      <c r="B573" s="132">
        <v>100.55</v>
      </c>
      <c r="C573" s="132" t="s">
        <v>2214</v>
      </c>
      <c r="D573" s="132" t="s">
        <v>2214</v>
      </c>
      <c r="E573" s="132" t="s">
        <v>2214</v>
      </c>
      <c r="F573" s="132" t="s">
        <v>2214</v>
      </c>
      <c r="G573" s="138" t="s">
        <v>2214</v>
      </c>
      <c r="H573" s="132" t="e">
        <v>#N/A</v>
      </c>
      <c r="I573" s="135" t="s">
        <v>2214</v>
      </c>
    </row>
    <row r="574" spans="1:9">
      <c r="A574" s="131">
        <v>40218</v>
      </c>
      <c r="B574" s="132">
        <v>100.55</v>
      </c>
      <c r="C574" s="132" t="s">
        <v>2214</v>
      </c>
      <c r="D574" s="132" t="s">
        <v>2214</v>
      </c>
      <c r="E574" s="132" t="s">
        <v>2214</v>
      </c>
      <c r="F574" s="132" t="s">
        <v>2214</v>
      </c>
      <c r="G574" s="138" t="s">
        <v>2214</v>
      </c>
      <c r="H574" s="132" t="e">
        <v>#N/A</v>
      </c>
      <c r="I574" s="135" t="s">
        <v>2214</v>
      </c>
    </row>
    <row r="575" spans="1:9">
      <c r="A575" s="131">
        <v>40219</v>
      </c>
      <c r="B575" s="132">
        <v>100.55</v>
      </c>
      <c r="C575" s="132" t="s">
        <v>2214</v>
      </c>
      <c r="D575" s="132" t="s">
        <v>2214</v>
      </c>
      <c r="E575" s="132" t="s">
        <v>2214</v>
      </c>
      <c r="F575" s="132" t="s">
        <v>2214</v>
      </c>
      <c r="G575" s="138" t="s">
        <v>2214</v>
      </c>
      <c r="H575" s="132" t="e">
        <v>#N/A</v>
      </c>
      <c r="I575" s="135" t="s">
        <v>2214</v>
      </c>
    </row>
    <row r="576" spans="1:9">
      <c r="A576" s="131">
        <v>40220</v>
      </c>
      <c r="B576" s="132">
        <v>100.55</v>
      </c>
      <c r="C576" s="132" t="s">
        <v>2214</v>
      </c>
      <c r="D576" s="132" t="s">
        <v>2214</v>
      </c>
      <c r="E576" s="132" t="s">
        <v>2214</v>
      </c>
      <c r="F576" s="132" t="s">
        <v>2214</v>
      </c>
      <c r="G576" s="138" t="s">
        <v>2214</v>
      </c>
      <c r="H576" s="132" t="e">
        <v>#N/A</v>
      </c>
      <c r="I576" s="135" t="s">
        <v>2214</v>
      </c>
    </row>
    <row r="577" spans="1:9">
      <c r="A577" s="131">
        <v>40221</v>
      </c>
      <c r="B577" s="132">
        <v>100.55</v>
      </c>
      <c r="C577" s="132" t="s">
        <v>2214</v>
      </c>
      <c r="D577" s="132" t="s">
        <v>2214</v>
      </c>
      <c r="E577" s="132" t="s">
        <v>2214</v>
      </c>
      <c r="F577" s="132" t="s">
        <v>2214</v>
      </c>
      <c r="G577" s="138" t="s">
        <v>2214</v>
      </c>
      <c r="H577" s="132" t="e">
        <v>#N/A</v>
      </c>
      <c r="I577" s="135" t="s">
        <v>2214</v>
      </c>
    </row>
    <row r="578" spans="1:9">
      <c r="A578" s="131">
        <v>40229</v>
      </c>
      <c r="B578" s="132">
        <v>100.55</v>
      </c>
      <c r="C578" s="132" t="s">
        <v>2214</v>
      </c>
      <c r="D578" s="132" t="s">
        <v>2214</v>
      </c>
      <c r="E578" s="132" t="s">
        <v>2214</v>
      </c>
      <c r="F578" s="132" t="s">
        <v>2214</v>
      </c>
      <c r="G578" s="138" t="s">
        <v>2214</v>
      </c>
      <c r="H578" s="132" t="e">
        <v>#N/A</v>
      </c>
      <c r="I578" s="135" t="s">
        <v>2214</v>
      </c>
    </row>
    <row r="579" spans="1:9">
      <c r="A579" s="131">
        <v>40230</v>
      </c>
      <c r="B579" s="132">
        <v>100.55</v>
      </c>
      <c r="C579" s="132" t="s">
        <v>2214</v>
      </c>
      <c r="D579" s="132" t="s">
        <v>2214</v>
      </c>
      <c r="E579" s="132" t="s">
        <v>2214</v>
      </c>
      <c r="F579" s="132" t="s">
        <v>2214</v>
      </c>
      <c r="G579" s="138" t="s">
        <v>2214</v>
      </c>
      <c r="H579" s="132" t="e">
        <v>#N/A</v>
      </c>
      <c r="I579" s="135" t="s">
        <v>2214</v>
      </c>
    </row>
    <row r="580" spans="1:9">
      <c r="A580" s="131">
        <v>40231</v>
      </c>
      <c r="B580" s="132">
        <v>100.55</v>
      </c>
      <c r="C580" s="132" t="s">
        <v>2214</v>
      </c>
      <c r="D580" s="132" t="s">
        <v>2214</v>
      </c>
      <c r="E580" s="132" t="s">
        <v>2214</v>
      </c>
      <c r="F580" s="132" t="s">
        <v>2214</v>
      </c>
      <c r="G580" s="138" t="s">
        <v>2214</v>
      </c>
      <c r="H580" s="132" t="e">
        <v>#N/A</v>
      </c>
      <c r="I580" s="135" t="s">
        <v>2214</v>
      </c>
    </row>
    <row r="581" spans="1:9">
      <c r="A581" s="131">
        <v>40232</v>
      </c>
      <c r="B581" s="132">
        <v>100.55</v>
      </c>
      <c r="C581" s="132" t="s">
        <v>2214</v>
      </c>
      <c r="D581" s="132" t="s">
        <v>2214</v>
      </c>
      <c r="E581" s="132" t="s">
        <v>2214</v>
      </c>
      <c r="F581" s="132" t="s">
        <v>2214</v>
      </c>
      <c r="G581" s="138" t="s">
        <v>2214</v>
      </c>
      <c r="H581" s="132" t="e">
        <v>#N/A</v>
      </c>
      <c r="I581" s="135" t="s">
        <v>2214</v>
      </c>
    </row>
    <row r="582" spans="1:9">
      <c r="A582" s="131">
        <v>40233</v>
      </c>
      <c r="B582" s="132">
        <v>100.55</v>
      </c>
      <c r="C582" s="132" t="s">
        <v>2214</v>
      </c>
      <c r="D582" s="132" t="s">
        <v>2214</v>
      </c>
      <c r="E582" s="132" t="s">
        <v>2214</v>
      </c>
      <c r="F582" s="132" t="s">
        <v>2214</v>
      </c>
      <c r="G582" s="138" t="s">
        <v>2214</v>
      </c>
      <c r="H582" s="132" t="e">
        <v>#N/A</v>
      </c>
      <c r="I582" s="135" t="s">
        <v>2214</v>
      </c>
    </row>
    <row r="583" spans="1:9">
      <c r="A583" s="131">
        <v>40234</v>
      </c>
      <c r="B583" s="132">
        <v>100.55</v>
      </c>
      <c r="C583" s="132" t="s">
        <v>2214</v>
      </c>
      <c r="D583" s="132" t="s">
        <v>2214</v>
      </c>
      <c r="E583" s="132" t="s">
        <v>2214</v>
      </c>
      <c r="F583" s="132" t="s">
        <v>2214</v>
      </c>
      <c r="G583" s="138" t="s">
        <v>2214</v>
      </c>
      <c r="H583" s="132" t="e">
        <v>#N/A</v>
      </c>
      <c r="I583" s="135" t="s">
        <v>2214</v>
      </c>
    </row>
    <row r="584" spans="1:9">
      <c r="A584" s="131">
        <v>40235</v>
      </c>
      <c r="B584" s="132">
        <v>100.55</v>
      </c>
      <c r="C584" s="132" t="s">
        <v>2214</v>
      </c>
      <c r="D584" s="132" t="s">
        <v>2214</v>
      </c>
      <c r="E584" s="132" t="s">
        <v>2214</v>
      </c>
      <c r="F584" s="132" t="s">
        <v>2214</v>
      </c>
      <c r="G584" s="138" t="s">
        <v>2214</v>
      </c>
      <c r="H584" s="132" t="e">
        <v>#N/A</v>
      </c>
      <c r="I584" s="135" t="s">
        <v>2214</v>
      </c>
    </row>
    <row r="585" spans="1:9">
      <c r="A585" s="131">
        <v>40238</v>
      </c>
      <c r="B585" s="132">
        <v>102.21</v>
      </c>
      <c r="C585" s="132" t="s">
        <v>2214</v>
      </c>
      <c r="D585" s="132" t="s">
        <v>2214</v>
      </c>
      <c r="E585" s="132" t="s">
        <v>2214</v>
      </c>
      <c r="F585" s="132" t="s">
        <v>2214</v>
      </c>
      <c r="G585" s="138" t="s">
        <v>2214</v>
      </c>
      <c r="H585" s="132" t="e">
        <v>#N/A</v>
      </c>
      <c r="I585" s="135" t="s">
        <v>2214</v>
      </c>
    </row>
    <row r="586" spans="1:9">
      <c r="A586" s="131">
        <v>40239</v>
      </c>
      <c r="B586" s="132">
        <v>102.21</v>
      </c>
      <c r="C586" s="132" t="s">
        <v>2214</v>
      </c>
      <c r="D586" s="132" t="s">
        <v>2214</v>
      </c>
      <c r="E586" s="132" t="s">
        <v>2214</v>
      </c>
      <c r="F586" s="132" t="s">
        <v>2214</v>
      </c>
      <c r="G586" s="138" t="s">
        <v>2214</v>
      </c>
      <c r="H586" s="132" t="e">
        <v>#N/A</v>
      </c>
      <c r="I586" s="135" t="s">
        <v>2214</v>
      </c>
    </row>
    <row r="587" spans="1:9">
      <c r="A587" s="131">
        <v>40240</v>
      </c>
      <c r="B587" s="132">
        <v>102.21</v>
      </c>
      <c r="C587" s="132" t="s">
        <v>2214</v>
      </c>
      <c r="D587" s="132" t="s">
        <v>2214</v>
      </c>
      <c r="E587" s="132" t="s">
        <v>2214</v>
      </c>
      <c r="F587" s="132" t="s">
        <v>2214</v>
      </c>
      <c r="G587" s="138" t="s">
        <v>2214</v>
      </c>
      <c r="H587" s="132" t="e">
        <v>#N/A</v>
      </c>
      <c r="I587" s="135" t="s">
        <v>2214</v>
      </c>
    </row>
    <row r="588" spans="1:9">
      <c r="A588" s="131">
        <v>40241</v>
      </c>
      <c r="B588" s="132">
        <v>102.21</v>
      </c>
      <c r="C588" s="132" t="s">
        <v>2214</v>
      </c>
      <c r="D588" s="132" t="s">
        <v>2214</v>
      </c>
      <c r="E588" s="132" t="s">
        <v>2214</v>
      </c>
      <c r="F588" s="132" t="s">
        <v>2214</v>
      </c>
      <c r="G588" s="138" t="s">
        <v>2214</v>
      </c>
      <c r="H588" s="132" t="e">
        <v>#N/A</v>
      </c>
      <c r="I588" s="135" t="s">
        <v>2214</v>
      </c>
    </row>
    <row r="589" spans="1:9">
      <c r="A589" s="131">
        <v>40242</v>
      </c>
      <c r="B589" s="132">
        <v>102.21</v>
      </c>
      <c r="C589" s="132" t="s">
        <v>2214</v>
      </c>
      <c r="D589" s="132" t="s">
        <v>2214</v>
      </c>
      <c r="E589" s="132" t="s">
        <v>2214</v>
      </c>
      <c r="F589" s="132" t="s">
        <v>2214</v>
      </c>
      <c r="G589" s="138" t="s">
        <v>2214</v>
      </c>
      <c r="H589" s="132" t="e">
        <v>#N/A</v>
      </c>
      <c r="I589" s="135" t="s">
        <v>2214</v>
      </c>
    </row>
    <row r="590" spans="1:9">
      <c r="A590" s="131">
        <v>40245</v>
      </c>
      <c r="B590" s="132">
        <v>102.21</v>
      </c>
      <c r="C590" s="132" t="s">
        <v>2214</v>
      </c>
      <c r="D590" s="132" t="s">
        <v>2214</v>
      </c>
      <c r="E590" s="132" t="s">
        <v>2214</v>
      </c>
      <c r="F590" s="132" t="s">
        <v>2214</v>
      </c>
      <c r="G590" s="138" t="s">
        <v>2214</v>
      </c>
      <c r="H590" s="132" t="e">
        <v>#N/A</v>
      </c>
      <c r="I590" s="135" t="s">
        <v>2214</v>
      </c>
    </row>
    <row r="591" spans="1:9">
      <c r="A591" s="131">
        <v>40246</v>
      </c>
      <c r="B591" s="132">
        <v>102.21</v>
      </c>
      <c r="C591" s="132" t="s">
        <v>2214</v>
      </c>
      <c r="D591" s="132" t="s">
        <v>2214</v>
      </c>
      <c r="E591" s="132" t="s">
        <v>2214</v>
      </c>
      <c r="F591" s="132" t="s">
        <v>2214</v>
      </c>
      <c r="G591" s="138" t="s">
        <v>2214</v>
      </c>
      <c r="H591" s="132" t="e">
        <v>#N/A</v>
      </c>
      <c r="I591" s="135" t="s">
        <v>2214</v>
      </c>
    </row>
    <row r="592" spans="1:9">
      <c r="A592" s="131">
        <v>40247</v>
      </c>
      <c r="B592" s="132">
        <v>102.21</v>
      </c>
      <c r="C592" s="132" t="s">
        <v>2214</v>
      </c>
      <c r="D592" s="132" t="s">
        <v>2214</v>
      </c>
      <c r="E592" s="132" t="s">
        <v>2214</v>
      </c>
      <c r="F592" s="132" t="s">
        <v>2214</v>
      </c>
      <c r="G592" s="138" t="s">
        <v>2214</v>
      </c>
      <c r="H592" s="132" t="e">
        <v>#N/A</v>
      </c>
      <c r="I592" s="135" t="s">
        <v>2214</v>
      </c>
    </row>
    <row r="593" spans="1:9">
      <c r="A593" s="131">
        <v>40248</v>
      </c>
      <c r="B593" s="132">
        <v>102.21</v>
      </c>
      <c r="C593" s="132" t="s">
        <v>2214</v>
      </c>
      <c r="D593" s="132" t="s">
        <v>2214</v>
      </c>
      <c r="E593" s="132" t="s">
        <v>2214</v>
      </c>
      <c r="F593" s="132" t="s">
        <v>2214</v>
      </c>
      <c r="G593" s="138" t="s">
        <v>2214</v>
      </c>
      <c r="H593" s="132" t="e">
        <v>#N/A</v>
      </c>
      <c r="I593" s="135" t="s">
        <v>2214</v>
      </c>
    </row>
    <row r="594" spans="1:9">
      <c r="A594" s="131">
        <v>40249</v>
      </c>
      <c r="B594" s="132">
        <v>102.13</v>
      </c>
      <c r="C594" s="132" t="s">
        <v>2214</v>
      </c>
      <c r="D594" s="132" t="s">
        <v>2214</v>
      </c>
      <c r="E594" s="132" t="s">
        <v>2214</v>
      </c>
      <c r="F594" s="132" t="s">
        <v>2214</v>
      </c>
      <c r="G594" s="138" t="s">
        <v>2214</v>
      </c>
      <c r="H594" s="132" t="e">
        <v>#N/A</v>
      </c>
      <c r="I594" s="135" t="s">
        <v>2214</v>
      </c>
    </row>
    <row r="595" spans="1:9">
      <c r="A595" s="131">
        <v>40252</v>
      </c>
      <c r="B595" s="132">
        <v>102.13</v>
      </c>
      <c r="C595" s="132" t="s">
        <v>2214</v>
      </c>
      <c r="D595" s="132" t="s">
        <v>2214</v>
      </c>
      <c r="E595" s="132" t="s">
        <v>2214</v>
      </c>
      <c r="F595" s="132" t="s">
        <v>2214</v>
      </c>
      <c r="G595" s="138" t="s">
        <v>2214</v>
      </c>
      <c r="H595" s="132" t="e">
        <v>#N/A</v>
      </c>
      <c r="I595" s="135" t="s">
        <v>2214</v>
      </c>
    </row>
    <row r="596" spans="1:9">
      <c r="A596" s="131">
        <v>40253</v>
      </c>
      <c r="B596" s="132">
        <v>102.13</v>
      </c>
      <c r="C596" s="132" t="s">
        <v>2214</v>
      </c>
      <c r="D596" s="132" t="s">
        <v>2214</v>
      </c>
      <c r="E596" s="132" t="s">
        <v>2214</v>
      </c>
      <c r="F596" s="132" t="s">
        <v>2214</v>
      </c>
      <c r="G596" s="138" t="s">
        <v>2214</v>
      </c>
      <c r="H596" s="132" t="e">
        <v>#N/A</v>
      </c>
      <c r="I596" s="135" t="s">
        <v>2214</v>
      </c>
    </row>
    <row r="597" spans="1:9">
      <c r="A597" s="131">
        <v>40254</v>
      </c>
      <c r="B597" s="132">
        <v>102.13</v>
      </c>
      <c r="C597" s="132" t="s">
        <v>2214</v>
      </c>
      <c r="D597" s="132" t="s">
        <v>2214</v>
      </c>
      <c r="E597" s="132" t="s">
        <v>2214</v>
      </c>
      <c r="F597" s="132" t="s">
        <v>2214</v>
      </c>
      <c r="G597" s="138" t="s">
        <v>2214</v>
      </c>
      <c r="H597" s="132" t="e">
        <v>#N/A</v>
      </c>
      <c r="I597" s="135" t="s">
        <v>2214</v>
      </c>
    </row>
    <row r="598" spans="1:9">
      <c r="A598" s="131">
        <v>40255</v>
      </c>
      <c r="B598" s="132">
        <v>102.13</v>
      </c>
      <c r="C598" s="132" t="s">
        <v>2214</v>
      </c>
      <c r="D598" s="132" t="s">
        <v>2214</v>
      </c>
      <c r="E598" s="132" t="s">
        <v>2214</v>
      </c>
      <c r="F598" s="132" t="s">
        <v>2214</v>
      </c>
      <c r="G598" s="138" t="s">
        <v>2214</v>
      </c>
      <c r="H598" s="132" t="e">
        <v>#N/A</v>
      </c>
      <c r="I598" s="135" t="s">
        <v>2214</v>
      </c>
    </row>
    <row r="599" spans="1:9">
      <c r="A599" s="131">
        <v>40256</v>
      </c>
      <c r="B599" s="132">
        <v>102.13</v>
      </c>
      <c r="C599" s="132" t="s">
        <v>2214</v>
      </c>
      <c r="D599" s="132" t="s">
        <v>2214</v>
      </c>
      <c r="E599" s="132" t="s">
        <v>2214</v>
      </c>
      <c r="F599" s="132" t="s">
        <v>2214</v>
      </c>
      <c r="G599" s="138" t="s">
        <v>2214</v>
      </c>
      <c r="H599" s="132" t="e">
        <v>#N/A</v>
      </c>
      <c r="I599" s="135" t="s">
        <v>2214</v>
      </c>
    </row>
    <row r="600" spans="1:9">
      <c r="A600" s="131">
        <v>40259</v>
      </c>
      <c r="B600" s="132">
        <v>102.13</v>
      </c>
      <c r="C600" s="132" t="s">
        <v>2214</v>
      </c>
      <c r="D600" s="132" t="s">
        <v>2214</v>
      </c>
      <c r="E600" s="132" t="s">
        <v>2214</v>
      </c>
      <c r="F600" s="132" t="s">
        <v>2214</v>
      </c>
      <c r="G600" s="138" t="s">
        <v>2214</v>
      </c>
      <c r="H600" s="132" t="e">
        <v>#N/A</v>
      </c>
      <c r="I600" s="135" t="s">
        <v>2214</v>
      </c>
    </row>
    <row r="601" spans="1:9">
      <c r="A601" s="131">
        <v>40260</v>
      </c>
      <c r="B601" s="132">
        <v>102.13</v>
      </c>
      <c r="C601" s="132" t="s">
        <v>2214</v>
      </c>
      <c r="D601" s="132" t="s">
        <v>2214</v>
      </c>
      <c r="E601" s="132" t="s">
        <v>2214</v>
      </c>
      <c r="F601" s="132" t="s">
        <v>2214</v>
      </c>
      <c r="G601" s="138" t="s">
        <v>2214</v>
      </c>
      <c r="H601" s="132" t="e">
        <v>#N/A</v>
      </c>
      <c r="I601" s="135" t="s">
        <v>2214</v>
      </c>
    </row>
    <row r="602" spans="1:9">
      <c r="A602" s="131">
        <v>40261</v>
      </c>
      <c r="B602" s="132">
        <v>102.13</v>
      </c>
      <c r="C602" s="132" t="s">
        <v>2214</v>
      </c>
      <c r="D602" s="132" t="s">
        <v>2214</v>
      </c>
      <c r="E602" s="132" t="s">
        <v>2214</v>
      </c>
      <c r="F602" s="132" t="s">
        <v>2214</v>
      </c>
      <c r="G602" s="138" t="s">
        <v>2214</v>
      </c>
      <c r="H602" s="132" t="e">
        <v>#N/A</v>
      </c>
      <c r="I602" s="135" t="s">
        <v>2214</v>
      </c>
    </row>
    <row r="603" spans="1:9">
      <c r="A603" s="131">
        <v>40262</v>
      </c>
      <c r="B603" s="132">
        <v>102.13</v>
      </c>
      <c r="C603" s="132" t="s">
        <v>2214</v>
      </c>
      <c r="D603" s="132" t="s">
        <v>2214</v>
      </c>
      <c r="E603" s="132" t="s">
        <v>2214</v>
      </c>
      <c r="F603" s="132" t="s">
        <v>2214</v>
      </c>
      <c r="G603" s="138" t="s">
        <v>2214</v>
      </c>
      <c r="H603" s="132" t="e">
        <v>#N/A</v>
      </c>
      <c r="I603" s="135" t="s">
        <v>2214</v>
      </c>
    </row>
    <row r="604" spans="1:9">
      <c r="A604" s="131">
        <v>40263</v>
      </c>
      <c r="B604" s="132">
        <v>102.13</v>
      </c>
      <c r="C604" s="132" t="s">
        <v>2214</v>
      </c>
      <c r="D604" s="132" t="s">
        <v>2214</v>
      </c>
      <c r="E604" s="132" t="s">
        <v>2214</v>
      </c>
      <c r="F604" s="132" t="s">
        <v>2214</v>
      </c>
      <c r="G604" s="138" t="s">
        <v>2214</v>
      </c>
      <c r="H604" s="132" t="e">
        <v>#N/A</v>
      </c>
      <c r="I604" s="135" t="s">
        <v>2214</v>
      </c>
    </row>
    <row r="605" spans="1:9">
      <c r="A605" s="131">
        <v>40266</v>
      </c>
      <c r="B605" s="132">
        <v>102.13</v>
      </c>
      <c r="C605" s="132" t="s">
        <v>2214</v>
      </c>
      <c r="D605" s="132" t="s">
        <v>2214</v>
      </c>
      <c r="E605" s="132" t="s">
        <v>2214</v>
      </c>
      <c r="F605" s="132" t="s">
        <v>2214</v>
      </c>
      <c r="G605" s="138" t="s">
        <v>2214</v>
      </c>
      <c r="H605" s="132" t="e">
        <v>#N/A</v>
      </c>
      <c r="I605" s="135" t="s">
        <v>2214</v>
      </c>
    </row>
    <row r="606" spans="1:9">
      <c r="A606" s="131">
        <v>40267</v>
      </c>
      <c r="B606" s="132">
        <v>102.13</v>
      </c>
      <c r="C606" s="132" t="s">
        <v>2214</v>
      </c>
      <c r="D606" s="132" t="s">
        <v>2214</v>
      </c>
      <c r="E606" s="132" t="s">
        <v>2214</v>
      </c>
      <c r="F606" s="132" t="s">
        <v>2214</v>
      </c>
      <c r="G606" s="138" t="s">
        <v>2214</v>
      </c>
      <c r="H606" s="132" t="e">
        <v>#N/A</v>
      </c>
      <c r="I606" s="135" t="s">
        <v>2214</v>
      </c>
    </row>
    <row r="607" spans="1:9">
      <c r="A607" s="131">
        <v>40268</v>
      </c>
      <c r="B607" s="132">
        <v>102.13</v>
      </c>
      <c r="C607" s="132" t="s">
        <v>2214</v>
      </c>
      <c r="D607" s="132" t="s">
        <v>2214</v>
      </c>
      <c r="E607" s="132" t="s">
        <v>2214</v>
      </c>
      <c r="F607" s="132" t="s">
        <v>2214</v>
      </c>
      <c r="G607" s="138" t="s">
        <v>2214</v>
      </c>
      <c r="H607" s="132" t="e">
        <v>#N/A</v>
      </c>
      <c r="I607" s="135" t="s">
        <v>2214</v>
      </c>
    </row>
    <row r="608" spans="1:9">
      <c r="A608" s="131">
        <v>40269</v>
      </c>
      <c r="B608" s="132">
        <v>102.13</v>
      </c>
      <c r="C608" s="132" t="s">
        <v>2214</v>
      </c>
      <c r="D608" s="132" t="s">
        <v>2214</v>
      </c>
      <c r="E608" s="132" t="s">
        <v>2214</v>
      </c>
      <c r="F608" s="132" t="s">
        <v>2214</v>
      </c>
      <c r="G608" s="138" t="s">
        <v>2214</v>
      </c>
      <c r="H608" s="132" t="e">
        <v>#N/A</v>
      </c>
      <c r="I608" s="135" t="s">
        <v>2214</v>
      </c>
    </row>
    <row r="609" spans="1:9">
      <c r="A609" s="131">
        <v>40270</v>
      </c>
      <c r="B609" s="132">
        <v>102.13</v>
      </c>
      <c r="C609" s="132" t="s">
        <v>2214</v>
      </c>
      <c r="D609" s="132" t="s">
        <v>2214</v>
      </c>
      <c r="E609" s="132" t="s">
        <v>2214</v>
      </c>
      <c r="F609" s="132" t="s">
        <v>2214</v>
      </c>
      <c r="G609" s="138" t="s">
        <v>2214</v>
      </c>
      <c r="H609" s="132" t="e">
        <v>#N/A</v>
      </c>
      <c r="I609" s="135" t="s">
        <v>2214</v>
      </c>
    </row>
    <row r="610" spans="1:9">
      <c r="A610" s="131">
        <v>40274</v>
      </c>
      <c r="B610" s="132">
        <v>102.13</v>
      </c>
      <c r="C610" s="132" t="s">
        <v>2214</v>
      </c>
      <c r="D610" s="132" t="s">
        <v>2214</v>
      </c>
      <c r="E610" s="132" t="s">
        <v>2214</v>
      </c>
      <c r="F610" s="132" t="s">
        <v>2214</v>
      </c>
      <c r="G610" s="138" t="s">
        <v>2214</v>
      </c>
      <c r="H610" s="132" t="e">
        <v>#N/A</v>
      </c>
      <c r="I610" s="135" t="s">
        <v>2214</v>
      </c>
    </row>
    <row r="611" spans="1:9">
      <c r="A611" s="131">
        <v>40275</v>
      </c>
      <c r="B611" s="132">
        <v>102.13</v>
      </c>
      <c r="C611" s="132" t="s">
        <v>2214</v>
      </c>
      <c r="D611" s="132" t="s">
        <v>2214</v>
      </c>
      <c r="E611" s="132" t="s">
        <v>2214</v>
      </c>
      <c r="F611" s="132" t="s">
        <v>2214</v>
      </c>
      <c r="G611" s="138" t="s">
        <v>2214</v>
      </c>
      <c r="H611" s="132" t="e">
        <v>#N/A</v>
      </c>
      <c r="I611" s="135" t="s">
        <v>2214</v>
      </c>
    </row>
    <row r="612" spans="1:9">
      <c r="A612" s="131">
        <v>40276</v>
      </c>
      <c r="B612" s="132">
        <v>102.13</v>
      </c>
      <c r="C612" s="132" t="s">
        <v>2214</v>
      </c>
      <c r="D612" s="132" t="s">
        <v>2214</v>
      </c>
      <c r="E612" s="132" t="s">
        <v>2214</v>
      </c>
      <c r="F612" s="132" t="s">
        <v>2214</v>
      </c>
      <c r="G612" s="138" t="s">
        <v>2214</v>
      </c>
      <c r="H612" s="132" t="e">
        <v>#N/A</v>
      </c>
      <c r="I612" s="135" t="s">
        <v>2214</v>
      </c>
    </row>
    <row r="613" spans="1:9">
      <c r="A613" s="131">
        <v>40277</v>
      </c>
      <c r="B613" s="132">
        <v>102.13</v>
      </c>
      <c r="C613" s="132" t="s">
        <v>2214</v>
      </c>
      <c r="D613" s="132" t="s">
        <v>2214</v>
      </c>
      <c r="E613" s="132" t="s">
        <v>2214</v>
      </c>
      <c r="F613" s="132" t="s">
        <v>2214</v>
      </c>
      <c r="G613" s="138" t="s">
        <v>2214</v>
      </c>
      <c r="H613" s="132" t="e">
        <v>#N/A</v>
      </c>
      <c r="I613" s="135" t="s">
        <v>2214</v>
      </c>
    </row>
    <row r="614" spans="1:9">
      <c r="A614" s="131">
        <v>40280</v>
      </c>
      <c r="B614" s="132">
        <v>102.13</v>
      </c>
      <c r="C614" s="132" t="s">
        <v>2214</v>
      </c>
      <c r="D614" s="132" t="s">
        <v>2214</v>
      </c>
      <c r="E614" s="132" t="s">
        <v>2214</v>
      </c>
      <c r="F614" s="132" t="s">
        <v>2214</v>
      </c>
      <c r="G614" s="138" t="s">
        <v>2214</v>
      </c>
      <c r="H614" s="132" t="e">
        <v>#N/A</v>
      </c>
      <c r="I614" s="135" t="s">
        <v>2214</v>
      </c>
    </row>
    <row r="615" spans="1:9">
      <c r="A615" s="131">
        <v>40281</v>
      </c>
      <c r="B615" s="132">
        <v>102.13</v>
      </c>
      <c r="C615" s="132" t="s">
        <v>2214</v>
      </c>
      <c r="D615" s="132" t="s">
        <v>2214</v>
      </c>
      <c r="E615" s="132" t="s">
        <v>2214</v>
      </c>
      <c r="F615" s="132" t="s">
        <v>2214</v>
      </c>
      <c r="G615" s="138" t="s">
        <v>2214</v>
      </c>
      <c r="H615" s="132" t="e">
        <v>#N/A</v>
      </c>
      <c r="I615" s="135" t="s">
        <v>2214</v>
      </c>
    </row>
    <row r="616" spans="1:9">
      <c r="A616" s="131">
        <v>40282</v>
      </c>
      <c r="B616" s="132">
        <v>102.13</v>
      </c>
      <c r="C616" s="132" t="s">
        <v>2214</v>
      </c>
      <c r="D616" s="132" t="s">
        <v>2214</v>
      </c>
      <c r="E616" s="132" t="s">
        <v>2214</v>
      </c>
      <c r="F616" s="132" t="s">
        <v>2214</v>
      </c>
      <c r="G616" s="138" t="s">
        <v>2214</v>
      </c>
      <c r="H616" s="132" t="e">
        <v>#N/A</v>
      </c>
      <c r="I616" s="135" t="s">
        <v>2214</v>
      </c>
    </row>
    <row r="617" spans="1:9">
      <c r="A617" s="131">
        <v>40283</v>
      </c>
      <c r="B617" s="132">
        <v>102.13</v>
      </c>
      <c r="C617" s="132" t="s">
        <v>2214</v>
      </c>
      <c r="D617" s="132" t="s">
        <v>2214</v>
      </c>
      <c r="E617" s="132" t="s">
        <v>2214</v>
      </c>
      <c r="F617" s="132" t="s">
        <v>2214</v>
      </c>
      <c r="G617" s="138" t="s">
        <v>2214</v>
      </c>
      <c r="H617" s="132" t="e">
        <v>#N/A</v>
      </c>
      <c r="I617" s="135" t="s">
        <v>2214</v>
      </c>
    </row>
    <row r="618" spans="1:9">
      <c r="A618" s="131">
        <v>40284</v>
      </c>
      <c r="B618" s="132">
        <v>102.13</v>
      </c>
      <c r="C618" s="132" t="s">
        <v>2214</v>
      </c>
      <c r="D618" s="132" t="s">
        <v>2214</v>
      </c>
      <c r="E618" s="132" t="s">
        <v>2214</v>
      </c>
      <c r="F618" s="132" t="s">
        <v>2214</v>
      </c>
      <c r="G618" s="138" t="s">
        <v>2214</v>
      </c>
      <c r="H618" s="132" t="e">
        <v>#N/A</v>
      </c>
      <c r="I618" s="135" t="s">
        <v>2214</v>
      </c>
    </row>
    <row r="619" spans="1:9">
      <c r="A619" s="131">
        <v>40287</v>
      </c>
      <c r="B619" s="132">
        <v>102.13</v>
      </c>
      <c r="C619" s="132" t="s">
        <v>2214</v>
      </c>
      <c r="D619" s="132" t="s">
        <v>2214</v>
      </c>
      <c r="E619" s="132" t="s">
        <v>2214</v>
      </c>
      <c r="F619" s="132" t="s">
        <v>2214</v>
      </c>
      <c r="G619" s="138" t="s">
        <v>2214</v>
      </c>
      <c r="H619" s="132" t="e">
        <v>#N/A</v>
      </c>
      <c r="I619" s="135" t="s">
        <v>2214</v>
      </c>
    </row>
    <row r="620" spans="1:9">
      <c r="A620" s="131">
        <v>40288</v>
      </c>
      <c r="B620" s="132">
        <v>102.13</v>
      </c>
      <c r="C620" s="132" t="s">
        <v>2214</v>
      </c>
      <c r="D620" s="132" t="s">
        <v>2214</v>
      </c>
      <c r="E620" s="132" t="s">
        <v>2214</v>
      </c>
      <c r="F620" s="132" t="s">
        <v>2214</v>
      </c>
      <c r="G620" s="138" t="s">
        <v>2214</v>
      </c>
      <c r="H620" s="132" t="e">
        <v>#N/A</v>
      </c>
      <c r="I620" s="135" t="s">
        <v>2214</v>
      </c>
    </row>
    <row r="621" spans="1:9">
      <c r="A621" s="131">
        <v>40289</v>
      </c>
      <c r="B621" s="132">
        <v>102.13</v>
      </c>
      <c r="C621" s="132" t="s">
        <v>2214</v>
      </c>
      <c r="D621" s="132" t="s">
        <v>2214</v>
      </c>
      <c r="E621" s="132" t="s">
        <v>2214</v>
      </c>
      <c r="F621" s="132" t="s">
        <v>2214</v>
      </c>
      <c r="G621" s="138" t="s">
        <v>2214</v>
      </c>
      <c r="H621" s="132" t="e">
        <v>#N/A</v>
      </c>
      <c r="I621" s="135" t="s">
        <v>2214</v>
      </c>
    </row>
    <row r="622" spans="1:9">
      <c r="A622" s="131">
        <v>40290</v>
      </c>
      <c r="B622" s="132">
        <v>102.13</v>
      </c>
      <c r="C622" s="132" t="s">
        <v>2214</v>
      </c>
      <c r="D622" s="132" t="s">
        <v>2214</v>
      </c>
      <c r="E622" s="132" t="s">
        <v>2214</v>
      </c>
      <c r="F622" s="132" t="s">
        <v>2214</v>
      </c>
      <c r="G622" s="138" t="s">
        <v>2214</v>
      </c>
      <c r="H622" s="132" t="e">
        <v>#N/A</v>
      </c>
      <c r="I622" s="135" t="s">
        <v>2214</v>
      </c>
    </row>
    <row r="623" spans="1:9">
      <c r="A623" s="131">
        <v>40291</v>
      </c>
      <c r="B623" s="132">
        <v>102.13</v>
      </c>
      <c r="C623" s="132" t="s">
        <v>2214</v>
      </c>
      <c r="D623" s="132" t="s">
        <v>2214</v>
      </c>
      <c r="E623" s="132" t="s">
        <v>2214</v>
      </c>
      <c r="F623" s="132" t="s">
        <v>2214</v>
      </c>
      <c r="G623" s="138" t="s">
        <v>2214</v>
      </c>
      <c r="H623" s="132" t="e">
        <v>#N/A</v>
      </c>
      <c r="I623" s="135" t="s">
        <v>2214</v>
      </c>
    </row>
    <row r="624" spans="1:9">
      <c r="A624" s="131">
        <v>40294</v>
      </c>
      <c r="B624" s="132">
        <v>102.13</v>
      </c>
      <c r="C624" s="132" t="s">
        <v>2214</v>
      </c>
      <c r="D624" s="132" t="s">
        <v>2214</v>
      </c>
      <c r="E624" s="132" t="s">
        <v>2214</v>
      </c>
      <c r="F624" s="132" t="s">
        <v>2214</v>
      </c>
      <c r="G624" s="138" t="s">
        <v>2214</v>
      </c>
      <c r="H624" s="132" t="e">
        <v>#N/A</v>
      </c>
      <c r="I624" s="135" t="s">
        <v>2214</v>
      </c>
    </row>
    <row r="625" spans="1:9">
      <c r="A625" s="131">
        <v>40295</v>
      </c>
      <c r="B625" s="132">
        <v>102.13</v>
      </c>
      <c r="C625" s="132" t="s">
        <v>2214</v>
      </c>
      <c r="D625" s="132" t="s">
        <v>2214</v>
      </c>
      <c r="E625" s="132" t="s">
        <v>2214</v>
      </c>
      <c r="F625" s="132" t="s">
        <v>2214</v>
      </c>
      <c r="G625" s="138" t="s">
        <v>2214</v>
      </c>
      <c r="H625" s="132" t="e">
        <v>#N/A</v>
      </c>
      <c r="I625" s="135" t="s">
        <v>2214</v>
      </c>
    </row>
    <row r="626" spans="1:9">
      <c r="A626" s="131">
        <v>40296</v>
      </c>
      <c r="B626" s="132">
        <v>102.13</v>
      </c>
      <c r="C626" s="132" t="s">
        <v>2214</v>
      </c>
      <c r="D626" s="132" t="s">
        <v>2214</v>
      </c>
      <c r="E626" s="132" t="s">
        <v>2214</v>
      </c>
      <c r="F626" s="132" t="s">
        <v>2214</v>
      </c>
      <c r="G626" s="138" t="s">
        <v>2214</v>
      </c>
      <c r="H626" s="132" t="e">
        <v>#N/A</v>
      </c>
      <c r="I626" s="135" t="s">
        <v>2214</v>
      </c>
    </row>
    <row r="627" spans="1:9">
      <c r="A627" s="131">
        <v>40297</v>
      </c>
      <c r="B627" s="132">
        <v>102.13</v>
      </c>
      <c r="C627" s="132" t="s">
        <v>2214</v>
      </c>
      <c r="D627" s="132" t="s">
        <v>2214</v>
      </c>
      <c r="E627" s="132" t="s">
        <v>2214</v>
      </c>
      <c r="F627" s="132" t="s">
        <v>2214</v>
      </c>
      <c r="G627" s="138" t="s">
        <v>2214</v>
      </c>
      <c r="H627" s="132" t="e">
        <v>#N/A</v>
      </c>
      <c r="I627" s="135" t="s">
        <v>2214</v>
      </c>
    </row>
    <row r="628" spans="1:9">
      <c r="A628" s="131">
        <v>40298</v>
      </c>
      <c r="B628" s="132">
        <v>102.13</v>
      </c>
      <c r="C628" s="132" t="s">
        <v>2214</v>
      </c>
      <c r="D628" s="132" t="s">
        <v>2214</v>
      </c>
      <c r="E628" s="132" t="s">
        <v>2214</v>
      </c>
      <c r="F628" s="132" t="s">
        <v>2214</v>
      </c>
      <c r="G628" s="138" t="s">
        <v>2214</v>
      </c>
      <c r="H628" s="132" t="e">
        <v>#N/A</v>
      </c>
      <c r="I628" s="135" t="s">
        <v>2214</v>
      </c>
    </row>
    <row r="629" spans="1:9">
      <c r="A629" s="131">
        <v>40302</v>
      </c>
      <c r="B629" s="132">
        <v>102.13</v>
      </c>
      <c r="C629" s="132" t="s">
        <v>2214</v>
      </c>
      <c r="D629" s="132" t="s">
        <v>2214</v>
      </c>
      <c r="E629" s="132" t="s">
        <v>2214</v>
      </c>
      <c r="F629" s="132" t="s">
        <v>2214</v>
      </c>
      <c r="G629" s="138" t="s">
        <v>2214</v>
      </c>
      <c r="H629" s="132" t="e">
        <v>#N/A</v>
      </c>
      <c r="I629" s="135" t="s">
        <v>2214</v>
      </c>
    </row>
    <row r="630" spans="1:9">
      <c r="A630" s="131">
        <v>40303</v>
      </c>
      <c r="B630" s="132">
        <v>102.13</v>
      </c>
      <c r="C630" s="132" t="s">
        <v>2214</v>
      </c>
      <c r="D630" s="132" t="s">
        <v>2214</v>
      </c>
      <c r="E630" s="132" t="s">
        <v>2214</v>
      </c>
      <c r="F630" s="132" t="s">
        <v>2214</v>
      </c>
      <c r="G630" s="138" t="s">
        <v>2214</v>
      </c>
      <c r="H630" s="132" t="e">
        <v>#N/A</v>
      </c>
      <c r="I630" s="135" t="s">
        <v>2214</v>
      </c>
    </row>
    <row r="631" spans="1:9">
      <c r="A631" s="131">
        <v>40304</v>
      </c>
      <c r="B631" s="132">
        <v>102.13</v>
      </c>
      <c r="C631" s="132" t="s">
        <v>2214</v>
      </c>
      <c r="D631" s="132" t="s">
        <v>2214</v>
      </c>
      <c r="E631" s="132" t="s">
        <v>2214</v>
      </c>
      <c r="F631" s="132" t="s">
        <v>2214</v>
      </c>
      <c r="G631" s="138" t="s">
        <v>2214</v>
      </c>
      <c r="H631" s="132" t="e">
        <v>#N/A</v>
      </c>
      <c r="I631" s="135" t="s">
        <v>2214</v>
      </c>
    </row>
    <row r="632" spans="1:9">
      <c r="A632" s="131">
        <v>40305</v>
      </c>
      <c r="B632" s="132">
        <v>102.13</v>
      </c>
      <c r="C632" s="132" t="s">
        <v>2214</v>
      </c>
      <c r="D632" s="132" t="s">
        <v>2214</v>
      </c>
      <c r="E632" s="132" t="s">
        <v>2214</v>
      </c>
      <c r="F632" s="132" t="s">
        <v>2214</v>
      </c>
      <c r="G632" s="138" t="s">
        <v>2214</v>
      </c>
      <c r="H632" s="132" t="e">
        <v>#N/A</v>
      </c>
      <c r="I632" s="135" t="s">
        <v>2214</v>
      </c>
    </row>
    <row r="633" spans="1:9">
      <c r="A633" s="131">
        <v>40308</v>
      </c>
      <c r="B633" s="132">
        <v>102.13</v>
      </c>
      <c r="C633" s="132" t="s">
        <v>2214</v>
      </c>
      <c r="D633" s="132" t="s">
        <v>2214</v>
      </c>
      <c r="E633" s="132" t="s">
        <v>2214</v>
      </c>
      <c r="F633" s="132" t="s">
        <v>2214</v>
      </c>
      <c r="G633" s="138" t="s">
        <v>2214</v>
      </c>
      <c r="H633" s="132" t="e">
        <v>#N/A</v>
      </c>
      <c r="I633" s="135" t="s">
        <v>2214</v>
      </c>
    </row>
    <row r="634" spans="1:9">
      <c r="A634" s="131">
        <v>40309</v>
      </c>
      <c r="B634" s="132">
        <v>102.13</v>
      </c>
      <c r="C634" s="132" t="s">
        <v>2214</v>
      </c>
      <c r="D634" s="132" t="s">
        <v>2214</v>
      </c>
      <c r="E634" s="132" t="s">
        <v>2214</v>
      </c>
      <c r="F634" s="132" t="s">
        <v>2214</v>
      </c>
      <c r="G634" s="138" t="s">
        <v>2214</v>
      </c>
      <c r="H634" s="132" t="e">
        <v>#N/A</v>
      </c>
      <c r="I634" s="135" t="s">
        <v>2214</v>
      </c>
    </row>
    <row r="635" spans="1:9">
      <c r="A635" s="131">
        <v>40310</v>
      </c>
      <c r="B635" s="132">
        <v>102.13</v>
      </c>
      <c r="C635" s="132" t="s">
        <v>2214</v>
      </c>
      <c r="D635" s="132" t="s">
        <v>2214</v>
      </c>
      <c r="E635" s="132" t="s">
        <v>2214</v>
      </c>
      <c r="F635" s="132" t="s">
        <v>2214</v>
      </c>
      <c r="G635" s="138" t="s">
        <v>2214</v>
      </c>
      <c r="H635" s="132" t="e">
        <v>#N/A</v>
      </c>
      <c r="I635" s="135" t="s">
        <v>2214</v>
      </c>
    </row>
    <row r="636" spans="1:9">
      <c r="A636" s="131">
        <v>40311</v>
      </c>
      <c r="B636" s="132">
        <v>102.7</v>
      </c>
      <c r="C636" s="132" t="s">
        <v>2214</v>
      </c>
      <c r="D636" s="132" t="s">
        <v>2214</v>
      </c>
      <c r="E636" s="132" t="s">
        <v>2214</v>
      </c>
      <c r="F636" s="132" t="s">
        <v>2214</v>
      </c>
      <c r="G636" s="138" t="s">
        <v>2214</v>
      </c>
      <c r="H636" s="132" t="e">
        <v>#N/A</v>
      </c>
      <c r="I636" s="135" t="s">
        <v>2214</v>
      </c>
    </row>
    <row r="637" spans="1:9">
      <c r="A637" s="131">
        <v>40312</v>
      </c>
      <c r="B637" s="132">
        <v>102.7</v>
      </c>
      <c r="C637" s="132" t="s">
        <v>2214</v>
      </c>
      <c r="D637" s="132" t="s">
        <v>2214</v>
      </c>
      <c r="E637" s="132" t="s">
        <v>2214</v>
      </c>
      <c r="F637" s="132" t="s">
        <v>2214</v>
      </c>
      <c r="G637" s="138" t="s">
        <v>2214</v>
      </c>
      <c r="H637" s="132" t="e">
        <v>#N/A</v>
      </c>
      <c r="I637" s="135" t="s">
        <v>2214</v>
      </c>
    </row>
    <row r="638" spans="1:9">
      <c r="A638" s="131">
        <v>40315</v>
      </c>
      <c r="B638" s="132">
        <v>102.7</v>
      </c>
      <c r="C638" s="132" t="s">
        <v>2214</v>
      </c>
      <c r="D638" s="132" t="s">
        <v>2214</v>
      </c>
      <c r="E638" s="132" t="s">
        <v>2214</v>
      </c>
      <c r="F638" s="132" t="s">
        <v>2214</v>
      </c>
      <c r="G638" s="138" t="s">
        <v>2214</v>
      </c>
      <c r="H638" s="132" t="e">
        <v>#N/A</v>
      </c>
      <c r="I638" s="135" t="s">
        <v>2214</v>
      </c>
    </row>
    <row r="639" spans="1:9">
      <c r="A639" s="131">
        <v>40316</v>
      </c>
      <c r="B639" s="132">
        <v>102.7</v>
      </c>
      <c r="C639" s="132" t="s">
        <v>2214</v>
      </c>
      <c r="D639" s="132" t="s">
        <v>2214</v>
      </c>
      <c r="E639" s="132" t="s">
        <v>2214</v>
      </c>
      <c r="F639" s="132" t="s">
        <v>2214</v>
      </c>
      <c r="G639" s="138" t="s">
        <v>2214</v>
      </c>
      <c r="H639" s="132" t="e">
        <v>#N/A</v>
      </c>
      <c r="I639" s="135" t="s">
        <v>2214</v>
      </c>
    </row>
    <row r="640" spans="1:9">
      <c r="A640" s="131">
        <v>40317</v>
      </c>
      <c r="B640" s="132">
        <v>102.7</v>
      </c>
      <c r="C640" s="132" t="s">
        <v>2214</v>
      </c>
      <c r="D640" s="132" t="s">
        <v>2214</v>
      </c>
      <c r="E640" s="132" t="s">
        <v>2214</v>
      </c>
      <c r="F640" s="132" t="s">
        <v>2214</v>
      </c>
      <c r="G640" s="138" t="s">
        <v>2214</v>
      </c>
      <c r="H640" s="132" t="e">
        <v>#N/A</v>
      </c>
      <c r="I640" s="135" t="s">
        <v>2214</v>
      </c>
    </row>
    <row r="641" spans="1:9">
      <c r="A641" s="131">
        <v>40318</v>
      </c>
      <c r="B641" s="132">
        <v>102.7</v>
      </c>
      <c r="C641" s="132" t="s">
        <v>2214</v>
      </c>
      <c r="D641" s="132" t="s">
        <v>2214</v>
      </c>
      <c r="E641" s="132" t="s">
        <v>2214</v>
      </c>
      <c r="F641" s="132" t="s">
        <v>2214</v>
      </c>
      <c r="G641" s="138" t="s">
        <v>2214</v>
      </c>
      <c r="H641" s="132" t="e">
        <v>#N/A</v>
      </c>
      <c r="I641" s="135" t="s">
        <v>2214</v>
      </c>
    </row>
    <row r="642" spans="1:9">
      <c r="A642" s="131">
        <v>40319</v>
      </c>
      <c r="B642" s="132">
        <v>102.7</v>
      </c>
      <c r="C642" s="132" t="s">
        <v>2214</v>
      </c>
      <c r="D642" s="132" t="s">
        <v>2214</v>
      </c>
      <c r="E642" s="132" t="s">
        <v>2214</v>
      </c>
      <c r="F642" s="132" t="s">
        <v>2214</v>
      </c>
      <c r="G642" s="138" t="s">
        <v>2214</v>
      </c>
      <c r="H642" s="132" t="e">
        <v>#N/A</v>
      </c>
      <c r="I642" s="135" t="s">
        <v>2214</v>
      </c>
    </row>
    <row r="643" spans="1:9">
      <c r="A643" s="131">
        <v>40322</v>
      </c>
      <c r="B643" s="132">
        <v>102.7</v>
      </c>
      <c r="C643" s="132" t="s">
        <v>2214</v>
      </c>
      <c r="D643" s="132" t="s">
        <v>2214</v>
      </c>
      <c r="E643" s="132" t="s">
        <v>2214</v>
      </c>
      <c r="F643" s="132" t="s">
        <v>2214</v>
      </c>
      <c r="G643" s="138" t="s">
        <v>2214</v>
      </c>
      <c r="H643" s="132" t="e">
        <v>#N/A</v>
      </c>
      <c r="I643" s="135" t="s">
        <v>2214</v>
      </c>
    </row>
    <row r="644" spans="1:9">
      <c r="A644" s="131">
        <v>40323</v>
      </c>
      <c r="B644" s="132">
        <v>104.33</v>
      </c>
      <c r="C644" s="132" t="s">
        <v>2214</v>
      </c>
      <c r="D644" s="132" t="s">
        <v>2214</v>
      </c>
      <c r="E644" s="132" t="s">
        <v>2214</v>
      </c>
      <c r="F644" s="132" t="s">
        <v>2214</v>
      </c>
      <c r="G644" s="138" t="s">
        <v>2214</v>
      </c>
      <c r="H644" s="132" t="e">
        <v>#N/A</v>
      </c>
      <c r="I644" s="135" t="s">
        <v>2214</v>
      </c>
    </row>
    <row r="645" spans="1:9">
      <c r="A645" s="131">
        <v>40324</v>
      </c>
      <c r="B645" s="132">
        <v>103.38</v>
      </c>
      <c r="C645" s="132" t="s">
        <v>2214</v>
      </c>
      <c r="D645" s="132" t="s">
        <v>2214</v>
      </c>
      <c r="E645" s="132" t="s">
        <v>2214</v>
      </c>
      <c r="F645" s="132" t="s">
        <v>2214</v>
      </c>
      <c r="G645" s="138" t="s">
        <v>2214</v>
      </c>
      <c r="H645" s="132" t="e">
        <v>#N/A</v>
      </c>
      <c r="I645" s="135" t="s">
        <v>2214</v>
      </c>
    </row>
    <row r="646" spans="1:9">
      <c r="A646" s="131">
        <v>40325</v>
      </c>
      <c r="B646" s="132">
        <v>103.38</v>
      </c>
      <c r="C646" s="132" t="s">
        <v>2214</v>
      </c>
      <c r="D646" s="132" t="s">
        <v>2214</v>
      </c>
      <c r="E646" s="132" t="s">
        <v>2214</v>
      </c>
      <c r="F646" s="132" t="s">
        <v>2214</v>
      </c>
      <c r="G646" s="138" t="s">
        <v>2214</v>
      </c>
      <c r="H646" s="132" t="e">
        <v>#N/A</v>
      </c>
      <c r="I646" s="135" t="s">
        <v>2214</v>
      </c>
    </row>
    <row r="647" spans="1:9">
      <c r="A647" s="131">
        <v>40326</v>
      </c>
      <c r="B647" s="132">
        <v>103.38</v>
      </c>
      <c r="C647" s="132" t="s">
        <v>2214</v>
      </c>
      <c r="D647" s="132" t="s">
        <v>2214</v>
      </c>
      <c r="E647" s="132" t="s">
        <v>2214</v>
      </c>
      <c r="F647" s="132" t="s">
        <v>2214</v>
      </c>
      <c r="G647" s="138" t="s">
        <v>2214</v>
      </c>
      <c r="H647" s="132" t="e">
        <v>#N/A</v>
      </c>
      <c r="I647" s="135" t="s">
        <v>2214</v>
      </c>
    </row>
    <row r="648" spans="1:9">
      <c r="A648" s="131">
        <v>40329</v>
      </c>
      <c r="B648" s="132">
        <v>103.38</v>
      </c>
      <c r="C648" s="132" t="s">
        <v>2214</v>
      </c>
      <c r="D648" s="132" t="s">
        <v>2214</v>
      </c>
      <c r="E648" s="132" t="s">
        <v>2214</v>
      </c>
      <c r="F648" s="132" t="s">
        <v>2214</v>
      </c>
      <c r="G648" s="138" t="s">
        <v>2214</v>
      </c>
      <c r="H648" s="132" t="e">
        <v>#N/A</v>
      </c>
      <c r="I648" s="135" t="s">
        <v>2214</v>
      </c>
    </row>
    <row r="649" spans="1:9">
      <c r="A649" s="131">
        <v>40330</v>
      </c>
      <c r="B649" s="132">
        <v>104.32</v>
      </c>
      <c r="C649" s="132" t="s">
        <v>2214</v>
      </c>
      <c r="D649" s="132" t="s">
        <v>2214</v>
      </c>
      <c r="E649" s="132" t="s">
        <v>2214</v>
      </c>
      <c r="F649" s="132" t="s">
        <v>2214</v>
      </c>
      <c r="G649" s="138" t="s">
        <v>2214</v>
      </c>
      <c r="H649" s="132" t="e">
        <v>#N/A</v>
      </c>
      <c r="I649" s="135" t="s">
        <v>2214</v>
      </c>
    </row>
    <row r="650" spans="1:9">
      <c r="A650" s="131">
        <v>40331</v>
      </c>
      <c r="B650" s="132">
        <v>104.32</v>
      </c>
      <c r="C650" s="132" t="s">
        <v>2214</v>
      </c>
      <c r="D650" s="132" t="s">
        <v>2214</v>
      </c>
      <c r="E650" s="132" t="s">
        <v>2214</v>
      </c>
      <c r="F650" s="132" t="s">
        <v>2214</v>
      </c>
      <c r="G650" s="138" t="s">
        <v>2214</v>
      </c>
      <c r="H650" s="132" t="e">
        <v>#N/A</v>
      </c>
      <c r="I650" s="135" t="s">
        <v>2214</v>
      </c>
    </row>
    <row r="651" spans="1:9">
      <c r="A651" s="131">
        <v>40332</v>
      </c>
      <c r="B651" s="132">
        <v>104.32</v>
      </c>
      <c r="C651" s="132" t="s">
        <v>2214</v>
      </c>
      <c r="D651" s="132" t="s">
        <v>2214</v>
      </c>
      <c r="E651" s="132" t="s">
        <v>2214</v>
      </c>
      <c r="F651" s="132" t="s">
        <v>2214</v>
      </c>
      <c r="G651" s="138" t="s">
        <v>2214</v>
      </c>
      <c r="H651" s="132" t="e">
        <v>#N/A</v>
      </c>
      <c r="I651" s="135" t="s">
        <v>2214</v>
      </c>
    </row>
    <row r="652" spans="1:9">
      <c r="A652" s="131">
        <v>40333</v>
      </c>
      <c r="B652" s="132">
        <v>104.32</v>
      </c>
      <c r="C652" s="132" t="s">
        <v>2214</v>
      </c>
      <c r="D652" s="132" t="s">
        <v>2214</v>
      </c>
      <c r="E652" s="132" t="s">
        <v>2214</v>
      </c>
      <c r="F652" s="132" t="s">
        <v>2214</v>
      </c>
      <c r="G652" s="138" t="s">
        <v>2214</v>
      </c>
      <c r="H652" s="132" t="e">
        <v>#N/A</v>
      </c>
      <c r="I652" s="135" t="s">
        <v>2214</v>
      </c>
    </row>
    <row r="653" spans="1:9">
      <c r="A653" s="131">
        <v>40336</v>
      </c>
      <c r="B653" s="132">
        <v>104.32</v>
      </c>
      <c r="C653" s="132" t="s">
        <v>2214</v>
      </c>
      <c r="D653" s="132" t="s">
        <v>2214</v>
      </c>
      <c r="E653" s="132" t="s">
        <v>2214</v>
      </c>
      <c r="F653" s="132" t="s">
        <v>2214</v>
      </c>
      <c r="G653" s="138" t="s">
        <v>2214</v>
      </c>
      <c r="H653" s="132" t="e">
        <v>#N/A</v>
      </c>
      <c r="I653" s="135" t="s">
        <v>2214</v>
      </c>
    </row>
    <row r="654" spans="1:9">
      <c r="A654" s="131">
        <v>40337</v>
      </c>
      <c r="B654" s="132">
        <v>104.32</v>
      </c>
      <c r="C654" s="132" t="s">
        <v>2214</v>
      </c>
      <c r="D654" s="132" t="s">
        <v>2214</v>
      </c>
      <c r="E654" s="132" t="s">
        <v>2214</v>
      </c>
      <c r="F654" s="132" t="s">
        <v>2214</v>
      </c>
      <c r="G654" s="138" t="s">
        <v>2214</v>
      </c>
      <c r="H654" s="132" t="e">
        <v>#N/A</v>
      </c>
      <c r="I654" s="135" t="s">
        <v>2214</v>
      </c>
    </row>
    <row r="655" spans="1:9">
      <c r="A655" s="131">
        <v>40338</v>
      </c>
      <c r="B655" s="132">
        <v>104.32</v>
      </c>
      <c r="C655" s="132" t="s">
        <v>2214</v>
      </c>
      <c r="D655" s="132" t="s">
        <v>2214</v>
      </c>
      <c r="E655" s="132" t="s">
        <v>2214</v>
      </c>
      <c r="F655" s="132" t="s">
        <v>2214</v>
      </c>
      <c r="G655" s="138" t="s">
        <v>2214</v>
      </c>
      <c r="H655" s="132" t="e">
        <v>#N/A</v>
      </c>
      <c r="I655" s="135" t="s">
        <v>2214</v>
      </c>
    </row>
    <row r="656" spans="1:9">
      <c r="A656" s="131">
        <v>40339</v>
      </c>
      <c r="B656" s="132">
        <v>104.32</v>
      </c>
      <c r="C656" s="132" t="s">
        <v>2214</v>
      </c>
      <c r="D656" s="132" t="s">
        <v>2214</v>
      </c>
      <c r="E656" s="132" t="s">
        <v>2214</v>
      </c>
      <c r="F656" s="132" t="s">
        <v>2214</v>
      </c>
      <c r="G656" s="138" t="s">
        <v>2214</v>
      </c>
      <c r="H656" s="132" t="e">
        <v>#N/A</v>
      </c>
      <c r="I656" s="135" t="s">
        <v>2214</v>
      </c>
    </row>
    <row r="657" spans="1:9">
      <c r="A657" s="131">
        <v>40340</v>
      </c>
      <c r="B657" s="132">
        <v>104.32</v>
      </c>
      <c r="C657" s="132" t="s">
        <v>2214</v>
      </c>
      <c r="D657" s="132" t="s">
        <v>2214</v>
      </c>
      <c r="E657" s="132" t="s">
        <v>2214</v>
      </c>
      <c r="F657" s="132" t="s">
        <v>2214</v>
      </c>
      <c r="G657" s="138" t="s">
        <v>2214</v>
      </c>
      <c r="H657" s="132" t="e">
        <v>#N/A</v>
      </c>
      <c r="I657" s="135" t="s">
        <v>2214</v>
      </c>
    </row>
    <row r="658" spans="1:9">
      <c r="A658" s="131">
        <v>40341</v>
      </c>
      <c r="B658" s="132">
        <v>104.32</v>
      </c>
      <c r="C658" s="132" t="s">
        <v>2214</v>
      </c>
      <c r="D658" s="132" t="s">
        <v>2214</v>
      </c>
      <c r="E658" s="132" t="s">
        <v>2214</v>
      </c>
      <c r="F658" s="132" t="s">
        <v>2214</v>
      </c>
      <c r="G658" s="138" t="s">
        <v>2214</v>
      </c>
      <c r="H658" s="132" t="e">
        <v>#N/A</v>
      </c>
      <c r="I658" s="135" t="s">
        <v>2214</v>
      </c>
    </row>
    <row r="659" spans="1:9">
      <c r="A659" s="131">
        <v>40342</v>
      </c>
      <c r="B659" s="132">
        <v>104.32</v>
      </c>
      <c r="C659" s="132" t="s">
        <v>2214</v>
      </c>
      <c r="D659" s="132" t="s">
        <v>2214</v>
      </c>
      <c r="E659" s="132" t="s">
        <v>2214</v>
      </c>
      <c r="F659" s="132" t="s">
        <v>2214</v>
      </c>
      <c r="G659" s="138" t="s">
        <v>2214</v>
      </c>
      <c r="H659" s="132" t="e">
        <v>#N/A</v>
      </c>
      <c r="I659" s="135" t="s">
        <v>2214</v>
      </c>
    </row>
    <row r="660" spans="1:9">
      <c r="A660" s="131">
        <v>40346</v>
      </c>
      <c r="B660" s="132">
        <v>104.32</v>
      </c>
      <c r="C660" s="132" t="s">
        <v>2214</v>
      </c>
      <c r="D660" s="132" t="s">
        <v>2214</v>
      </c>
      <c r="E660" s="132" t="s">
        <v>2214</v>
      </c>
      <c r="F660" s="132" t="s">
        <v>2214</v>
      </c>
      <c r="G660" s="138" t="s">
        <v>2214</v>
      </c>
      <c r="H660" s="132" t="e">
        <v>#N/A</v>
      </c>
      <c r="I660" s="135" t="s">
        <v>2214</v>
      </c>
    </row>
    <row r="661" spans="1:9">
      <c r="A661" s="131">
        <v>40347</v>
      </c>
      <c r="B661" s="132">
        <v>104.32</v>
      </c>
      <c r="C661" s="132" t="s">
        <v>2214</v>
      </c>
      <c r="D661" s="132" t="s">
        <v>2214</v>
      </c>
      <c r="E661" s="132" t="s">
        <v>2214</v>
      </c>
      <c r="F661" s="132" t="s">
        <v>2214</v>
      </c>
      <c r="G661" s="138" t="s">
        <v>2214</v>
      </c>
      <c r="H661" s="132" t="e">
        <v>#N/A</v>
      </c>
      <c r="I661" s="135" t="s">
        <v>2214</v>
      </c>
    </row>
    <row r="662" spans="1:9">
      <c r="A662" s="131">
        <v>40350</v>
      </c>
      <c r="B662" s="132">
        <v>104.32</v>
      </c>
      <c r="C662" s="132" t="s">
        <v>2214</v>
      </c>
      <c r="D662" s="132" t="s">
        <v>2214</v>
      </c>
      <c r="E662" s="132" t="s">
        <v>2214</v>
      </c>
      <c r="F662" s="132" t="s">
        <v>2214</v>
      </c>
      <c r="G662" s="138" t="s">
        <v>2214</v>
      </c>
      <c r="H662" s="132" t="e">
        <v>#N/A</v>
      </c>
      <c r="I662" s="135" t="s">
        <v>2214</v>
      </c>
    </row>
    <row r="663" spans="1:9">
      <c r="A663" s="131">
        <v>40351</v>
      </c>
      <c r="B663" s="132">
        <v>104.32</v>
      </c>
      <c r="C663" s="132" t="s">
        <v>2214</v>
      </c>
      <c r="D663" s="132" t="s">
        <v>2214</v>
      </c>
      <c r="E663" s="132" t="s">
        <v>2214</v>
      </c>
      <c r="F663" s="132" t="s">
        <v>2214</v>
      </c>
      <c r="G663" s="138" t="s">
        <v>2214</v>
      </c>
      <c r="H663" s="132" t="e">
        <v>#N/A</v>
      </c>
      <c r="I663" s="135" t="s">
        <v>2214</v>
      </c>
    </row>
    <row r="664" spans="1:9">
      <c r="A664" s="131">
        <v>40352</v>
      </c>
      <c r="B664" s="132">
        <v>104.32</v>
      </c>
      <c r="C664" s="132" t="s">
        <v>2214</v>
      </c>
      <c r="D664" s="132" t="s">
        <v>2214</v>
      </c>
      <c r="E664" s="132" t="s">
        <v>2214</v>
      </c>
      <c r="F664" s="132" t="s">
        <v>2214</v>
      </c>
      <c r="G664" s="138" t="s">
        <v>2214</v>
      </c>
      <c r="H664" s="132" t="e">
        <v>#N/A</v>
      </c>
      <c r="I664" s="135" t="s">
        <v>2214</v>
      </c>
    </row>
    <row r="665" spans="1:9">
      <c r="A665" s="131">
        <v>40353</v>
      </c>
      <c r="B665" s="132">
        <v>104.32</v>
      </c>
      <c r="C665" s="132" t="s">
        <v>2214</v>
      </c>
      <c r="D665" s="132" t="s">
        <v>2214</v>
      </c>
      <c r="E665" s="132" t="s">
        <v>2214</v>
      </c>
      <c r="F665" s="132" t="s">
        <v>2214</v>
      </c>
      <c r="G665" s="138" t="s">
        <v>2214</v>
      </c>
      <c r="H665" s="132" t="e">
        <v>#N/A</v>
      </c>
      <c r="I665" s="135" t="s">
        <v>2214</v>
      </c>
    </row>
    <row r="666" spans="1:9">
      <c r="A666" s="131">
        <v>40354</v>
      </c>
      <c r="B666" s="132">
        <v>104.32</v>
      </c>
      <c r="C666" s="132" t="s">
        <v>2214</v>
      </c>
      <c r="D666" s="132" t="s">
        <v>2214</v>
      </c>
      <c r="E666" s="132" t="s">
        <v>2214</v>
      </c>
      <c r="F666" s="132" t="s">
        <v>2214</v>
      </c>
      <c r="G666" s="138" t="s">
        <v>2214</v>
      </c>
      <c r="H666" s="132" t="e">
        <v>#N/A</v>
      </c>
      <c r="I666" s="135" t="s">
        <v>2214</v>
      </c>
    </row>
    <row r="667" spans="1:9">
      <c r="A667" s="131">
        <v>40357</v>
      </c>
      <c r="B667" s="132">
        <v>104.32</v>
      </c>
      <c r="C667" s="132" t="s">
        <v>2214</v>
      </c>
      <c r="D667" s="132" t="s">
        <v>2214</v>
      </c>
      <c r="E667" s="132" t="s">
        <v>2214</v>
      </c>
      <c r="F667" s="132" t="s">
        <v>2214</v>
      </c>
      <c r="G667" s="138" t="s">
        <v>2214</v>
      </c>
      <c r="H667" s="132" t="e">
        <v>#N/A</v>
      </c>
      <c r="I667" s="135" t="s">
        <v>2214</v>
      </c>
    </row>
    <row r="668" spans="1:9">
      <c r="A668" s="131">
        <v>40358</v>
      </c>
      <c r="B668" s="132">
        <v>104.32</v>
      </c>
      <c r="C668" s="132" t="s">
        <v>2214</v>
      </c>
      <c r="D668" s="132" t="s">
        <v>2214</v>
      </c>
      <c r="E668" s="132" t="s">
        <v>2214</v>
      </c>
      <c r="F668" s="132" t="s">
        <v>2214</v>
      </c>
      <c r="G668" s="138" t="s">
        <v>2214</v>
      </c>
      <c r="H668" s="132" t="e">
        <v>#N/A</v>
      </c>
      <c r="I668" s="135" t="s">
        <v>2214</v>
      </c>
    </row>
    <row r="669" spans="1:9">
      <c r="A669" s="131">
        <v>40359</v>
      </c>
      <c r="B669" s="132">
        <v>104.32</v>
      </c>
      <c r="C669" s="132" t="s">
        <v>2214</v>
      </c>
      <c r="D669" s="132" t="s">
        <v>2214</v>
      </c>
      <c r="E669" s="132" t="s">
        <v>2214</v>
      </c>
      <c r="F669" s="132" t="s">
        <v>2214</v>
      </c>
      <c r="G669" s="138" t="s">
        <v>2214</v>
      </c>
      <c r="H669" s="132" t="e">
        <v>#N/A</v>
      </c>
      <c r="I669" s="135" t="s">
        <v>2214</v>
      </c>
    </row>
    <row r="670" spans="1:9">
      <c r="A670" s="131">
        <v>40360</v>
      </c>
      <c r="B670" s="132">
        <v>104.32</v>
      </c>
      <c r="C670" s="132" t="s">
        <v>2214</v>
      </c>
      <c r="D670" s="132" t="s">
        <v>2214</v>
      </c>
      <c r="E670" s="132" t="s">
        <v>2214</v>
      </c>
      <c r="F670" s="132" t="s">
        <v>2214</v>
      </c>
      <c r="G670" s="138" t="s">
        <v>2214</v>
      </c>
      <c r="H670" s="132" t="e">
        <v>#N/A</v>
      </c>
      <c r="I670" s="135" t="s">
        <v>2214</v>
      </c>
    </row>
    <row r="671" spans="1:9">
      <c r="A671" s="131">
        <v>40361</v>
      </c>
      <c r="B671" s="132">
        <v>104.32</v>
      </c>
      <c r="C671" s="132" t="s">
        <v>2214</v>
      </c>
      <c r="D671" s="132" t="s">
        <v>2214</v>
      </c>
      <c r="E671" s="132" t="s">
        <v>2214</v>
      </c>
      <c r="F671" s="132" t="s">
        <v>2214</v>
      </c>
      <c r="G671" s="138" t="s">
        <v>2214</v>
      </c>
      <c r="H671" s="132" t="e">
        <v>#N/A</v>
      </c>
      <c r="I671" s="135" t="s">
        <v>2214</v>
      </c>
    </row>
    <row r="672" spans="1:9">
      <c r="A672" s="131">
        <v>40364</v>
      </c>
      <c r="B672" s="132">
        <v>104.32</v>
      </c>
      <c r="C672" s="132" t="s">
        <v>2214</v>
      </c>
      <c r="D672" s="132" t="s">
        <v>2214</v>
      </c>
      <c r="E672" s="132" t="s">
        <v>2214</v>
      </c>
      <c r="F672" s="132" t="s">
        <v>2214</v>
      </c>
      <c r="G672" s="138" t="s">
        <v>2214</v>
      </c>
      <c r="H672" s="132" t="e">
        <v>#N/A</v>
      </c>
      <c r="I672" s="135" t="s">
        <v>2214</v>
      </c>
    </row>
    <row r="673" spans="1:9">
      <c r="A673" s="131">
        <v>40365</v>
      </c>
      <c r="B673" s="132">
        <v>103.65</v>
      </c>
      <c r="C673" s="132" t="s">
        <v>2214</v>
      </c>
      <c r="D673" s="132" t="s">
        <v>2214</v>
      </c>
      <c r="E673" s="132" t="s">
        <v>2214</v>
      </c>
      <c r="F673" s="132" t="s">
        <v>2214</v>
      </c>
      <c r="G673" s="138" t="s">
        <v>2214</v>
      </c>
      <c r="H673" s="132" t="e">
        <v>#N/A</v>
      </c>
      <c r="I673" s="135" t="s">
        <v>2214</v>
      </c>
    </row>
    <row r="674" spans="1:9">
      <c r="A674" s="131">
        <v>40366</v>
      </c>
      <c r="B674" s="132">
        <v>103.65</v>
      </c>
      <c r="C674" s="132" t="s">
        <v>2214</v>
      </c>
      <c r="D674" s="132" t="s">
        <v>2214</v>
      </c>
      <c r="E674" s="132" t="s">
        <v>2214</v>
      </c>
      <c r="F674" s="132" t="s">
        <v>2214</v>
      </c>
      <c r="G674" s="138" t="s">
        <v>2214</v>
      </c>
      <c r="H674" s="132" t="e">
        <v>#N/A</v>
      </c>
      <c r="I674" s="135" t="s">
        <v>2214</v>
      </c>
    </row>
    <row r="675" spans="1:9">
      <c r="A675" s="131">
        <v>40367</v>
      </c>
      <c r="B675" s="132">
        <v>103.65</v>
      </c>
      <c r="C675" s="132" t="s">
        <v>2214</v>
      </c>
      <c r="D675" s="132" t="s">
        <v>2214</v>
      </c>
      <c r="E675" s="132" t="s">
        <v>2214</v>
      </c>
      <c r="F675" s="132" t="s">
        <v>2214</v>
      </c>
      <c r="G675" s="138" t="s">
        <v>2214</v>
      </c>
      <c r="H675" s="132" t="e">
        <v>#N/A</v>
      </c>
      <c r="I675" s="135" t="s">
        <v>2214</v>
      </c>
    </row>
    <row r="676" spans="1:9">
      <c r="A676" s="131">
        <v>40368</v>
      </c>
      <c r="B676" s="132">
        <v>103.65</v>
      </c>
      <c r="C676" s="132" t="s">
        <v>2214</v>
      </c>
      <c r="D676" s="132" t="s">
        <v>2214</v>
      </c>
      <c r="E676" s="132" t="s">
        <v>2214</v>
      </c>
      <c r="F676" s="132" t="s">
        <v>2214</v>
      </c>
      <c r="G676" s="138" t="s">
        <v>2214</v>
      </c>
      <c r="H676" s="132" t="e">
        <v>#N/A</v>
      </c>
      <c r="I676" s="135" t="s">
        <v>2214</v>
      </c>
    </row>
    <row r="677" spans="1:9">
      <c r="A677" s="131">
        <v>40371</v>
      </c>
      <c r="B677" s="132">
        <v>103.65</v>
      </c>
      <c r="C677" s="132" t="s">
        <v>2214</v>
      </c>
      <c r="D677" s="132" t="s">
        <v>2214</v>
      </c>
      <c r="E677" s="132" t="s">
        <v>2214</v>
      </c>
      <c r="F677" s="132" t="s">
        <v>2214</v>
      </c>
      <c r="G677" s="138" t="s">
        <v>2214</v>
      </c>
      <c r="H677" s="132" t="e">
        <v>#N/A</v>
      </c>
      <c r="I677" s="135" t="s">
        <v>2214</v>
      </c>
    </row>
    <row r="678" spans="1:9">
      <c r="A678" s="131">
        <v>40372</v>
      </c>
      <c r="B678" s="132">
        <v>103.65</v>
      </c>
      <c r="C678" s="132" t="s">
        <v>2214</v>
      </c>
      <c r="D678" s="132" t="s">
        <v>2214</v>
      </c>
      <c r="E678" s="132" t="s">
        <v>2214</v>
      </c>
      <c r="F678" s="132" t="s">
        <v>2214</v>
      </c>
      <c r="G678" s="138" t="s">
        <v>2214</v>
      </c>
      <c r="H678" s="132" t="e">
        <v>#N/A</v>
      </c>
      <c r="I678" s="135" t="s">
        <v>2214</v>
      </c>
    </row>
    <row r="679" spans="1:9">
      <c r="A679" s="131">
        <v>40373</v>
      </c>
      <c r="B679" s="132">
        <v>103.65</v>
      </c>
      <c r="C679" s="132" t="s">
        <v>2214</v>
      </c>
      <c r="D679" s="132" t="s">
        <v>2214</v>
      </c>
      <c r="E679" s="132" t="s">
        <v>2214</v>
      </c>
      <c r="F679" s="132" t="s">
        <v>2214</v>
      </c>
      <c r="G679" s="138" t="s">
        <v>2214</v>
      </c>
      <c r="H679" s="132" t="e">
        <v>#N/A</v>
      </c>
      <c r="I679" s="135" t="s">
        <v>2214</v>
      </c>
    </row>
    <row r="680" spans="1:9">
      <c r="A680" s="131">
        <v>40374</v>
      </c>
      <c r="B680" s="132">
        <v>103.65</v>
      </c>
      <c r="C680" s="132" t="s">
        <v>2214</v>
      </c>
      <c r="D680" s="132" t="s">
        <v>2214</v>
      </c>
      <c r="E680" s="132" t="s">
        <v>2214</v>
      </c>
      <c r="F680" s="132" t="s">
        <v>2214</v>
      </c>
      <c r="G680" s="138" t="s">
        <v>2214</v>
      </c>
      <c r="H680" s="132" t="e">
        <v>#N/A</v>
      </c>
      <c r="I680" s="135" t="s">
        <v>2214</v>
      </c>
    </row>
    <row r="681" spans="1:9">
      <c r="A681" s="131">
        <v>40375</v>
      </c>
      <c r="B681" s="132">
        <v>103.65</v>
      </c>
      <c r="C681" s="132" t="s">
        <v>2214</v>
      </c>
      <c r="D681" s="132" t="s">
        <v>2214</v>
      </c>
      <c r="E681" s="132" t="s">
        <v>2214</v>
      </c>
      <c r="F681" s="132" t="s">
        <v>2214</v>
      </c>
      <c r="G681" s="138" t="s">
        <v>2214</v>
      </c>
      <c r="H681" s="132" t="e">
        <v>#N/A</v>
      </c>
      <c r="I681" s="135" t="s">
        <v>2214</v>
      </c>
    </row>
    <row r="682" spans="1:9">
      <c r="A682" s="131">
        <v>40378</v>
      </c>
      <c r="B682" s="132">
        <v>103.65</v>
      </c>
      <c r="C682" s="132" t="s">
        <v>2214</v>
      </c>
      <c r="D682" s="132" t="s">
        <v>2214</v>
      </c>
      <c r="E682" s="132" t="s">
        <v>2214</v>
      </c>
      <c r="F682" s="132" t="s">
        <v>2214</v>
      </c>
      <c r="G682" s="138" t="s">
        <v>2214</v>
      </c>
      <c r="H682" s="132" t="e">
        <v>#N/A</v>
      </c>
      <c r="I682" s="135" t="s">
        <v>2214</v>
      </c>
    </row>
    <row r="683" spans="1:9">
      <c r="A683" s="131">
        <v>40379</v>
      </c>
      <c r="B683" s="132">
        <v>103.65</v>
      </c>
      <c r="C683" s="132" t="s">
        <v>2214</v>
      </c>
      <c r="D683" s="132" t="s">
        <v>2214</v>
      </c>
      <c r="E683" s="132" t="s">
        <v>2214</v>
      </c>
      <c r="F683" s="132" t="s">
        <v>2214</v>
      </c>
      <c r="G683" s="138" t="s">
        <v>2214</v>
      </c>
      <c r="H683" s="132" t="e">
        <v>#N/A</v>
      </c>
      <c r="I683" s="135" t="s">
        <v>2214</v>
      </c>
    </row>
    <row r="684" spans="1:9">
      <c r="A684" s="131">
        <v>40380</v>
      </c>
      <c r="B684" s="132">
        <v>103.65</v>
      </c>
      <c r="C684" s="132" t="s">
        <v>2214</v>
      </c>
      <c r="D684" s="132" t="s">
        <v>2214</v>
      </c>
      <c r="E684" s="132" t="s">
        <v>2214</v>
      </c>
      <c r="F684" s="132" t="s">
        <v>2214</v>
      </c>
      <c r="G684" s="138" t="s">
        <v>2214</v>
      </c>
      <c r="H684" s="132" t="e">
        <v>#N/A</v>
      </c>
      <c r="I684" s="135" t="s">
        <v>2214</v>
      </c>
    </row>
    <row r="685" spans="1:9">
      <c r="A685" s="131">
        <v>40381</v>
      </c>
      <c r="B685" s="132">
        <v>103.65</v>
      </c>
      <c r="C685" s="132" t="s">
        <v>2214</v>
      </c>
      <c r="D685" s="132" t="s">
        <v>2214</v>
      </c>
      <c r="E685" s="132" t="s">
        <v>2214</v>
      </c>
      <c r="F685" s="132" t="s">
        <v>2214</v>
      </c>
      <c r="G685" s="138" t="s">
        <v>2214</v>
      </c>
      <c r="H685" s="132" t="e">
        <v>#N/A</v>
      </c>
      <c r="I685" s="135" t="s">
        <v>2214</v>
      </c>
    </row>
    <row r="686" spans="1:9">
      <c r="A686" s="131">
        <v>40382</v>
      </c>
      <c r="B686" s="132">
        <v>103.65</v>
      </c>
      <c r="C686" s="132" t="s">
        <v>2214</v>
      </c>
      <c r="D686" s="132" t="s">
        <v>2214</v>
      </c>
      <c r="E686" s="132" t="s">
        <v>2214</v>
      </c>
      <c r="F686" s="132" t="s">
        <v>2214</v>
      </c>
      <c r="G686" s="138" t="s">
        <v>2214</v>
      </c>
      <c r="H686" s="132" t="e">
        <v>#N/A</v>
      </c>
      <c r="I686" s="135" t="s">
        <v>2214</v>
      </c>
    </row>
    <row r="687" spans="1:9">
      <c r="A687" s="131">
        <v>40385</v>
      </c>
      <c r="B687" s="132">
        <v>103.65</v>
      </c>
      <c r="C687" s="132" t="s">
        <v>2214</v>
      </c>
      <c r="D687" s="132" t="s">
        <v>2214</v>
      </c>
      <c r="E687" s="132" t="s">
        <v>2214</v>
      </c>
      <c r="F687" s="132" t="s">
        <v>2214</v>
      </c>
      <c r="G687" s="138" t="s">
        <v>2214</v>
      </c>
      <c r="H687" s="132" t="e">
        <v>#N/A</v>
      </c>
      <c r="I687" s="135" t="s">
        <v>2214</v>
      </c>
    </row>
    <row r="688" spans="1:9">
      <c r="A688" s="131">
        <v>40386</v>
      </c>
      <c r="B688" s="132">
        <v>103.65</v>
      </c>
      <c r="C688" s="132" t="s">
        <v>2214</v>
      </c>
      <c r="D688" s="132" t="s">
        <v>2214</v>
      </c>
      <c r="E688" s="132" t="s">
        <v>2214</v>
      </c>
      <c r="F688" s="132" t="s">
        <v>2214</v>
      </c>
      <c r="G688" s="138" t="s">
        <v>2214</v>
      </c>
      <c r="H688" s="132" t="e">
        <v>#N/A</v>
      </c>
      <c r="I688" s="135" t="s">
        <v>2214</v>
      </c>
    </row>
    <row r="689" spans="1:9">
      <c r="A689" s="131">
        <v>40387</v>
      </c>
      <c r="B689" s="132">
        <v>103.65</v>
      </c>
      <c r="C689" s="132" t="s">
        <v>2214</v>
      </c>
      <c r="D689" s="132" t="s">
        <v>2214</v>
      </c>
      <c r="E689" s="132" t="s">
        <v>2214</v>
      </c>
      <c r="F689" s="132" t="s">
        <v>2214</v>
      </c>
      <c r="G689" s="138" t="s">
        <v>2214</v>
      </c>
      <c r="H689" s="132" t="e">
        <v>#N/A</v>
      </c>
      <c r="I689" s="135" t="s">
        <v>2214</v>
      </c>
    </row>
    <row r="690" spans="1:9">
      <c r="A690" s="131">
        <v>40388</v>
      </c>
      <c r="B690" s="132">
        <v>103.65</v>
      </c>
      <c r="C690" s="132" t="s">
        <v>2214</v>
      </c>
      <c r="D690" s="132" t="s">
        <v>2214</v>
      </c>
      <c r="E690" s="132" t="s">
        <v>2214</v>
      </c>
      <c r="F690" s="132" t="s">
        <v>2214</v>
      </c>
      <c r="G690" s="138" t="s">
        <v>2214</v>
      </c>
      <c r="H690" s="132" t="e">
        <v>#N/A</v>
      </c>
      <c r="I690" s="135" t="s">
        <v>2214</v>
      </c>
    </row>
    <row r="691" spans="1:9">
      <c r="A691" s="131">
        <v>40389</v>
      </c>
      <c r="B691" s="132">
        <v>103.65</v>
      </c>
      <c r="C691" s="132" t="s">
        <v>2214</v>
      </c>
      <c r="D691" s="132" t="s">
        <v>2214</v>
      </c>
      <c r="E691" s="132" t="s">
        <v>2214</v>
      </c>
      <c r="F691" s="132" t="s">
        <v>2214</v>
      </c>
      <c r="G691" s="138" t="s">
        <v>2214</v>
      </c>
      <c r="H691" s="132" t="e">
        <v>#N/A</v>
      </c>
      <c r="I691" s="135" t="s">
        <v>2214</v>
      </c>
    </row>
    <row r="692" spans="1:9">
      <c r="A692" s="131">
        <v>40392</v>
      </c>
      <c r="B692" s="132">
        <v>103.65</v>
      </c>
      <c r="C692" s="132" t="s">
        <v>2214</v>
      </c>
      <c r="D692" s="132" t="s">
        <v>2214</v>
      </c>
      <c r="E692" s="132" t="s">
        <v>2214</v>
      </c>
      <c r="F692" s="132" t="s">
        <v>2214</v>
      </c>
      <c r="G692" s="138" t="s">
        <v>2214</v>
      </c>
      <c r="H692" s="132" t="e">
        <v>#N/A</v>
      </c>
      <c r="I692" s="135" t="s">
        <v>2214</v>
      </c>
    </row>
    <row r="693" spans="1:9">
      <c r="A693" s="131">
        <v>40393</v>
      </c>
      <c r="B693" s="132">
        <v>103.65</v>
      </c>
      <c r="C693" s="132" t="s">
        <v>2214</v>
      </c>
      <c r="D693" s="132" t="s">
        <v>2214</v>
      </c>
      <c r="E693" s="132" t="s">
        <v>2214</v>
      </c>
      <c r="F693" s="132" t="s">
        <v>2214</v>
      </c>
      <c r="G693" s="138" t="s">
        <v>2214</v>
      </c>
      <c r="H693" s="132" t="e">
        <v>#N/A</v>
      </c>
      <c r="I693" s="135" t="s">
        <v>2214</v>
      </c>
    </row>
    <row r="694" spans="1:9">
      <c r="A694" s="131">
        <v>40394</v>
      </c>
      <c r="B694" s="132">
        <v>103.65</v>
      </c>
      <c r="C694" s="132" t="s">
        <v>2214</v>
      </c>
      <c r="D694" s="132" t="s">
        <v>2214</v>
      </c>
      <c r="E694" s="132" t="s">
        <v>2214</v>
      </c>
      <c r="F694" s="132" t="s">
        <v>2214</v>
      </c>
      <c r="G694" s="138" t="s">
        <v>2214</v>
      </c>
      <c r="H694" s="132" t="e">
        <v>#N/A</v>
      </c>
      <c r="I694" s="135" t="s">
        <v>2214</v>
      </c>
    </row>
    <row r="695" spans="1:9">
      <c r="A695" s="131">
        <v>40395</v>
      </c>
      <c r="B695" s="132">
        <v>103.65</v>
      </c>
      <c r="C695" s="132" t="s">
        <v>2214</v>
      </c>
      <c r="D695" s="132" t="s">
        <v>2214</v>
      </c>
      <c r="E695" s="132" t="s">
        <v>2214</v>
      </c>
      <c r="F695" s="132" t="s">
        <v>2214</v>
      </c>
      <c r="G695" s="138" t="s">
        <v>2214</v>
      </c>
      <c r="H695" s="132" t="e">
        <v>#N/A</v>
      </c>
      <c r="I695" s="135" t="s">
        <v>2214</v>
      </c>
    </row>
    <row r="696" spans="1:9">
      <c r="A696" s="131">
        <v>40396</v>
      </c>
      <c r="B696" s="132">
        <v>103.65</v>
      </c>
      <c r="C696" s="132" t="s">
        <v>2214</v>
      </c>
      <c r="D696" s="132" t="s">
        <v>2214</v>
      </c>
      <c r="E696" s="132" t="s">
        <v>2214</v>
      </c>
      <c r="F696" s="132" t="s">
        <v>2214</v>
      </c>
      <c r="G696" s="138" t="s">
        <v>2214</v>
      </c>
      <c r="H696" s="132" t="e">
        <v>#N/A</v>
      </c>
      <c r="I696" s="135" t="s">
        <v>2214</v>
      </c>
    </row>
    <row r="697" spans="1:9">
      <c r="A697" s="131">
        <v>40399</v>
      </c>
      <c r="B697" s="132">
        <v>103.65</v>
      </c>
      <c r="C697" s="132" t="s">
        <v>2214</v>
      </c>
      <c r="D697" s="132" t="s">
        <v>2214</v>
      </c>
      <c r="E697" s="132" t="s">
        <v>2214</v>
      </c>
      <c r="F697" s="132" t="s">
        <v>2214</v>
      </c>
      <c r="G697" s="138" t="s">
        <v>2214</v>
      </c>
      <c r="H697" s="132" t="e">
        <v>#N/A</v>
      </c>
      <c r="I697" s="135" t="s">
        <v>2214</v>
      </c>
    </row>
    <row r="698" spans="1:9">
      <c r="A698" s="131">
        <v>40400</v>
      </c>
      <c r="B698" s="132">
        <v>103.65</v>
      </c>
      <c r="C698" s="132" t="s">
        <v>2214</v>
      </c>
      <c r="D698" s="132" t="s">
        <v>2214</v>
      </c>
      <c r="E698" s="132" t="s">
        <v>2214</v>
      </c>
      <c r="F698" s="132" t="s">
        <v>2214</v>
      </c>
      <c r="G698" s="138" t="s">
        <v>2214</v>
      </c>
      <c r="H698" s="132" t="e">
        <v>#N/A</v>
      </c>
      <c r="I698" s="135" t="s">
        <v>2214</v>
      </c>
    </row>
    <row r="699" spans="1:9">
      <c r="A699" s="131">
        <v>40401</v>
      </c>
      <c r="B699" s="132">
        <v>103.65</v>
      </c>
      <c r="C699" s="132" t="s">
        <v>2214</v>
      </c>
      <c r="D699" s="132" t="s">
        <v>2214</v>
      </c>
      <c r="E699" s="132" t="s">
        <v>2214</v>
      </c>
      <c r="F699" s="132" t="s">
        <v>2214</v>
      </c>
      <c r="G699" s="138" t="s">
        <v>2214</v>
      </c>
      <c r="H699" s="132" t="e">
        <v>#N/A</v>
      </c>
      <c r="I699" s="135" t="s">
        <v>2214</v>
      </c>
    </row>
    <row r="700" spans="1:9">
      <c r="A700" s="131">
        <v>40402</v>
      </c>
      <c r="B700" s="132">
        <v>103.65</v>
      </c>
      <c r="C700" s="132" t="s">
        <v>2214</v>
      </c>
      <c r="D700" s="132" t="s">
        <v>2214</v>
      </c>
      <c r="E700" s="132" t="s">
        <v>2214</v>
      </c>
      <c r="F700" s="132" t="s">
        <v>2214</v>
      </c>
      <c r="G700" s="138" t="s">
        <v>2214</v>
      </c>
      <c r="H700" s="132" t="e">
        <v>#N/A</v>
      </c>
      <c r="I700" s="135" t="s">
        <v>2214</v>
      </c>
    </row>
    <row r="701" spans="1:9">
      <c r="A701" s="131">
        <v>40403</v>
      </c>
      <c r="B701" s="132">
        <v>103.65</v>
      </c>
      <c r="C701" s="132" t="s">
        <v>2214</v>
      </c>
      <c r="D701" s="132" t="s">
        <v>2214</v>
      </c>
      <c r="E701" s="132" t="s">
        <v>2214</v>
      </c>
      <c r="F701" s="132" t="s">
        <v>2214</v>
      </c>
      <c r="G701" s="138" t="s">
        <v>2214</v>
      </c>
      <c r="H701" s="132" t="e">
        <v>#N/A</v>
      </c>
      <c r="I701" s="135" t="s">
        <v>2214</v>
      </c>
    </row>
    <row r="702" spans="1:9">
      <c r="A702" s="131">
        <v>40406</v>
      </c>
      <c r="B702" s="132">
        <v>103.65</v>
      </c>
      <c r="C702" s="132" t="s">
        <v>2214</v>
      </c>
      <c r="D702" s="132" t="s">
        <v>2214</v>
      </c>
      <c r="E702" s="132" t="s">
        <v>2214</v>
      </c>
      <c r="F702" s="132" t="s">
        <v>2214</v>
      </c>
      <c r="G702" s="138" t="s">
        <v>2214</v>
      </c>
      <c r="H702" s="132" t="e">
        <v>#N/A</v>
      </c>
      <c r="I702" s="135" t="s">
        <v>2214</v>
      </c>
    </row>
    <row r="703" spans="1:9">
      <c r="A703" s="131">
        <v>40407</v>
      </c>
      <c r="B703" s="132">
        <v>103.65</v>
      </c>
      <c r="C703" s="132" t="s">
        <v>2214</v>
      </c>
      <c r="D703" s="132" t="s">
        <v>2214</v>
      </c>
      <c r="E703" s="132" t="s">
        <v>2214</v>
      </c>
      <c r="F703" s="132" t="s">
        <v>2214</v>
      </c>
      <c r="G703" s="138" t="s">
        <v>2214</v>
      </c>
      <c r="H703" s="132" t="e">
        <v>#N/A</v>
      </c>
      <c r="I703" s="135" t="s">
        <v>2214</v>
      </c>
    </row>
    <row r="704" spans="1:9">
      <c r="A704" s="131">
        <v>40408</v>
      </c>
      <c r="B704" s="132">
        <v>103.65</v>
      </c>
      <c r="C704" s="132" t="s">
        <v>2214</v>
      </c>
      <c r="D704" s="132" t="s">
        <v>2214</v>
      </c>
      <c r="E704" s="132" t="s">
        <v>2214</v>
      </c>
      <c r="F704" s="132" t="s">
        <v>2214</v>
      </c>
      <c r="G704" s="138" t="s">
        <v>2214</v>
      </c>
      <c r="H704" s="132" t="e">
        <v>#N/A</v>
      </c>
      <c r="I704" s="135" t="s">
        <v>2214</v>
      </c>
    </row>
    <row r="705" spans="1:9">
      <c r="A705" s="131">
        <v>40409</v>
      </c>
      <c r="B705" s="132">
        <v>103.65</v>
      </c>
      <c r="C705" s="132" t="s">
        <v>2214</v>
      </c>
      <c r="D705" s="132" t="s">
        <v>2214</v>
      </c>
      <c r="E705" s="132" t="s">
        <v>2214</v>
      </c>
      <c r="F705" s="132" t="s">
        <v>2214</v>
      </c>
      <c r="G705" s="138" t="s">
        <v>2214</v>
      </c>
      <c r="H705" s="132" t="e">
        <v>#N/A</v>
      </c>
      <c r="I705" s="135" t="s">
        <v>2214</v>
      </c>
    </row>
    <row r="706" spans="1:9">
      <c r="A706" s="131">
        <v>40410</v>
      </c>
      <c r="B706" s="132">
        <v>103.65</v>
      </c>
      <c r="C706" s="132" t="s">
        <v>2214</v>
      </c>
      <c r="D706" s="132" t="s">
        <v>2214</v>
      </c>
      <c r="E706" s="132" t="s">
        <v>2214</v>
      </c>
      <c r="F706" s="132" t="s">
        <v>2214</v>
      </c>
      <c r="G706" s="138" t="s">
        <v>2214</v>
      </c>
      <c r="H706" s="132" t="e">
        <v>#N/A</v>
      </c>
      <c r="I706" s="135" t="s">
        <v>2214</v>
      </c>
    </row>
    <row r="707" spans="1:9">
      <c r="A707" s="131">
        <v>40413</v>
      </c>
      <c r="B707" s="132">
        <v>103.65</v>
      </c>
      <c r="C707" s="132" t="s">
        <v>2214</v>
      </c>
      <c r="D707" s="132" t="s">
        <v>2214</v>
      </c>
      <c r="E707" s="132" t="s">
        <v>2214</v>
      </c>
      <c r="F707" s="132" t="s">
        <v>2214</v>
      </c>
      <c r="G707" s="138" t="s">
        <v>2214</v>
      </c>
      <c r="H707" s="132" t="e">
        <v>#N/A</v>
      </c>
      <c r="I707" s="135" t="s">
        <v>2214</v>
      </c>
    </row>
    <row r="708" spans="1:9">
      <c r="A708" s="131">
        <v>40414</v>
      </c>
      <c r="B708" s="132">
        <v>103.65</v>
      </c>
      <c r="C708" s="132" t="s">
        <v>2214</v>
      </c>
      <c r="D708" s="132" t="s">
        <v>2214</v>
      </c>
      <c r="E708" s="132" t="s">
        <v>2214</v>
      </c>
      <c r="F708" s="132" t="s">
        <v>2214</v>
      </c>
      <c r="G708" s="138" t="s">
        <v>2214</v>
      </c>
      <c r="H708" s="132" t="e">
        <v>#N/A</v>
      </c>
      <c r="I708" s="135" t="s">
        <v>2214</v>
      </c>
    </row>
    <row r="709" spans="1:9">
      <c r="A709" s="131">
        <v>40415</v>
      </c>
      <c r="B709" s="132">
        <v>103.65</v>
      </c>
      <c r="C709" s="132" t="s">
        <v>2214</v>
      </c>
      <c r="D709" s="132" t="s">
        <v>2214</v>
      </c>
      <c r="E709" s="132" t="s">
        <v>2214</v>
      </c>
      <c r="F709" s="132" t="s">
        <v>2214</v>
      </c>
      <c r="G709" s="138" t="s">
        <v>2214</v>
      </c>
      <c r="H709" s="132" t="e">
        <v>#N/A</v>
      </c>
      <c r="I709" s="135" t="s">
        <v>2214</v>
      </c>
    </row>
    <row r="710" spans="1:9">
      <c r="A710" s="131">
        <v>40416</v>
      </c>
      <c r="B710" s="132">
        <v>103.65</v>
      </c>
      <c r="C710" s="132" t="s">
        <v>2214</v>
      </c>
      <c r="D710" s="132" t="s">
        <v>2214</v>
      </c>
      <c r="E710" s="132" t="s">
        <v>2214</v>
      </c>
      <c r="F710" s="132" t="s">
        <v>2214</v>
      </c>
      <c r="G710" s="138" t="s">
        <v>2214</v>
      </c>
      <c r="H710" s="132" t="e">
        <v>#N/A</v>
      </c>
      <c r="I710" s="135" t="s">
        <v>2214</v>
      </c>
    </row>
    <row r="711" spans="1:9">
      <c r="A711" s="131">
        <v>40417</v>
      </c>
      <c r="B711" s="132">
        <v>103.65</v>
      </c>
      <c r="C711" s="132" t="s">
        <v>2214</v>
      </c>
      <c r="D711" s="132" t="s">
        <v>2214</v>
      </c>
      <c r="E711" s="132" t="s">
        <v>2214</v>
      </c>
      <c r="F711" s="132" t="s">
        <v>2214</v>
      </c>
      <c r="G711" s="138" t="s">
        <v>2214</v>
      </c>
      <c r="H711" s="132" t="e">
        <v>#N/A</v>
      </c>
      <c r="I711" s="135" t="s">
        <v>2214</v>
      </c>
    </row>
    <row r="712" spans="1:9">
      <c r="A712" s="131">
        <v>40420</v>
      </c>
      <c r="B712" s="132">
        <v>103.65</v>
      </c>
      <c r="C712" s="132" t="s">
        <v>2214</v>
      </c>
      <c r="D712" s="132" t="s">
        <v>2214</v>
      </c>
      <c r="E712" s="132" t="s">
        <v>2214</v>
      </c>
      <c r="F712" s="132" t="s">
        <v>2214</v>
      </c>
      <c r="G712" s="138" t="s">
        <v>2214</v>
      </c>
      <c r="H712" s="132" t="e">
        <v>#N/A</v>
      </c>
      <c r="I712" s="135" t="s">
        <v>2214</v>
      </c>
    </row>
    <row r="713" spans="1:9">
      <c r="A713" s="131">
        <v>40421</v>
      </c>
      <c r="B713" s="132">
        <v>103.65</v>
      </c>
      <c r="C713" s="132">
        <v>100</v>
      </c>
      <c r="D713" s="132" t="s">
        <v>2214</v>
      </c>
      <c r="E713" s="132" t="s">
        <v>2214</v>
      </c>
      <c r="F713" s="132" t="s">
        <v>2214</v>
      </c>
      <c r="G713" s="138" t="s">
        <v>2214</v>
      </c>
      <c r="H713" s="132" t="e">
        <v>#N/A</v>
      </c>
      <c r="I713" s="135" t="s">
        <v>2214</v>
      </c>
    </row>
    <row r="714" spans="1:9">
      <c r="A714" s="131">
        <v>40422</v>
      </c>
      <c r="B714" s="132">
        <v>103.65</v>
      </c>
      <c r="C714" s="132">
        <v>99.760999999999996</v>
      </c>
      <c r="D714" s="132" t="s">
        <v>2214</v>
      </c>
      <c r="E714" s="132" t="s">
        <v>2214</v>
      </c>
      <c r="F714" s="132" t="s">
        <v>2214</v>
      </c>
      <c r="G714" s="138" t="s">
        <v>2214</v>
      </c>
      <c r="H714" s="132" t="e">
        <v>#N/A</v>
      </c>
      <c r="I714" s="135" t="s">
        <v>2214</v>
      </c>
    </row>
    <row r="715" spans="1:9">
      <c r="A715" s="131">
        <v>40423</v>
      </c>
      <c r="B715" s="132">
        <v>103.65</v>
      </c>
      <c r="C715" s="132">
        <v>99.814899999999994</v>
      </c>
      <c r="D715" s="132" t="s">
        <v>2214</v>
      </c>
      <c r="E715" s="132" t="s">
        <v>2214</v>
      </c>
      <c r="F715" s="132" t="s">
        <v>2214</v>
      </c>
      <c r="G715" s="138" t="s">
        <v>2214</v>
      </c>
      <c r="H715" s="132" t="e">
        <v>#N/A</v>
      </c>
      <c r="I715" s="135" t="s">
        <v>2214</v>
      </c>
    </row>
    <row r="716" spans="1:9">
      <c r="A716" s="131">
        <v>40424</v>
      </c>
      <c r="B716" s="132">
        <v>103.65</v>
      </c>
      <c r="C716" s="132">
        <v>99.814899999999994</v>
      </c>
      <c r="D716" s="132" t="s">
        <v>2214</v>
      </c>
      <c r="E716" s="132" t="s">
        <v>2214</v>
      </c>
      <c r="F716" s="132" t="s">
        <v>2214</v>
      </c>
      <c r="G716" s="138" t="s">
        <v>2214</v>
      </c>
      <c r="H716" s="132" t="e">
        <v>#N/A</v>
      </c>
      <c r="I716" s="135" t="s">
        <v>2214</v>
      </c>
    </row>
    <row r="717" spans="1:9">
      <c r="A717" s="131">
        <v>40427</v>
      </c>
      <c r="B717" s="132">
        <v>103.65</v>
      </c>
      <c r="C717" s="132">
        <v>99.722999999999999</v>
      </c>
      <c r="D717" s="132" t="s">
        <v>2214</v>
      </c>
      <c r="E717" s="132" t="s">
        <v>2214</v>
      </c>
      <c r="F717" s="132" t="s">
        <v>2214</v>
      </c>
      <c r="G717" s="138" t="s">
        <v>2214</v>
      </c>
      <c r="H717" s="132" t="e">
        <v>#N/A</v>
      </c>
      <c r="I717" s="135" t="s">
        <v>2214</v>
      </c>
    </row>
    <row r="718" spans="1:9">
      <c r="A718" s="131">
        <v>40428</v>
      </c>
      <c r="B718" s="132">
        <v>103.65</v>
      </c>
      <c r="C718" s="132">
        <v>99.539699999999996</v>
      </c>
      <c r="D718" s="132" t="s">
        <v>2214</v>
      </c>
      <c r="E718" s="132" t="s">
        <v>2214</v>
      </c>
      <c r="F718" s="132" t="s">
        <v>2214</v>
      </c>
      <c r="G718" s="138" t="s">
        <v>2214</v>
      </c>
      <c r="H718" s="132" t="e">
        <v>#N/A</v>
      </c>
      <c r="I718" s="135" t="s">
        <v>2214</v>
      </c>
    </row>
    <row r="719" spans="1:9">
      <c r="A719" s="131">
        <v>40429</v>
      </c>
      <c r="B719" s="132">
        <v>103.65</v>
      </c>
      <c r="C719" s="132">
        <v>99.905000000000001</v>
      </c>
      <c r="D719" s="132" t="s">
        <v>2214</v>
      </c>
      <c r="E719" s="132" t="s">
        <v>2214</v>
      </c>
      <c r="F719" s="132" t="s">
        <v>2214</v>
      </c>
      <c r="G719" s="138" t="s">
        <v>2214</v>
      </c>
      <c r="H719" s="132" t="e">
        <v>#N/A</v>
      </c>
      <c r="I719" s="135" t="s">
        <v>2214</v>
      </c>
    </row>
    <row r="720" spans="1:9">
      <c r="A720" s="131">
        <v>40430</v>
      </c>
      <c r="B720" s="132">
        <v>103.65</v>
      </c>
      <c r="C720" s="132">
        <v>99.905000000000001</v>
      </c>
      <c r="D720" s="132" t="s">
        <v>2214</v>
      </c>
      <c r="E720" s="132" t="s">
        <v>2214</v>
      </c>
      <c r="F720" s="132" t="s">
        <v>2214</v>
      </c>
      <c r="G720" s="138" t="s">
        <v>2214</v>
      </c>
      <c r="H720" s="132" t="e">
        <v>#N/A</v>
      </c>
      <c r="I720" s="135" t="s">
        <v>2214</v>
      </c>
    </row>
    <row r="721" spans="1:9">
      <c r="A721" s="131">
        <v>40431</v>
      </c>
      <c r="B721" s="132">
        <v>103.65</v>
      </c>
      <c r="C721" s="132">
        <v>99.449200000000005</v>
      </c>
      <c r="D721" s="132" t="s">
        <v>2214</v>
      </c>
      <c r="E721" s="132" t="s">
        <v>2214</v>
      </c>
      <c r="F721" s="132" t="s">
        <v>2214</v>
      </c>
      <c r="G721" s="138" t="s">
        <v>2214</v>
      </c>
      <c r="H721" s="132" t="e">
        <v>#N/A</v>
      </c>
      <c r="I721" s="135" t="s">
        <v>2214</v>
      </c>
    </row>
    <row r="722" spans="1:9">
      <c r="A722" s="131">
        <v>40434</v>
      </c>
      <c r="B722" s="132">
        <v>103.65</v>
      </c>
      <c r="C722" s="132">
        <v>99.449200000000005</v>
      </c>
      <c r="D722" s="132" t="s">
        <v>2214</v>
      </c>
      <c r="E722" s="132" t="s">
        <v>2214</v>
      </c>
      <c r="F722" s="132" t="s">
        <v>2214</v>
      </c>
      <c r="G722" s="138" t="s">
        <v>2214</v>
      </c>
      <c r="H722" s="132" t="e">
        <v>#N/A</v>
      </c>
      <c r="I722" s="135" t="s">
        <v>2214</v>
      </c>
    </row>
    <row r="723" spans="1:9">
      <c r="A723" s="131">
        <v>40435</v>
      </c>
      <c r="B723" s="132">
        <v>103.65</v>
      </c>
      <c r="C723" s="132">
        <v>99.358500000000006</v>
      </c>
      <c r="D723" s="132" t="s">
        <v>2214</v>
      </c>
      <c r="E723" s="132" t="s">
        <v>2214</v>
      </c>
      <c r="F723" s="132" t="s">
        <v>2214</v>
      </c>
      <c r="G723" s="138" t="s">
        <v>2214</v>
      </c>
      <c r="H723" s="132" t="e">
        <v>#N/A</v>
      </c>
      <c r="I723" s="135" t="s">
        <v>2214</v>
      </c>
    </row>
    <row r="724" spans="1:9">
      <c r="A724" s="131">
        <v>40436</v>
      </c>
      <c r="B724" s="132">
        <v>103.65</v>
      </c>
      <c r="C724" s="132">
        <v>99.449799999999996</v>
      </c>
      <c r="D724" s="132" t="s">
        <v>2214</v>
      </c>
      <c r="E724" s="132" t="s">
        <v>2214</v>
      </c>
      <c r="F724" s="132" t="s">
        <v>2214</v>
      </c>
      <c r="G724" s="138" t="s">
        <v>2214</v>
      </c>
      <c r="H724" s="132" t="e">
        <v>#N/A</v>
      </c>
      <c r="I724" s="135" t="s">
        <v>2214</v>
      </c>
    </row>
    <row r="725" spans="1:9">
      <c r="A725" s="131">
        <v>40437</v>
      </c>
      <c r="B725" s="132">
        <v>103.65</v>
      </c>
      <c r="C725" s="132">
        <v>99.358999999999995</v>
      </c>
      <c r="D725" s="132" t="s">
        <v>2214</v>
      </c>
      <c r="E725" s="132" t="s">
        <v>2214</v>
      </c>
      <c r="F725" s="132" t="s">
        <v>2214</v>
      </c>
      <c r="G725" s="138" t="s">
        <v>2214</v>
      </c>
      <c r="H725" s="132" t="e">
        <v>#N/A</v>
      </c>
      <c r="I725" s="135" t="s">
        <v>2214</v>
      </c>
    </row>
    <row r="726" spans="1:9">
      <c r="A726" s="131">
        <v>40438</v>
      </c>
      <c r="B726" s="132">
        <v>103.65</v>
      </c>
      <c r="C726" s="132">
        <v>99.358999999999995</v>
      </c>
      <c r="D726" s="132" t="s">
        <v>2214</v>
      </c>
      <c r="E726" s="132" t="s">
        <v>2214</v>
      </c>
      <c r="F726" s="132" t="s">
        <v>2214</v>
      </c>
      <c r="G726" s="138" t="s">
        <v>2214</v>
      </c>
      <c r="H726" s="132" t="e">
        <v>#N/A</v>
      </c>
      <c r="I726" s="135" t="s">
        <v>2214</v>
      </c>
    </row>
    <row r="727" spans="1:9">
      <c r="A727" s="131">
        <v>40440</v>
      </c>
      <c r="B727" s="132">
        <v>103.65</v>
      </c>
      <c r="C727" s="132">
        <v>99.358999999999995</v>
      </c>
      <c r="D727" s="132" t="s">
        <v>2214</v>
      </c>
      <c r="E727" s="132" t="s">
        <v>2214</v>
      </c>
      <c r="F727" s="132" t="s">
        <v>2214</v>
      </c>
      <c r="G727" s="138" t="s">
        <v>2214</v>
      </c>
      <c r="H727" s="132" t="e">
        <v>#N/A</v>
      </c>
      <c r="I727" s="135" t="s">
        <v>2214</v>
      </c>
    </row>
    <row r="728" spans="1:9">
      <c r="A728" s="131">
        <v>40441</v>
      </c>
      <c r="B728" s="132">
        <v>103.65</v>
      </c>
      <c r="C728" s="132">
        <v>99.169399999999996</v>
      </c>
      <c r="D728" s="132" t="s">
        <v>2214</v>
      </c>
      <c r="E728" s="132" t="s">
        <v>2214</v>
      </c>
      <c r="F728" s="132" t="s">
        <v>2214</v>
      </c>
      <c r="G728" s="138" t="s">
        <v>2214</v>
      </c>
      <c r="H728" s="132" t="e">
        <v>#N/A</v>
      </c>
      <c r="I728" s="135" t="s">
        <v>2214</v>
      </c>
    </row>
    <row r="729" spans="1:9">
      <c r="A729" s="131">
        <v>40442</v>
      </c>
      <c r="B729" s="132">
        <v>103.65</v>
      </c>
      <c r="C729" s="132">
        <v>99.308099999999996</v>
      </c>
      <c r="D729" s="132" t="s">
        <v>2214</v>
      </c>
      <c r="E729" s="132" t="s">
        <v>2214</v>
      </c>
      <c r="F729" s="132" t="s">
        <v>2214</v>
      </c>
      <c r="G729" s="138" t="s">
        <v>2214</v>
      </c>
      <c r="H729" s="132" t="e">
        <v>#N/A</v>
      </c>
      <c r="I729" s="135" t="s">
        <v>2214</v>
      </c>
    </row>
    <row r="730" spans="1:9">
      <c r="A730" s="131">
        <v>40446</v>
      </c>
      <c r="B730" s="132">
        <v>103.65</v>
      </c>
      <c r="C730" s="132">
        <v>99.314499999999995</v>
      </c>
      <c r="D730" s="132" t="s">
        <v>2214</v>
      </c>
      <c r="E730" s="132" t="s">
        <v>2214</v>
      </c>
      <c r="F730" s="132" t="s">
        <v>2214</v>
      </c>
      <c r="G730" s="138" t="s">
        <v>2214</v>
      </c>
      <c r="H730" s="132" t="e">
        <v>#N/A</v>
      </c>
      <c r="I730" s="135" t="s">
        <v>2214</v>
      </c>
    </row>
    <row r="731" spans="1:9">
      <c r="A731" s="131">
        <v>40447</v>
      </c>
      <c r="B731" s="132">
        <v>103.65</v>
      </c>
      <c r="C731" s="132">
        <v>99.314300000000003</v>
      </c>
      <c r="D731" s="132" t="s">
        <v>2214</v>
      </c>
      <c r="E731" s="132" t="s">
        <v>2214</v>
      </c>
      <c r="F731" s="132" t="s">
        <v>2214</v>
      </c>
      <c r="G731" s="138" t="s">
        <v>2214</v>
      </c>
      <c r="H731" s="132" t="e">
        <v>#N/A</v>
      </c>
      <c r="I731" s="135" t="s">
        <v>2214</v>
      </c>
    </row>
    <row r="732" spans="1:9">
      <c r="A732" s="131">
        <v>40448</v>
      </c>
      <c r="B732" s="132">
        <v>103.65</v>
      </c>
      <c r="C732" s="132">
        <v>99.314499999999995</v>
      </c>
      <c r="D732" s="132" t="s">
        <v>2214</v>
      </c>
      <c r="E732" s="132" t="s">
        <v>2214</v>
      </c>
      <c r="F732" s="132" t="s">
        <v>2214</v>
      </c>
      <c r="G732" s="138" t="s">
        <v>2214</v>
      </c>
      <c r="H732" s="132" t="e">
        <v>#N/A</v>
      </c>
      <c r="I732" s="135" t="s">
        <v>2214</v>
      </c>
    </row>
    <row r="733" spans="1:9">
      <c r="A733" s="131">
        <v>40449</v>
      </c>
      <c r="B733" s="132">
        <v>103.65</v>
      </c>
      <c r="C733" s="132">
        <v>99.315100000000001</v>
      </c>
      <c r="D733" s="132" t="s">
        <v>2214</v>
      </c>
      <c r="E733" s="132" t="s">
        <v>2214</v>
      </c>
      <c r="F733" s="132" t="s">
        <v>2214</v>
      </c>
      <c r="G733" s="138" t="s">
        <v>2214</v>
      </c>
      <c r="H733" s="132" t="e">
        <v>#N/A</v>
      </c>
      <c r="I733" s="135" t="s">
        <v>2214</v>
      </c>
    </row>
    <row r="734" spans="1:9">
      <c r="A734" s="131">
        <v>40450</v>
      </c>
      <c r="B734" s="132">
        <v>103.65</v>
      </c>
      <c r="C734" s="132">
        <v>99.384900000000002</v>
      </c>
      <c r="D734" s="132" t="s">
        <v>2214</v>
      </c>
      <c r="E734" s="132" t="s">
        <v>2214</v>
      </c>
      <c r="F734" s="132" t="s">
        <v>2214</v>
      </c>
      <c r="G734" s="138" t="s">
        <v>2214</v>
      </c>
      <c r="H734" s="132" t="e">
        <v>#N/A</v>
      </c>
      <c r="I734" s="135" t="s">
        <v>2214</v>
      </c>
    </row>
    <row r="735" spans="1:9">
      <c r="A735" s="131">
        <v>40451</v>
      </c>
      <c r="B735" s="132">
        <v>103.65</v>
      </c>
      <c r="C735" s="132">
        <v>99.276799999999994</v>
      </c>
      <c r="D735" s="132" t="s">
        <v>2214</v>
      </c>
      <c r="E735" s="132" t="s">
        <v>2214</v>
      </c>
      <c r="F735" s="132" t="s">
        <v>2214</v>
      </c>
      <c r="G735" s="138" t="s">
        <v>2214</v>
      </c>
      <c r="H735" s="132" t="e">
        <v>#N/A</v>
      </c>
      <c r="I735" s="135" t="s">
        <v>2214</v>
      </c>
    </row>
    <row r="736" spans="1:9">
      <c r="A736" s="131">
        <v>40459</v>
      </c>
      <c r="B736" s="132">
        <v>103.65</v>
      </c>
      <c r="C736" s="132">
        <v>99.317599999999999</v>
      </c>
      <c r="D736" s="132" t="s">
        <v>2214</v>
      </c>
      <c r="E736" s="132" t="s">
        <v>2214</v>
      </c>
      <c r="F736" s="132" t="s">
        <v>2214</v>
      </c>
      <c r="G736" s="138" t="s">
        <v>2214</v>
      </c>
      <c r="H736" s="132" t="e">
        <v>#N/A</v>
      </c>
      <c r="I736" s="135" t="s">
        <v>2214</v>
      </c>
    </row>
    <row r="737" spans="1:9">
      <c r="A737" s="131">
        <v>40460</v>
      </c>
      <c r="B737" s="132">
        <v>103.65</v>
      </c>
      <c r="C737" s="132">
        <v>99.317599999999999</v>
      </c>
      <c r="D737" s="132" t="s">
        <v>2214</v>
      </c>
      <c r="E737" s="132" t="s">
        <v>2214</v>
      </c>
      <c r="F737" s="132" t="s">
        <v>2214</v>
      </c>
      <c r="G737" s="138" t="s">
        <v>2214</v>
      </c>
      <c r="H737" s="132" t="e">
        <v>#N/A</v>
      </c>
      <c r="I737" s="135" t="s">
        <v>2214</v>
      </c>
    </row>
    <row r="738" spans="1:9">
      <c r="A738" s="131">
        <v>40462</v>
      </c>
      <c r="B738" s="132">
        <v>103.65</v>
      </c>
      <c r="C738" s="132">
        <v>99.096500000000006</v>
      </c>
      <c r="D738" s="132" t="s">
        <v>2214</v>
      </c>
      <c r="E738" s="132" t="s">
        <v>2214</v>
      </c>
      <c r="F738" s="132" t="s">
        <v>2214</v>
      </c>
      <c r="G738" s="138" t="s">
        <v>2214</v>
      </c>
      <c r="H738" s="132" t="e">
        <v>#N/A</v>
      </c>
      <c r="I738" s="135" t="s">
        <v>2214</v>
      </c>
    </row>
    <row r="739" spans="1:9">
      <c r="A739" s="131">
        <v>40463</v>
      </c>
      <c r="B739" s="132">
        <v>103.65</v>
      </c>
      <c r="C739" s="132">
        <v>99.183899999999994</v>
      </c>
      <c r="D739" s="132" t="s">
        <v>2214</v>
      </c>
      <c r="E739" s="132" t="s">
        <v>2214</v>
      </c>
      <c r="F739" s="132" t="s">
        <v>2214</v>
      </c>
      <c r="G739" s="138" t="s">
        <v>2214</v>
      </c>
      <c r="H739" s="132" t="e">
        <v>#N/A</v>
      </c>
      <c r="I739" s="135" t="s">
        <v>2214</v>
      </c>
    </row>
    <row r="740" spans="1:9">
      <c r="A740" s="131">
        <v>40464</v>
      </c>
      <c r="B740" s="132">
        <v>103.65</v>
      </c>
      <c r="C740" s="132">
        <v>99.052599999999998</v>
      </c>
      <c r="D740" s="132" t="s">
        <v>2214</v>
      </c>
      <c r="E740" s="132" t="s">
        <v>2214</v>
      </c>
      <c r="F740" s="132" t="s">
        <v>2214</v>
      </c>
      <c r="G740" s="138" t="s">
        <v>2214</v>
      </c>
      <c r="H740" s="132" t="e">
        <v>#N/A</v>
      </c>
      <c r="I740" s="135" t="s">
        <v>2214</v>
      </c>
    </row>
    <row r="741" spans="1:9">
      <c r="A741" s="131">
        <v>40465</v>
      </c>
      <c r="B741" s="132">
        <v>103.65</v>
      </c>
      <c r="C741" s="132">
        <v>99.1798</v>
      </c>
      <c r="D741" s="132" t="s">
        <v>2214</v>
      </c>
      <c r="E741" s="132" t="s">
        <v>2214</v>
      </c>
      <c r="F741" s="132" t="s">
        <v>2214</v>
      </c>
      <c r="G741" s="138" t="s">
        <v>2214</v>
      </c>
      <c r="H741" s="132" t="e">
        <v>#N/A</v>
      </c>
      <c r="I741" s="135" t="s">
        <v>2214</v>
      </c>
    </row>
    <row r="742" spans="1:9">
      <c r="A742" s="131">
        <v>40466</v>
      </c>
      <c r="B742" s="132">
        <v>103.65</v>
      </c>
      <c r="C742" s="132">
        <v>99.232799999999997</v>
      </c>
      <c r="D742" s="132" t="s">
        <v>2214</v>
      </c>
      <c r="E742" s="132" t="s">
        <v>2214</v>
      </c>
      <c r="F742" s="132" t="s">
        <v>2214</v>
      </c>
      <c r="G742" s="138" t="s">
        <v>2214</v>
      </c>
      <c r="H742" s="132" t="e">
        <v>#N/A</v>
      </c>
      <c r="I742" s="135" t="s">
        <v>2214</v>
      </c>
    </row>
    <row r="743" spans="1:9">
      <c r="A743" s="131">
        <v>40469</v>
      </c>
      <c r="B743" s="132">
        <v>103.65</v>
      </c>
      <c r="C743" s="132">
        <v>99.233199999999997</v>
      </c>
      <c r="D743" s="132" t="s">
        <v>2214</v>
      </c>
      <c r="E743" s="132" t="s">
        <v>2214</v>
      </c>
      <c r="F743" s="132" t="s">
        <v>2214</v>
      </c>
      <c r="G743" s="138" t="s">
        <v>2214</v>
      </c>
      <c r="H743" s="132" t="e">
        <v>#N/A</v>
      </c>
      <c r="I743" s="135" t="s">
        <v>2214</v>
      </c>
    </row>
    <row r="744" spans="1:9">
      <c r="A744" s="131">
        <v>40470</v>
      </c>
      <c r="B744" s="132">
        <v>103.65</v>
      </c>
      <c r="C744" s="132">
        <v>99.168800000000005</v>
      </c>
      <c r="D744" s="132">
        <v>100</v>
      </c>
      <c r="E744" s="132" t="s">
        <v>2214</v>
      </c>
      <c r="F744" s="132" t="s">
        <v>2214</v>
      </c>
      <c r="G744" s="138" t="s">
        <v>2214</v>
      </c>
      <c r="H744" s="132" t="e">
        <v>#N/A</v>
      </c>
      <c r="I744" s="135" t="s">
        <v>2214</v>
      </c>
    </row>
    <row r="745" spans="1:9">
      <c r="A745" s="131">
        <v>40471</v>
      </c>
      <c r="B745" s="132">
        <v>103.65</v>
      </c>
      <c r="C745" s="132">
        <v>100.001</v>
      </c>
      <c r="D745" s="132">
        <v>99.804299999999998</v>
      </c>
      <c r="E745" s="132" t="s">
        <v>2214</v>
      </c>
      <c r="F745" s="132" t="s">
        <v>2214</v>
      </c>
      <c r="G745" s="138" t="s">
        <v>2214</v>
      </c>
      <c r="H745" s="132" t="e">
        <v>#N/A</v>
      </c>
      <c r="I745" s="135" t="s">
        <v>2214</v>
      </c>
    </row>
    <row r="746" spans="1:9">
      <c r="A746" s="131">
        <v>40472</v>
      </c>
      <c r="B746" s="132">
        <v>103.65</v>
      </c>
      <c r="C746" s="132">
        <v>99.3</v>
      </c>
      <c r="D746" s="132">
        <v>97.559799999999996</v>
      </c>
      <c r="E746" s="132" t="s">
        <v>2214</v>
      </c>
      <c r="F746" s="132" t="s">
        <v>2214</v>
      </c>
      <c r="G746" s="138" t="s">
        <v>2214</v>
      </c>
      <c r="H746" s="132" t="e">
        <v>#N/A</v>
      </c>
      <c r="I746" s="135" t="s">
        <v>2214</v>
      </c>
    </row>
    <row r="747" spans="1:9">
      <c r="A747" s="131">
        <v>40473</v>
      </c>
      <c r="B747" s="132">
        <v>103.65</v>
      </c>
      <c r="C747" s="132">
        <v>97.858400000000003</v>
      </c>
      <c r="D747" s="132">
        <v>97.8626</v>
      </c>
      <c r="E747" s="132" t="s">
        <v>2214</v>
      </c>
      <c r="F747" s="132" t="s">
        <v>2214</v>
      </c>
      <c r="G747" s="138" t="s">
        <v>2214</v>
      </c>
      <c r="H747" s="132" t="e">
        <v>#N/A</v>
      </c>
      <c r="I747" s="135" t="s">
        <v>2214</v>
      </c>
    </row>
    <row r="748" spans="1:9">
      <c r="A748" s="131">
        <v>40476</v>
      </c>
      <c r="B748" s="132">
        <v>103.65</v>
      </c>
      <c r="C748" s="132">
        <v>99.351500000000001</v>
      </c>
      <c r="D748" s="132">
        <v>98.043999999999997</v>
      </c>
      <c r="E748" s="132" t="s">
        <v>2214</v>
      </c>
      <c r="F748" s="132" t="s">
        <v>2214</v>
      </c>
      <c r="G748" s="138" t="s">
        <v>2214</v>
      </c>
      <c r="H748" s="132" t="e">
        <v>#N/A</v>
      </c>
      <c r="I748" s="135" t="s">
        <v>2214</v>
      </c>
    </row>
    <row r="749" spans="1:9">
      <c r="A749" s="131">
        <v>40477</v>
      </c>
      <c r="B749" s="132">
        <v>103.65</v>
      </c>
      <c r="C749" s="132">
        <v>99.349199999999996</v>
      </c>
      <c r="D749" s="132">
        <v>98.981700000000004</v>
      </c>
      <c r="E749" s="132" t="s">
        <v>2214</v>
      </c>
      <c r="F749" s="132" t="s">
        <v>2214</v>
      </c>
      <c r="G749" s="138" t="s">
        <v>2214</v>
      </c>
      <c r="H749" s="132" t="e">
        <v>#N/A</v>
      </c>
      <c r="I749" s="135" t="s">
        <v>2214</v>
      </c>
    </row>
    <row r="750" spans="1:9">
      <c r="A750" s="131">
        <v>40478</v>
      </c>
      <c r="B750" s="132">
        <v>103.65</v>
      </c>
      <c r="C750" s="132">
        <v>97.565200000000004</v>
      </c>
      <c r="D750" s="132">
        <v>98.977900000000005</v>
      </c>
      <c r="E750" s="132" t="s">
        <v>2214</v>
      </c>
      <c r="F750" s="132" t="s">
        <v>2214</v>
      </c>
      <c r="G750" s="138" t="s">
        <v>2214</v>
      </c>
      <c r="H750" s="132" t="e">
        <v>#N/A</v>
      </c>
      <c r="I750" s="135" t="s">
        <v>2214</v>
      </c>
    </row>
    <row r="751" spans="1:9">
      <c r="A751" s="131">
        <v>40479</v>
      </c>
      <c r="B751" s="132">
        <v>103.65</v>
      </c>
      <c r="C751" s="132">
        <v>97.566400000000002</v>
      </c>
      <c r="D751" s="132">
        <v>99.285600000000002</v>
      </c>
      <c r="E751" s="132" t="s">
        <v>2214</v>
      </c>
      <c r="F751" s="132" t="s">
        <v>2214</v>
      </c>
      <c r="G751" s="138" t="s">
        <v>2214</v>
      </c>
      <c r="H751" s="132" t="e">
        <v>#N/A</v>
      </c>
      <c r="I751" s="135" t="s">
        <v>2214</v>
      </c>
    </row>
    <row r="752" spans="1:9">
      <c r="A752" s="131">
        <v>40480</v>
      </c>
      <c r="B752" s="132">
        <v>103.65</v>
      </c>
      <c r="C752" s="132">
        <v>99.193399999999997</v>
      </c>
      <c r="D752" s="132">
        <v>98.969099999999997</v>
      </c>
      <c r="E752" s="132" t="s">
        <v>2214</v>
      </c>
      <c r="F752" s="132" t="s">
        <v>2214</v>
      </c>
      <c r="G752" s="138" t="s">
        <v>2214</v>
      </c>
      <c r="H752" s="132" t="e">
        <v>#N/A</v>
      </c>
      <c r="I752" s="135" t="s">
        <v>2214</v>
      </c>
    </row>
    <row r="753" spans="1:9">
      <c r="A753" s="131">
        <v>40483</v>
      </c>
      <c r="B753" s="132">
        <v>103.65</v>
      </c>
      <c r="C753" s="132">
        <v>99.193399999999997</v>
      </c>
      <c r="D753" s="132">
        <v>98.969099999999997</v>
      </c>
      <c r="E753" s="132" t="s">
        <v>2214</v>
      </c>
      <c r="F753" s="132" t="s">
        <v>2214</v>
      </c>
      <c r="G753" s="138" t="s">
        <v>2214</v>
      </c>
      <c r="H753" s="132" t="e">
        <v>#N/A</v>
      </c>
      <c r="I753" s="135" t="s">
        <v>2214</v>
      </c>
    </row>
    <row r="754" spans="1:9">
      <c r="A754" s="131">
        <v>40484</v>
      </c>
      <c r="B754" s="132">
        <v>103.65</v>
      </c>
      <c r="C754" s="132">
        <v>97.269400000000005</v>
      </c>
      <c r="D754" s="132">
        <v>97.661600000000007</v>
      </c>
      <c r="E754" s="132" t="s">
        <v>2214</v>
      </c>
      <c r="F754" s="132" t="s">
        <v>2214</v>
      </c>
      <c r="G754" s="138" t="s">
        <v>2214</v>
      </c>
      <c r="H754" s="132" t="e">
        <v>#N/A</v>
      </c>
      <c r="I754" s="135" t="s">
        <v>2214</v>
      </c>
    </row>
    <row r="755" spans="1:9">
      <c r="A755" s="131">
        <v>40485</v>
      </c>
      <c r="B755" s="132">
        <v>103.65</v>
      </c>
      <c r="C755" s="132">
        <v>96.838499999999996</v>
      </c>
      <c r="D755" s="132">
        <v>97.657899999999998</v>
      </c>
      <c r="E755" s="132" t="s">
        <v>2214</v>
      </c>
      <c r="F755" s="132" t="s">
        <v>2214</v>
      </c>
      <c r="G755" s="138" t="s">
        <v>2214</v>
      </c>
      <c r="H755" s="132" t="e">
        <v>#N/A</v>
      </c>
      <c r="I755" s="135" t="s">
        <v>2214</v>
      </c>
    </row>
    <row r="756" spans="1:9">
      <c r="A756" s="131">
        <v>40486</v>
      </c>
      <c r="B756" s="132">
        <v>103.65</v>
      </c>
      <c r="C756" s="132">
        <v>96.413600000000002</v>
      </c>
      <c r="D756" s="132">
        <v>96.530299999999997</v>
      </c>
      <c r="E756" s="132" t="s">
        <v>2214</v>
      </c>
      <c r="F756" s="132" t="s">
        <v>2214</v>
      </c>
      <c r="G756" s="138" t="s">
        <v>2214</v>
      </c>
      <c r="H756" s="132" t="e">
        <v>#N/A</v>
      </c>
      <c r="I756" s="135" t="s">
        <v>2214</v>
      </c>
    </row>
    <row r="757" spans="1:9">
      <c r="A757" s="131">
        <v>40487</v>
      </c>
      <c r="B757" s="132">
        <v>103.65</v>
      </c>
      <c r="C757" s="132">
        <v>96.418999999999997</v>
      </c>
      <c r="D757" s="132">
        <v>97.642799999999994</v>
      </c>
      <c r="E757" s="132" t="s">
        <v>2214</v>
      </c>
      <c r="F757" s="132" t="s">
        <v>2214</v>
      </c>
      <c r="G757" s="138" t="s">
        <v>2214</v>
      </c>
      <c r="H757" s="132" t="e">
        <v>#N/A</v>
      </c>
      <c r="I757" s="135" t="s">
        <v>2214</v>
      </c>
    </row>
    <row r="758" spans="1:9">
      <c r="A758" s="131">
        <v>40490</v>
      </c>
      <c r="B758" s="132">
        <v>103.65</v>
      </c>
      <c r="C758" s="132">
        <v>99.185900000000004</v>
      </c>
      <c r="D758" s="132">
        <v>98.951499999999996</v>
      </c>
      <c r="E758" s="132" t="s">
        <v>2214</v>
      </c>
      <c r="F758" s="132" t="s">
        <v>2214</v>
      </c>
      <c r="G758" s="138" t="s">
        <v>2214</v>
      </c>
      <c r="H758" s="132" t="e">
        <v>#N/A</v>
      </c>
      <c r="I758" s="135" t="s">
        <v>2214</v>
      </c>
    </row>
    <row r="759" spans="1:9">
      <c r="A759" s="131">
        <v>40491</v>
      </c>
      <c r="B759" s="132">
        <v>103.65</v>
      </c>
      <c r="C759" s="132">
        <v>97.860399999999998</v>
      </c>
      <c r="D759" s="132">
        <v>97.7547</v>
      </c>
      <c r="E759" s="132" t="s">
        <v>2214</v>
      </c>
      <c r="F759" s="132" t="s">
        <v>2214</v>
      </c>
      <c r="G759" s="138" t="s">
        <v>2214</v>
      </c>
      <c r="H759" s="132" t="e">
        <v>#N/A</v>
      </c>
      <c r="I759" s="135" t="s">
        <v>2214</v>
      </c>
    </row>
    <row r="760" spans="1:9">
      <c r="A760" s="131">
        <v>40492</v>
      </c>
      <c r="B760" s="132">
        <v>103.65</v>
      </c>
      <c r="C760" s="132">
        <v>97.468400000000003</v>
      </c>
      <c r="D760" s="132">
        <v>97.334000000000003</v>
      </c>
      <c r="E760" s="132" t="s">
        <v>2214</v>
      </c>
      <c r="F760" s="132" t="s">
        <v>2214</v>
      </c>
      <c r="G760" s="138" t="s">
        <v>2214</v>
      </c>
      <c r="H760" s="132" t="e">
        <v>#N/A</v>
      </c>
      <c r="I760" s="135" t="s">
        <v>2214</v>
      </c>
    </row>
    <row r="761" spans="1:9">
      <c r="A761" s="131">
        <v>40493</v>
      </c>
      <c r="B761" s="132">
        <v>103.65</v>
      </c>
      <c r="C761" s="132">
        <v>97.468400000000003</v>
      </c>
      <c r="D761" s="132">
        <v>95.746899999999997</v>
      </c>
      <c r="E761" s="132" t="s">
        <v>2214</v>
      </c>
      <c r="F761" s="132" t="s">
        <v>2214</v>
      </c>
      <c r="G761" s="138" t="s">
        <v>2214</v>
      </c>
      <c r="H761" s="132" t="e">
        <v>#N/A</v>
      </c>
      <c r="I761" s="135" t="s">
        <v>2214</v>
      </c>
    </row>
    <row r="762" spans="1:9">
      <c r="A762" s="131">
        <v>40494</v>
      </c>
      <c r="B762" s="132">
        <v>103.65</v>
      </c>
      <c r="C762" s="132">
        <v>97.468400000000003</v>
      </c>
      <c r="D762" s="132">
        <v>95.746899999999997</v>
      </c>
      <c r="E762" s="132" t="s">
        <v>2214</v>
      </c>
      <c r="F762" s="132" t="s">
        <v>2214</v>
      </c>
      <c r="G762" s="138" t="s">
        <v>2214</v>
      </c>
      <c r="H762" s="132" t="e">
        <v>#N/A</v>
      </c>
      <c r="I762" s="135" t="s">
        <v>2214</v>
      </c>
    </row>
    <row r="763" spans="1:9">
      <c r="A763" s="131">
        <v>40497</v>
      </c>
      <c r="B763" s="132">
        <v>103.65</v>
      </c>
      <c r="C763" s="132">
        <v>95.2958</v>
      </c>
      <c r="D763" s="132">
        <v>95.746899999999997</v>
      </c>
      <c r="E763" s="132" t="s">
        <v>2214</v>
      </c>
      <c r="F763" s="132" t="s">
        <v>2214</v>
      </c>
      <c r="G763" s="138" t="s">
        <v>2214</v>
      </c>
      <c r="H763" s="132" t="e">
        <v>#N/A</v>
      </c>
      <c r="I763" s="135" t="s">
        <v>2214</v>
      </c>
    </row>
    <row r="764" spans="1:9">
      <c r="A764" s="131">
        <v>40498</v>
      </c>
      <c r="B764" s="132">
        <v>103.65</v>
      </c>
      <c r="C764" s="132">
        <v>97.331699999999998</v>
      </c>
      <c r="D764" s="132">
        <v>95.746899999999997</v>
      </c>
      <c r="E764" s="132" t="s">
        <v>2214</v>
      </c>
      <c r="F764" s="132" t="s">
        <v>2214</v>
      </c>
      <c r="G764" s="138" t="s">
        <v>2214</v>
      </c>
      <c r="H764" s="132" t="e">
        <v>#N/A</v>
      </c>
      <c r="I764" s="135" t="s">
        <v>2214</v>
      </c>
    </row>
    <row r="765" spans="1:9">
      <c r="A765" s="131">
        <v>40499</v>
      </c>
      <c r="B765" s="132">
        <v>103.65</v>
      </c>
      <c r="C765" s="132">
        <v>97.235299999999995</v>
      </c>
      <c r="D765" s="132">
        <v>97.445099999999996</v>
      </c>
      <c r="E765" s="132" t="s">
        <v>2214</v>
      </c>
      <c r="F765" s="132" t="s">
        <v>2214</v>
      </c>
      <c r="G765" s="138" t="s">
        <v>2214</v>
      </c>
      <c r="H765" s="132" t="e">
        <v>#N/A</v>
      </c>
      <c r="I765" s="135" t="s">
        <v>2214</v>
      </c>
    </row>
    <row r="766" spans="1:9">
      <c r="A766" s="131">
        <v>40500</v>
      </c>
      <c r="B766" s="132">
        <v>103.65</v>
      </c>
      <c r="C766" s="132">
        <v>97.246799999999993</v>
      </c>
      <c r="D766" s="132">
        <v>97.672399999999996</v>
      </c>
      <c r="E766" s="132" t="s">
        <v>2214</v>
      </c>
      <c r="F766" s="132" t="s">
        <v>2214</v>
      </c>
      <c r="G766" s="138" t="s">
        <v>2214</v>
      </c>
      <c r="H766" s="132" t="e">
        <v>#N/A</v>
      </c>
      <c r="I766" s="135" t="s">
        <v>2214</v>
      </c>
    </row>
    <row r="767" spans="1:9">
      <c r="A767" s="131">
        <v>40501</v>
      </c>
      <c r="B767" s="132">
        <v>103.65</v>
      </c>
      <c r="C767" s="132">
        <v>95.854200000000006</v>
      </c>
      <c r="D767" s="132">
        <v>98.053399999999996</v>
      </c>
      <c r="E767" s="132" t="s">
        <v>2214</v>
      </c>
      <c r="F767" s="132" t="s">
        <v>2214</v>
      </c>
      <c r="G767" s="138" t="s">
        <v>2214</v>
      </c>
      <c r="H767" s="132" t="e">
        <v>#N/A</v>
      </c>
      <c r="I767" s="135" t="s">
        <v>2214</v>
      </c>
    </row>
    <row r="768" spans="1:9">
      <c r="A768" s="131">
        <v>40504</v>
      </c>
      <c r="B768" s="132">
        <v>103.65</v>
      </c>
      <c r="C768" s="132">
        <v>97.712400000000002</v>
      </c>
      <c r="D768" s="132">
        <v>97.981300000000005</v>
      </c>
      <c r="E768" s="132" t="s">
        <v>2214</v>
      </c>
      <c r="F768" s="132" t="s">
        <v>2214</v>
      </c>
      <c r="G768" s="138" t="s">
        <v>2214</v>
      </c>
      <c r="H768" s="132" t="e">
        <v>#N/A</v>
      </c>
      <c r="I768" s="135" t="s">
        <v>2214</v>
      </c>
    </row>
    <row r="769" spans="1:9">
      <c r="A769" s="131">
        <v>40505</v>
      </c>
      <c r="B769" s="132">
        <v>103.65</v>
      </c>
      <c r="C769" s="132">
        <v>97.505600000000001</v>
      </c>
      <c r="D769" s="132">
        <v>97.555800000000005</v>
      </c>
      <c r="E769" s="132" t="s">
        <v>2214</v>
      </c>
      <c r="F769" s="132" t="s">
        <v>2214</v>
      </c>
      <c r="G769" s="138" t="s">
        <v>2214</v>
      </c>
      <c r="H769" s="132" t="e">
        <v>#N/A</v>
      </c>
      <c r="I769" s="135" t="s">
        <v>2214</v>
      </c>
    </row>
    <row r="770" spans="1:9">
      <c r="A770" s="131">
        <v>40506</v>
      </c>
      <c r="B770" s="132">
        <v>103.65</v>
      </c>
      <c r="C770" s="132">
        <v>95.358999999999995</v>
      </c>
      <c r="D770" s="132">
        <v>97.084800000000001</v>
      </c>
      <c r="E770" s="132" t="s">
        <v>2214</v>
      </c>
      <c r="F770" s="132" t="s">
        <v>2214</v>
      </c>
      <c r="G770" s="138" t="s">
        <v>2214</v>
      </c>
      <c r="H770" s="132" t="e">
        <v>#N/A</v>
      </c>
      <c r="I770" s="135" t="s">
        <v>2214</v>
      </c>
    </row>
    <row r="771" spans="1:9">
      <c r="A771" s="131">
        <v>40507</v>
      </c>
      <c r="B771" s="132">
        <v>103.65</v>
      </c>
      <c r="C771" s="132">
        <v>96.957300000000004</v>
      </c>
      <c r="D771" s="132">
        <v>97.024299999999997</v>
      </c>
      <c r="E771" s="132" t="s">
        <v>2214</v>
      </c>
      <c r="F771" s="132" t="s">
        <v>2214</v>
      </c>
      <c r="G771" s="138" t="s">
        <v>2214</v>
      </c>
      <c r="H771" s="132" t="e">
        <v>#N/A</v>
      </c>
      <c r="I771" s="135" t="s">
        <v>2214</v>
      </c>
    </row>
    <row r="772" spans="1:9">
      <c r="A772" s="131">
        <v>40508</v>
      </c>
      <c r="B772" s="132">
        <v>103.65</v>
      </c>
      <c r="C772" s="132">
        <v>96.816400000000002</v>
      </c>
      <c r="D772" s="132">
        <v>97.042100000000005</v>
      </c>
      <c r="E772" s="132" t="s">
        <v>2214</v>
      </c>
      <c r="F772" s="132" t="s">
        <v>2214</v>
      </c>
      <c r="G772" s="138" t="s">
        <v>2214</v>
      </c>
      <c r="H772" s="132" t="e">
        <v>#N/A</v>
      </c>
      <c r="I772" s="135" t="s">
        <v>2214</v>
      </c>
    </row>
    <row r="773" spans="1:9">
      <c r="A773" s="131">
        <v>40511</v>
      </c>
      <c r="B773" s="132">
        <v>103.65</v>
      </c>
      <c r="C773" s="132">
        <v>95.999099999999999</v>
      </c>
      <c r="D773" s="132">
        <v>96.897499999999994</v>
      </c>
      <c r="E773" s="132" t="s">
        <v>2214</v>
      </c>
      <c r="F773" s="132" t="s">
        <v>2214</v>
      </c>
      <c r="G773" s="138" t="s">
        <v>2214</v>
      </c>
      <c r="H773" s="132" t="e">
        <v>#N/A</v>
      </c>
      <c r="I773" s="135" t="s">
        <v>2214</v>
      </c>
    </row>
    <row r="774" spans="1:9">
      <c r="A774" s="131">
        <v>40512</v>
      </c>
      <c r="B774" s="132">
        <v>103.65</v>
      </c>
      <c r="C774" s="132">
        <v>96.73</v>
      </c>
      <c r="D774" s="132">
        <v>96.74</v>
      </c>
      <c r="E774" s="132" t="s">
        <v>2214</v>
      </c>
      <c r="F774" s="132" t="s">
        <v>2214</v>
      </c>
      <c r="G774" s="138" t="s">
        <v>2214</v>
      </c>
      <c r="H774" s="132" t="e">
        <v>#N/A</v>
      </c>
      <c r="I774" s="135" t="s">
        <v>2214</v>
      </c>
    </row>
    <row r="775" spans="1:9">
      <c r="A775" s="131">
        <v>40513</v>
      </c>
      <c r="B775" s="132">
        <v>103.65</v>
      </c>
      <c r="C775" s="132">
        <v>95.2928</v>
      </c>
      <c r="D775" s="132">
        <v>96.74</v>
      </c>
      <c r="E775" s="132" t="s">
        <v>2214</v>
      </c>
      <c r="F775" s="132" t="s">
        <v>2214</v>
      </c>
      <c r="G775" s="138" t="s">
        <v>2214</v>
      </c>
      <c r="H775" s="132" t="e">
        <v>#N/A</v>
      </c>
      <c r="I775" s="135" t="s">
        <v>2214</v>
      </c>
    </row>
    <row r="776" spans="1:9">
      <c r="A776" s="131">
        <v>40514</v>
      </c>
      <c r="B776" s="132">
        <v>103.65</v>
      </c>
      <c r="C776" s="132">
        <v>95.2928</v>
      </c>
      <c r="D776" s="132">
        <v>96.74</v>
      </c>
      <c r="E776" s="132" t="s">
        <v>2214</v>
      </c>
      <c r="F776" s="132" t="s">
        <v>2214</v>
      </c>
      <c r="G776" s="138" t="s">
        <v>2214</v>
      </c>
      <c r="H776" s="132" t="e">
        <v>#N/A</v>
      </c>
      <c r="I776" s="135" t="s">
        <v>2214</v>
      </c>
    </row>
    <row r="777" spans="1:9">
      <c r="A777" s="131">
        <v>40515</v>
      </c>
      <c r="B777" s="132">
        <v>103.65</v>
      </c>
      <c r="C777" s="132">
        <v>95.2928</v>
      </c>
      <c r="D777" s="132">
        <v>96.74</v>
      </c>
      <c r="E777" s="132" t="s">
        <v>2214</v>
      </c>
      <c r="F777" s="132" t="s">
        <v>2214</v>
      </c>
      <c r="G777" s="138" t="s">
        <v>2214</v>
      </c>
      <c r="H777" s="132" t="e">
        <v>#N/A</v>
      </c>
      <c r="I777" s="135" t="s">
        <v>2214</v>
      </c>
    </row>
    <row r="778" spans="1:9">
      <c r="A778" s="131">
        <v>40518</v>
      </c>
      <c r="B778" s="132">
        <v>103.65</v>
      </c>
      <c r="C778" s="132">
        <v>96.736599999999996</v>
      </c>
      <c r="D778" s="132">
        <v>96.736400000000003</v>
      </c>
      <c r="E778" s="132" t="s">
        <v>2214</v>
      </c>
      <c r="F778" s="132" t="s">
        <v>2214</v>
      </c>
      <c r="G778" s="138" t="s">
        <v>2214</v>
      </c>
      <c r="H778" s="132" t="e">
        <v>#N/A</v>
      </c>
      <c r="I778" s="135" t="s">
        <v>2214</v>
      </c>
    </row>
    <row r="779" spans="1:9">
      <c r="A779" s="131">
        <v>40519</v>
      </c>
      <c r="B779" s="132">
        <v>103.65</v>
      </c>
      <c r="C779" s="132">
        <v>96.735399999999998</v>
      </c>
      <c r="D779" s="132">
        <v>96.733800000000002</v>
      </c>
      <c r="E779" s="132" t="s">
        <v>2214</v>
      </c>
      <c r="F779" s="132" t="s">
        <v>2214</v>
      </c>
      <c r="G779" s="138" t="s">
        <v>2214</v>
      </c>
      <c r="H779" s="132" t="e">
        <v>#N/A</v>
      </c>
      <c r="I779" s="135" t="s">
        <v>2214</v>
      </c>
    </row>
    <row r="780" spans="1:9">
      <c r="A780" s="131">
        <v>40520</v>
      </c>
      <c r="B780" s="132">
        <v>103.65</v>
      </c>
      <c r="C780" s="132">
        <v>97.299099999999996</v>
      </c>
      <c r="D780" s="132">
        <v>96.897599999999997</v>
      </c>
      <c r="E780" s="132" t="s">
        <v>2214</v>
      </c>
      <c r="F780" s="132" t="s">
        <v>2214</v>
      </c>
      <c r="G780" s="138" t="s">
        <v>2214</v>
      </c>
      <c r="H780" s="132" t="e">
        <v>#N/A</v>
      </c>
      <c r="I780" s="135" t="s">
        <v>2214</v>
      </c>
    </row>
    <row r="781" spans="1:9">
      <c r="A781" s="131">
        <v>40521</v>
      </c>
      <c r="B781" s="132">
        <v>103.65</v>
      </c>
      <c r="C781" s="132">
        <v>97.298199999999994</v>
      </c>
      <c r="D781" s="132">
        <v>96.895200000000003</v>
      </c>
      <c r="E781" s="132" t="s">
        <v>2214</v>
      </c>
      <c r="F781" s="132" t="s">
        <v>2214</v>
      </c>
      <c r="G781" s="138" t="s">
        <v>2214</v>
      </c>
      <c r="H781" s="132" t="e">
        <v>#N/A</v>
      </c>
      <c r="I781" s="135" t="s">
        <v>2214</v>
      </c>
    </row>
    <row r="782" spans="1:9">
      <c r="A782" s="131">
        <v>40522</v>
      </c>
      <c r="B782" s="132">
        <v>103.65</v>
      </c>
      <c r="C782" s="132">
        <v>97.295599999999993</v>
      </c>
      <c r="D782" s="132">
        <v>96.888099999999994</v>
      </c>
      <c r="E782" s="132" t="s">
        <v>2214</v>
      </c>
      <c r="F782" s="132" t="s">
        <v>2214</v>
      </c>
      <c r="G782" s="138" t="s">
        <v>2214</v>
      </c>
      <c r="H782" s="132" t="e">
        <v>#N/A</v>
      </c>
      <c r="I782" s="135" t="s">
        <v>2214</v>
      </c>
    </row>
    <row r="783" spans="1:9">
      <c r="A783" s="131">
        <v>40525</v>
      </c>
      <c r="B783" s="132">
        <v>103.65</v>
      </c>
      <c r="C783" s="132">
        <v>96.808999999999997</v>
      </c>
      <c r="D783" s="132">
        <v>97.165899999999993</v>
      </c>
      <c r="E783" s="132" t="s">
        <v>2214</v>
      </c>
      <c r="F783" s="132" t="s">
        <v>2214</v>
      </c>
      <c r="G783" s="138" t="s">
        <v>2214</v>
      </c>
      <c r="H783" s="132" t="e">
        <v>#N/A</v>
      </c>
      <c r="I783" s="135" t="s">
        <v>2214</v>
      </c>
    </row>
    <row r="784" spans="1:9">
      <c r="A784" s="131">
        <v>40526</v>
      </c>
      <c r="B784" s="132">
        <v>103.65</v>
      </c>
      <c r="C784" s="132">
        <v>96.808099999999996</v>
      </c>
      <c r="D784" s="132">
        <v>97.697400000000002</v>
      </c>
      <c r="E784" s="132" t="s">
        <v>2214</v>
      </c>
      <c r="F784" s="132" t="s">
        <v>2214</v>
      </c>
      <c r="G784" s="138" t="s">
        <v>2214</v>
      </c>
      <c r="H784" s="132" t="e">
        <v>#N/A</v>
      </c>
      <c r="I784" s="135" t="s">
        <v>2214</v>
      </c>
    </row>
    <row r="785" spans="1:9">
      <c r="A785" s="131">
        <v>40527</v>
      </c>
      <c r="B785" s="132">
        <v>98.54</v>
      </c>
      <c r="C785" s="132">
        <v>96.809399999999997</v>
      </c>
      <c r="D785" s="132">
        <v>97.907499999999999</v>
      </c>
      <c r="E785" s="132" t="s">
        <v>2214</v>
      </c>
      <c r="F785" s="132" t="s">
        <v>2214</v>
      </c>
      <c r="G785" s="138" t="s">
        <v>2214</v>
      </c>
      <c r="H785" s="132" t="e">
        <v>#N/A</v>
      </c>
      <c r="I785" s="135" t="s">
        <v>2214</v>
      </c>
    </row>
    <row r="786" spans="1:9">
      <c r="A786" s="131">
        <v>40528</v>
      </c>
      <c r="B786" s="132">
        <v>98.54</v>
      </c>
      <c r="C786" s="132">
        <v>97.029399999999995</v>
      </c>
      <c r="D786" s="132">
        <v>98.007499999999993</v>
      </c>
      <c r="E786" s="132" t="s">
        <v>2214</v>
      </c>
      <c r="F786" s="132" t="s">
        <v>2214</v>
      </c>
      <c r="G786" s="138" t="s">
        <v>2214</v>
      </c>
      <c r="H786" s="132" t="e">
        <v>#N/A</v>
      </c>
      <c r="I786" s="135" t="s">
        <v>2214</v>
      </c>
    </row>
    <row r="787" spans="1:9">
      <c r="A787" s="131">
        <v>40529</v>
      </c>
      <c r="B787" s="132">
        <v>98.54</v>
      </c>
      <c r="C787" s="132">
        <v>97.027500000000003</v>
      </c>
      <c r="D787" s="132">
        <v>97.999799999999993</v>
      </c>
      <c r="E787" s="132" t="s">
        <v>2214</v>
      </c>
      <c r="F787" s="132" t="s">
        <v>2214</v>
      </c>
      <c r="G787" s="138" t="s">
        <v>2214</v>
      </c>
      <c r="H787" s="132" t="e">
        <v>#N/A</v>
      </c>
      <c r="I787" s="135" t="s">
        <v>2214</v>
      </c>
    </row>
    <row r="788" spans="1:9">
      <c r="A788" s="131">
        <v>40532</v>
      </c>
      <c r="B788" s="132">
        <v>98.54</v>
      </c>
      <c r="C788" s="132">
        <v>97.058700000000002</v>
      </c>
      <c r="D788" s="132">
        <v>97.651899999999998</v>
      </c>
      <c r="E788" s="132" t="s">
        <v>2214</v>
      </c>
      <c r="F788" s="132" t="s">
        <v>2214</v>
      </c>
      <c r="G788" s="138" t="s">
        <v>2214</v>
      </c>
      <c r="H788" s="132" t="e">
        <v>#N/A</v>
      </c>
      <c r="I788" s="135" t="s">
        <v>2214</v>
      </c>
    </row>
    <row r="789" spans="1:9">
      <c r="A789" s="131">
        <v>40533</v>
      </c>
      <c r="B789" s="132">
        <v>98.54</v>
      </c>
      <c r="C789" s="132">
        <v>97.058899999999994</v>
      </c>
      <c r="D789" s="132">
        <v>97.650800000000004</v>
      </c>
      <c r="E789" s="132" t="s">
        <v>2214</v>
      </c>
      <c r="F789" s="132" t="s">
        <v>2214</v>
      </c>
      <c r="G789" s="138" t="s">
        <v>2214</v>
      </c>
      <c r="H789" s="132" t="e">
        <v>#N/A</v>
      </c>
      <c r="I789" s="135" t="s">
        <v>2214</v>
      </c>
    </row>
    <row r="790" spans="1:9">
      <c r="A790" s="131">
        <v>40534</v>
      </c>
      <c r="B790" s="132">
        <v>98.54</v>
      </c>
      <c r="C790" s="132">
        <v>97.059600000000003</v>
      </c>
      <c r="D790" s="132">
        <v>97.650099999999995</v>
      </c>
      <c r="E790" s="132" t="s">
        <v>2214</v>
      </c>
      <c r="F790" s="132" t="s">
        <v>2214</v>
      </c>
      <c r="G790" s="138" t="s">
        <v>2214</v>
      </c>
      <c r="H790" s="132" t="e">
        <v>#N/A</v>
      </c>
      <c r="I790" s="135" t="s">
        <v>2214</v>
      </c>
    </row>
    <row r="791" spans="1:9">
      <c r="A791" s="131">
        <v>40535</v>
      </c>
      <c r="B791" s="132">
        <v>98.54</v>
      </c>
      <c r="C791" s="132">
        <v>95.951999999999998</v>
      </c>
      <c r="D791" s="132">
        <v>97.651300000000006</v>
      </c>
      <c r="E791" s="132" t="s">
        <v>2214</v>
      </c>
      <c r="F791" s="132" t="s">
        <v>2214</v>
      </c>
      <c r="G791" s="138" t="s">
        <v>2214</v>
      </c>
      <c r="H791" s="132" t="e">
        <v>#N/A</v>
      </c>
      <c r="I791" s="135" t="s">
        <v>2214</v>
      </c>
    </row>
    <row r="792" spans="1:9">
      <c r="A792" s="131">
        <v>40536</v>
      </c>
      <c r="B792" s="132">
        <v>98.54</v>
      </c>
      <c r="C792" s="132">
        <v>97.075900000000004</v>
      </c>
      <c r="D792" s="132">
        <v>97.660899999999998</v>
      </c>
      <c r="E792" s="132" t="s">
        <v>2214</v>
      </c>
      <c r="F792" s="132" t="s">
        <v>2214</v>
      </c>
      <c r="G792" s="138" t="s">
        <v>2214</v>
      </c>
      <c r="H792" s="132" t="e">
        <v>#N/A</v>
      </c>
      <c r="I792" s="135" t="s">
        <v>2214</v>
      </c>
    </row>
    <row r="793" spans="1:9">
      <c r="A793" s="131">
        <v>40539</v>
      </c>
      <c r="B793" s="132">
        <v>98.54</v>
      </c>
      <c r="C793" s="132">
        <v>97.080399999999997</v>
      </c>
      <c r="D793" s="132">
        <v>97.664000000000001</v>
      </c>
      <c r="E793" s="132" t="s">
        <v>2214</v>
      </c>
      <c r="F793" s="132" t="s">
        <v>2214</v>
      </c>
      <c r="G793" s="138" t="s">
        <v>2214</v>
      </c>
      <c r="H793" s="132" t="e">
        <v>#N/A</v>
      </c>
      <c r="I793" s="135" t="s">
        <v>2214</v>
      </c>
    </row>
    <row r="794" spans="1:9">
      <c r="A794" s="131">
        <v>40540</v>
      </c>
      <c r="B794" s="132">
        <v>98.54</v>
      </c>
      <c r="C794" s="132">
        <v>97.080399999999997</v>
      </c>
      <c r="D794" s="132">
        <v>97.664000000000001</v>
      </c>
      <c r="E794" s="132" t="s">
        <v>2214</v>
      </c>
      <c r="F794" s="132" t="s">
        <v>2214</v>
      </c>
      <c r="G794" s="138" t="s">
        <v>2214</v>
      </c>
      <c r="H794" s="132" t="e">
        <v>#N/A</v>
      </c>
      <c r="I794" s="135" t="s">
        <v>2214</v>
      </c>
    </row>
    <row r="795" spans="1:9">
      <c r="A795" s="131">
        <v>40541</v>
      </c>
      <c r="B795" s="132">
        <v>98.54</v>
      </c>
      <c r="C795" s="132">
        <v>95.686700000000002</v>
      </c>
      <c r="D795" s="132">
        <v>97.664000000000001</v>
      </c>
      <c r="E795" s="132" t="s">
        <v>2214</v>
      </c>
      <c r="F795" s="132" t="s">
        <v>2214</v>
      </c>
      <c r="G795" s="138" t="s">
        <v>2214</v>
      </c>
      <c r="H795" s="132" t="e">
        <v>#N/A</v>
      </c>
      <c r="I795" s="135" t="s">
        <v>2214</v>
      </c>
    </row>
    <row r="796" spans="1:9">
      <c r="A796" s="131">
        <v>40542</v>
      </c>
      <c r="B796" s="132">
        <v>98.54</v>
      </c>
      <c r="C796" s="132">
        <v>95.686700000000002</v>
      </c>
      <c r="D796" s="132">
        <v>96.158600000000007</v>
      </c>
      <c r="E796" s="132" t="s">
        <v>2214</v>
      </c>
      <c r="F796" s="132" t="s">
        <v>2214</v>
      </c>
      <c r="G796" s="138" t="s">
        <v>2214</v>
      </c>
      <c r="H796" s="132" t="e">
        <v>#N/A</v>
      </c>
      <c r="I796" s="135" t="s">
        <v>2214</v>
      </c>
    </row>
    <row r="797" spans="1:9">
      <c r="A797" s="131">
        <v>40543</v>
      </c>
      <c r="B797" s="132">
        <v>98.54</v>
      </c>
      <c r="C797" s="132">
        <v>95.49</v>
      </c>
      <c r="D797" s="132">
        <v>96.158600000000007</v>
      </c>
      <c r="E797" s="132" t="s">
        <v>2214</v>
      </c>
      <c r="F797" s="132" t="s">
        <v>2214</v>
      </c>
      <c r="G797" s="138" t="s">
        <v>2214</v>
      </c>
      <c r="H797" s="132" t="e">
        <v>#N/A</v>
      </c>
      <c r="I797" s="135" t="s">
        <v>2214</v>
      </c>
    </row>
    <row r="798" spans="1:9">
      <c r="A798" s="131">
        <v>40547</v>
      </c>
      <c r="B798" s="132">
        <v>98.54</v>
      </c>
      <c r="C798" s="132">
        <v>96.973100000000002</v>
      </c>
      <c r="D798" s="132">
        <v>96.158600000000007</v>
      </c>
      <c r="E798" s="132" t="s">
        <v>2214</v>
      </c>
      <c r="F798" s="132" t="s">
        <v>2214</v>
      </c>
      <c r="G798" s="138" t="s">
        <v>2214</v>
      </c>
      <c r="H798" s="132" t="e">
        <v>#N/A</v>
      </c>
      <c r="I798" s="135" t="s">
        <v>2214</v>
      </c>
    </row>
    <row r="799" spans="1:9">
      <c r="A799" s="131">
        <v>40548</v>
      </c>
      <c r="B799" s="132">
        <v>98.54</v>
      </c>
      <c r="C799" s="132">
        <v>95.766900000000007</v>
      </c>
      <c r="D799" s="132">
        <v>96.158600000000007</v>
      </c>
      <c r="E799" s="132" t="s">
        <v>2214</v>
      </c>
      <c r="F799" s="132" t="s">
        <v>2214</v>
      </c>
      <c r="G799" s="138" t="s">
        <v>2214</v>
      </c>
      <c r="H799" s="132" t="e">
        <v>#N/A</v>
      </c>
      <c r="I799" s="135" t="s">
        <v>2214</v>
      </c>
    </row>
    <row r="800" spans="1:9">
      <c r="A800" s="131">
        <v>40549</v>
      </c>
      <c r="B800" s="132">
        <v>98.54</v>
      </c>
      <c r="C800" s="132">
        <v>96.527299999999997</v>
      </c>
      <c r="D800" s="132">
        <v>96.232200000000006</v>
      </c>
      <c r="E800" s="132" t="s">
        <v>2214</v>
      </c>
      <c r="F800" s="132" t="s">
        <v>2214</v>
      </c>
      <c r="G800" s="138" t="s">
        <v>2214</v>
      </c>
      <c r="H800" s="132" t="e">
        <v>#N/A</v>
      </c>
      <c r="I800" s="135" t="s">
        <v>2214</v>
      </c>
    </row>
    <row r="801" spans="1:9">
      <c r="A801" s="131">
        <v>40550</v>
      </c>
      <c r="B801" s="132">
        <v>98.54</v>
      </c>
      <c r="C801" s="132">
        <v>96.6173</v>
      </c>
      <c r="D801" s="132">
        <v>98.553700000000006</v>
      </c>
      <c r="E801" s="132" t="s">
        <v>2214</v>
      </c>
      <c r="F801" s="132" t="s">
        <v>2214</v>
      </c>
      <c r="G801" s="138" t="s">
        <v>2214</v>
      </c>
      <c r="H801" s="132" t="e">
        <v>#N/A</v>
      </c>
      <c r="I801" s="135" t="s">
        <v>2214</v>
      </c>
    </row>
    <row r="802" spans="1:9">
      <c r="A802" s="131">
        <v>40553</v>
      </c>
      <c r="B802" s="132">
        <v>98.54</v>
      </c>
      <c r="C802" s="132">
        <v>96.6173</v>
      </c>
      <c r="D802" s="132">
        <v>98.748099999999994</v>
      </c>
      <c r="E802" s="132" t="s">
        <v>2214</v>
      </c>
      <c r="F802" s="132" t="s">
        <v>2214</v>
      </c>
      <c r="G802" s="138" t="s">
        <v>2214</v>
      </c>
      <c r="H802" s="132" t="e">
        <v>#N/A</v>
      </c>
      <c r="I802" s="135" t="s">
        <v>2214</v>
      </c>
    </row>
    <row r="803" spans="1:9">
      <c r="A803" s="131">
        <v>40554</v>
      </c>
      <c r="B803" s="132">
        <v>98.54</v>
      </c>
      <c r="C803" s="132">
        <v>96.6173</v>
      </c>
      <c r="D803" s="132">
        <v>98.746099999999998</v>
      </c>
      <c r="E803" s="132" t="s">
        <v>2214</v>
      </c>
      <c r="F803" s="132" t="s">
        <v>2214</v>
      </c>
      <c r="G803" s="138" t="s">
        <v>2214</v>
      </c>
      <c r="H803" s="132" t="e">
        <v>#N/A</v>
      </c>
      <c r="I803" s="135" t="s">
        <v>2214</v>
      </c>
    </row>
    <row r="804" spans="1:9">
      <c r="A804" s="131">
        <v>40555</v>
      </c>
      <c r="B804" s="132">
        <v>98.54</v>
      </c>
      <c r="C804" s="132">
        <v>96.540300000000002</v>
      </c>
      <c r="D804" s="132">
        <v>98.548000000000002</v>
      </c>
      <c r="E804" s="132" t="s">
        <v>2214</v>
      </c>
      <c r="F804" s="132" t="s">
        <v>2214</v>
      </c>
      <c r="G804" s="138" t="s">
        <v>2214</v>
      </c>
      <c r="H804" s="132" t="e">
        <v>#N/A</v>
      </c>
      <c r="I804" s="135" t="s">
        <v>2214</v>
      </c>
    </row>
    <row r="805" spans="1:9">
      <c r="A805" s="131">
        <v>40556</v>
      </c>
      <c r="B805" s="132">
        <v>98.54</v>
      </c>
      <c r="C805" s="132">
        <v>96.540300000000002</v>
      </c>
      <c r="D805" s="132">
        <v>98.545500000000004</v>
      </c>
      <c r="E805" s="132" t="s">
        <v>2214</v>
      </c>
      <c r="F805" s="132" t="s">
        <v>2214</v>
      </c>
      <c r="G805" s="138" t="s">
        <v>2214</v>
      </c>
      <c r="H805" s="132" t="e">
        <v>#N/A</v>
      </c>
      <c r="I805" s="135" t="s">
        <v>2214</v>
      </c>
    </row>
    <row r="806" spans="1:9">
      <c r="A806" s="131">
        <v>40557</v>
      </c>
      <c r="B806" s="132">
        <v>98.54</v>
      </c>
      <c r="C806" s="132">
        <v>96.540300000000002</v>
      </c>
      <c r="D806" s="132">
        <v>98.440799999999996</v>
      </c>
      <c r="E806" s="132" t="s">
        <v>2214</v>
      </c>
      <c r="F806" s="132" t="s">
        <v>2214</v>
      </c>
      <c r="G806" s="138" t="s">
        <v>2214</v>
      </c>
      <c r="H806" s="132" t="e">
        <v>#N/A</v>
      </c>
      <c r="I806" s="135" t="s">
        <v>2214</v>
      </c>
    </row>
    <row r="807" spans="1:9">
      <c r="A807" s="131">
        <v>40560</v>
      </c>
      <c r="B807" s="132">
        <v>98.54</v>
      </c>
      <c r="C807" s="132">
        <v>96.540300000000002</v>
      </c>
      <c r="D807" s="132">
        <v>98.046899999999994</v>
      </c>
      <c r="E807" s="132" t="s">
        <v>2214</v>
      </c>
      <c r="F807" s="132" t="s">
        <v>2214</v>
      </c>
      <c r="G807" s="138" t="s">
        <v>2214</v>
      </c>
      <c r="H807" s="132" t="e">
        <v>#N/A</v>
      </c>
      <c r="I807" s="135" t="s">
        <v>2214</v>
      </c>
    </row>
    <row r="808" spans="1:9">
      <c r="A808" s="131">
        <v>40561</v>
      </c>
      <c r="B808" s="132">
        <v>98.54</v>
      </c>
      <c r="C808" s="132">
        <v>96.540300000000002</v>
      </c>
      <c r="D808" s="132">
        <v>97.846900000000005</v>
      </c>
      <c r="E808" s="132" t="s">
        <v>2214</v>
      </c>
      <c r="F808" s="132" t="s">
        <v>2214</v>
      </c>
      <c r="G808" s="138" t="s">
        <v>2214</v>
      </c>
      <c r="H808" s="132" t="e">
        <v>#N/A</v>
      </c>
      <c r="I808" s="135" t="s">
        <v>2214</v>
      </c>
    </row>
    <row r="809" spans="1:9">
      <c r="A809" s="131">
        <v>40562</v>
      </c>
      <c r="B809" s="132">
        <v>98.54</v>
      </c>
      <c r="C809" s="132">
        <v>96.540300000000002</v>
      </c>
      <c r="D809" s="132">
        <v>97.398799999999994</v>
      </c>
      <c r="E809" s="132" t="s">
        <v>2214</v>
      </c>
      <c r="F809" s="132" t="s">
        <v>2214</v>
      </c>
      <c r="G809" s="138" t="s">
        <v>2214</v>
      </c>
      <c r="H809" s="132" t="e">
        <v>#N/A</v>
      </c>
      <c r="I809" s="135" t="s">
        <v>2214</v>
      </c>
    </row>
    <row r="810" spans="1:9">
      <c r="A810" s="131">
        <v>40563</v>
      </c>
      <c r="B810" s="132">
        <v>98.54</v>
      </c>
      <c r="C810" s="132">
        <v>96.540300000000002</v>
      </c>
      <c r="D810" s="132">
        <v>97.304900000000004</v>
      </c>
      <c r="E810" s="132" t="s">
        <v>2214</v>
      </c>
      <c r="F810" s="132" t="s">
        <v>2214</v>
      </c>
      <c r="G810" s="138" t="s">
        <v>2214</v>
      </c>
      <c r="H810" s="132" t="e">
        <v>#N/A</v>
      </c>
      <c r="I810" s="135" t="s">
        <v>2214</v>
      </c>
    </row>
    <row r="811" spans="1:9">
      <c r="A811" s="131">
        <v>40564</v>
      </c>
      <c r="B811" s="132">
        <v>98.54</v>
      </c>
      <c r="C811" s="132">
        <v>96.540300000000002</v>
      </c>
      <c r="D811" s="132">
        <v>97.366500000000002</v>
      </c>
      <c r="E811" s="132" t="s">
        <v>2214</v>
      </c>
      <c r="F811" s="132" t="s">
        <v>2214</v>
      </c>
      <c r="G811" s="138" t="s">
        <v>2214</v>
      </c>
      <c r="H811" s="132" t="e">
        <v>#N/A</v>
      </c>
      <c r="I811" s="135" t="s">
        <v>2214</v>
      </c>
    </row>
    <row r="812" spans="1:9">
      <c r="A812" s="131">
        <v>40567</v>
      </c>
      <c r="B812" s="132">
        <v>98.54</v>
      </c>
      <c r="C812" s="132">
        <v>96.540300000000002</v>
      </c>
      <c r="D812" s="132">
        <v>97.556100000000001</v>
      </c>
      <c r="E812" s="132" t="s">
        <v>2214</v>
      </c>
      <c r="F812" s="132" t="s">
        <v>2214</v>
      </c>
      <c r="G812" s="138" t="s">
        <v>2214</v>
      </c>
      <c r="H812" s="132" t="e">
        <v>#N/A</v>
      </c>
      <c r="I812" s="135" t="s">
        <v>2214</v>
      </c>
    </row>
    <row r="813" spans="1:9">
      <c r="A813" s="131">
        <v>40568</v>
      </c>
      <c r="B813" s="132">
        <v>98.54</v>
      </c>
      <c r="C813" s="132">
        <v>96.540300000000002</v>
      </c>
      <c r="D813" s="132">
        <v>97.566500000000005</v>
      </c>
      <c r="E813" s="132" t="s">
        <v>2214</v>
      </c>
      <c r="F813" s="132" t="s">
        <v>2214</v>
      </c>
      <c r="G813" s="138" t="s">
        <v>2214</v>
      </c>
      <c r="H813" s="132" t="e">
        <v>#N/A</v>
      </c>
      <c r="I813" s="135" t="s">
        <v>2214</v>
      </c>
    </row>
    <row r="814" spans="1:9">
      <c r="A814" s="131">
        <v>40569</v>
      </c>
      <c r="B814" s="132">
        <v>98.54</v>
      </c>
      <c r="C814" s="132">
        <v>96.540300000000002</v>
      </c>
      <c r="D814" s="132">
        <v>97.512299999999996</v>
      </c>
      <c r="E814" s="132" t="s">
        <v>2214</v>
      </c>
      <c r="F814" s="132" t="s">
        <v>2214</v>
      </c>
      <c r="G814" s="138" t="s">
        <v>2214</v>
      </c>
      <c r="H814" s="132" t="e">
        <v>#N/A</v>
      </c>
      <c r="I814" s="135" t="s">
        <v>2214</v>
      </c>
    </row>
    <row r="815" spans="1:9">
      <c r="A815" s="131">
        <v>40570</v>
      </c>
      <c r="B815" s="132">
        <v>98.54</v>
      </c>
      <c r="C815" s="132">
        <v>94.61</v>
      </c>
      <c r="D815" s="132">
        <v>97.513099999999994</v>
      </c>
      <c r="E815" s="132" t="s">
        <v>2214</v>
      </c>
      <c r="F815" s="132" t="s">
        <v>2214</v>
      </c>
      <c r="G815" s="138" t="s">
        <v>2214</v>
      </c>
      <c r="H815" s="132" t="e">
        <v>#N/A</v>
      </c>
      <c r="I815" s="135" t="s">
        <v>2214</v>
      </c>
    </row>
    <row r="816" spans="1:9">
      <c r="A816" s="131">
        <v>40571</v>
      </c>
      <c r="B816" s="132">
        <v>98.54</v>
      </c>
      <c r="C816" s="132">
        <v>94.61</v>
      </c>
      <c r="D816" s="132">
        <v>97.511600000000001</v>
      </c>
      <c r="E816" s="132" t="s">
        <v>2214</v>
      </c>
      <c r="F816" s="132" t="s">
        <v>2214</v>
      </c>
      <c r="G816" s="138" t="s">
        <v>2214</v>
      </c>
      <c r="H816" s="132" t="e">
        <v>#N/A</v>
      </c>
      <c r="I816" s="135" t="s">
        <v>2214</v>
      </c>
    </row>
    <row r="817" spans="1:9">
      <c r="A817" s="131">
        <v>40573</v>
      </c>
      <c r="B817" s="132">
        <v>98.54</v>
      </c>
      <c r="C817" s="132">
        <v>94.61</v>
      </c>
      <c r="D817" s="132">
        <v>97.511600000000001</v>
      </c>
      <c r="E817" s="132" t="s">
        <v>2214</v>
      </c>
      <c r="F817" s="132" t="s">
        <v>2214</v>
      </c>
      <c r="G817" s="138" t="s">
        <v>2214</v>
      </c>
      <c r="H817" s="132" t="e">
        <v>#N/A</v>
      </c>
      <c r="I817" s="135" t="s">
        <v>2214</v>
      </c>
    </row>
    <row r="818" spans="1:9">
      <c r="A818" s="131">
        <v>40574</v>
      </c>
      <c r="B818" s="132">
        <v>98.54</v>
      </c>
      <c r="C818" s="132">
        <v>94.61</v>
      </c>
      <c r="D818" s="132">
        <v>97.511600000000001</v>
      </c>
      <c r="E818" s="132" t="s">
        <v>2214</v>
      </c>
      <c r="F818" s="132" t="s">
        <v>2214</v>
      </c>
      <c r="G818" s="138" t="s">
        <v>2214</v>
      </c>
      <c r="H818" s="132" t="e">
        <v>#N/A</v>
      </c>
      <c r="I818" s="135" t="s">
        <v>2214</v>
      </c>
    </row>
    <row r="819" spans="1:9">
      <c r="A819" s="131">
        <v>40575</v>
      </c>
      <c r="B819" s="132">
        <v>98.54</v>
      </c>
      <c r="C819" s="132">
        <v>94.61</v>
      </c>
      <c r="D819" s="132">
        <v>97.511600000000001</v>
      </c>
      <c r="E819" s="132" t="s">
        <v>2214</v>
      </c>
      <c r="F819" s="132" t="s">
        <v>2214</v>
      </c>
      <c r="G819" s="138" t="s">
        <v>2214</v>
      </c>
      <c r="H819" s="132" t="e">
        <v>#N/A</v>
      </c>
      <c r="I819" s="135" t="s">
        <v>2214</v>
      </c>
    </row>
    <row r="820" spans="1:9">
      <c r="A820" s="131">
        <v>40583</v>
      </c>
      <c r="B820" s="132">
        <v>98.54</v>
      </c>
      <c r="C820" s="132">
        <v>94.61</v>
      </c>
      <c r="D820" s="132">
        <v>97.511600000000001</v>
      </c>
      <c r="E820" s="132" t="s">
        <v>2214</v>
      </c>
      <c r="F820" s="132" t="s">
        <v>2214</v>
      </c>
      <c r="G820" s="138" t="s">
        <v>2214</v>
      </c>
      <c r="H820" s="132" t="e">
        <v>#N/A</v>
      </c>
      <c r="I820" s="135" t="s">
        <v>2214</v>
      </c>
    </row>
    <row r="821" spans="1:9">
      <c r="A821" s="131">
        <v>40584</v>
      </c>
      <c r="B821" s="132">
        <v>98.54</v>
      </c>
      <c r="C821" s="132">
        <v>95.548000000000002</v>
      </c>
      <c r="D821" s="132">
        <v>97.511600000000001</v>
      </c>
      <c r="E821" s="132" t="s">
        <v>2214</v>
      </c>
      <c r="F821" s="132" t="s">
        <v>2214</v>
      </c>
      <c r="G821" s="138" t="s">
        <v>2214</v>
      </c>
      <c r="H821" s="132" t="e">
        <v>#N/A</v>
      </c>
      <c r="I821" s="135" t="s">
        <v>2214</v>
      </c>
    </row>
    <row r="822" spans="1:9">
      <c r="A822" s="131">
        <v>40585</v>
      </c>
      <c r="B822" s="132">
        <v>98.54</v>
      </c>
      <c r="C822" s="132">
        <v>95.548000000000002</v>
      </c>
      <c r="D822" s="132">
        <v>97.511600000000001</v>
      </c>
      <c r="E822" s="132" t="s">
        <v>2214</v>
      </c>
      <c r="F822" s="132" t="s">
        <v>2214</v>
      </c>
      <c r="G822" s="138" t="s">
        <v>2214</v>
      </c>
      <c r="H822" s="132" t="e">
        <v>#N/A</v>
      </c>
      <c r="I822" s="135" t="s">
        <v>2214</v>
      </c>
    </row>
    <row r="823" spans="1:9">
      <c r="A823" s="131">
        <v>40586</v>
      </c>
      <c r="B823" s="132">
        <v>98.54</v>
      </c>
      <c r="C823" s="132">
        <v>95.548000000000002</v>
      </c>
      <c r="D823" s="132">
        <v>97.511600000000001</v>
      </c>
      <c r="E823" s="132" t="s">
        <v>2214</v>
      </c>
      <c r="F823" s="132" t="s">
        <v>2214</v>
      </c>
      <c r="G823" s="138" t="s">
        <v>2214</v>
      </c>
      <c r="H823" s="132" t="e">
        <v>#N/A</v>
      </c>
      <c r="I823" s="135" t="s">
        <v>2214</v>
      </c>
    </row>
    <row r="824" spans="1:9">
      <c r="A824" s="131">
        <v>40588</v>
      </c>
      <c r="B824" s="132">
        <v>98.54</v>
      </c>
      <c r="C824" s="132">
        <v>95.548000000000002</v>
      </c>
      <c r="D824" s="132">
        <v>97.245000000000005</v>
      </c>
      <c r="E824" s="132" t="s">
        <v>2214</v>
      </c>
      <c r="F824" s="132" t="s">
        <v>2214</v>
      </c>
      <c r="G824" s="138" t="s">
        <v>2214</v>
      </c>
      <c r="H824" s="132" t="e">
        <v>#N/A</v>
      </c>
      <c r="I824" s="135" t="s">
        <v>2214</v>
      </c>
    </row>
    <row r="825" spans="1:9">
      <c r="A825" s="131">
        <v>40589</v>
      </c>
      <c r="B825" s="132">
        <v>98.54</v>
      </c>
      <c r="C825" s="132">
        <v>95.548000000000002</v>
      </c>
      <c r="D825" s="132">
        <v>97.297399999999996</v>
      </c>
      <c r="E825" s="132" t="s">
        <v>2214</v>
      </c>
      <c r="F825" s="132" t="s">
        <v>2214</v>
      </c>
      <c r="G825" s="138" t="s">
        <v>2214</v>
      </c>
      <c r="H825" s="132" t="e">
        <v>#N/A</v>
      </c>
      <c r="I825" s="135" t="s">
        <v>2214</v>
      </c>
    </row>
    <row r="826" spans="1:9">
      <c r="A826" s="131">
        <v>40590</v>
      </c>
      <c r="B826" s="132">
        <v>98.54</v>
      </c>
      <c r="C826" s="132">
        <v>95.548000000000002</v>
      </c>
      <c r="D826" s="132">
        <v>97.247399999999999</v>
      </c>
      <c r="E826" s="132" t="s">
        <v>2214</v>
      </c>
      <c r="F826" s="132" t="s">
        <v>2214</v>
      </c>
      <c r="G826" s="138" t="s">
        <v>2214</v>
      </c>
      <c r="H826" s="132" t="e">
        <v>#N/A</v>
      </c>
      <c r="I826" s="135" t="s">
        <v>2214</v>
      </c>
    </row>
    <row r="827" spans="1:9">
      <c r="A827" s="131">
        <v>40591</v>
      </c>
      <c r="B827" s="132">
        <v>98.54</v>
      </c>
      <c r="C827" s="132">
        <v>95.548000000000002</v>
      </c>
      <c r="D827" s="132">
        <v>97.147400000000005</v>
      </c>
      <c r="E827" s="132" t="s">
        <v>2214</v>
      </c>
      <c r="F827" s="132" t="s">
        <v>2214</v>
      </c>
      <c r="G827" s="138" t="s">
        <v>2214</v>
      </c>
      <c r="H827" s="132" t="e">
        <v>#N/A</v>
      </c>
      <c r="I827" s="135" t="s">
        <v>2214</v>
      </c>
    </row>
    <row r="828" spans="1:9">
      <c r="A828" s="131">
        <v>40592</v>
      </c>
      <c r="B828" s="132">
        <v>98.54</v>
      </c>
      <c r="C828" s="132">
        <v>95.548000000000002</v>
      </c>
      <c r="D828" s="132">
        <v>97.244699999999995</v>
      </c>
      <c r="E828" s="132" t="s">
        <v>2214</v>
      </c>
      <c r="F828" s="132" t="s">
        <v>2214</v>
      </c>
      <c r="G828" s="138" t="s">
        <v>2214</v>
      </c>
      <c r="H828" s="132" t="e">
        <v>#N/A</v>
      </c>
      <c r="I828" s="135" t="s">
        <v>2214</v>
      </c>
    </row>
    <row r="829" spans="1:9">
      <c r="A829" s="131">
        <v>40595</v>
      </c>
      <c r="B829" s="132">
        <v>98.54</v>
      </c>
      <c r="C829" s="132">
        <v>97.391800000000003</v>
      </c>
      <c r="D829" s="132">
        <v>97.197400000000002</v>
      </c>
      <c r="E829" s="132" t="s">
        <v>2214</v>
      </c>
      <c r="F829" s="132" t="s">
        <v>2214</v>
      </c>
      <c r="G829" s="138" t="s">
        <v>2214</v>
      </c>
      <c r="H829" s="132" t="e">
        <v>#N/A</v>
      </c>
      <c r="I829" s="135" t="s">
        <v>2214</v>
      </c>
    </row>
    <row r="830" spans="1:9">
      <c r="A830" s="131">
        <v>40596</v>
      </c>
      <c r="B830" s="132">
        <v>98.54</v>
      </c>
      <c r="C830" s="132">
        <v>97.391800000000003</v>
      </c>
      <c r="D830" s="132">
        <v>97.047399999999996</v>
      </c>
      <c r="E830" s="132" t="s">
        <v>2214</v>
      </c>
      <c r="F830" s="132" t="s">
        <v>2214</v>
      </c>
      <c r="G830" s="138" t="s">
        <v>2214</v>
      </c>
      <c r="H830" s="132" t="e">
        <v>#N/A</v>
      </c>
      <c r="I830" s="135" t="s">
        <v>2214</v>
      </c>
    </row>
    <row r="831" spans="1:9">
      <c r="A831" s="131">
        <v>40597</v>
      </c>
      <c r="B831" s="132">
        <v>98.54</v>
      </c>
      <c r="C831" s="132">
        <v>97.391800000000003</v>
      </c>
      <c r="D831" s="132">
        <v>96.997399999999999</v>
      </c>
      <c r="E831" s="132" t="s">
        <v>2214</v>
      </c>
      <c r="F831" s="132" t="s">
        <v>2214</v>
      </c>
      <c r="G831" s="138" t="s">
        <v>2214</v>
      </c>
      <c r="H831" s="132" t="e">
        <v>#N/A</v>
      </c>
      <c r="I831" s="135" t="s">
        <v>2214</v>
      </c>
    </row>
    <row r="832" spans="1:9">
      <c r="A832" s="131">
        <v>40598</v>
      </c>
      <c r="B832" s="132">
        <v>98.54</v>
      </c>
      <c r="C832" s="132">
        <v>97.391800000000003</v>
      </c>
      <c r="D832" s="132">
        <v>97.397400000000005</v>
      </c>
      <c r="E832" s="132" t="s">
        <v>2214</v>
      </c>
      <c r="F832" s="132" t="s">
        <v>2214</v>
      </c>
      <c r="G832" s="138" t="s">
        <v>2214</v>
      </c>
      <c r="H832" s="132" t="e">
        <v>#N/A</v>
      </c>
      <c r="I832" s="135" t="s">
        <v>2214</v>
      </c>
    </row>
    <row r="833" spans="1:9">
      <c r="A833" s="131">
        <v>40599</v>
      </c>
      <c r="B833" s="132">
        <v>98.54</v>
      </c>
      <c r="C833" s="132">
        <v>97.391800000000003</v>
      </c>
      <c r="D833" s="132">
        <v>97.543199999999999</v>
      </c>
      <c r="E833" s="132" t="s">
        <v>2214</v>
      </c>
      <c r="F833" s="132" t="s">
        <v>2214</v>
      </c>
      <c r="G833" s="138" t="s">
        <v>2214</v>
      </c>
      <c r="H833" s="132" t="e">
        <v>#N/A</v>
      </c>
      <c r="I833" s="135" t="s">
        <v>2214</v>
      </c>
    </row>
    <row r="834" spans="1:9">
      <c r="A834" s="131">
        <v>40602</v>
      </c>
      <c r="B834" s="132">
        <v>98.54</v>
      </c>
      <c r="C834" s="132">
        <v>97.463399999999993</v>
      </c>
      <c r="D834" s="132">
        <v>97.448300000000003</v>
      </c>
      <c r="E834" s="132" t="s">
        <v>2214</v>
      </c>
      <c r="F834" s="132" t="s">
        <v>2214</v>
      </c>
      <c r="G834" s="138" t="s">
        <v>2214</v>
      </c>
      <c r="H834" s="132" t="e">
        <v>#N/A</v>
      </c>
      <c r="I834" s="135" t="s">
        <v>2214</v>
      </c>
    </row>
    <row r="835" spans="1:9">
      <c r="A835" s="131">
        <v>40603</v>
      </c>
      <c r="B835" s="132">
        <v>98.54</v>
      </c>
      <c r="C835" s="132">
        <v>97.463399999999993</v>
      </c>
      <c r="D835" s="132">
        <v>97.397999999999996</v>
      </c>
      <c r="E835" s="132" t="s">
        <v>2214</v>
      </c>
      <c r="F835" s="132" t="s">
        <v>2214</v>
      </c>
      <c r="G835" s="138" t="s">
        <v>2214</v>
      </c>
      <c r="H835" s="132" t="e">
        <v>#N/A</v>
      </c>
      <c r="I835" s="135" t="s">
        <v>2214</v>
      </c>
    </row>
    <row r="836" spans="1:9">
      <c r="A836" s="131">
        <v>40604</v>
      </c>
      <c r="B836" s="132">
        <v>98.54</v>
      </c>
      <c r="C836" s="132">
        <v>97.463399999999993</v>
      </c>
      <c r="D836" s="132">
        <v>97.447500000000005</v>
      </c>
      <c r="E836" s="132" t="s">
        <v>2214</v>
      </c>
      <c r="F836" s="132" t="s">
        <v>2214</v>
      </c>
      <c r="G836" s="138" t="s">
        <v>2214</v>
      </c>
      <c r="H836" s="132" t="e">
        <v>#N/A</v>
      </c>
      <c r="I836" s="135" t="s">
        <v>2214</v>
      </c>
    </row>
    <row r="837" spans="1:9">
      <c r="A837" s="131">
        <v>40605</v>
      </c>
      <c r="B837" s="132">
        <v>98.54</v>
      </c>
      <c r="C837" s="132">
        <v>97.463399999999993</v>
      </c>
      <c r="D837" s="132">
        <v>97.447299999999998</v>
      </c>
      <c r="E837" s="132" t="s">
        <v>2214</v>
      </c>
      <c r="F837" s="132" t="s">
        <v>2214</v>
      </c>
      <c r="G837" s="138" t="s">
        <v>2214</v>
      </c>
      <c r="H837" s="132" t="e">
        <v>#N/A</v>
      </c>
      <c r="I837" s="135" t="s">
        <v>2214</v>
      </c>
    </row>
    <row r="838" spans="1:9">
      <c r="A838" s="131">
        <v>40606</v>
      </c>
      <c r="B838" s="132">
        <v>98.54</v>
      </c>
      <c r="C838" s="132">
        <v>95.918700000000001</v>
      </c>
      <c r="D838" s="132">
        <v>97.441500000000005</v>
      </c>
      <c r="E838" s="132" t="s">
        <v>2214</v>
      </c>
      <c r="F838" s="132" t="s">
        <v>2214</v>
      </c>
      <c r="G838" s="138" t="s">
        <v>2214</v>
      </c>
      <c r="H838" s="132" t="e">
        <v>#N/A</v>
      </c>
      <c r="I838" s="135" t="s">
        <v>2214</v>
      </c>
    </row>
    <row r="839" spans="1:9">
      <c r="A839" s="131">
        <v>40609</v>
      </c>
      <c r="B839" s="132">
        <v>98.54</v>
      </c>
      <c r="C839" s="132">
        <v>95.918700000000001</v>
      </c>
      <c r="D839" s="132">
        <v>97.446899999999999</v>
      </c>
      <c r="E839" s="132" t="s">
        <v>2214</v>
      </c>
      <c r="F839" s="132" t="s">
        <v>2214</v>
      </c>
      <c r="G839" s="138" t="s">
        <v>2214</v>
      </c>
      <c r="H839" s="132" t="e">
        <v>#N/A</v>
      </c>
      <c r="I839" s="135" t="s">
        <v>2214</v>
      </c>
    </row>
    <row r="840" spans="1:9">
      <c r="A840" s="131">
        <v>40610</v>
      </c>
      <c r="B840" s="132">
        <v>98.54</v>
      </c>
      <c r="C840" s="132">
        <v>96.086799999999997</v>
      </c>
      <c r="D840" s="132">
        <v>97.496600000000001</v>
      </c>
      <c r="E840" s="132" t="s">
        <v>2214</v>
      </c>
      <c r="F840" s="132" t="s">
        <v>2214</v>
      </c>
      <c r="G840" s="138" t="s">
        <v>2214</v>
      </c>
      <c r="H840" s="132" t="e">
        <v>#N/A</v>
      </c>
      <c r="I840" s="135" t="s">
        <v>2214</v>
      </c>
    </row>
    <row r="841" spans="1:9">
      <c r="A841" s="131">
        <v>40611</v>
      </c>
      <c r="B841" s="132">
        <v>98.54</v>
      </c>
      <c r="C841" s="132">
        <v>96.086799999999997</v>
      </c>
      <c r="D841" s="132">
        <v>96.248699999999999</v>
      </c>
      <c r="E841" s="132" t="s">
        <v>2214</v>
      </c>
      <c r="F841" s="132" t="s">
        <v>2214</v>
      </c>
      <c r="G841" s="138" t="s">
        <v>2214</v>
      </c>
      <c r="H841" s="132" t="e">
        <v>#N/A</v>
      </c>
      <c r="I841" s="135" t="s">
        <v>2214</v>
      </c>
    </row>
    <row r="842" spans="1:9">
      <c r="A842" s="131">
        <v>40612</v>
      </c>
      <c r="B842" s="132">
        <v>98.54</v>
      </c>
      <c r="C842" s="132">
        <v>96.388900000000007</v>
      </c>
      <c r="D842" s="132">
        <v>97.596500000000006</v>
      </c>
      <c r="E842" s="132" t="s">
        <v>2214</v>
      </c>
      <c r="F842" s="132" t="s">
        <v>2214</v>
      </c>
      <c r="G842" s="138" t="s">
        <v>2214</v>
      </c>
      <c r="H842" s="132" t="e">
        <v>#N/A</v>
      </c>
      <c r="I842" s="135" t="s">
        <v>2214</v>
      </c>
    </row>
    <row r="843" spans="1:9">
      <c r="A843" s="131">
        <v>40613</v>
      </c>
      <c r="B843" s="132">
        <v>98.54</v>
      </c>
      <c r="C843" s="132">
        <v>96.408900000000003</v>
      </c>
      <c r="D843" s="132">
        <v>97.589600000000004</v>
      </c>
      <c r="E843" s="132" t="s">
        <v>2214</v>
      </c>
      <c r="F843" s="132" t="s">
        <v>2214</v>
      </c>
      <c r="G843" s="138" t="s">
        <v>2214</v>
      </c>
      <c r="H843" s="132" t="e">
        <v>#N/A</v>
      </c>
      <c r="I843" s="135" t="s">
        <v>2214</v>
      </c>
    </row>
    <row r="844" spans="1:9">
      <c r="A844" s="131">
        <v>40616</v>
      </c>
      <c r="B844" s="132">
        <v>98.54</v>
      </c>
      <c r="C844" s="132">
        <v>96.060599999999994</v>
      </c>
      <c r="D844" s="132">
        <v>97.496499999999997</v>
      </c>
      <c r="E844" s="132" t="s">
        <v>2214</v>
      </c>
      <c r="F844" s="132" t="s">
        <v>2214</v>
      </c>
      <c r="G844" s="138" t="s">
        <v>2214</v>
      </c>
      <c r="H844" s="132" t="e">
        <v>#N/A</v>
      </c>
      <c r="I844" s="135" t="s">
        <v>2214</v>
      </c>
    </row>
    <row r="845" spans="1:9">
      <c r="A845" s="131">
        <v>40617</v>
      </c>
      <c r="B845" s="132">
        <v>98.54</v>
      </c>
      <c r="C845" s="132">
        <v>96.060599999999994</v>
      </c>
      <c r="D845" s="132">
        <v>97.606499999999997</v>
      </c>
      <c r="E845" s="132" t="s">
        <v>2214</v>
      </c>
      <c r="F845" s="132" t="s">
        <v>2214</v>
      </c>
      <c r="G845" s="138" t="s">
        <v>2214</v>
      </c>
      <c r="H845" s="132" t="e">
        <v>#N/A</v>
      </c>
      <c r="I845" s="135" t="s">
        <v>2214</v>
      </c>
    </row>
    <row r="846" spans="1:9">
      <c r="A846" s="131">
        <v>40618</v>
      </c>
      <c r="B846" s="132">
        <v>98.54</v>
      </c>
      <c r="C846" s="132">
        <v>96.421199999999999</v>
      </c>
      <c r="D846" s="132">
        <v>97.706500000000005</v>
      </c>
      <c r="E846" s="132" t="s">
        <v>2214</v>
      </c>
      <c r="F846" s="132" t="s">
        <v>2214</v>
      </c>
      <c r="G846" s="138" t="s">
        <v>2214</v>
      </c>
      <c r="H846" s="132" t="e">
        <v>#N/A</v>
      </c>
      <c r="I846" s="135" t="s">
        <v>2214</v>
      </c>
    </row>
    <row r="847" spans="1:9">
      <c r="A847" s="131">
        <v>40619</v>
      </c>
      <c r="B847" s="132">
        <v>98.54</v>
      </c>
      <c r="C847" s="132">
        <v>96.421199999999999</v>
      </c>
      <c r="D847" s="132">
        <v>97.706500000000005</v>
      </c>
      <c r="E847" s="132" t="s">
        <v>2214</v>
      </c>
      <c r="F847" s="132" t="s">
        <v>2214</v>
      </c>
      <c r="G847" s="138" t="s">
        <v>2214</v>
      </c>
      <c r="H847" s="132" t="e">
        <v>#N/A</v>
      </c>
      <c r="I847" s="135" t="s">
        <v>2214</v>
      </c>
    </row>
    <row r="848" spans="1:9">
      <c r="A848" s="131">
        <v>40620</v>
      </c>
      <c r="B848" s="132">
        <v>98.54</v>
      </c>
      <c r="C848" s="132">
        <v>96.421199999999999</v>
      </c>
      <c r="D848" s="132">
        <v>97.839600000000004</v>
      </c>
      <c r="E848" s="132" t="s">
        <v>2214</v>
      </c>
      <c r="F848" s="132" t="s">
        <v>2214</v>
      </c>
      <c r="G848" s="138" t="s">
        <v>2214</v>
      </c>
      <c r="H848" s="132" t="e">
        <v>#N/A</v>
      </c>
      <c r="I848" s="135" t="s">
        <v>2214</v>
      </c>
    </row>
    <row r="849" spans="1:9">
      <c r="A849" s="131">
        <v>40623</v>
      </c>
      <c r="B849" s="132">
        <v>98.54</v>
      </c>
      <c r="C849" s="132">
        <v>96.421199999999999</v>
      </c>
      <c r="D849" s="132">
        <v>97.896500000000003</v>
      </c>
      <c r="E849" s="132" t="s">
        <v>2214</v>
      </c>
      <c r="F849" s="132" t="s">
        <v>2214</v>
      </c>
      <c r="G849" s="138" t="s">
        <v>2214</v>
      </c>
      <c r="H849" s="132" t="e">
        <v>#N/A</v>
      </c>
      <c r="I849" s="135" t="s">
        <v>2214</v>
      </c>
    </row>
    <row r="850" spans="1:9">
      <c r="A850" s="131">
        <v>40624</v>
      </c>
      <c r="B850" s="132">
        <v>98.54</v>
      </c>
      <c r="C850" s="132">
        <v>96.421199999999999</v>
      </c>
      <c r="D850" s="132">
        <v>97.697500000000005</v>
      </c>
      <c r="E850" s="132" t="s">
        <v>2214</v>
      </c>
      <c r="F850" s="132" t="s">
        <v>2214</v>
      </c>
      <c r="G850" s="138" t="s">
        <v>2214</v>
      </c>
      <c r="H850" s="132" t="e">
        <v>#N/A</v>
      </c>
      <c r="I850" s="135" t="s">
        <v>2214</v>
      </c>
    </row>
    <row r="851" spans="1:9">
      <c r="A851" s="131">
        <v>40625</v>
      </c>
      <c r="B851" s="132">
        <v>98.54</v>
      </c>
      <c r="C851" s="132">
        <v>96.396100000000004</v>
      </c>
      <c r="D851" s="132">
        <v>97.697500000000005</v>
      </c>
      <c r="E851" s="132" t="s">
        <v>2214</v>
      </c>
      <c r="F851" s="132" t="s">
        <v>2214</v>
      </c>
      <c r="G851" s="138" t="s">
        <v>2214</v>
      </c>
      <c r="H851" s="132" t="e">
        <v>#N/A</v>
      </c>
      <c r="I851" s="135" t="s">
        <v>2214</v>
      </c>
    </row>
    <row r="852" spans="1:9">
      <c r="A852" s="131">
        <v>40626</v>
      </c>
      <c r="B852" s="132">
        <v>98.54</v>
      </c>
      <c r="C852" s="132">
        <v>96.396100000000004</v>
      </c>
      <c r="D852" s="132">
        <v>97.697500000000005</v>
      </c>
      <c r="E852" s="132" t="s">
        <v>2214</v>
      </c>
      <c r="F852" s="132" t="s">
        <v>2214</v>
      </c>
      <c r="G852" s="138" t="s">
        <v>2214</v>
      </c>
      <c r="H852" s="132" t="e">
        <v>#N/A</v>
      </c>
      <c r="I852" s="135" t="s">
        <v>2214</v>
      </c>
    </row>
    <row r="853" spans="1:9">
      <c r="A853" s="131">
        <v>40627</v>
      </c>
      <c r="B853" s="132">
        <v>98.54</v>
      </c>
      <c r="C853" s="132">
        <v>96.364999999999995</v>
      </c>
      <c r="D853" s="132">
        <v>97.592399999999998</v>
      </c>
      <c r="E853" s="132" t="s">
        <v>2214</v>
      </c>
      <c r="F853" s="132" t="s">
        <v>2214</v>
      </c>
      <c r="G853" s="138" t="s">
        <v>2214</v>
      </c>
      <c r="H853" s="132" t="e">
        <v>#N/A</v>
      </c>
      <c r="I853" s="135" t="s">
        <v>2214</v>
      </c>
    </row>
    <row r="854" spans="1:9">
      <c r="A854" s="131">
        <v>40630</v>
      </c>
      <c r="B854" s="132">
        <v>98.54</v>
      </c>
      <c r="C854" s="132">
        <v>96.364999999999995</v>
      </c>
      <c r="D854" s="132">
        <v>97.596699999999998</v>
      </c>
      <c r="E854" s="132" t="s">
        <v>2214</v>
      </c>
      <c r="F854" s="132" t="s">
        <v>2214</v>
      </c>
      <c r="G854" s="138" t="s">
        <v>2214</v>
      </c>
      <c r="H854" s="132" t="e">
        <v>#N/A</v>
      </c>
      <c r="I854" s="135" t="s">
        <v>2214</v>
      </c>
    </row>
    <row r="855" spans="1:9">
      <c r="A855" s="131">
        <v>40631</v>
      </c>
      <c r="B855" s="132">
        <v>98.54</v>
      </c>
      <c r="C855" s="132">
        <v>96.094399999999993</v>
      </c>
      <c r="D855" s="132">
        <v>97.596699999999998</v>
      </c>
      <c r="E855" s="132" t="s">
        <v>2214</v>
      </c>
      <c r="F855" s="132" t="s">
        <v>2214</v>
      </c>
      <c r="G855" s="138" t="s">
        <v>2214</v>
      </c>
      <c r="H855" s="132" t="e">
        <v>#N/A</v>
      </c>
      <c r="I855" s="135" t="s">
        <v>2214</v>
      </c>
    </row>
    <row r="856" spans="1:9">
      <c r="A856" s="131">
        <v>40632</v>
      </c>
      <c r="B856" s="132">
        <v>98.54</v>
      </c>
      <c r="C856" s="132">
        <v>96.094700000000003</v>
      </c>
      <c r="D856" s="132">
        <v>97.6</v>
      </c>
      <c r="E856" s="132" t="s">
        <v>2214</v>
      </c>
      <c r="F856" s="132" t="s">
        <v>2214</v>
      </c>
      <c r="G856" s="138" t="s">
        <v>2214</v>
      </c>
      <c r="H856" s="132" t="e">
        <v>#N/A</v>
      </c>
      <c r="I856" s="135" t="s">
        <v>2214</v>
      </c>
    </row>
    <row r="857" spans="1:9">
      <c r="A857" s="131">
        <v>40633</v>
      </c>
      <c r="B857" s="132">
        <v>98.54</v>
      </c>
      <c r="C857" s="132">
        <v>96.094700000000003</v>
      </c>
      <c r="D857" s="132">
        <v>97.597499999999997</v>
      </c>
      <c r="E857" s="132" t="s">
        <v>2214</v>
      </c>
      <c r="F857" s="132" t="s">
        <v>2214</v>
      </c>
      <c r="G857" s="138" t="s">
        <v>2214</v>
      </c>
      <c r="H857" s="132" t="e">
        <v>#N/A</v>
      </c>
      <c r="I857" s="135" t="s">
        <v>2214</v>
      </c>
    </row>
    <row r="858" spans="1:9">
      <c r="A858" s="131">
        <v>40634</v>
      </c>
      <c r="B858" s="132">
        <v>98.54</v>
      </c>
      <c r="C858" s="132">
        <v>96.094700000000003</v>
      </c>
      <c r="D858" s="132">
        <v>97.596699999999998</v>
      </c>
      <c r="E858" s="132" t="s">
        <v>2214</v>
      </c>
      <c r="F858" s="132" t="s">
        <v>2214</v>
      </c>
      <c r="G858" s="138" t="s">
        <v>2214</v>
      </c>
      <c r="H858" s="132" t="e">
        <v>#N/A</v>
      </c>
      <c r="I858" s="135" t="s">
        <v>2214</v>
      </c>
    </row>
    <row r="859" spans="1:9">
      <c r="A859" s="131">
        <v>40635</v>
      </c>
      <c r="B859" s="132">
        <v>98.54</v>
      </c>
      <c r="C859" s="132">
        <v>96.094700000000003</v>
      </c>
      <c r="D859" s="132">
        <v>97.586500000000001</v>
      </c>
      <c r="E859" s="132" t="s">
        <v>2214</v>
      </c>
      <c r="F859" s="132" t="s">
        <v>2214</v>
      </c>
      <c r="G859" s="138" t="s">
        <v>2214</v>
      </c>
      <c r="H859" s="132" t="e">
        <v>#N/A</v>
      </c>
      <c r="I859" s="135" t="s">
        <v>2214</v>
      </c>
    </row>
    <row r="860" spans="1:9">
      <c r="A860" s="131">
        <v>40639</v>
      </c>
      <c r="B860" s="132">
        <v>98.54</v>
      </c>
      <c r="C860" s="132">
        <v>96.094700000000003</v>
      </c>
      <c r="D860" s="132">
        <v>97.496700000000004</v>
      </c>
      <c r="E860" s="132" t="s">
        <v>2214</v>
      </c>
      <c r="F860" s="132" t="s">
        <v>2214</v>
      </c>
      <c r="G860" s="138" t="s">
        <v>2214</v>
      </c>
      <c r="H860" s="132" t="e">
        <v>#N/A</v>
      </c>
      <c r="I860" s="135" t="s">
        <v>2214</v>
      </c>
    </row>
    <row r="861" spans="1:9">
      <c r="A861" s="131">
        <v>40640</v>
      </c>
      <c r="B861" s="132">
        <v>98.54</v>
      </c>
      <c r="C861" s="132">
        <v>96.094700000000003</v>
      </c>
      <c r="D861" s="132">
        <v>97.496700000000004</v>
      </c>
      <c r="E861" s="132" t="s">
        <v>2214</v>
      </c>
      <c r="F861" s="132" t="s">
        <v>2214</v>
      </c>
      <c r="G861" s="138" t="s">
        <v>2214</v>
      </c>
      <c r="H861" s="132" t="e">
        <v>#N/A</v>
      </c>
      <c r="I861" s="135" t="s">
        <v>2214</v>
      </c>
    </row>
    <row r="862" spans="1:9">
      <c r="A862" s="131">
        <v>40641</v>
      </c>
      <c r="B862" s="132">
        <v>98.54</v>
      </c>
      <c r="C862" s="132">
        <v>96.094700000000003</v>
      </c>
      <c r="D862" s="132">
        <v>97.489800000000002</v>
      </c>
      <c r="E862" s="132" t="s">
        <v>2214</v>
      </c>
      <c r="F862" s="132" t="s">
        <v>2214</v>
      </c>
      <c r="G862" s="138" t="s">
        <v>2214</v>
      </c>
      <c r="H862" s="132" t="e">
        <v>#N/A</v>
      </c>
      <c r="I862" s="135" t="s">
        <v>2214</v>
      </c>
    </row>
    <row r="863" spans="1:9">
      <c r="A863" s="131">
        <v>40644</v>
      </c>
      <c r="B863" s="132">
        <v>98.54</v>
      </c>
      <c r="C863" s="132">
        <v>96.094700000000003</v>
      </c>
      <c r="D863" s="132">
        <v>97.496600000000001</v>
      </c>
      <c r="E863" s="132" t="s">
        <v>2214</v>
      </c>
      <c r="F863" s="132" t="s">
        <v>2214</v>
      </c>
      <c r="G863" s="138" t="s">
        <v>2214</v>
      </c>
      <c r="H863" s="132" t="e">
        <v>#N/A</v>
      </c>
      <c r="I863" s="135" t="s">
        <v>2214</v>
      </c>
    </row>
    <row r="864" spans="1:9">
      <c r="A864" s="131">
        <v>40645</v>
      </c>
      <c r="B864" s="132">
        <v>98.54</v>
      </c>
      <c r="C864" s="132">
        <v>96.094700000000003</v>
      </c>
      <c r="D864" s="132">
        <v>97.448599999999999</v>
      </c>
      <c r="E864" s="132" t="s">
        <v>2214</v>
      </c>
      <c r="F864" s="132" t="s">
        <v>2214</v>
      </c>
      <c r="G864" s="138" t="s">
        <v>2214</v>
      </c>
      <c r="H864" s="132" t="e">
        <v>#N/A</v>
      </c>
      <c r="I864" s="135" t="s">
        <v>2214</v>
      </c>
    </row>
    <row r="865" spans="1:9">
      <c r="A865" s="131">
        <v>40646</v>
      </c>
      <c r="B865" s="132">
        <v>98.54</v>
      </c>
      <c r="C865" s="132">
        <v>96.094700000000003</v>
      </c>
      <c r="D865" s="132">
        <v>97.595500000000001</v>
      </c>
      <c r="E865" s="132" t="s">
        <v>2214</v>
      </c>
      <c r="F865" s="132" t="s">
        <v>2214</v>
      </c>
      <c r="G865" s="138" t="s">
        <v>2214</v>
      </c>
      <c r="H865" s="132" t="e">
        <v>#N/A</v>
      </c>
      <c r="I865" s="135" t="s">
        <v>2214</v>
      </c>
    </row>
    <row r="866" spans="1:9">
      <c r="A866" s="131">
        <v>40647</v>
      </c>
      <c r="B866" s="132">
        <v>98.54</v>
      </c>
      <c r="C866" s="132">
        <v>96.094700000000003</v>
      </c>
      <c r="D866" s="132">
        <v>97.595500000000001</v>
      </c>
      <c r="E866" s="132" t="s">
        <v>2214</v>
      </c>
      <c r="F866" s="132" t="s">
        <v>2214</v>
      </c>
      <c r="G866" s="138" t="s">
        <v>2214</v>
      </c>
      <c r="H866" s="132" t="e">
        <v>#N/A</v>
      </c>
      <c r="I866" s="135" t="s">
        <v>2214</v>
      </c>
    </row>
    <row r="867" spans="1:9">
      <c r="A867" s="131">
        <v>40648</v>
      </c>
      <c r="B867" s="132">
        <v>98.54</v>
      </c>
      <c r="C867" s="132">
        <v>96.094700000000003</v>
      </c>
      <c r="D867" s="132">
        <v>97.609499999999997</v>
      </c>
      <c r="E867" s="132" t="s">
        <v>2214</v>
      </c>
      <c r="F867" s="132" t="s">
        <v>2214</v>
      </c>
      <c r="G867" s="138" t="s">
        <v>2214</v>
      </c>
      <c r="H867" s="132" t="e">
        <v>#N/A</v>
      </c>
      <c r="I867" s="135" t="s">
        <v>2214</v>
      </c>
    </row>
    <row r="868" spans="1:9">
      <c r="A868" s="131">
        <v>40651</v>
      </c>
      <c r="B868" s="132">
        <v>98.54</v>
      </c>
      <c r="C868" s="132">
        <v>96.094700000000003</v>
      </c>
      <c r="D868" s="132">
        <v>97.721400000000003</v>
      </c>
      <c r="E868" s="132" t="s">
        <v>2214</v>
      </c>
      <c r="F868" s="132" t="s">
        <v>2214</v>
      </c>
      <c r="G868" s="138" t="s">
        <v>2214</v>
      </c>
      <c r="H868" s="132" t="e">
        <v>#N/A</v>
      </c>
      <c r="I868" s="135" t="s">
        <v>2214</v>
      </c>
    </row>
    <row r="869" spans="1:9">
      <c r="A869" s="131">
        <v>40652</v>
      </c>
      <c r="B869" s="132">
        <v>98.54</v>
      </c>
      <c r="C869" s="132">
        <v>96.094700000000003</v>
      </c>
      <c r="D869" s="132">
        <v>97.721800000000002</v>
      </c>
      <c r="E869" s="132" t="s">
        <v>2214</v>
      </c>
      <c r="F869" s="132" t="s">
        <v>2214</v>
      </c>
      <c r="G869" s="138" t="s">
        <v>2214</v>
      </c>
      <c r="H869" s="132" t="e">
        <v>#N/A</v>
      </c>
      <c r="I869" s="135" t="s">
        <v>2214</v>
      </c>
    </row>
    <row r="870" spans="1:9">
      <c r="A870" s="131">
        <v>40653</v>
      </c>
      <c r="B870" s="132">
        <v>98.54</v>
      </c>
      <c r="C870" s="132">
        <v>97.477199999999996</v>
      </c>
      <c r="D870" s="132">
        <v>97.746499999999997</v>
      </c>
      <c r="E870" s="132" t="s">
        <v>2214</v>
      </c>
      <c r="F870" s="132" t="s">
        <v>2214</v>
      </c>
      <c r="G870" s="138" t="s">
        <v>2214</v>
      </c>
      <c r="H870" s="132" t="e">
        <v>#N/A</v>
      </c>
      <c r="I870" s="135" t="s">
        <v>2214</v>
      </c>
    </row>
    <row r="871" spans="1:9">
      <c r="A871" s="131">
        <v>40654</v>
      </c>
      <c r="B871" s="132">
        <v>98.54</v>
      </c>
      <c r="C871" s="132">
        <v>96.703599999999994</v>
      </c>
      <c r="D871" s="132">
        <v>98.151499999999999</v>
      </c>
      <c r="E871" s="132" t="s">
        <v>2214</v>
      </c>
      <c r="F871" s="132" t="s">
        <v>2214</v>
      </c>
      <c r="G871" s="138" t="s">
        <v>2214</v>
      </c>
      <c r="H871" s="132" t="e">
        <v>#N/A</v>
      </c>
      <c r="I871" s="135" t="s">
        <v>2214</v>
      </c>
    </row>
    <row r="872" spans="1:9">
      <c r="A872" s="131">
        <v>40655</v>
      </c>
      <c r="B872" s="132">
        <v>98.54</v>
      </c>
      <c r="C872" s="132">
        <v>96.706000000000003</v>
      </c>
      <c r="D872" s="132">
        <v>98.152100000000004</v>
      </c>
      <c r="E872" s="132" t="s">
        <v>2214</v>
      </c>
      <c r="F872" s="132" t="s">
        <v>2214</v>
      </c>
      <c r="G872" s="138" t="s">
        <v>2214</v>
      </c>
      <c r="H872" s="132" t="e">
        <v>#N/A</v>
      </c>
      <c r="I872" s="135" t="s">
        <v>2214</v>
      </c>
    </row>
    <row r="873" spans="1:9">
      <c r="A873" s="131">
        <v>40658</v>
      </c>
      <c r="B873" s="132">
        <v>98.54</v>
      </c>
      <c r="C873" s="132">
        <v>96.700800000000001</v>
      </c>
      <c r="D873" s="132">
        <v>98.299599999999998</v>
      </c>
      <c r="E873" s="132" t="s">
        <v>2214</v>
      </c>
      <c r="F873" s="132" t="s">
        <v>2214</v>
      </c>
      <c r="G873" s="138" t="s">
        <v>2214</v>
      </c>
      <c r="H873" s="132" t="e">
        <v>#N/A</v>
      </c>
      <c r="I873" s="135" t="s">
        <v>2214</v>
      </c>
    </row>
    <row r="874" spans="1:9">
      <c r="A874" s="131">
        <v>40659</v>
      </c>
      <c r="B874" s="132">
        <v>98.54</v>
      </c>
      <c r="C874" s="132">
        <v>96.721100000000007</v>
      </c>
      <c r="D874" s="132">
        <v>98.089799999999997</v>
      </c>
      <c r="E874" s="132" t="s">
        <v>2214</v>
      </c>
      <c r="F874" s="132" t="s">
        <v>2214</v>
      </c>
      <c r="G874" s="138" t="s">
        <v>2214</v>
      </c>
      <c r="H874" s="132" t="e">
        <v>#N/A</v>
      </c>
      <c r="I874" s="135" t="s">
        <v>2214</v>
      </c>
    </row>
    <row r="875" spans="1:9">
      <c r="A875" s="131">
        <v>40660</v>
      </c>
      <c r="B875" s="132">
        <v>98.54</v>
      </c>
      <c r="C875" s="132">
        <v>96.719499999999996</v>
      </c>
      <c r="D875" s="132">
        <v>98.088200000000001</v>
      </c>
      <c r="E875" s="132" t="s">
        <v>2214</v>
      </c>
      <c r="F875" s="132" t="s">
        <v>2214</v>
      </c>
      <c r="G875" s="138" t="s">
        <v>2214</v>
      </c>
      <c r="H875" s="132" t="e">
        <v>#N/A</v>
      </c>
      <c r="I875" s="135" t="s">
        <v>2214</v>
      </c>
    </row>
    <row r="876" spans="1:9">
      <c r="A876" s="131">
        <v>40661</v>
      </c>
      <c r="B876" s="132">
        <v>98.54</v>
      </c>
      <c r="C876" s="132">
        <v>96.6995</v>
      </c>
      <c r="D876" s="132">
        <v>98.088200000000001</v>
      </c>
      <c r="E876" s="132" t="s">
        <v>2214</v>
      </c>
      <c r="F876" s="132" t="s">
        <v>2214</v>
      </c>
      <c r="G876" s="138" t="s">
        <v>2214</v>
      </c>
      <c r="H876" s="132" t="e">
        <v>#N/A</v>
      </c>
      <c r="I876" s="135" t="s">
        <v>2214</v>
      </c>
    </row>
    <row r="877" spans="1:9">
      <c r="A877" s="131">
        <v>40662</v>
      </c>
      <c r="B877" s="132">
        <v>98.54</v>
      </c>
      <c r="C877" s="132">
        <v>96.773300000000006</v>
      </c>
      <c r="D877" s="132">
        <v>98.087699999999998</v>
      </c>
      <c r="E877" s="132" t="s">
        <v>2214</v>
      </c>
      <c r="F877" s="132" t="s">
        <v>2214</v>
      </c>
      <c r="G877" s="138" t="s">
        <v>2214</v>
      </c>
      <c r="H877" s="132" t="e">
        <v>#N/A</v>
      </c>
      <c r="I877" s="135" t="s">
        <v>2214</v>
      </c>
    </row>
    <row r="878" spans="1:9">
      <c r="A878" s="131">
        <v>40666</v>
      </c>
      <c r="B878" s="132">
        <v>98.54</v>
      </c>
      <c r="C878" s="132">
        <v>96.750900000000001</v>
      </c>
      <c r="D878" s="132">
        <v>97.999799999999993</v>
      </c>
      <c r="E878" s="132" t="s">
        <v>2214</v>
      </c>
      <c r="F878" s="132" t="s">
        <v>2214</v>
      </c>
      <c r="G878" s="138" t="s">
        <v>2214</v>
      </c>
      <c r="H878" s="132" t="e">
        <v>#N/A</v>
      </c>
      <c r="I878" s="135" t="s">
        <v>2214</v>
      </c>
    </row>
    <row r="879" spans="1:9">
      <c r="A879" s="131">
        <v>40667</v>
      </c>
      <c r="B879" s="132">
        <v>98.54</v>
      </c>
      <c r="C879" s="132">
        <v>96.561300000000003</v>
      </c>
      <c r="D879" s="132">
        <v>97.949600000000004</v>
      </c>
      <c r="E879" s="132" t="s">
        <v>2214</v>
      </c>
      <c r="F879" s="132" t="s">
        <v>2214</v>
      </c>
      <c r="G879" s="138" t="s">
        <v>2214</v>
      </c>
      <c r="H879" s="132" t="e">
        <v>#N/A</v>
      </c>
      <c r="I879" s="135" t="s">
        <v>2214</v>
      </c>
    </row>
    <row r="880" spans="1:9">
      <c r="A880" s="131">
        <v>40668</v>
      </c>
      <c r="B880" s="132">
        <v>98.54</v>
      </c>
      <c r="C880" s="132">
        <v>96.8095</v>
      </c>
      <c r="D880" s="132">
        <v>97.948099999999997</v>
      </c>
      <c r="E880" s="132" t="s">
        <v>2214</v>
      </c>
      <c r="F880" s="132" t="s">
        <v>2214</v>
      </c>
      <c r="G880" s="138" t="s">
        <v>2214</v>
      </c>
      <c r="H880" s="132" t="e">
        <v>#N/A</v>
      </c>
      <c r="I880" s="135" t="s">
        <v>2214</v>
      </c>
    </row>
    <row r="881" spans="1:9">
      <c r="A881" s="131">
        <v>40669</v>
      </c>
      <c r="B881" s="132">
        <v>98.54</v>
      </c>
      <c r="C881" s="132">
        <v>96.798299999999998</v>
      </c>
      <c r="D881" s="132">
        <v>97.894300000000001</v>
      </c>
      <c r="E881" s="132" t="s">
        <v>2214</v>
      </c>
      <c r="F881" s="132" t="s">
        <v>2214</v>
      </c>
      <c r="G881" s="138" t="s">
        <v>2214</v>
      </c>
      <c r="H881" s="132" t="e">
        <v>#N/A</v>
      </c>
      <c r="I881" s="135" t="s">
        <v>2214</v>
      </c>
    </row>
    <row r="882" spans="1:9">
      <c r="A882" s="131">
        <v>40672</v>
      </c>
      <c r="B882" s="132">
        <v>98.54</v>
      </c>
      <c r="C882" s="132">
        <v>96.799800000000005</v>
      </c>
      <c r="D882" s="132">
        <v>97.998500000000007</v>
      </c>
      <c r="E882" s="132" t="s">
        <v>2214</v>
      </c>
      <c r="F882" s="132" t="s">
        <v>2214</v>
      </c>
      <c r="G882" s="138" t="s">
        <v>2214</v>
      </c>
      <c r="H882" s="132" t="e">
        <v>#N/A</v>
      </c>
      <c r="I882" s="135" t="s">
        <v>2214</v>
      </c>
    </row>
    <row r="883" spans="1:9">
      <c r="A883" s="131">
        <v>40673</v>
      </c>
      <c r="B883" s="132">
        <v>98.54</v>
      </c>
      <c r="C883" s="132">
        <v>96.819800000000001</v>
      </c>
      <c r="D883" s="132">
        <v>98.057699999999997</v>
      </c>
      <c r="E883" s="132" t="s">
        <v>2214</v>
      </c>
      <c r="F883" s="132" t="s">
        <v>2214</v>
      </c>
      <c r="G883" s="138" t="s">
        <v>2214</v>
      </c>
      <c r="H883" s="132" t="e">
        <v>#N/A</v>
      </c>
      <c r="I883" s="135" t="s">
        <v>2214</v>
      </c>
    </row>
    <row r="884" spans="1:9">
      <c r="A884" s="131">
        <v>40674</v>
      </c>
      <c r="B884" s="132">
        <v>98.54</v>
      </c>
      <c r="C884" s="132">
        <v>96.652699999999996</v>
      </c>
      <c r="D884" s="132">
        <v>98.237700000000004</v>
      </c>
      <c r="E884" s="132" t="s">
        <v>2214</v>
      </c>
      <c r="F884" s="132" t="s">
        <v>2214</v>
      </c>
      <c r="G884" s="138" t="s">
        <v>2214</v>
      </c>
      <c r="H884" s="132" t="e">
        <v>#N/A</v>
      </c>
      <c r="I884" s="135" t="s">
        <v>2214</v>
      </c>
    </row>
    <row r="885" spans="1:9">
      <c r="A885" s="131">
        <v>40675</v>
      </c>
      <c r="B885" s="132">
        <v>98.54</v>
      </c>
      <c r="C885" s="132">
        <v>96.819699999999997</v>
      </c>
      <c r="D885" s="132">
        <v>98.387600000000006</v>
      </c>
      <c r="E885" s="132" t="s">
        <v>2214</v>
      </c>
      <c r="F885" s="132" t="s">
        <v>2214</v>
      </c>
      <c r="G885" s="138" t="s">
        <v>2214</v>
      </c>
      <c r="H885" s="132" t="e">
        <v>#N/A</v>
      </c>
      <c r="I885" s="135" t="s">
        <v>2214</v>
      </c>
    </row>
    <row r="886" spans="1:9">
      <c r="A886" s="131">
        <v>40676</v>
      </c>
      <c r="B886" s="132">
        <v>98.54</v>
      </c>
      <c r="C886" s="132">
        <v>96.829099999999997</v>
      </c>
      <c r="D886" s="132">
        <v>98.372799999999998</v>
      </c>
      <c r="E886" s="132" t="s">
        <v>2214</v>
      </c>
      <c r="F886" s="132" t="s">
        <v>2214</v>
      </c>
      <c r="G886" s="138" t="s">
        <v>2214</v>
      </c>
      <c r="H886" s="132" t="e">
        <v>#N/A</v>
      </c>
      <c r="I886" s="135" t="s">
        <v>2214</v>
      </c>
    </row>
    <row r="887" spans="1:9">
      <c r="A887" s="131">
        <v>40679</v>
      </c>
      <c r="B887" s="132">
        <v>98.54</v>
      </c>
      <c r="C887" s="132">
        <v>96.778000000000006</v>
      </c>
      <c r="D887" s="132">
        <v>98.337599999999995</v>
      </c>
      <c r="E887" s="132" t="s">
        <v>2214</v>
      </c>
      <c r="F887" s="132" t="s">
        <v>2214</v>
      </c>
      <c r="G887" s="138" t="s">
        <v>2214</v>
      </c>
      <c r="H887" s="132" t="e">
        <v>#N/A</v>
      </c>
      <c r="I887" s="135" t="s">
        <v>2214</v>
      </c>
    </row>
    <row r="888" spans="1:9">
      <c r="A888" s="131">
        <v>40680</v>
      </c>
      <c r="B888" s="132">
        <v>98.54</v>
      </c>
      <c r="C888" s="132">
        <v>96.799800000000005</v>
      </c>
      <c r="D888" s="132">
        <v>98.307599999999994</v>
      </c>
      <c r="E888" s="132" t="s">
        <v>2214</v>
      </c>
      <c r="F888" s="132" t="s">
        <v>2214</v>
      </c>
      <c r="G888" s="138" t="s">
        <v>2214</v>
      </c>
      <c r="H888" s="132" t="e">
        <v>#N/A</v>
      </c>
      <c r="I888" s="135" t="s">
        <v>2214</v>
      </c>
    </row>
    <row r="889" spans="1:9">
      <c r="A889" s="131">
        <v>40681</v>
      </c>
      <c r="B889" s="132">
        <v>98.54</v>
      </c>
      <c r="C889" s="132">
        <v>96.814300000000003</v>
      </c>
      <c r="D889" s="132">
        <v>96.856300000000005</v>
      </c>
      <c r="E889" s="132" t="s">
        <v>2214</v>
      </c>
      <c r="F889" s="132" t="s">
        <v>2214</v>
      </c>
      <c r="G889" s="138" t="s">
        <v>2214</v>
      </c>
      <c r="H889" s="132" t="e">
        <v>#N/A</v>
      </c>
      <c r="I889" s="135" t="s">
        <v>2214</v>
      </c>
    </row>
    <row r="890" spans="1:9">
      <c r="A890" s="131">
        <v>40682</v>
      </c>
      <c r="B890" s="132">
        <v>98.54</v>
      </c>
      <c r="C890" s="132">
        <v>96.821100000000001</v>
      </c>
      <c r="D890" s="132">
        <v>96.859300000000005</v>
      </c>
      <c r="E890" s="132" t="s">
        <v>2214</v>
      </c>
      <c r="F890" s="132" t="s">
        <v>2214</v>
      </c>
      <c r="G890" s="138" t="s">
        <v>2214</v>
      </c>
      <c r="H890" s="132" t="e">
        <v>#N/A</v>
      </c>
      <c r="I890" s="135" t="s">
        <v>2214</v>
      </c>
    </row>
    <row r="891" spans="1:9">
      <c r="A891" s="131">
        <v>40683</v>
      </c>
      <c r="B891" s="132">
        <v>98.54</v>
      </c>
      <c r="C891" s="132">
        <v>96.832899999999995</v>
      </c>
      <c r="D891" s="132">
        <v>98.350800000000007</v>
      </c>
      <c r="E891" s="132" t="s">
        <v>2214</v>
      </c>
      <c r="F891" s="132" t="s">
        <v>2214</v>
      </c>
      <c r="G891" s="138" t="s">
        <v>2214</v>
      </c>
      <c r="H891" s="132" t="e">
        <v>#N/A</v>
      </c>
      <c r="I891" s="135" t="s">
        <v>2214</v>
      </c>
    </row>
    <row r="892" spans="1:9">
      <c r="A892" s="131">
        <v>40686</v>
      </c>
      <c r="B892" s="132">
        <v>98.54</v>
      </c>
      <c r="C892" s="132">
        <v>96.638900000000007</v>
      </c>
      <c r="D892" s="132">
        <v>98.343699999999998</v>
      </c>
      <c r="E892" s="132" t="s">
        <v>2214</v>
      </c>
      <c r="F892" s="132" t="s">
        <v>2214</v>
      </c>
      <c r="G892" s="138" t="s">
        <v>2214</v>
      </c>
      <c r="H892" s="132" t="e">
        <v>#N/A</v>
      </c>
      <c r="I892" s="135" t="s">
        <v>2214</v>
      </c>
    </row>
    <row r="893" spans="1:9">
      <c r="A893" s="131">
        <v>40687</v>
      </c>
      <c r="B893" s="132">
        <v>98.54</v>
      </c>
      <c r="C893" s="132">
        <v>96.806100000000001</v>
      </c>
      <c r="D893" s="132">
        <v>98.355000000000004</v>
      </c>
      <c r="E893" s="132" t="s">
        <v>2214</v>
      </c>
      <c r="F893" s="132" t="s">
        <v>2214</v>
      </c>
      <c r="G893" s="138" t="s">
        <v>2214</v>
      </c>
      <c r="H893" s="132" t="e">
        <v>#N/A</v>
      </c>
      <c r="I893" s="135" t="s">
        <v>2214</v>
      </c>
    </row>
    <row r="894" spans="1:9">
      <c r="A894" s="131">
        <v>40688</v>
      </c>
      <c r="B894" s="132">
        <v>98.54</v>
      </c>
      <c r="C894" s="132">
        <v>96.488500000000002</v>
      </c>
      <c r="D894" s="132">
        <v>98.376400000000004</v>
      </c>
      <c r="E894" s="132" t="s">
        <v>2214</v>
      </c>
      <c r="F894" s="132" t="s">
        <v>2214</v>
      </c>
      <c r="G894" s="138" t="s">
        <v>2214</v>
      </c>
      <c r="H894" s="132" t="e">
        <v>#N/A</v>
      </c>
      <c r="I894" s="135" t="s">
        <v>2214</v>
      </c>
    </row>
    <row r="895" spans="1:9">
      <c r="A895" s="131">
        <v>40689</v>
      </c>
      <c r="B895" s="132">
        <v>98.54</v>
      </c>
      <c r="C895" s="132">
        <v>96.907200000000003</v>
      </c>
      <c r="D895" s="132">
        <v>98.376099999999994</v>
      </c>
      <c r="E895" s="132" t="s">
        <v>2214</v>
      </c>
      <c r="F895" s="132" t="s">
        <v>2214</v>
      </c>
      <c r="G895" s="138" t="s">
        <v>2214</v>
      </c>
      <c r="H895" s="132" t="e">
        <v>#N/A</v>
      </c>
      <c r="I895" s="135" t="s">
        <v>2214</v>
      </c>
    </row>
    <row r="896" spans="1:9">
      <c r="A896" s="131">
        <v>40690</v>
      </c>
      <c r="B896" s="132">
        <v>98.54</v>
      </c>
      <c r="C896" s="132">
        <v>97.005200000000002</v>
      </c>
      <c r="D896" s="132">
        <v>98.4114</v>
      </c>
      <c r="E896" s="132" t="s">
        <v>2214</v>
      </c>
      <c r="F896" s="132" t="s">
        <v>2214</v>
      </c>
      <c r="G896" s="138" t="s">
        <v>2214</v>
      </c>
      <c r="H896" s="132" t="e">
        <v>#N/A</v>
      </c>
      <c r="I896" s="135" t="s">
        <v>2214</v>
      </c>
    </row>
    <row r="897" spans="1:9">
      <c r="A897" s="131">
        <v>40693</v>
      </c>
      <c r="B897" s="132">
        <v>98.54</v>
      </c>
      <c r="C897" s="132">
        <v>97.001000000000005</v>
      </c>
      <c r="D897" s="132">
        <v>98.429699999999997</v>
      </c>
      <c r="E897" s="132" t="s">
        <v>2214</v>
      </c>
      <c r="F897" s="132" t="s">
        <v>2214</v>
      </c>
      <c r="G897" s="138" t="s">
        <v>2214</v>
      </c>
      <c r="H897" s="132" t="e">
        <v>#N/A</v>
      </c>
      <c r="I897" s="135" t="s">
        <v>2214</v>
      </c>
    </row>
    <row r="898" spans="1:9">
      <c r="A898" s="131">
        <v>40694</v>
      </c>
      <c r="B898" s="132">
        <v>98.54</v>
      </c>
      <c r="C898" s="132">
        <v>97.004300000000001</v>
      </c>
      <c r="D898" s="132">
        <v>98.433199999999999</v>
      </c>
      <c r="E898" s="132" t="s">
        <v>2214</v>
      </c>
      <c r="F898" s="132" t="s">
        <v>2214</v>
      </c>
      <c r="G898" s="138" t="s">
        <v>2214</v>
      </c>
      <c r="H898" s="132" t="e">
        <v>#N/A</v>
      </c>
      <c r="I898" s="135" t="s">
        <v>2214</v>
      </c>
    </row>
    <row r="899" spans="1:9">
      <c r="A899" s="131">
        <v>40695</v>
      </c>
      <c r="B899" s="132">
        <v>98.54</v>
      </c>
      <c r="C899" s="132">
        <v>97.002600000000001</v>
      </c>
      <c r="D899" s="132">
        <v>98.351299999999995</v>
      </c>
      <c r="E899" s="132" t="s">
        <v>2214</v>
      </c>
      <c r="F899" s="132" t="s">
        <v>2214</v>
      </c>
      <c r="G899" s="138" t="s">
        <v>2214</v>
      </c>
      <c r="H899" s="132" t="e">
        <v>#N/A</v>
      </c>
      <c r="I899" s="135" t="s">
        <v>2214</v>
      </c>
    </row>
    <row r="900" spans="1:9">
      <c r="A900" s="131">
        <v>40696</v>
      </c>
      <c r="B900" s="132">
        <v>98.54</v>
      </c>
      <c r="C900" s="132">
        <v>96.901700000000005</v>
      </c>
      <c r="D900" s="132">
        <v>98.350499999999997</v>
      </c>
      <c r="E900" s="132" t="s">
        <v>2214</v>
      </c>
      <c r="F900" s="132" t="s">
        <v>2214</v>
      </c>
      <c r="G900" s="138" t="s">
        <v>2214</v>
      </c>
      <c r="H900" s="132" t="e">
        <v>#N/A</v>
      </c>
      <c r="I900" s="135" t="s">
        <v>2214</v>
      </c>
    </row>
    <row r="901" spans="1:9">
      <c r="A901" s="131">
        <v>40697</v>
      </c>
      <c r="B901" s="132">
        <v>98.54</v>
      </c>
      <c r="C901" s="132">
        <v>96.803600000000003</v>
      </c>
      <c r="D901" s="132">
        <v>98.348299999999995</v>
      </c>
      <c r="E901" s="132" t="s">
        <v>2214</v>
      </c>
      <c r="F901" s="132" t="s">
        <v>2214</v>
      </c>
      <c r="G901" s="138" t="s">
        <v>2214</v>
      </c>
      <c r="H901" s="132" t="e">
        <v>#N/A</v>
      </c>
      <c r="I901" s="135" t="s">
        <v>2214</v>
      </c>
    </row>
    <row r="902" spans="1:9">
      <c r="A902" s="131">
        <v>40701</v>
      </c>
      <c r="B902" s="132">
        <v>98.54</v>
      </c>
      <c r="C902" s="132">
        <v>97.002200000000002</v>
      </c>
      <c r="D902" s="132">
        <v>98.350899999999996</v>
      </c>
      <c r="E902" s="132" t="s">
        <v>2214</v>
      </c>
      <c r="F902" s="132" t="s">
        <v>2214</v>
      </c>
      <c r="G902" s="138" t="s">
        <v>2214</v>
      </c>
      <c r="H902" s="132" t="e">
        <v>#N/A</v>
      </c>
      <c r="I902" s="135" t="s">
        <v>2214</v>
      </c>
    </row>
    <row r="903" spans="1:9">
      <c r="A903" s="131">
        <v>40702</v>
      </c>
      <c r="B903" s="132">
        <v>98.54</v>
      </c>
      <c r="C903" s="132">
        <v>100.0047</v>
      </c>
      <c r="D903" s="132">
        <v>98.292699999999996</v>
      </c>
      <c r="E903" s="132" t="s">
        <v>2214</v>
      </c>
      <c r="F903" s="132" t="s">
        <v>2214</v>
      </c>
      <c r="G903" s="138" t="s">
        <v>2214</v>
      </c>
      <c r="H903" s="132" t="e">
        <v>#N/A</v>
      </c>
      <c r="I903" s="135" t="s">
        <v>2214</v>
      </c>
    </row>
    <row r="904" spans="1:9">
      <c r="A904" s="131">
        <v>40703</v>
      </c>
      <c r="B904" s="132">
        <v>98.54</v>
      </c>
      <c r="C904" s="132">
        <v>96.804299999999998</v>
      </c>
      <c r="D904" s="132">
        <v>98.253100000000003</v>
      </c>
      <c r="E904" s="132" t="s">
        <v>2214</v>
      </c>
      <c r="F904" s="132" t="s">
        <v>2214</v>
      </c>
      <c r="G904" s="138" t="s">
        <v>2214</v>
      </c>
      <c r="H904" s="132" t="e">
        <v>#N/A</v>
      </c>
      <c r="I904" s="135" t="s">
        <v>2214</v>
      </c>
    </row>
    <row r="905" spans="1:9">
      <c r="A905" s="131">
        <v>40704</v>
      </c>
      <c r="B905" s="132">
        <v>98.54</v>
      </c>
      <c r="C905" s="132">
        <v>96.813199999999995</v>
      </c>
      <c r="D905" s="132">
        <v>98.219300000000004</v>
      </c>
      <c r="E905" s="132" t="s">
        <v>2214</v>
      </c>
      <c r="F905" s="132" t="s">
        <v>2214</v>
      </c>
      <c r="G905" s="138" t="s">
        <v>2214</v>
      </c>
      <c r="H905" s="132" t="e">
        <v>#N/A</v>
      </c>
      <c r="I905" s="135" t="s">
        <v>2214</v>
      </c>
    </row>
    <row r="906" spans="1:9">
      <c r="A906" s="131">
        <v>40707</v>
      </c>
      <c r="B906" s="132">
        <v>98.54</v>
      </c>
      <c r="C906" s="132">
        <v>96.804400000000001</v>
      </c>
      <c r="D906" s="132">
        <v>98.1631</v>
      </c>
      <c r="E906" s="132" t="s">
        <v>2214</v>
      </c>
      <c r="F906" s="132" t="s">
        <v>2214</v>
      </c>
      <c r="G906" s="138" t="s">
        <v>2214</v>
      </c>
      <c r="H906" s="132" t="e">
        <v>#N/A</v>
      </c>
      <c r="I906" s="135" t="s">
        <v>2214</v>
      </c>
    </row>
    <row r="907" spans="1:9">
      <c r="A907" s="131">
        <v>40708</v>
      </c>
      <c r="B907" s="132">
        <v>98.54</v>
      </c>
      <c r="C907" s="132">
        <v>96.928899999999999</v>
      </c>
      <c r="D907" s="132">
        <v>98.022300000000001</v>
      </c>
      <c r="E907" s="132" t="s">
        <v>2214</v>
      </c>
      <c r="F907" s="132" t="s">
        <v>2214</v>
      </c>
      <c r="G907" s="138" t="s">
        <v>2214</v>
      </c>
      <c r="H907" s="132" t="e">
        <v>#N/A</v>
      </c>
      <c r="I907" s="135" t="s">
        <v>2214</v>
      </c>
    </row>
    <row r="908" spans="1:9">
      <c r="A908" s="131">
        <v>40709</v>
      </c>
      <c r="B908" s="132">
        <v>98.54</v>
      </c>
      <c r="C908" s="132">
        <v>96.5047</v>
      </c>
      <c r="D908" s="132">
        <v>97.903599999999997</v>
      </c>
      <c r="E908" s="132" t="s">
        <v>2214</v>
      </c>
      <c r="F908" s="132" t="s">
        <v>2214</v>
      </c>
      <c r="G908" s="138" t="s">
        <v>2214</v>
      </c>
      <c r="H908" s="132" t="e">
        <v>#N/A</v>
      </c>
      <c r="I908" s="135" t="s">
        <v>2214</v>
      </c>
    </row>
    <row r="909" spans="1:9">
      <c r="A909" s="131">
        <v>40710</v>
      </c>
      <c r="B909" s="132">
        <v>98.54</v>
      </c>
      <c r="C909" s="132">
        <v>96.214500000000001</v>
      </c>
      <c r="D909" s="132">
        <v>97.683599999999998</v>
      </c>
      <c r="E909" s="132" t="s">
        <v>2214</v>
      </c>
      <c r="F909" s="132" t="s">
        <v>2214</v>
      </c>
      <c r="G909" s="138" t="s">
        <v>2214</v>
      </c>
      <c r="H909" s="132" t="e">
        <v>#N/A</v>
      </c>
      <c r="I909" s="135" t="s">
        <v>2214</v>
      </c>
    </row>
    <row r="910" spans="1:9">
      <c r="A910" s="131">
        <v>40711</v>
      </c>
      <c r="B910" s="132">
        <v>98.54</v>
      </c>
      <c r="C910" s="132">
        <v>96.514399999999995</v>
      </c>
      <c r="D910" s="132">
        <v>97.690600000000003</v>
      </c>
      <c r="E910" s="132" t="s">
        <v>2214</v>
      </c>
      <c r="F910" s="132" t="s">
        <v>2214</v>
      </c>
      <c r="G910" s="138" t="s">
        <v>2214</v>
      </c>
      <c r="H910" s="132" t="e">
        <v>#N/A</v>
      </c>
      <c r="I910" s="135" t="s">
        <v>2214</v>
      </c>
    </row>
    <row r="911" spans="1:9">
      <c r="A911" s="131">
        <v>40714</v>
      </c>
      <c r="B911" s="132">
        <v>98.54</v>
      </c>
      <c r="C911" s="132">
        <v>96.513400000000004</v>
      </c>
      <c r="D911" s="132">
        <v>97.611400000000003</v>
      </c>
      <c r="E911" s="132" t="s">
        <v>2214</v>
      </c>
      <c r="F911" s="132" t="s">
        <v>2214</v>
      </c>
      <c r="G911" s="138" t="s">
        <v>2214</v>
      </c>
      <c r="H911" s="132" t="e">
        <v>#N/A</v>
      </c>
      <c r="I911" s="135" t="s">
        <v>2214</v>
      </c>
    </row>
    <row r="912" spans="1:9">
      <c r="A912" s="131">
        <v>40715</v>
      </c>
      <c r="B912" s="132">
        <v>98.54</v>
      </c>
      <c r="C912" s="132">
        <v>96.671099999999996</v>
      </c>
      <c r="D912" s="132">
        <v>97.831999999999994</v>
      </c>
      <c r="E912" s="132" t="s">
        <v>2214</v>
      </c>
      <c r="F912" s="132" t="s">
        <v>2214</v>
      </c>
      <c r="G912" s="138" t="s">
        <v>2214</v>
      </c>
      <c r="H912" s="132" t="e">
        <v>#N/A</v>
      </c>
      <c r="I912" s="135" t="s">
        <v>2214</v>
      </c>
    </row>
    <row r="913" spans="1:9">
      <c r="A913" s="131">
        <v>40716</v>
      </c>
      <c r="B913" s="132">
        <v>98.54</v>
      </c>
      <c r="C913" s="132">
        <v>96.514700000000005</v>
      </c>
      <c r="D913" s="132">
        <v>97.813599999999994</v>
      </c>
      <c r="E913" s="132" t="s">
        <v>2214</v>
      </c>
      <c r="F913" s="132" t="s">
        <v>2214</v>
      </c>
      <c r="G913" s="138" t="s">
        <v>2214</v>
      </c>
      <c r="H913" s="132" t="e">
        <v>#N/A</v>
      </c>
      <c r="I913" s="135" t="s">
        <v>2214</v>
      </c>
    </row>
    <row r="914" spans="1:9">
      <c r="A914" s="131">
        <v>40717</v>
      </c>
      <c r="B914" s="132">
        <v>98.54</v>
      </c>
      <c r="C914" s="132">
        <v>97.270300000000006</v>
      </c>
      <c r="D914" s="132">
        <v>97.812700000000007</v>
      </c>
      <c r="E914" s="132" t="s">
        <v>2214</v>
      </c>
      <c r="F914" s="132" t="s">
        <v>2214</v>
      </c>
      <c r="G914" s="138" t="s">
        <v>2214</v>
      </c>
      <c r="H914" s="132" t="e">
        <v>#N/A</v>
      </c>
      <c r="I914" s="135" t="s">
        <v>2214</v>
      </c>
    </row>
    <row r="915" spans="1:9">
      <c r="A915" s="131">
        <v>40718</v>
      </c>
      <c r="B915" s="132">
        <v>98.54</v>
      </c>
      <c r="C915" s="132">
        <v>96.039000000000001</v>
      </c>
      <c r="D915" s="132">
        <v>97.885900000000007</v>
      </c>
      <c r="E915" s="132" t="s">
        <v>2214</v>
      </c>
      <c r="F915" s="132" t="s">
        <v>2214</v>
      </c>
      <c r="G915" s="138" t="s">
        <v>2214</v>
      </c>
      <c r="H915" s="132" t="e">
        <v>#N/A</v>
      </c>
      <c r="I915" s="135" t="s">
        <v>2214</v>
      </c>
    </row>
    <row r="916" spans="1:9">
      <c r="A916" s="131">
        <v>40721</v>
      </c>
      <c r="B916" s="132">
        <v>98.54</v>
      </c>
      <c r="C916" s="132">
        <v>96.010499999999993</v>
      </c>
      <c r="D916" s="132">
        <v>98.129400000000004</v>
      </c>
      <c r="E916" s="132" t="s">
        <v>2214</v>
      </c>
      <c r="F916" s="132" t="s">
        <v>2214</v>
      </c>
      <c r="G916" s="138" t="s">
        <v>2214</v>
      </c>
      <c r="H916" s="132" t="e">
        <v>#N/A</v>
      </c>
      <c r="I916" s="135" t="s">
        <v>2214</v>
      </c>
    </row>
    <row r="917" spans="1:9">
      <c r="A917" s="131">
        <v>40722</v>
      </c>
      <c r="B917" s="132">
        <v>98.54</v>
      </c>
      <c r="C917" s="132">
        <v>96.818100000000001</v>
      </c>
      <c r="D917" s="132">
        <v>98.186400000000006</v>
      </c>
      <c r="E917" s="132" t="s">
        <v>2214</v>
      </c>
      <c r="F917" s="132" t="s">
        <v>2214</v>
      </c>
      <c r="G917" s="138" t="s">
        <v>2214</v>
      </c>
      <c r="H917" s="132" t="e">
        <v>#N/A</v>
      </c>
      <c r="I917" s="135" t="s">
        <v>2214</v>
      </c>
    </row>
    <row r="918" spans="1:9">
      <c r="A918" s="131">
        <v>40723</v>
      </c>
      <c r="B918" s="132">
        <v>98.54</v>
      </c>
      <c r="C918" s="132">
        <v>96.5077</v>
      </c>
      <c r="D918" s="132">
        <v>98.186599999999999</v>
      </c>
      <c r="E918" s="132" t="s">
        <v>2214</v>
      </c>
      <c r="F918" s="132" t="s">
        <v>2214</v>
      </c>
      <c r="G918" s="138" t="s">
        <v>2214</v>
      </c>
      <c r="H918" s="132" t="e">
        <v>#N/A</v>
      </c>
      <c r="I918" s="135" t="s">
        <v>2214</v>
      </c>
    </row>
    <row r="919" spans="1:9">
      <c r="A919" s="131">
        <v>40724</v>
      </c>
      <c r="B919" s="132">
        <v>98.54</v>
      </c>
      <c r="C919" s="132">
        <v>96.507599999999996</v>
      </c>
      <c r="D919" s="132">
        <v>98.186400000000006</v>
      </c>
      <c r="E919" s="132" t="s">
        <v>2214</v>
      </c>
      <c r="F919" s="132" t="s">
        <v>2214</v>
      </c>
      <c r="G919" s="138" t="s">
        <v>2214</v>
      </c>
      <c r="H919" s="132" t="e">
        <v>#N/A</v>
      </c>
      <c r="I919" s="135" t="s">
        <v>2214</v>
      </c>
    </row>
    <row r="920" spans="1:9">
      <c r="A920" s="131">
        <v>40725</v>
      </c>
      <c r="B920" s="132">
        <v>98.54</v>
      </c>
      <c r="C920" s="132">
        <v>96.520499999999998</v>
      </c>
      <c r="D920" s="132">
        <v>98.126900000000006</v>
      </c>
      <c r="E920" s="132" t="s">
        <v>2214</v>
      </c>
      <c r="F920" s="132" t="s">
        <v>2214</v>
      </c>
      <c r="G920" s="138" t="s">
        <v>2214</v>
      </c>
      <c r="H920" s="132" t="e">
        <v>#N/A</v>
      </c>
      <c r="I920" s="135" t="s">
        <v>2214</v>
      </c>
    </row>
    <row r="921" spans="1:9">
      <c r="A921" s="131">
        <v>40728</v>
      </c>
      <c r="B921" s="132">
        <v>98.54</v>
      </c>
      <c r="C921" s="132">
        <v>96.501800000000003</v>
      </c>
      <c r="D921" s="132">
        <v>98.110500000000002</v>
      </c>
      <c r="E921" s="132" t="s">
        <v>2214</v>
      </c>
      <c r="F921" s="132" t="s">
        <v>2214</v>
      </c>
      <c r="G921" s="138" t="s">
        <v>2214</v>
      </c>
      <c r="H921" s="132" t="e">
        <v>#N/A</v>
      </c>
      <c r="I921" s="135" t="s">
        <v>2214</v>
      </c>
    </row>
    <row r="922" spans="1:9">
      <c r="A922" s="131">
        <v>40729</v>
      </c>
      <c r="B922" s="132">
        <v>98.54</v>
      </c>
      <c r="C922" s="132">
        <v>96.5</v>
      </c>
      <c r="D922" s="132">
        <v>98.128799999999998</v>
      </c>
      <c r="E922" s="132" t="s">
        <v>2214</v>
      </c>
      <c r="F922" s="132" t="s">
        <v>2214</v>
      </c>
      <c r="G922" s="138" t="s">
        <v>2214</v>
      </c>
      <c r="H922" s="132" t="e">
        <v>#N/A</v>
      </c>
      <c r="I922" s="135" t="s">
        <v>2214</v>
      </c>
    </row>
    <row r="923" spans="1:9">
      <c r="A923" s="131">
        <v>40730</v>
      </c>
      <c r="B923" s="132">
        <v>98.54</v>
      </c>
      <c r="C923" s="132">
        <v>96.509100000000004</v>
      </c>
      <c r="D923" s="132">
        <v>98.137900000000002</v>
      </c>
      <c r="E923" s="132" t="s">
        <v>2214</v>
      </c>
      <c r="F923" s="132" t="s">
        <v>2214</v>
      </c>
      <c r="G923" s="138" t="s">
        <v>2214</v>
      </c>
      <c r="H923" s="132" t="e">
        <v>#N/A</v>
      </c>
      <c r="I923" s="135" t="s">
        <v>2214</v>
      </c>
    </row>
    <row r="924" spans="1:9">
      <c r="A924" s="131">
        <v>40731</v>
      </c>
      <c r="B924" s="132">
        <v>98.54</v>
      </c>
      <c r="C924" s="132">
        <v>96.507099999999994</v>
      </c>
      <c r="D924" s="132">
        <v>98.135900000000007</v>
      </c>
      <c r="E924" s="132" t="s">
        <v>2214</v>
      </c>
      <c r="F924" s="132" t="s">
        <v>2214</v>
      </c>
      <c r="G924" s="138" t="s">
        <v>2214</v>
      </c>
      <c r="H924" s="132" t="e">
        <v>#N/A</v>
      </c>
      <c r="I924" s="135" t="s">
        <v>2214</v>
      </c>
    </row>
    <row r="925" spans="1:9">
      <c r="A925" s="131">
        <v>40732</v>
      </c>
      <c r="B925" s="132">
        <v>98.54</v>
      </c>
      <c r="C925" s="132">
        <v>96.5</v>
      </c>
      <c r="D925" s="132">
        <v>98.119299999999996</v>
      </c>
      <c r="E925" s="132" t="s">
        <v>2214</v>
      </c>
      <c r="F925" s="132" t="s">
        <v>2214</v>
      </c>
      <c r="G925" s="138" t="s">
        <v>2214</v>
      </c>
      <c r="H925" s="132" t="e">
        <v>#N/A</v>
      </c>
      <c r="I925" s="135" t="s">
        <v>2214</v>
      </c>
    </row>
    <row r="926" spans="1:9">
      <c r="A926" s="131">
        <v>40735</v>
      </c>
      <c r="B926" s="132">
        <v>98.54</v>
      </c>
      <c r="C926" s="132">
        <v>96.504999999999995</v>
      </c>
      <c r="D926" s="132">
        <v>97.903700000000001</v>
      </c>
      <c r="E926" s="132" t="s">
        <v>2214</v>
      </c>
      <c r="F926" s="132" t="s">
        <v>2214</v>
      </c>
      <c r="G926" s="138" t="s">
        <v>2214</v>
      </c>
      <c r="H926" s="132" t="e">
        <v>#N/A</v>
      </c>
      <c r="I926" s="135" t="s">
        <v>2214</v>
      </c>
    </row>
    <row r="927" spans="1:9">
      <c r="A927" s="131">
        <v>40736</v>
      </c>
      <c r="B927" s="132">
        <v>98.54</v>
      </c>
      <c r="C927" s="132">
        <v>96.442499999999995</v>
      </c>
      <c r="D927" s="132">
        <v>97.599299999999999</v>
      </c>
      <c r="E927" s="132" t="s">
        <v>2214</v>
      </c>
      <c r="F927" s="132" t="s">
        <v>2214</v>
      </c>
      <c r="G927" s="138" t="s">
        <v>2214</v>
      </c>
      <c r="H927" s="132" t="e">
        <v>#N/A</v>
      </c>
      <c r="I927" s="135" t="s">
        <v>2214</v>
      </c>
    </row>
    <row r="928" spans="1:9">
      <c r="A928" s="131">
        <v>40737</v>
      </c>
      <c r="B928" s="132">
        <v>98.54</v>
      </c>
      <c r="C928" s="132">
        <v>96.445300000000003</v>
      </c>
      <c r="D928" s="132">
        <v>97.552099999999996</v>
      </c>
      <c r="E928" s="132" t="s">
        <v>2214</v>
      </c>
      <c r="F928" s="132" t="s">
        <v>2214</v>
      </c>
      <c r="G928" s="138" t="s">
        <v>2214</v>
      </c>
      <c r="H928" s="132" t="e">
        <v>#N/A</v>
      </c>
      <c r="I928" s="135" t="s">
        <v>2214</v>
      </c>
    </row>
    <row r="929" spans="1:9">
      <c r="A929" s="131">
        <v>40738</v>
      </c>
      <c r="B929" s="132">
        <v>98.54</v>
      </c>
      <c r="C929" s="132">
        <v>96.505600000000001</v>
      </c>
      <c r="D929" s="132">
        <v>97.503900000000002</v>
      </c>
      <c r="E929" s="132" t="s">
        <v>2214</v>
      </c>
      <c r="F929" s="132" t="s">
        <v>2214</v>
      </c>
      <c r="G929" s="138" t="s">
        <v>2214</v>
      </c>
      <c r="H929" s="132" t="e">
        <v>#N/A</v>
      </c>
      <c r="I929" s="135" t="s">
        <v>2214</v>
      </c>
    </row>
    <row r="930" spans="1:9">
      <c r="A930" s="131">
        <v>40739</v>
      </c>
      <c r="B930" s="132">
        <v>98.54</v>
      </c>
      <c r="C930" s="132">
        <v>96.513499999999993</v>
      </c>
      <c r="D930" s="132">
        <v>97.479500000000002</v>
      </c>
      <c r="E930" s="132" t="s">
        <v>2214</v>
      </c>
      <c r="F930" s="132" t="s">
        <v>2214</v>
      </c>
      <c r="G930" s="138" t="s">
        <v>2214</v>
      </c>
      <c r="H930" s="132" t="e">
        <v>#N/A</v>
      </c>
      <c r="I930" s="135" t="s">
        <v>2214</v>
      </c>
    </row>
    <row r="931" spans="1:9">
      <c r="A931" s="131">
        <v>40742</v>
      </c>
      <c r="B931" s="132">
        <v>98.54</v>
      </c>
      <c r="C931" s="132">
        <v>96.303799999999995</v>
      </c>
      <c r="D931" s="132">
        <v>97.472499999999997</v>
      </c>
      <c r="E931" s="132" t="s">
        <v>2214</v>
      </c>
      <c r="F931" s="132" t="s">
        <v>2214</v>
      </c>
      <c r="G931" s="138" t="s">
        <v>2214</v>
      </c>
      <c r="H931" s="132" t="e">
        <v>#N/A</v>
      </c>
      <c r="I931" s="135" t="s">
        <v>2214</v>
      </c>
    </row>
    <row r="932" spans="1:9">
      <c r="A932" s="131">
        <v>40743</v>
      </c>
      <c r="B932" s="132">
        <v>98.54</v>
      </c>
      <c r="C932" s="132">
        <v>96.305800000000005</v>
      </c>
      <c r="D932" s="132">
        <v>97.424499999999995</v>
      </c>
      <c r="E932" s="132" t="s">
        <v>2214</v>
      </c>
      <c r="F932" s="132" t="s">
        <v>2214</v>
      </c>
      <c r="G932" s="138" t="s">
        <v>2214</v>
      </c>
      <c r="H932" s="132" t="e">
        <v>#N/A</v>
      </c>
      <c r="I932" s="135" t="s">
        <v>2214</v>
      </c>
    </row>
    <row r="933" spans="1:9">
      <c r="A933" s="131">
        <v>40744</v>
      </c>
      <c r="B933" s="132">
        <v>98.54</v>
      </c>
      <c r="C933" s="132">
        <v>97.471400000000003</v>
      </c>
      <c r="D933" s="132">
        <v>97.205399999999997</v>
      </c>
      <c r="E933" s="132" t="s">
        <v>2214</v>
      </c>
      <c r="F933" s="132" t="s">
        <v>2214</v>
      </c>
      <c r="G933" s="138" t="s">
        <v>2214</v>
      </c>
      <c r="H933" s="132" t="e">
        <v>#N/A</v>
      </c>
      <c r="I933" s="135" t="s">
        <v>2214</v>
      </c>
    </row>
    <row r="934" spans="1:9">
      <c r="A934" s="131">
        <v>40745</v>
      </c>
      <c r="B934" s="132">
        <v>98.54</v>
      </c>
      <c r="C934" s="132">
        <v>96.308599999999998</v>
      </c>
      <c r="D934" s="132">
        <v>96.707300000000004</v>
      </c>
      <c r="E934" s="132" t="s">
        <v>2214</v>
      </c>
      <c r="F934" s="132" t="s">
        <v>2214</v>
      </c>
      <c r="G934" s="138" t="s">
        <v>2214</v>
      </c>
      <c r="H934" s="132" t="e">
        <v>#N/A</v>
      </c>
      <c r="I934" s="135" t="s">
        <v>2214</v>
      </c>
    </row>
    <row r="935" spans="1:9">
      <c r="A935" s="131">
        <v>40746</v>
      </c>
      <c r="B935" s="132">
        <v>98.54</v>
      </c>
      <c r="C935" s="132">
        <v>96.324600000000004</v>
      </c>
      <c r="D935" s="132">
        <v>96.420400000000001</v>
      </c>
      <c r="E935" s="132" t="s">
        <v>2214</v>
      </c>
      <c r="F935" s="132" t="s">
        <v>2214</v>
      </c>
      <c r="G935" s="138" t="s">
        <v>2214</v>
      </c>
      <c r="H935" s="132" t="e">
        <v>#N/A</v>
      </c>
      <c r="I935" s="135" t="s">
        <v>2214</v>
      </c>
    </row>
    <row r="936" spans="1:9">
      <c r="A936" s="131">
        <v>40749</v>
      </c>
      <c r="B936" s="132">
        <v>98.54</v>
      </c>
      <c r="C936" s="132">
        <v>95.507800000000003</v>
      </c>
      <c r="D936" s="132">
        <v>96.406499999999994</v>
      </c>
      <c r="E936" s="132" t="s">
        <v>2214</v>
      </c>
      <c r="F936" s="132" t="s">
        <v>2214</v>
      </c>
      <c r="G936" s="138" t="s">
        <v>2214</v>
      </c>
      <c r="H936" s="132" t="e">
        <v>#N/A</v>
      </c>
      <c r="I936" s="135" t="s">
        <v>2214</v>
      </c>
    </row>
    <row r="937" spans="1:9">
      <c r="A937" s="131">
        <v>40750</v>
      </c>
      <c r="B937" s="132">
        <v>98.54</v>
      </c>
      <c r="C937" s="132">
        <v>95.506399999999999</v>
      </c>
      <c r="D937" s="132">
        <v>96.804599999999994</v>
      </c>
      <c r="E937" s="132" t="s">
        <v>2214</v>
      </c>
      <c r="F937" s="132" t="s">
        <v>2214</v>
      </c>
      <c r="G937" s="138" t="s">
        <v>2214</v>
      </c>
      <c r="H937" s="132" t="e">
        <v>#N/A</v>
      </c>
      <c r="I937" s="135" t="s">
        <v>2214</v>
      </c>
    </row>
    <row r="938" spans="1:9">
      <c r="A938" s="131">
        <v>40751</v>
      </c>
      <c r="B938" s="132">
        <v>98.54</v>
      </c>
      <c r="C938" s="132">
        <v>95.505200000000002</v>
      </c>
      <c r="D938" s="132">
        <v>96.803399999999996</v>
      </c>
      <c r="E938" s="132" t="s">
        <v>2214</v>
      </c>
      <c r="F938" s="132" t="s">
        <v>2214</v>
      </c>
      <c r="G938" s="138" t="s">
        <v>2214</v>
      </c>
      <c r="H938" s="132" t="e">
        <v>#N/A</v>
      </c>
      <c r="I938" s="135" t="s">
        <v>2214</v>
      </c>
    </row>
    <row r="939" spans="1:9">
      <c r="A939" s="131">
        <v>40752</v>
      </c>
      <c r="B939" s="132">
        <v>98.54</v>
      </c>
      <c r="C939" s="132">
        <v>95.503799999999998</v>
      </c>
      <c r="D939" s="132">
        <v>96.902000000000001</v>
      </c>
      <c r="E939" s="132" t="s">
        <v>2214</v>
      </c>
      <c r="F939" s="132" t="s">
        <v>2214</v>
      </c>
      <c r="G939" s="138" t="s">
        <v>2214</v>
      </c>
      <c r="H939" s="132" t="e">
        <v>#N/A</v>
      </c>
      <c r="I939" s="135" t="s">
        <v>2214</v>
      </c>
    </row>
    <row r="940" spans="1:9">
      <c r="A940" s="131">
        <v>40753</v>
      </c>
      <c r="B940" s="132">
        <v>98.54</v>
      </c>
      <c r="C940" s="132">
        <v>95.510400000000004</v>
      </c>
      <c r="D940" s="132">
        <v>96.904700000000005</v>
      </c>
      <c r="E940" s="132" t="s">
        <v>2214</v>
      </c>
      <c r="F940" s="132" t="s">
        <v>2214</v>
      </c>
      <c r="G940" s="138" t="s">
        <v>2214</v>
      </c>
      <c r="H940" s="132" t="e">
        <v>#N/A</v>
      </c>
      <c r="I940" s="135" t="s">
        <v>2214</v>
      </c>
    </row>
    <row r="941" spans="1:9">
      <c r="A941" s="131">
        <v>40756</v>
      </c>
      <c r="B941" s="132">
        <v>98.54</v>
      </c>
      <c r="C941" s="132">
        <v>95.602199999999996</v>
      </c>
      <c r="D941" s="132">
        <v>95.500799999999998</v>
      </c>
      <c r="E941" s="132" t="s">
        <v>2214</v>
      </c>
      <c r="F941" s="132" t="s">
        <v>2214</v>
      </c>
      <c r="G941" s="138" t="s">
        <v>2214</v>
      </c>
      <c r="H941" s="132" t="e">
        <v>#N/A</v>
      </c>
      <c r="I941" s="135" t="s">
        <v>2214</v>
      </c>
    </row>
    <row r="942" spans="1:9">
      <c r="A942" s="131">
        <v>40757</v>
      </c>
      <c r="B942" s="132">
        <v>98.54</v>
      </c>
      <c r="C942" s="132">
        <v>95.912499999999994</v>
      </c>
      <c r="D942" s="132">
        <v>96.999799999999993</v>
      </c>
      <c r="E942" s="132" t="s">
        <v>2214</v>
      </c>
      <c r="F942" s="132" t="s">
        <v>2214</v>
      </c>
      <c r="G942" s="138" t="s">
        <v>2214</v>
      </c>
      <c r="H942" s="132" t="e">
        <v>#N/A</v>
      </c>
      <c r="I942" s="135" t="s">
        <v>2214</v>
      </c>
    </row>
    <row r="943" spans="1:9">
      <c r="A943" s="131">
        <v>40758</v>
      </c>
      <c r="B943" s="132">
        <v>98.54</v>
      </c>
      <c r="C943" s="132">
        <v>96.658299999999997</v>
      </c>
      <c r="D943" s="132">
        <v>97.099699999999999</v>
      </c>
      <c r="E943" s="132" t="s">
        <v>2214</v>
      </c>
      <c r="F943" s="132" t="s">
        <v>2214</v>
      </c>
      <c r="G943" s="138" t="s">
        <v>2214</v>
      </c>
      <c r="H943" s="132" t="e">
        <v>#N/A</v>
      </c>
      <c r="I943" s="135" t="s">
        <v>2214</v>
      </c>
    </row>
    <row r="944" spans="1:9">
      <c r="A944" s="131">
        <v>40759</v>
      </c>
      <c r="B944" s="132">
        <v>98.54</v>
      </c>
      <c r="C944" s="132">
        <v>96.6601</v>
      </c>
      <c r="D944" s="132">
        <v>96.649799999999999</v>
      </c>
      <c r="E944" s="132" t="s">
        <v>2214</v>
      </c>
      <c r="F944" s="132" t="s">
        <v>2214</v>
      </c>
      <c r="G944" s="138" t="s">
        <v>2214</v>
      </c>
      <c r="H944" s="132" t="e">
        <v>#N/A</v>
      </c>
      <c r="I944" s="135" t="s">
        <v>2214</v>
      </c>
    </row>
    <row r="945" spans="1:9">
      <c r="A945" s="131">
        <v>40760</v>
      </c>
      <c r="B945" s="132">
        <v>98.54</v>
      </c>
      <c r="C945" s="132">
        <v>96.665499999999994</v>
      </c>
      <c r="D945" s="132">
        <v>96.649199999999993</v>
      </c>
      <c r="E945" s="132" t="s">
        <v>2214</v>
      </c>
      <c r="F945" s="132" t="s">
        <v>2214</v>
      </c>
      <c r="G945" s="138" t="s">
        <v>2214</v>
      </c>
      <c r="H945" s="132" t="e">
        <v>#N/A</v>
      </c>
      <c r="I945" s="135" t="s">
        <v>2214</v>
      </c>
    </row>
    <row r="946" spans="1:9">
      <c r="A946" s="131">
        <v>40763</v>
      </c>
      <c r="B946" s="132">
        <v>98.54</v>
      </c>
      <c r="C946" s="132">
        <v>96.667100000000005</v>
      </c>
      <c r="D946" s="132">
        <v>96.899500000000003</v>
      </c>
      <c r="E946" s="132" t="s">
        <v>2214</v>
      </c>
      <c r="F946" s="132" t="s">
        <v>2214</v>
      </c>
      <c r="G946" s="138" t="s">
        <v>2214</v>
      </c>
      <c r="H946" s="132" t="e">
        <v>#N/A</v>
      </c>
      <c r="I946" s="135" t="s">
        <v>2214</v>
      </c>
    </row>
    <row r="947" spans="1:9">
      <c r="A947" s="131">
        <v>40764</v>
      </c>
      <c r="B947" s="132">
        <v>98.54</v>
      </c>
      <c r="C947" s="132">
        <v>96.668700000000001</v>
      </c>
      <c r="D947" s="132">
        <v>96.899500000000003</v>
      </c>
      <c r="E947" s="132" t="s">
        <v>2214</v>
      </c>
      <c r="F947" s="132" t="s">
        <v>2214</v>
      </c>
      <c r="G947" s="138" t="s">
        <v>2214</v>
      </c>
      <c r="H947" s="132" t="e">
        <v>#N/A</v>
      </c>
      <c r="I947" s="135" t="s">
        <v>2214</v>
      </c>
    </row>
    <row r="948" spans="1:9">
      <c r="A948" s="131">
        <v>40765</v>
      </c>
      <c r="B948" s="132">
        <v>98.54</v>
      </c>
      <c r="C948" s="132">
        <v>96.671099999999996</v>
      </c>
      <c r="D948" s="132">
        <v>96.900400000000005</v>
      </c>
      <c r="E948" s="132" t="s">
        <v>2214</v>
      </c>
      <c r="F948" s="132" t="s">
        <v>2214</v>
      </c>
      <c r="G948" s="138" t="s">
        <v>2214</v>
      </c>
      <c r="H948" s="132" t="e">
        <v>#N/A</v>
      </c>
      <c r="I948" s="135" t="s">
        <v>2214</v>
      </c>
    </row>
    <row r="949" spans="1:9">
      <c r="A949" s="131">
        <v>40766</v>
      </c>
      <c r="B949" s="132">
        <v>98.54</v>
      </c>
      <c r="C949" s="132">
        <v>96.672799999999995</v>
      </c>
      <c r="D949" s="132">
        <v>96.699600000000004</v>
      </c>
      <c r="E949" s="132" t="s">
        <v>2214</v>
      </c>
      <c r="F949" s="132" t="s">
        <v>2214</v>
      </c>
      <c r="G949" s="138" t="s">
        <v>2214</v>
      </c>
      <c r="H949" s="132" t="e">
        <v>#N/A</v>
      </c>
      <c r="I949" s="135" t="s">
        <v>2214</v>
      </c>
    </row>
    <row r="950" spans="1:9">
      <c r="A950" s="131">
        <v>40767</v>
      </c>
      <c r="B950" s="132">
        <v>98.54</v>
      </c>
      <c r="C950" s="132">
        <v>96.678100000000001</v>
      </c>
      <c r="D950" s="132">
        <v>96.899100000000004</v>
      </c>
      <c r="E950" s="132" t="s">
        <v>2214</v>
      </c>
      <c r="F950" s="132" t="s">
        <v>2214</v>
      </c>
      <c r="G950" s="138" t="s">
        <v>2214</v>
      </c>
      <c r="H950" s="132" t="e">
        <v>#N/A</v>
      </c>
      <c r="I950" s="135" t="s">
        <v>2214</v>
      </c>
    </row>
    <row r="951" spans="1:9">
      <c r="A951" s="131">
        <v>40770</v>
      </c>
      <c r="B951" s="132">
        <v>98.54</v>
      </c>
      <c r="C951" s="132">
        <v>96.678100000000001</v>
      </c>
      <c r="D951" s="132">
        <v>97.149900000000002</v>
      </c>
      <c r="E951" s="132" t="s">
        <v>2214</v>
      </c>
      <c r="F951" s="132" t="s">
        <v>2214</v>
      </c>
      <c r="G951" s="138" t="s">
        <v>2214</v>
      </c>
      <c r="H951" s="132" t="e">
        <v>#N/A</v>
      </c>
      <c r="I951" s="135" t="s">
        <v>2214</v>
      </c>
    </row>
    <row r="952" spans="1:9">
      <c r="A952" s="131">
        <v>40771</v>
      </c>
      <c r="B952" s="132">
        <v>98.54</v>
      </c>
      <c r="C952" s="132">
        <v>96.68</v>
      </c>
      <c r="D952" s="132">
        <v>97.150199999999998</v>
      </c>
      <c r="E952" s="132" t="s">
        <v>2214</v>
      </c>
      <c r="F952" s="132" t="s">
        <v>2214</v>
      </c>
      <c r="G952" s="138" t="s">
        <v>2214</v>
      </c>
      <c r="H952" s="132" t="e">
        <v>#N/A</v>
      </c>
      <c r="I952" s="135" t="s">
        <v>2214</v>
      </c>
    </row>
    <row r="953" spans="1:9">
      <c r="A953" s="131">
        <v>40772</v>
      </c>
      <c r="B953" s="132">
        <v>98.54</v>
      </c>
      <c r="C953" s="132">
        <v>96.684600000000003</v>
      </c>
      <c r="D953" s="132">
        <v>97.100800000000007</v>
      </c>
      <c r="E953" s="132" t="s">
        <v>2214</v>
      </c>
      <c r="F953" s="132" t="s">
        <v>2214</v>
      </c>
      <c r="G953" s="138" t="s">
        <v>2214</v>
      </c>
      <c r="H953" s="132" t="e">
        <v>#N/A</v>
      </c>
      <c r="I953" s="135" t="s">
        <v>2214</v>
      </c>
    </row>
    <row r="954" spans="1:9">
      <c r="A954" s="131">
        <v>40773</v>
      </c>
      <c r="B954" s="132">
        <v>98.54</v>
      </c>
      <c r="C954" s="132">
        <v>96.753699999999995</v>
      </c>
      <c r="D954" s="132">
        <v>97.201499999999996</v>
      </c>
      <c r="E954" s="132" t="s">
        <v>2214</v>
      </c>
      <c r="F954" s="132" t="s">
        <v>2214</v>
      </c>
      <c r="G954" s="138" t="s">
        <v>2214</v>
      </c>
      <c r="H954" s="132" t="e">
        <v>#N/A</v>
      </c>
      <c r="I954" s="135" t="s">
        <v>2214</v>
      </c>
    </row>
    <row r="955" spans="1:9">
      <c r="A955" s="131">
        <v>40774</v>
      </c>
      <c r="B955" s="132">
        <v>98.54</v>
      </c>
      <c r="C955" s="132">
        <v>96.763900000000007</v>
      </c>
      <c r="D955" s="132">
        <v>97.206000000000003</v>
      </c>
      <c r="E955" s="132" t="s">
        <v>2214</v>
      </c>
      <c r="F955" s="132" t="s">
        <v>2214</v>
      </c>
      <c r="G955" s="138" t="s">
        <v>2214</v>
      </c>
      <c r="H955" s="132" t="e">
        <v>#N/A</v>
      </c>
      <c r="I955" s="135" t="s">
        <v>2214</v>
      </c>
    </row>
    <row r="956" spans="1:9">
      <c r="A956" s="131">
        <v>40777</v>
      </c>
      <c r="B956" s="132">
        <v>98.54</v>
      </c>
      <c r="C956" s="132">
        <v>96.768199999999993</v>
      </c>
      <c r="D956" s="132">
        <v>97.203500000000005</v>
      </c>
      <c r="E956" s="132" t="s">
        <v>2214</v>
      </c>
      <c r="F956" s="132" t="s">
        <v>2214</v>
      </c>
      <c r="G956" s="138" t="s">
        <v>2214</v>
      </c>
      <c r="H956" s="132" t="e">
        <v>#N/A</v>
      </c>
      <c r="I956" s="135" t="s">
        <v>2214</v>
      </c>
    </row>
    <row r="957" spans="1:9">
      <c r="A957" s="131">
        <v>40778</v>
      </c>
      <c r="B957" s="132">
        <v>98.54</v>
      </c>
      <c r="C957" s="132">
        <v>96.773099999999999</v>
      </c>
      <c r="D957" s="132">
        <v>97.203699999999998</v>
      </c>
      <c r="E957" s="132" t="s">
        <v>2214</v>
      </c>
      <c r="F957" s="132" t="s">
        <v>2214</v>
      </c>
      <c r="G957" s="138" t="s">
        <v>2214</v>
      </c>
      <c r="H957" s="132" t="e">
        <v>#N/A</v>
      </c>
      <c r="I957" s="135" t="s">
        <v>2214</v>
      </c>
    </row>
    <row r="958" spans="1:9">
      <c r="A958" s="131">
        <v>40779</v>
      </c>
      <c r="B958" s="132">
        <v>98.54</v>
      </c>
      <c r="C958" s="132">
        <v>96.776700000000005</v>
      </c>
      <c r="D958" s="132">
        <v>97.202399999999997</v>
      </c>
      <c r="E958" s="132" t="s">
        <v>2214</v>
      </c>
      <c r="F958" s="132" t="s">
        <v>2214</v>
      </c>
      <c r="G958" s="138" t="s">
        <v>2214</v>
      </c>
      <c r="H958" s="132" t="e">
        <v>#N/A</v>
      </c>
      <c r="I958" s="135" t="s">
        <v>2214</v>
      </c>
    </row>
    <row r="959" spans="1:9">
      <c r="A959" s="131">
        <v>40780</v>
      </c>
      <c r="B959" s="132">
        <v>98.54</v>
      </c>
      <c r="C959" s="132">
        <v>96.003100000000003</v>
      </c>
      <c r="D959" s="132">
        <v>97.201800000000006</v>
      </c>
      <c r="E959" s="132" t="s">
        <v>2214</v>
      </c>
      <c r="F959" s="132" t="s">
        <v>2214</v>
      </c>
      <c r="G959" s="138" t="s">
        <v>2214</v>
      </c>
      <c r="H959" s="132" t="e">
        <v>#N/A</v>
      </c>
      <c r="I959" s="135" t="s">
        <v>2214</v>
      </c>
    </row>
    <row r="960" spans="1:9">
      <c r="A960" s="131">
        <v>40781</v>
      </c>
      <c r="B960" s="132">
        <v>98.54</v>
      </c>
      <c r="C960" s="132">
        <v>96.0107</v>
      </c>
      <c r="D960" s="132">
        <v>97.154399999999995</v>
      </c>
      <c r="E960" s="132" t="s">
        <v>2214</v>
      </c>
      <c r="F960" s="132" t="s">
        <v>2214</v>
      </c>
      <c r="G960" s="138" t="s">
        <v>2214</v>
      </c>
      <c r="H960" s="132" t="e">
        <v>#N/A</v>
      </c>
      <c r="I960" s="135" t="s">
        <v>2214</v>
      </c>
    </row>
    <row r="961" spans="1:9">
      <c r="A961" s="131">
        <v>40784</v>
      </c>
      <c r="B961" s="132">
        <v>98.54</v>
      </c>
      <c r="C961" s="132">
        <v>95.902299999999997</v>
      </c>
      <c r="D961" s="132">
        <v>97.101299999999995</v>
      </c>
      <c r="E961" s="132" t="s">
        <v>2214</v>
      </c>
      <c r="F961" s="132" t="s">
        <v>2214</v>
      </c>
      <c r="G961" s="138" t="s">
        <v>2214</v>
      </c>
      <c r="H961" s="132" t="e">
        <v>#N/A</v>
      </c>
      <c r="I961" s="135" t="s">
        <v>2214</v>
      </c>
    </row>
    <row r="962" spans="1:9">
      <c r="A962" s="131">
        <v>40785</v>
      </c>
      <c r="B962" s="132">
        <v>98.54</v>
      </c>
      <c r="C962" s="132">
        <v>95.503</v>
      </c>
      <c r="D962" s="132">
        <v>96.501400000000004</v>
      </c>
      <c r="E962" s="132" t="s">
        <v>2214</v>
      </c>
      <c r="F962" s="132" t="s">
        <v>2214</v>
      </c>
      <c r="G962" s="138" t="s">
        <v>2214</v>
      </c>
      <c r="H962" s="132" t="e">
        <v>#N/A</v>
      </c>
      <c r="I962" s="135" t="s">
        <v>2214</v>
      </c>
    </row>
    <row r="963" spans="1:9">
      <c r="A963" s="131">
        <v>40786</v>
      </c>
      <c r="B963" s="132">
        <v>98.54</v>
      </c>
      <c r="C963" s="132">
        <v>95.2</v>
      </c>
      <c r="D963" s="132">
        <v>96.301199999999994</v>
      </c>
      <c r="E963" s="132" t="s">
        <v>2214</v>
      </c>
      <c r="F963" s="132" t="s">
        <v>2214</v>
      </c>
      <c r="G963" s="138" t="s">
        <v>2214</v>
      </c>
      <c r="H963" s="132" t="e">
        <v>#N/A</v>
      </c>
      <c r="I963" s="135" t="s">
        <v>2214</v>
      </c>
    </row>
    <row r="964" spans="1:9">
      <c r="A964" s="131">
        <v>40787</v>
      </c>
      <c r="B964" s="132">
        <v>98.54</v>
      </c>
      <c r="C964" s="132">
        <v>95.202799999999996</v>
      </c>
      <c r="D964" s="132">
        <v>96.301599999999993</v>
      </c>
      <c r="E964" s="132" t="s">
        <v>2214</v>
      </c>
      <c r="F964" s="132" t="s">
        <v>2214</v>
      </c>
      <c r="G964" s="138" t="s">
        <v>2214</v>
      </c>
      <c r="H964" s="132" t="e">
        <v>#N/A</v>
      </c>
      <c r="I964" s="135" t="s">
        <v>2214</v>
      </c>
    </row>
    <row r="965" spans="1:9">
      <c r="A965" s="131">
        <v>40788</v>
      </c>
      <c r="B965" s="132">
        <v>98.54</v>
      </c>
      <c r="C965" s="132">
        <v>95.202799999999996</v>
      </c>
      <c r="D965" s="132">
        <v>96.404899999999998</v>
      </c>
      <c r="E965" s="132" t="s">
        <v>2214</v>
      </c>
      <c r="F965" s="132" t="s">
        <v>2214</v>
      </c>
      <c r="G965" s="138" t="s">
        <v>2214</v>
      </c>
      <c r="H965" s="132" t="e">
        <v>#N/A</v>
      </c>
      <c r="I965" s="135" t="s">
        <v>2214</v>
      </c>
    </row>
    <row r="966" spans="1:9">
      <c r="A966" s="131">
        <v>40791</v>
      </c>
      <c r="B966" s="132">
        <v>98.54</v>
      </c>
      <c r="C966" s="132">
        <v>95.202799999999996</v>
      </c>
      <c r="D966" s="132">
        <v>96.402799999999999</v>
      </c>
      <c r="E966" s="132" t="s">
        <v>2214</v>
      </c>
      <c r="F966" s="132" t="s">
        <v>2214</v>
      </c>
      <c r="G966" s="138" t="s">
        <v>2214</v>
      </c>
      <c r="H966" s="132" t="e">
        <v>#N/A</v>
      </c>
      <c r="I966" s="135" t="s">
        <v>2214</v>
      </c>
    </row>
    <row r="967" spans="1:9">
      <c r="A967" s="131">
        <v>40792</v>
      </c>
      <c r="B967" s="132">
        <v>98.54</v>
      </c>
      <c r="C967" s="132">
        <v>96.817400000000006</v>
      </c>
      <c r="D967" s="132">
        <v>96.500399999999999</v>
      </c>
      <c r="E967" s="132" t="s">
        <v>2214</v>
      </c>
      <c r="F967" s="132" t="s">
        <v>2214</v>
      </c>
      <c r="G967" s="138" t="s">
        <v>2214</v>
      </c>
      <c r="H967" s="132" t="e">
        <v>#N/A</v>
      </c>
      <c r="I967" s="135" t="s">
        <v>2214</v>
      </c>
    </row>
    <row r="968" spans="1:9">
      <c r="A968" s="131">
        <v>40793</v>
      </c>
      <c r="B968" s="132">
        <v>98.54</v>
      </c>
      <c r="C968" s="132">
        <v>96.313500000000005</v>
      </c>
      <c r="D968" s="132">
        <v>96.5505</v>
      </c>
      <c r="E968" s="132" t="s">
        <v>2214</v>
      </c>
      <c r="F968" s="132" t="s">
        <v>2214</v>
      </c>
      <c r="G968" s="138" t="s">
        <v>2214</v>
      </c>
      <c r="H968" s="132" t="e">
        <v>#N/A</v>
      </c>
      <c r="I968" s="135" t="s">
        <v>2214</v>
      </c>
    </row>
    <row r="969" spans="1:9">
      <c r="A969" s="131">
        <v>40794</v>
      </c>
      <c r="B969" s="132">
        <v>98.54</v>
      </c>
      <c r="C969" s="132">
        <v>96.313500000000005</v>
      </c>
      <c r="D969" s="132">
        <v>96.500900000000001</v>
      </c>
      <c r="E969" s="132" t="s">
        <v>2214</v>
      </c>
      <c r="F969" s="132" t="s">
        <v>2214</v>
      </c>
      <c r="G969" s="138" t="s">
        <v>2214</v>
      </c>
      <c r="H969" s="132" t="e">
        <v>#N/A</v>
      </c>
      <c r="I969" s="135" t="s">
        <v>2214</v>
      </c>
    </row>
    <row r="970" spans="1:9">
      <c r="A970" s="131">
        <v>40795</v>
      </c>
      <c r="B970" s="132">
        <v>98.54</v>
      </c>
      <c r="C970" s="132">
        <v>96.313500000000005</v>
      </c>
      <c r="D970" s="132">
        <v>96.501999999999995</v>
      </c>
      <c r="E970" s="132" t="s">
        <v>2214</v>
      </c>
      <c r="F970" s="132" t="s">
        <v>2214</v>
      </c>
      <c r="G970" s="138" t="s">
        <v>2214</v>
      </c>
      <c r="H970" s="132" t="e">
        <v>#N/A</v>
      </c>
      <c r="I970" s="135" t="s">
        <v>2214</v>
      </c>
    </row>
    <row r="971" spans="1:9">
      <c r="A971" s="131">
        <v>40799</v>
      </c>
      <c r="B971" s="132">
        <v>98.54</v>
      </c>
      <c r="C971" s="132">
        <v>96.313500000000005</v>
      </c>
      <c r="D971" s="132">
        <v>96.500299999999996</v>
      </c>
      <c r="E971" s="132" t="s">
        <v>2214</v>
      </c>
      <c r="F971" s="132" t="s">
        <v>2214</v>
      </c>
      <c r="G971" s="138" t="s">
        <v>2214</v>
      </c>
      <c r="H971" s="132" t="e">
        <v>#N/A</v>
      </c>
      <c r="I971" s="135" t="s">
        <v>2214</v>
      </c>
    </row>
    <row r="972" spans="1:9">
      <c r="A972" s="131">
        <v>40800</v>
      </c>
      <c r="B972" s="132">
        <v>98.54</v>
      </c>
      <c r="C972" s="132">
        <v>96.313500000000005</v>
      </c>
      <c r="D972" s="132">
        <v>96.650300000000001</v>
      </c>
      <c r="E972" s="132" t="s">
        <v>2214</v>
      </c>
      <c r="F972" s="132" t="s">
        <v>2214</v>
      </c>
      <c r="G972" s="138" t="s">
        <v>2214</v>
      </c>
      <c r="H972" s="132" t="e">
        <v>#N/A</v>
      </c>
      <c r="I972" s="135" t="s">
        <v>2214</v>
      </c>
    </row>
    <row r="973" spans="1:9">
      <c r="A973" s="131">
        <v>40801</v>
      </c>
      <c r="B973" s="132">
        <v>98.54</v>
      </c>
      <c r="C973" s="132">
        <v>96.313500000000005</v>
      </c>
      <c r="D973" s="132">
        <v>96.6511</v>
      </c>
      <c r="E973" s="132" t="s">
        <v>2214</v>
      </c>
      <c r="F973" s="132" t="s">
        <v>2214</v>
      </c>
      <c r="G973" s="138" t="s">
        <v>2214</v>
      </c>
      <c r="H973" s="132" t="e">
        <v>#N/A</v>
      </c>
      <c r="I973" s="135" t="s">
        <v>2214</v>
      </c>
    </row>
    <row r="974" spans="1:9">
      <c r="A974" s="131">
        <v>40802</v>
      </c>
      <c r="B974" s="132">
        <v>98.54</v>
      </c>
      <c r="C974" s="132">
        <v>96.313500000000005</v>
      </c>
      <c r="D974" s="132">
        <v>96.653199999999998</v>
      </c>
      <c r="E974" s="132" t="s">
        <v>2214</v>
      </c>
      <c r="F974" s="132" t="s">
        <v>2214</v>
      </c>
      <c r="G974" s="138" t="s">
        <v>2214</v>
      </c>
      <c r="H974" s="132" t="e">
        <v>#N/A</v>
      </c>
      <c r="I974" s="135" t="s">
        <v>2214</v>
      </c>
    </row>
    <row r="975" spans="1:9">
      <c r="A975" s="131">
        <v>40805</v>
      </c>
      <c r="B975" s="132">
        <v>98.54</v>
      </c>
      <c r="C975" s="132">
        <v>96.313500000000005</v>
      </c>
      <c r="D975" s="132">
        <v>96.501800000000003</v>
      </c>
      <c r="E975" s="132" t="s">
        <v>2214</v>
      </c>
      <c r="F975" s="132" t="s">
        <v>2214</v>
      </c>
      <c r="G975" s="138" t="s">
        <v>2214</v>
      </c>
      <c r="H975" s="132" t="e">
        <v>#N/A</v>
      </c>
      <c r="I975" s="135" t="s">
        <v>2214</v>
      </c>
    </row>
    <row r="976" spans="1:9">
      <c r="A976" s="131">
        <v>40806</v>
      </c>
      <c r="B976" s="132">
        <v>98.54</v>
      </c>
      <c r="C976" s="132">
        <v>96.313500000000005</v>
      </c>
      <c r="D976" s="132">
        <v>96.502700000000004</v>
      </c>
      <c r="E976" s="132" t="s">
        <v>2214</v>
      </c>
      <c r="F976" s="132" t="s">
        <v>2214</v>
      </c>
      <c r="G976" s="138" t="s">
        <v>2214</v>
      </c>
      <c r="H976" s="132" t="e">
        <v>#N/A</v>
      </c>
      <c r="I976" s="135" t="s">
        <v>2214</v>
      </c>
    </row>
    <row r="977" spans="1:9">
      <c r="A977" s="131">
        <v>40807</v>
      </c>
      <c r="B977" s="132">
        <v>98.54</v>
      </c>
      <c r="C977" s="132">
        <v>96.384799999999998</v>
      </c>
      <c r="D977" s="132">
        <v>96.502499999999998</v>
      </c>
      <c r="E977" s="132" t="s">
        <v>2214</v>
      </c>
      <c r="F977" s="132" t="s">
        <v>2214</v>
      </c>
      <c r="G977" s="138" t="s">
        <v>2214</v>
      </c>
      <c r="H977" s="132" t="e">
        <v>#N/A</v>
      </c>
      <c r="I977" s="135" t="s">
        <v>2214</v>
      </c>
    </row>
    <row r="978" spans="1:9">
      <c r="A978" s="131">
        <v>40808</v>
      </c>
      <c r="B978" s="132">
        <v>98.54</v>
      </c>
      <c r="C978" s="132">
        <v>96.384799999999998</v>
      </c>
      <c r="D978" s="132">
        <v>96.55</v>
      </c>
      <c r="E978" s="132" t="s">
        <v>2214</v>
      </c>
      <c r="F978" s="132" t="s">
        <v>2214</v>
      </c>
      <c r="G978" s="138" t="s">
        <v>2214</v>
      </c>
      <c r="H978" s="132" t="e">
        <v>#N/A</v>
      </c>
      <c r="I978" s="135" t="s">
        <v>2214</v>
      </c>
    </row>
    <row r="979" spans="1:9">
      <c r="A979" s="131">
        <v>40809</v>
      </c>
      <c r="B979" s="132">
        <v>98.54</v>
      </c>
      <c r="C979" s="132">
        <v>96.384799999999998</v>
      </c>
      <c r="D979" s="132">
        <v>96.7</v>
      </c>
      <c r="E979" s="132" t="s">
        <v>2214</v>
      </c>
      <c r="F979" s="132" t="s">
        <v>2214</v>
      </c>
      <c r="G979" s="138" t="s">
        <v>2214</v>
      </c>
      <c r="H979" s="132" t="e">
        <v>#N/A</v>
      </c>
      <c r="I979" s="135" t="s">
        <v>2214</v>
      </c>
    </row>
    <row r="980" spans="1:9">
      <c r="A980" s="131">
        <v>40812</v>
      </c>
      <c r="B980" s="132">
        <v>98.54</v>
      </c>
      <c r="C980" s="132">
        <v>96.384799999999998</v>
      </c>
      <c r="D980" s="132">
        <v>97.100899999999996</v>
      </c>
      <c r="E980" s="132" t="s">
        <v>2214</v>
      </c>
      <c r="F980" s="132" t="s">
        <v>2214</v>
      </c>
      <c r="G980" s="138" t="s">
        <v>2214</v>
      </c>
      <c r="H980" s="132" t="e">
        <v>#N/A</v>
      </c>
      <c r="I980" s="135" t="s">
        <v>2214</v>
      </c>
    </row>
    <row r="981" spans="1:9">
      <c r="A981" s="131">
        <v>40813</v>
      </c>
      <c r="B981" s="132">
        <v>98.54</v>
      </c>
      <c r="C981" s="132">
        <v>96.384799999999998</v>
      </c>
      <c r="D981" s="132">
        <v>97.003500000000003</v>
      </c>
      <c r="E981" s="132" t="s">
        <v>2214</v>
      </c>
      <c r="F981" s="132" t="s">
        <v>2214</v>
      </c>
      <c r="G981" s="138" t="s">
        <v>2214</v>
      </c>
      <c r="H981" s="132" t="e">
        <v>#N/A</v>
      </c>
      <c r="I981" s="135" t="s">
        <v>2214</v>
      </c>
    </row>
    <row r="982" spans="1:9">
      <c r="A982" s="131">
        <v>40814</v>
      </c>
      <c r="B982" s="132">
        <v>98.54</v>
      </c>
      <c r="C982" s="132">
        <v>96.384799999999998</v>
      </c>
      <c r="D982" s="132">
        <v>97.003299999999996</v>
      </c>
      <c r="E982" s="132" t="s">
        <v>2214</v>
      </c>
      <c r="F982" s="132" t="s">
        <v>2214</v>
      </c>
      <c r="G982" s="138" t="s">
        <v>2214</v>
      </c>
      <c r="H982" s="132" t="e">
        <v>#N/A</v>
      </c>
      <c r="I982" s="135" t="s">
        <v>2214</v>
      </c>
    </row>
    <row r="983" spans="1:9">
      <c r="A983" s="131">
        <v>40815</v>
      </c>
      <c r="B983" s="132">
        <v>98.54</v>
      </c>
      <c r="C983" s="132">
        <v>96.384799999999998</v>
      </c>
      <c r="D983" s="132">
        <v>97.002899999999997</v>
      </c>
      <c r="E983" s="132" t="s">
        <v>2214</v>
      </c>
      <c r="F983" s="132" t="s">
        <v>2214</v>
      </c>
      <c r="G983" s="138" t="s">
        <v>2214</v>
      </c>
      <c r="H983" s="132" t="e">
        <v>#N/A</v>
      </c>
      <c r="I983" s="135" t="s">
        <v>2214</v>
      </c>
    </row>
    <row r="984" spans="1:9">
      <c r="A984" s="131">
        <v>40816</v>
      </c>
      <c r="B984" s="132">
        <v>98.54</v>
      </c>
      <c r="C984" s="132">
        <v>96.384799999999998</v>
      </c>
      <c r="D984" s="132">
        <v>97.145700000000005</v>
      </c>
      <c r="E984" s="132" t="s">
        <v>2214</v>
      </c>
      <c r="F984" s="132" t="s">
        <v>2214</v>
      </c>
      <c r="G984" s="138" t="s">
        <v>2214</v>
      </c>
      <c r="H984" s="132" t="e">
        <v>#N/A</v>
      </c>
      <c r="I984" s="135" t="s">
        <v>2214</v>
      </c>
    </row>
    <row r="985" spans="1:9">
      <c r="A985" s="131">
        <v>40824</v>
      </c>
      <c r="B985" s="132">
        <v>98.54</v>
      </c>
      <c r="C985" s="132">
        <v>96.384799999999998</v>
      </c>
      <c r="D985" s="132">
        <v>97.305700000000002</v>
      </c>
      <c r="E985" s="132" t="s">
        <v>2214</v>
      </c>
      <c r="F985" s="132" t="s">
        <v>2214</v>
      </c>
      <c r="G985" s="138" t="s">
        <v>2214</v>
      </c>
      <c r="H985" s="132" t="e">
        <v>#N/A</v>
      </c>
      <c r="I985" s="135" t="s">
        <v>2214</v>
      </c>
    </row>
    <row r="986" spans="1:9">
      <c r="A986" s="131">
        <v>40825</v>
      </c>
      <c r="B986" s="132">
        <v>98.54</v>
      </c>
      <c r="C986" s="132">
        <v>96.384799999999998</v>
      </c>
      <c r="D986" s="132">
        <v>97.304900000000004</v>
      </c>
      <c r="E986" s="132" t="s">
        <v>2214</v>
      </c>
      <c r="F986" s="132" t="s">
        <v>2214</v>
      </c>
      <c r="G986" s="138" t="s">
        <v>2214</v>
      </c>
      <c r="H986" s="132" t="e">
        <v>#N/A</v>
      </c>
      <c r="I986" s="135" t="s">
        <v>2214</v>
      </c>
    </row>
    <row r="987" spans="1:9">
      <c r="A987" s="131">
        <v>40826</v>
      </c>
      <c r="B987" s="132">
        <v>98.54</v>
      </c>
      <c r="C987" s="132">
        <v>96.384799999999998</v>
      </c>
      <c r="D987" s="132">
        <v>97.652900000000002</v>
      </c>
      <c r="E987" s="132" t="s">
        <v>2214</v>
      </c>
      <c r="F987" s="132" t="s">
        <v>2214</v>
      </c>
      <c r="G987" s="138" t="s">
        <v>2214</v>
      </c>
      <c r="H987" s="132" t="e">
        <v>#N/A</v>
      </c>
      <c r="I987" s="135" t="s">
        <v>2214</v>
      </c>
    </row>
    <row r="988" spans="1:9">
      <c r="A988" s="131">
        <v>40827</v>
      </c>
      <c r="B988" s="132">
        <v>98.54</v>
      </c>
      <c r="C988" s="132">
        <v>96.384799999999998</v>
      </c>
      <c r="D988" s="132">
        <v>98.001900000000006</v>
      </c>
      <c r="E988" s="132" t="s">
        <v>2214</v>
      </c>
      <c r="F988" s="132" t="s">
        <v>2214</v>
      </c>
      <c r="G988" s="138" t="s">
        <v>2214</v>
      </c>
      <c r="H988" s="132" t="e">
        <v>#N/A</v>
      </c>
      <c r="I988" s="135" t="s">
        <v>2214</v>
      </c>
    </row>
    <row r="989" spans="1:9">
      <c r="A989" s="131">
        <v>40828</v>
      </c>
      <c r="B989" s="132">
        <v>98.54</v>
      </c>
      <c r="C989" s="132">
        <v>96.384799999999998</v>
      </c>
      <c r="D989" s="132">
        <v>98.100700000000003</v>
      </c>
      <c r="E989" s="132" t="s">
        <v>2214</v>
      </c>
      <c r="F989" s="132" t="s">
        <v>2214</v>
      </c>
      <c r="G989" s="138" t="s">
        <v>2214</v>
      </c>
      <c r="H989" s="132" t="e">
        <v>#N/A</v>
      </c>
      <c r="I989" s="135" t="s">
        <v>2214</v>
      </c>
    </row>
    <row r="990" spans="1:9">
      <c r="A990" s="131">
        <v>40829</v>
      </c>
      <c r="B990" s="132">
        <v>98.54</v>
      </c>
      <c r="C990" s="132">
        <v>96.384799999999998</v>
      </c>
      <c r="D990" s="132">
        <v>97.900599999999997</v>
      </c>
      <c r="E990" s="132" t="s">
        <v>2214</v>
      </c>
      <c r="F990" s="132" t="s">
        <v>2214</v>
      </c>
      <c r="G990" s="138" t="s">
        <v>2214</v>
      </c>
      <c r="H990" s="132" t="e">
        <v>#N/A</v>
      </c>
      <c r="I990" s="135" t="s">
        <v>2214</v>
      </c>
    </row>
    <row r="991" spans="1:9">
      <c r="A991" s="131">
        <v>40830</v>
      </c>
      <c r="B991" s="132">
        <v>98.54</v>
      </c>
      <c r="C991" s="132">
        <v>96.384799999999998</v>
      </c>
      <c r="D991" s="132">
        <v>97.800200000000004</v>
      </c>
      <c r="E991" s="132" t="s">
        <v>2214</v>
      </c>
      <c r="F991" s="132" t="s">
        <v>2214</v>
      </c>
      <c r="G991" s="138" t="s">
        <v>2214</v>
      </c>
      <c r="H991" s="132" t="e">
        <v>#N/A</v>
      </c>
      <c r="I991" s="135" t="s">
        <v>2214</v>
      </c>
    </row>
    <row r="992" spans="1:9">
      <c r="A992" s="131">
        <v>40833</v>
      </c>
      <c r="B992" s="132">
        <v>98.54</v>
      </c>
      <c r="C992" s="132">
        <v>96.384799999999998</v>
      </c>
      <c r="D992" s="132">
        <v>97.800200000000004</v>
      </c>
      <c r="E992" s="132" t="s">
        <v>2214</v>
      </c>
      <c r="F992" s="132" t="s">
        <v>2214</v>
      </c>
      <c r="G992" s="138" t="s">
        <v>2214</v>
      </c>
      <c r="H992" s="132" t="e">
        <v>#N/A</v>
      </c>
      <c r="I992" s="135" t="s">
        <v>2214</v>
      </c>
    </row>
    <row r="993" spans="1:9">
      <c r="A993" s="131">
        <v>40834</v>
      </c>
      <c r="B993" s="132">
        <v>98.54</v>
      </c>
      <c r="C993" s="132">
        <v>96.384799999999998</v>
      </c>
      <c r="D993" s="132">
        <v>97.800200000000004</v>
      </c>
      <c r="E993" s="132" t="s">
        <v>2214</v>
      </c>
      <c r="F993" s="132">
        <v>100</v>
      </c>
      <c r="G993" s="138" t="s">
        <v>2214</v>
      </c>
      <c r="H993" s="132" t="e">
        <v>#N/A</v>
      </c>
      <c r="I993" s="135" t="s">
        <v>2214</v>
      </c>
    </row>
    <row r="994" spans="1:9">
      <c r="A994" s="131">
        <v>40835</v>
      </c>
      <c r="B994" s="132">
        <v>98.54</v>
      </c>
      <c r="C994" s="132">
        <v>96.384799999999998</v>
      </c>
      <c r="D994" s="132">
        <v>97.800200000000004</v>
      </c>
      <c r="E994" s="132" t="s">
        <v>2214</v>
      </c>
      <c r="F994" s="132">
        <v>99.756500000000003</v>
      </c>
      <c r="G994" s="138" t="s">
        <v>2214</v>
      </c>
      <c r="H994" s="132" t="e">
        <v>#N/A</v>
      </c>
      <c r="I994" s="135" t="s">
        <v>2214</v>
      </c>
    </row>
    <row r="995" spans="1:9">
      <c r="A995" s="131">
        <v>40836</v>
      </c>
      <c r="B995" s="132">
        <v>98.54</v>
      </c>
      <c r="C995" s="132">
        <v>96.384799999999998</v>
      </c>
      <c r="D995" s="132">
        <v>97.800200000000004</v>
      </c>
      <c r="E995" s="132" t="s">
        <v>2214</v>
      </c>
      <c r="F995" s="132">
        <v>99.816900000000004</v>
      </c>
      <c r="G995" s="138" t="s">
        <v>2214</v>
      </c>
      <c r="H995" s="132" t="e">
        <v>#N/A</v>
      </c>
      <c r="I995" s="135" t="s">
        <v>2214</v>
      </c>
    </row>
    <row r="996" spans="1:9">
      <c r="A996" s="131">
        <v>40837</v>
      </c>
      <c r="B996" s="132">
        <v>98.54</v>
      </c>
      <c r="C996" s="132">
        <v>96.384799999999998</v>
      </c>
      <c r="D996" s="132">
        <v>97.800200000000004</v>
      </c>
      <c r="E996" s="132" t="s">
        <v>2214</v>
      </c>
      <c r="F996" s="132">
        <v>99.786299999999997</v>
      </c>
      <c r="G996" s="138" t="s">
        <v>2214</v>
      </c>
      <c r="H996" s="132" t="e">
        <v>#N/A</v>
      </c>
      <c r="I996" s="135" t="s">
        <v>2214</v>
      </c>
    </row>
    <row r="997" spans="1:9">
      <c r="A997" s="131">
        <v>40840</v>
      </c>
      <c r="B997" s="132">
        <v>98.54</v>
      </c>
      <c r="C997" s="132">
        <v>96.536600000000007</v>
      </c>
      <c r="D997" s="132">
        <v>97.800200000000004</v>
      </c>
      <c r="E997" s="132" t="s">
        <v>2214</v>
      </c>
      <c r="F997" s="132">
        <v>99.605199999999996</v>
      </c>
      <c r="G997" s="138" t="s">
        <v>2214</v>
      </c>
      <c r="H997" s="132" t="e">
        <v>#N/A</v>
      </c>
      <c r="I997" s="135" t="s">
        <v>2214</v>
      </c>
    </row>
    <row r="998" spans="1:9">
      <c r="A998" s="131">
        <v>40841</v>
      </c>
      <c r="B998" s="132">
        <v>98.54</v>
      </c>
      <c r="C998" s="132">
        <v>96.503600000000006</v>
      </c>
      <c r="D998" s="132">
        <v>97.800200000000004</v>
      </c>
      <c r="E998" s="132" t="s">
        <v>2214</v>
      </c>
      <c r="F998" s="132">
        <v>99.514899999999997</v>
      </c>
      <c r="G998" s="138" t="s">
        <v>2214</v>
      </c>
      <c r="H998" s="132" t="e">
        <v>#N/A</v>
      </c>
      <c r="I998" s="135" t="s">
        <v>2214</v>
      </c>
    </row>
    <row r="999" spans="1:9">
      <c r="A999" s="131">
        <v>40842</v>
      </c>
      <c r="B999" s="132">
        <v>98.54</v>
      </c>
      <c r="C999" s="132">
        <v>96.504800000000003</v>
      </c>
      <c r="D999" s="132">
        <v>97.800200000000004</v>
      </c>
      <c r="E999" s="132" t="s">
        <v>2214</v>
      </c>
      <c r="F999" s="132">
        <v>99.454800000000006</v>
      </c>
      <c r="G999" s="138" t="s">
        <v>2214</v>
      </c>
      <c r="H999" s="132" t="e">
        <v>#N/A</v>
      </c>
      <c r="I999" s="135" t="s">
        <v>2214</v>
      </c>
    </row>
    <row r="1000" spans="1:9">
      <c r="A1000" s="131">
        <v>40843</v>
      </c>
      <c r="B1000" s="132">
        <v>98.54</v>
      </c>
      <c r="C1000" s="132">
        <v>96.505099999999999</v>
      </c>
      <c r="D1000" s="132">
        <v>97.800200000000004</v>
      </c>
      <c r="E1000" s="132" t="s">
        <v>2214</v>
      </c>
      <c r="F1000" s="132">
        <v>99.8232</v>
      </c>
      <c r="G1000" s="138" t="s">
        <v>2214</v>
      </c>
      <c r="H1000" s="132" t="e">
        <v>#N/A</v>
      </c>
      <c r="I1000" s="135" t="s">
        <v>2214</v>
      </c>
    </row>
    <row r="1001" spans="1:9">
      <c r="A1001" s="131">
        <v>40844</v>
      </c>
      <c r="B1001" s="132">
        <v>98.54</v>
      </c>
      <c r="C1001" s="132">
        <v>96.521299999999997</v>
      </c>
      <c r="D1001" s="132">
        <v>97.800200000000004</v>
      </c>
      <c r="E1001" s="132" t="s">
        <v>2214</v>
      </c>
      <c r="F1001" s="132">
        <v>99.575000000000003</v>
      </c>
      <c r="G1001" s="138" t="s">
        <v>2214</v>
      </c>
      <c r="H1001" s="132" t="e">
        <v>#N/A</v>
      </c>
      <c r="I1001" s="135" t="s">
        <v>2214</v>
      </c>
    </row>
    <row r="1002" spans="1:9">
      <c r="A1002" s="131">
        <v>40847</v>
      </c>
      <c r="B1002" s="132">
        <v>98.54</v>
      </c>
      <c r="C1002" s="132">
        <v>96.406499999999994</v>
      </c>
      <c r="D1002" s="132">
        <v>97.800200000000004</v>
      </c>
      <c r="E1002" s="132" t="s">
        <v>2214</v>
      </c>
      <c r="F1002" s="132">
        <v>99.755499999999998</v>
      </c>
      <c r="G1002" s="138" t="s">
        <v>2214</v>
      </c>
      <c r="H1002" s="132" t="e">
        <v>#N/A</v>
      </c>
      <c r="I1002" s="135" t="s">
        <v>2214</v>
      </c>
    </row>
    <row r="1003" spans="1:9">
      <c r="A1003" s="131">
        <v>40848</v>
      </c>
      <c r="B1003" s="132">
        <v>98.54</v>
      </c>
      <c r="C1003" s="132">
        <v>96.402799999999999</v>
      </c>
      <c r="D1003" s="132">
        <v>97.800200000000004</v>
      </c>
      <c r="E1003" s="132" t="s">
        <v>2214</v>
      </c>
      <c r="F1003" s="132">
        <v>99.996600000000001</v>
      </c>
      <c r="G1003" s="138" t="s">
        <v>2214</v>
      </c>
      <c r="H1003" s="132" t="e">
        <v>#N/A</v>
      </c>
      <c r="I1003" s="135" t="s">
        <v>2214</v>
      </c>
    </row>
    <row r="1004" spans="1:9">
      <c r="A1004" s="131">
        <v>40849</v>
      </c>
      <c r="B1004" s="132">
        <v>98.54</v>
      </c>
      <c r="C1004" s="132">
        <v>96.402299999999997</v>
      </c>
      <c r="D1004" s="132">
        <v>97.800200000000004</v>
      </c>
      <c r="E1004" s="132" t="s">
        <v>2214</v>
      </c>
      <c r="F1004" s="132">
        <v>100.0569</v>
      </c>
      <c r="G1004" s="138" t="s">
        <v>2214</v>
      </c>
      <c r="H1004" s="132" t="e">
        <v>#N/A</v>
      </c>
      <c r="I1004" s="135" t="s">
        <v>2214</v>
      </c>
    </row>
    <row r="1005" spans="1:9">
      <c r="A1005" s="131">
        <v>40850</v>
      </c>
      <c r="B1005" s="132">
        <v>98.54</v>
      </c>
      <c r="C1005" s="132">
        <v>96.402299999999997</v>
      </c>
      <c r="D1005" s="132">
        <v>97.800200000000004</v>
      </c>
      <c r="E1005" s="132" t="s">
        <v>2214</v>
      </c>
      <c r="F1005" s="132">
        <v>100.0869</v>
      </c>
      <c r="G1005" s="138" t="s">
        <v>2214</v>
      </c>
      <c r="H1005" s="132" t="e">
        <v>#N/A</v>
      </c>
      <c r="I1005" s="135" t="s">
        <v>2214</v>
      </c>
    </row>
    <row r="1006" spans="1:9">
      <c r="A1006" s="131">
        <v>40851</v>
      </c>
      <c r="B1006" s="132">
        <v>98.54</v>
      </c>
      <c r="C1006" s="132">
        <v>96.406800000000004</v>
      </c>
      <c r="D1006" s="132">
        <v>97.800200000000004</v>
      </c>
      <c r="E1006" s="132" t="s">
        <v>2214</v>
      </c>
      <c r="F1006" s="132">
        <v>100.1467</v>
      </c>
      <c r="G1006" s="138" t="s">
        <v>2214</v>
      </c>
      <c r="H1006" s="132" t="e">
        <v>#N/A</v>
      </c>
      <c r="I1006" s="135" t="s">
        <v>2214</v>
      </c>
    </row>
    <row r="1007" spans="1:9">
      <c r="A1007" s="131">
        <v>40854</v>
      </c>
      <c r="B1007" s="132">
        <v>98.54</v>
      </c>
      <c r="C1007" s="132">
        <v>96.902299999999997</v>
      </c>
      <c r="D1007" s="132">
        <v>97.800200000000004</v>
      </c>
      <c r="E1007" s="132" t="s">
        <v>2214</v>
      </c>
      <c r="F1007" s="132">
        <v>100.056</v>
      </c>
      <c r="G1007" s="138" t="s">
        <v>2214</v>
      </c>
      <c r="H1007" s="132" t="e">
        <v>#N/A</v>
      </c>
      <c r="I1007" s="135" t="s">
        <v>2214</v>
      </c>
    </row>
    <row r="1008" spans="1:9">
      <c r="A1008" s="131">
        <v>40855</v>
      </c>
      <c r="B1008" s="132">
        <v>98.54</v>
      </c>
      <c r="C1008" s="132">
        <v>96.878399999999999</v>
      </c>
      <c r="D1008" s="132">
        <v>97.800200000000004</v>
      </c>
      <c r="E1008" s="132" t="s">
        <v>2214</v>
      </c>
      <c r="F1008" s="132">
        <v>100.3276</v>
      </c>
      <c r="G1008" s="138" t="s">
        <v>2214</v>
      </c>
      <c r="H1008" s="132" t="e">
        <v>#N/A</v>
      </c>
      <c r="I1008" s="135" t="s">
        <v>2214</v>
      </c>
    </row>
    <row r="1009" spans="1:9">
      <c r="A1009" s="131">
        <v>40856</v>
      </c>
      <c r="B1009" s="132">
        <v>98.54</v>
      </c>
      <c r="C1009" s="132">
        <v>96.9024</v>
      </c>
      <c r="D1009" s="132">
        <v>97.800200000000004</v>
      </c>
      <c r="E1009" s="132" t="s">
        <v>2214</v>
      </c>
      <c r="F1009" s="132">
        <v>100.59990000000001</v>
      </c>
      <c r="G1009" s="138" t="s">
        <v>2214</v>
      </c>
      <c r="H1009" s="132" t="e">
        <v>#N/A</v>
      </c>
      <c r="I1009" s="135" t="s">
        <v>2214</v>
      </c>
    </row>
    <row r="1010" spans="1:9">
      <c r="A1010" s="131">
        <v>40857</v>
      </c>
      <c r="B1010" s="132">
        <v>98.54</v>
      </c>
      <c r="C1010" s="132">
        <v>96.9024</v>
      </c>
      <c r="D1010" s="132">
        <v>97.800200000000004</v>
      </c>
      <c r="E1010" s="132" t="s">
        <v>2214</v>
      </c>
      <c r="F1010" s="132">
        <v>101.0663</v>
      </c>
      <c r="G1010" s="138" t="s">
        <v>2214</v>
      </c>
      <c r="H1010" s="132" t="e">
        <v>#N/A</v>
      </c>
      <c r="I1010" s="135" t="s">
        <v>2214</v>
      </c>
    </row>
    <row r="1011" spans="1:9">
      <c r="A1011" s="131">
        <v>40858</v>
      </c>
      <c r="B1011" s="132">
        <v>98.54</v>
      </c>
      <c r="C1011" s="132">
        <v>96.904799999999994</v>
      </c>
      <c r="D1011" s="132">
        <v>97.800200000000004</v>
      </c>
      <c r="E1011" s="132" t="s">
        <v>2214</v>
      </c>
      <c r="F1011" s="132">
        <v>100.902</v>
      </c>
      <c r="G1011" s="138" t="s">
        <v>2214</v>
      </c>
      <c r="H1011" s="132" t="e">
        <v>#N/A</v>
      </c>
      <c r="I1011" s="135" t="s">
        <v>2214</v>
      </c>
    </row>
    <row r="1012" spans="1:9">
      <c r="A1012" s="131">
        <v>40861</v>
      </c>
      <c r="B1012" s="132">
        <v>98.54</v>
      </c>
      <c r="C1012" s="132">
        <v>97.701899999999995</v>
      </c>
      <c r="D1012" s="132">
        <v>97.800200000000004</v>
      </c>
      <c r="E1012" s="132" t="s">
        <v>2214</v>
      </c>
      <c r="F1012" s="132">
        <v>100.902</v>
      </c>
      <c r="G1012" s="138" t="s">
        <v>2214</v>
      </c>
      <c r="H1012" s="132" t="e">
        <v>#N/A</v>
      </c>
      <c r="I1012" s="135" t="s">
        <v>2214</v>
      </c>
    </row>
    <row r="1013" spans="1:9">
      <c r="A1013" s="131">
        <v>40862</v>
      </c>
      <c r="B1013" s="132">
        <v>98.54</v>
      </c>
      <c r="C1013" s="132">
        <v>97.701999999999998</v>
      </c>
      <c r="D1013" s="132">
        <v>97.800200000000004</v>
      </c>
      <c r="E1013" s="132" t="s">
        <v>2214</v>
      </c>
      <c r="F1013" s="132">
        <v>100.5373</v>
      </c>
      <c r="G1013" s="138" t="s">
        <v>2214</v>
      </c>
      <c r="H1013" s="132" t="e">
        <v>#N/A</v>
      </c>
      <c r="I1013" s="135" t="s">
        <v>2214</v>
      </c>
    </row>
    <row r="1014" spans="1:9">
      <c r="A1014" s="131">
        <v>40863</v>
      </c>
      <c r="B1014" s="132">
        <v>98.54</v>
      </c>
      <c r="C1014" s="132">
        <v>97.701999999999998</v>
      </c>
      <c r="D1014" s="132">
        <v>97.800200000000004</v>
      </c>
      <c r="E1014" s="132" t="s">
        <v>2214</v>
      </c>
      <c r="F1014" s="132">
        <v>100.5975</v>
      </c>
      <c r="G1014" s="138" t="s">
        <v>2214</v>
      </c>
      <c r="H1014" s="132" t="e">
        <v>#N/A</v>
      </c>
      <c r="I1014" s="135" t="s">
        <v>2214</v>
      </c>
    </row>
    <row r="1015" spans="1:9">
      <c r="A1015" s="131">
        <v>40864</v>
      </c>
      <c r="B1015" s="132">
        <v>98.54</v>
      </c>
      <c r="C1015" s="132">
        <v>97.702799999999996</v>
      </c>
      <c r="D1015" s="132">
        <v>97.800200000000004</v>
      </c>
      <c r="E1015" s="132" t="s">
        <v>2214</v>
      </c>
      <c r="F1015" s="132">
        <v>100.6576</v>
      </c>
      <c r="G1015" s="138" t="s">
        <v>2214</v>
      </c>
      <c r="H1015" s="132" t="e">
        <v>#N/A</v>
      </c>
      <c r="I1015" s="135" t="s">
        <v>2214</v>
      </c>
    </row>
    <row r="1016" spans="1:9">
      <c r="A1016" s="131">
        <v>40865</v>
      </c>
      <c r="B1016" s="132">
        <v>98.54</v>
      </c>
      <c r="C1016" s="132">
        <v>97.71</v>
      </c>
      <c r="D1016" s="132">
        <v>97.800200000000004</v>
      </c>
      <c r="E1016" s="132" t="s">
        <v>2214</v>
      </c>
      <c r="F1016" s="132">
        <v>100.5356</v>
      </c>
      <c r="G1016" s="138" t="s">
        <v>2214</v>
      </c>
      <c r="H1016" s="132" t="e">
        <v>#N/A</v>
      </c>
      <c r="I1016" s="135" t="s">
        <v>2214</v>
      </c>
    </row>
    <row r="1017" spans="1:9">
      <c r="A1017" s="131">
        <v>40868</v>
      </c>
      <c r="B1017" s="132">
        <v>98.54</v>
      </c>
      <c r="C1017" s="132">
        <v>97.503900000000002</v>
      </c>
      <c r="D1017" s="132">
        <v>97.800200000000004</v>
      </c>
      <c r="E1017" s="132" t="s">
        <v>2214</v>
      </c>
      <c r="F1017" s="132">
        <v>100.47499999999999</v>
      </c>
      <c r="G1017" s="138" t="s">
        <v>2214</v>
      </c>
      <c r="H1017" s="132" t="e">
        <v>#N/A</v>
      </c>
      <c r="I1017" s="135" t="s">
        <v>2214</v>
      </c>
    </row>
    <row r="1018" spans="1:9">
      <c r="A1018" s="131">
        <v>40869</v>
      </c>
      <c r="B1018" s="132">
        <v>98.54</v>
      </c>
      <c r="C1018" s="132">
        <v>97.504499999999993</v>
      </c>
      <c r="D1018" s="132">
        <v>97.800200000000004</v>
      </c>
      <c r="E1018" s="132" t="s">
        <v>2214</v>
      </c>
      <c r="F1018" s="132">
        <v>100.6558</v>
      </c>
      <c r="G1018" s="138" t="s">
        <v>2214</v>
      </c>
      <c r="H1018" s="132" t="e">
        <v>#N/A</v>
      </c>
      <c r="I1018" s="135" t="s">
        <v>2214</v>
      </c>
    </row>
    <row r="1019" spans="1:9">
      <c r="A1019" s="131">
        <v>40870</v>
      </c>
      <c r="B1019" s="132">
        <v>99.7</v>
      </c>
      <c r="C1019" s="132">
        <v>97.504499999999993</v>
      </c>
      <c r="D1019" s="132">
        <v>97.800200000000004</v>
      </c>
      <c r="E1019" s="132" t="s">
        <v>2214</v>
      </c>
      <c r="F1019" s="132">
        <v>100.6558</v>
      </c>
      <c r="G1019" s="138">
        <v>99.781000000000006</v>
      </c>
      <c r="H1019" s="132" t="e">
        <v>#N/A</v>
      </c>
      <c r="I1019" s="135" t="s">
        <v>2214</v>
      </c>
    </row>
    <row r="1020" spans="1:9">
      <c r="A1020" s="131">
        <v>40871</v>
      </c>
      <c r="B1020" s="132">
        <v>99.6</v>
      </c>
      <c r="C1020" s="132">
        <v>97.490300000000005</v>
      </c>
      <c r="D1020" s="132">
        <v>97.800200000000004</v>
      </c>
      <c r="E1020" s="132" t="s">
        <v>2214</v>
      </c>
      <c r="F1020" s="132">
        <v>100.89709999999999</v>
      </c>
      <c r="G1020" s="138">
        <v>99.392899999999997</v>
      </c>
      <c r="H1020" s="132" t="e">
        <v>#N/A</v>
      </c>
      <c r="I1020" s="135" t="s">
        <v>2214</v>
      </c>
    </row>
    <row r="1021" spans="1:9">
      <c r="A1021" s="131">
        <v>40872</v>
      </c>
      <c r="B1021" s="132">
        <v>99.6</v>
      </c>
      <c r="C1021" s="132">
        <v>97.490300000000005</v>
      </c>
      <c r="D1021" s="132">
        <v>97.800200000000004</v>
      </c>
      <c r="E1021" s="132" t="s">
        <v>2214</v>
      </c>
      <c r="F1021" s="132">
        <v>100.8352</v>
      </c>
      <c r="G1021" s="138">
        <v>99.955799999999996</v>
      </c>
      <c r="H1021" s="132" t="e">
        <v>#N/A</v>
      </c>
      <c r="I1021" s="135" t="s">
        <v>2214</v>
      </c>
    </row>
    <row r="1022" spans="1:9">
      <c r="A1022" s="131">
        <v>40875</v>
      </c>
      <c r="B1022" s="132">
        <v>99.6</v>
      </c>
      <c r="C1022" s="132">
        <v>97.490300000000005</v>
      </c>
      <c r="D1022" s="132">
        <v>97.800200000000004</v>
      </c>
      <c r="E1022" s="132" t="s">
        <v>2214</v>
      </c>
      <c r="F1022" s="132">
        <v>100.7744</v>
      </c>
      <c r="G1022" s="138" t="s">
        <v>2214</v>
      </c>
      <c r="H1022" s="132" t="e">
        <v>#N/A</v>
      </c>
      <c r="I1022" s="135" t="s">
        <v>2214</v>
      </c>
    </row>
    <row r="1023" spans="1:9">
      <c r="A1023" s="131">
        <v>40876</v>
      </c>
      <c r="B1023" s="132">
        <v>99.6</v>
      </c>
      <c r="C1023" s="132">
        <v>97.3964</v>
      </c>
      <c r="D1023" s="132">
        <v>98.351399999999998</v>
      </c>
      <c r="E1023" s="132" t="s">
        <v>2214</v>
      </c>
      <c r="F1023" s="132">
        <v>100.68340000000001</v>
      </c>
      <c r="G1023" s="138" t="s">
        <v>2214</v>
      </c>
      <c r="H1023" s="132" t="e">
        <v>#N/A</v>
      </c>
      <c r="I1023" s="135" t="s">
        <v>2214</v>
      </c>
    </row>
    <row r="1024" spans="1:9">
      <c r="A1024" s="131">
        <v>40877</v>
      </c>
      <c r="B1024" s="132">
        <v>99.6</v>
      </c>
      <c r="C1024" s="132">
        <v>100</v>
      </c>
      <c r="D1024" s="132">
        <v>98.351399999999998</v>
      </c>
      <c r="E1024" s="132" t="s">
        <v>2214</v>
      </c>
      <c r="F1024" s="132">
        <v>100.8339</v>
      </c>
      <c r="G1024" s="138">
        <v>99.604500000000002</v>
      </c>
      <c r="H1024" s="132" t="e">
        <v>#N/A</v>
      </c>
      <c r="I1024" s="135" t="s">
        <v>2214</v>
      </c>
    </row>
    <row r="1025" spans="1:9">
      <c r="A1025" s="131">
        <v>40878</v>
      </c>
      <c r="B1025" s="132">
        <v>99.6</v>
      </c>
      <c r="C1025" s="132">
        <v>100</v>
      </c>
      <c r="D1025" s="132">
        <v>98.526399999999995</v>
      </c>
      <c r="E1025" s="132" t="s">
        <v>2214</v>
      </c>
      <c r="F1025" s="132">
        <v>100.6224</v>
      </c>
      <c r="G1025" s="138">
        <v>98.226900000000001</v>
      </c>
      <c r="H1025" s="132" t="e">
        <v>#N/A</v>
      </c>
      <c r="I1025" s="135" t="s">
        <v>2214</v>
      </c>
    </row>
    <row r="1026" spans="1:9">
      <c r="A1026" s="131">
        <v>40879</v>
      </c>
      <c r="B1026" s="132">
        <v>99.6</v>
      </c>
      <c r="C1026" s="132">
        <v>98.205699999999993</v>
      </c>
      <c r="D1026" s="132">
        <v>98.801100000000005</v>
      </c>
      <c r="E1026" s="132" t="s">
        <v>2214</v>
      </c>
      <c r="F1026" s="132">
        <v>101.5594</v>
      </c>
      <c r="G1026" s="138">
        <v>100.6815</v>
      </c>
      <c r="H1026" s="132" t="e">
        <v>#N/A</v>
      </c>
      <c r="I1026" s="135" t="s">
        <v>2214</v>
      </c>
    </row>
    <row r="1027" spans="1:9">
      <c r="A1027" s="131">
        <v>40882</v>
      </c>
      <c r="B1027" s="132">
        <v>99.6</v>
      </c>
      <c r="C1027" s="132">
        <v>98.205699999999993</v>
      </c>
      <c r="D1027" s="132">
        <v>99.1</v>
      </c>
      <c r="E1027" s="132" t="s">
        <v>2214</v>
      </c>
      <c r="F1027" s="132">
        <v>101.7415</v>
      </c>
      <c r="G1027" s="138">
        <v>100.70650000000001</v>
      </c>
      <c r="H1027" s="132" t="e">
        <v>#N/A</v>
      </c>
      <c r="I1027" s="135" t="s">
        <v>2214</v>
      </c>
    </row>
    <row r="1028" spans="1:9">
      <c r="A1028" s="131">
        <v>40883</v>
      </c>
      <c r="B1028" s="132">
        <v>99.6</v>
      </c>
      <c r="C1028" s="132">
        <v>98.205699999999993</v>
      </c>
      <c r="D1028" s="132">
        <v>99.15</v>
      </c>
      <c r="E1028" s="132" t="s">
        <v>2214</v>
      </c>
      <c r="F1028" s="132">
        <v>101.77119999999999</v>
      </c>
      <c r="G1028" s="138">
        <v>100.6972</v>
      </c>
      <c r="H1028" s="132" t="e">
        <v>#N/A</v>
      </c>
      <c r="I1028" s="135" t="s">
        <v>2214</v>
      </c>
    </row>
    <row r="1029" spans="1:9">
      <c r="A1029" s="131">
        <v>40884</v>
      </c>
      <c r="B1029" s="132">
        <v>99.6</v>
      </c>
      <c r="C1029" s="132">
        <v>98.205699999999993</v>
      </c>
      <c r="D1029" s="132">
        <v>99.15</v>
      </c>
      <c r="E1029" s="132" t="s">
        <v>2214</v>
      </c>
      <c r="F1029" s="132">
        <v>101.67910000000001</v>
      </c>
      <c r="G1029" s="138">
        <v>100.6635</v>
      </c>
      <c r="H1029" s="132" t="e">
        <v>#N/A</v>
      </c>
      <c r="I1029" s="135" t="s">
        <v>2214</v>
      </c>
    </row>
    <row r="1030" spans="1:9">
      <c r="A1030" s="131">
        <v>40885</v>
      </c>
      <c r="B1030" s="132">
        <v>99.6</v>
      </c>
      <c r="C1030" s="132">
        <v>98.205699999999993</v>
      </c>
      <c r="D1030" s="132">
        <v>99.000100000000003</v>
      </c>
      <c r="E1030" s="132" t="s">
        <v>2214</v>
      </c>
      <c r="F1030" s="132">
        <v>101.67910000000001</v>
      </c>
      <c r="G1030" s="138">
        <v>100.4319</v>
      </c>
      <c r="H1030" s="132" t="e">
        <v>#N/A</v>
      </c>
      <c r="I1030" s="135" t="s">
        <v>2214</v>
      </c>
    </row>
    <row r="1031" spans="1:9">
      <c r="A1031" s="131">
        <v>40886</v>
      </c>
      <c r="B1031" s="132">
        <v>99.6</v>
      </c>
      <c r="C1031" s="132">
        <v>98.205699999999993</v>
      </c>
      <c r="D1031" s="132">
        <v>99.000299999999996</v>
      </c>
      <c r="E1031" s="132" t="s">
        <v>2214</v>
      </c>
      <c r="F1031" s="132">
        <v>101.6155</v>
      </c>
      <c r="G1031" s="138">
        <v>100.6349</v>
      </c>
      <c r="H1031" s="132" t="e">
        <v>#N/A</v>
      </c>
      <c r="I1031" s="135" t="s">
        <v>2214</v>
      </c>
    </row>
    <row r="1032" spans="1:9">
      <c r="A1032" s="131">
        <v>40889</v>
      </c>
      <c r="B1032" s="132">
        <v>99.6</v>
      </c>
      <c r="C1032" s="132">
        <v>98.165000000000006</v>
      </c>
      <c r="D1032" s="132">
        <v>99.100300000000004</v>
      </c>
      <c r="E1032" s="132" t="s">
        <v>2214</v>
      </c>
      <c r="F1032" s="132">
        <v>101.55410000000001</v>
      </c>
      <c r="G1032" s="138">
        <v>100.45820000000001</v>
      </c>
      <c r="H1032" s="132" t="e">
        <v>#N/A</v>
      </c>
      <c r="I1032" s="135" t="s">
        <v>2214</v>
      </c>
    </row>
    <row r="1033" spans="1:9">
      <c r="A1033" s="131">
        <v>40890</v>
      </c>
      <c r="B1033" s="132">
        <v>99.6</v>
      </c>
      <c r="C1033" s="132">
        <v>98.165000000000006</v>
      </c>
      <c r="D1033" s="132">
        <v>99.000299999999996</v>
      </c>
      <c r="E1033" s="132" t="s">
        <v>2214</v>
      </c>
      <c r="F1033" s="132">
        <v>101.5534</v>
      </c>
      <c r="G1033" s="138">
        <v>100.4855</v>
      </c>
      <c r="H1033" s="132" t="e">
        <v>#N/A</v>
      </c>
      <c r="I1033" s="135" t="s">
        <v>2214</v>
      </c>
    </row>
    <row r="1034" spans="1:9">
      <c r="A1034" s="131">
        <v>40891</v>
      </c>
      <c r="B1034" s="132">
        <v>99.6</v>
      </c>
      <c r="C1034" s="132">
        <v>98.165000000000006</v>
      </c>
      <c r="D1034" s="132">
        <v>99.000200000000007</v>
      </c>
      <c r="E1034" s="132" t="s">
        <v>2214</v>
      </c>
      <c r="F1034" s="132">
        <v>99.75</v>
      </c>
      <c r="G1034" s="138" t="s">
        <v>2214</v>
      </c>
      <c r="H1034" s="132" t="e">
        <v>#N/A</v>
      </c>
      <c r="I1034" s="135" t="s">
        <v>2214</v>
      </c>
    </row>
    <row r="1035" spans="1:9">
      <c r="A1035" s="131">
        <v>40892</v>
      </c>
      <c r="B1035" s="132">
        <v>99.6</v>
      </c>
      <c r="C1035" s="132">
        <v>98.165000000000006</v>
      </c>
      <c r="D1035" s="132">
        <v>99.000299999999996</v>
      </c>
      <c r="E1035" s="132" t="s">
        <v>2214</v>
      </c>
      <c r="F1035" s="132">
        <v>101.6127</v>
      </c>
      <c r="G1035" s="138">
        <v>100.6938</v>
      </c>
      <c r="H1035" s="132" t="e">
        <v>#N/A</v>
      </c>
      <c r="I1035" s="135" t="s">
        <v>2214</v>
      </c>
    </row>
    <row r="1036" spans="1:9">
      <c r="A1036" s="131">
        <v>40893</v>
      </c>
      <c r="B1036" s="132">
        <v>99.6</v>
      </c>
      <c r="C1036" s="132">
        <v>98.165000000000006</v>
      </c>
      <c r="D1036" s="132">
        <v>99.000200000000007</v>
      </c>
      <c r="E1036" s="132" t="s">
        <v>2214</v>
      </c>
      <c r="F1036" s="132">
        <v>101.6713</v>
      </c>
      <c r="G1036" s="138">
        <v>100.7747</v>
      </c>
      <c r="H1036" s="132" t="e">
        <v>#N/A</v>
      </c>
      <c r="I1036" s="135" t="s">
        <v>2214</v>
      </c>
    </row>
    <row r="1037" spans="1:9">
      <c r="A1037" s="131">
        <v>40896</v>
      </c>
      <c r="B1037" s="132">
        <v>99.6</v>
      </c>
      <c r="C1037" s="132">
        <v>98.165000000000006</v>
      </c>
      <c r="D1037" s="132">
        <v>99.000100000000003</v>
      </c>
      <c r="E1037" s="132" t="s">
        <v>2214</v>
      </c>
      <c r="F1037" s="132">
        <v>101.7312</v>
      </c>
      <c r="G1037" s="138">
        <v>100.7201</v>
      </c>
      <c r="H1037" s="132" t="e">
        <v>#N/A</v>
      </c>
      <c r="I1037" s="135" t="s">
        <v>2214</v>
      </c>
    </row>
    <row r="1038" spans="1:9">
      <c r="A1038" s="131">
        <v>40897</v>
      </c>
      <c r="B1038" s="132">
        <v>99.6</v>
      </c>
      <c r="C1038" s="132">
        <v>98.165000000000006</v>
      </c>
      <c r="D1038" s="132">
        <v>99</v>
      </c>
      <c r="E1038" s="132" t="s">
        <v>2214</v>
      </c>
      <c r="F1038" s="132">
        <v>101.6699</v>
      </c>
      <c r="G1038" s="138">
        <v>100.4859</v>
      </c>
      <c r="H1038" s="132" t="e">
        <v>#N/A</v>
      </c>
      <c r="I1038" s="135" t="s">
        <v>2214</v>
      </c>
    </row>
    <row r="1039" spans="1:9">
      <c r="A1039" s="131">
        <v>40898</v>
      </c>
      <c r="B1039" s="132">
        <v>99.6</v>
      </c>
      <c r="C1039" s="132">
        <v>98.165000000000006</v>
      </c>
      <c r="D1039" s="132">
        <v>99.000100000000003</v>
      </c>
      <c r="E1039" s="132" t="s">
        <v>2214</v>
      </c>
      <c r="F1039" s="132">
        <v>101.6995</v>
      </c>
      <c r="G1039" s="138">
        <v>100.7749</v>
      </c>
      <c r="H1039" s="132" t="e">
        <v>#N/A</v>
      </c>
      <c r="I1039" s="135" t="s">
        <v>2214</v>
      </c>
    </row>
    <row r="1040" spans="1:9">
      <c r="A1040" s="131">
        <v>40899</v>
      </c>
      <c r="B1040" s="132">
        <v>99.6</v>
      </c>
      <c r="C1040" s="132">
        <v>98.165000000000006</v>
      </c>
      <c r="D1040" s="132">
        <v>99.000200000000007</v>
      </c>
      <c r="E1040" s="132" t="s">
        <v>2214</v>
      </c>
      <c r="F1040" s="132">
        <v>101.6079</v>
      </c>
      <c r="G1040" s="138">
        <v>100.74590000000001</v>
      </c>
      <c r="H1040" s="132" t="e">
        <v>#N/A</v>
      </c>
      <c r="I1040" s="135" t="s">
        <v>2214</v>
      </c>
    </row>
    <row r="1041" spans="1:9">
      <c r="A1041" s="131">
        <v>40900</v>
      </c>
      <c r="B1041" s="132">
        <v>99.6</v>
      </c>
      <c r="C1041" s="132">
        <v>98.165000000000006</v>
      </c>
      <c r="D1041" s="132">
        <v>99.000799999999998</v>
      </c>
      <c r="E1041" s="132" t="s">
        <v>2214</v>
      </c>
      <c r="F1041" s="132">
        <v>101.60590000000001</v>
      </c>
      <c r="G1041" s="138">
        <v>100.66240000000001</v>
      </c>
      <c r="H1041" s="132" t="e">
        <v>#N/A</v>
      </c>
      <c r="I1041" s="135" t="s">
        <v>2214</v>
      </c>
    </row>
    <row r="1042" spans="1:9">
      <c r="A1042" s="131">
        <v>40903</v>
      </c>
      <c r="B1042" s="132">
        <v>99.6</v>
      </c>
      <c r="C1042" s="132">
        <v>98.165000000000006</v>
      </c>
      <c r="D1042" s="132">
        <v>98.900300000000001</v>
      </c>
      <c r="E1042" s="132" t="s">
        <v>2214</v>
      </c>
      <c r="F1042" s="132">
        <v>101.6052</v>
      </c>
      <c r="G1042" s="138" t="s">
        <v>2214</v>
      </c>
      <c r="H1042" s="132" t="e">
        <v>#N/A</v>
      </c>
      <c r="I1042" s="135" t="s">
        <v>2214</v>
      </c>
    </row>
    <row r="1043" spans="1:9">
      <c r="A1043" s="131">
        <v>40904</v>
      </c>
      <c r="B1043" s="132">
        <v>99.6</v>
      </c>
      <c r="C1043" s="132">
        <v>98.165000000000006</v>
      </c>
      <c r="D1043" s="132">
        <v>98.900300000000001</v>
      </c>
      <c r="E1043" s="132" t="s">
        <v>2214</v>
      </c>
      <c r="F1043" s="132">
        <v>101.66500000000001</v>
      </c>
      <c r="G1043" s="138">
        <v>99</v>
      </c>
      <c r="H1043" s="132" t="e">
        <v>#N/A</v>
      </c>
      <c r="I1043" s="135" t="s">
        <v>2214</v>
      </c>
    </row>
    <row r="1044" spans="1:9">
      <c r="A1044" s="131">
        <v>40905</v>
      </c>
      <c r="B1044" s="132">
        <v>99.6</v>
      </c>
      <c r="C1044" s="132">
        <v>98.165000000000006</v>
      </c>
      <c r="D1044" s="132">
        <v>98.900300000000001</v>
      </c>
      <c r="E1044" s="132" t="s">
        <v>2214</v>
      </c>
      <c r="F1044" s="132">
        <v>101.69450000000001</v>
      </c>
      <c r="G1044" s="138">
        <v>99.536600000000007</v>
      </c>
      <c r="H1044" s="132" t="e">
        <v>#N/A</v>
      </c>
      <c r="I1044" s="135" t="s">
        <v>2214</v>
      </c>
    </row>
    <row r="1045" spans="1:9">
      <c r="A1045" s="131">
        <v>40906</v>
      </c>
      <c r="B1045" s="132">
        <v>99.6</v>
      </c>
      <c r="C1045" s="132">
        <v>98.165000000000006</v>
      </c>
      <c r="D1045" s="132">
        <v>98.900300000000001</v>
      </c>
      <c r="E1045" s="132" t="s">
        <v>2214</v>
      </c>
      <c r="F1045" s="132">
        <v>101.845</v>
      </c>
      <c r="G1045" s="138">
        <v>100.82380000000001</v>
      </c>
      <c r="H1045" s="132" t="e">
        <v>#N/A</v>
      </c>
      <c r="I1045" s="135" t="s">
        <v>2214</v>
      </c>
    </row>
    <row r="1046" spans="1:9">
      <c r="A1046" s="131">
        <v>40907</v>
      </c>
      <c r="B1046" s="132">
        <v>99.6</v>
      </c>
      <c r="C1046" s="132">
        <v>98.165000000000006</v>
      </c>
      <c r="D1046" s="132">
        <v>98.900300000000001</v>
      </c>
      <c r="E1046" s="132" t="s">
        <v>2214</v>
      </c>
      <c r="F1046" s="132">
        <v>102.0261</v>
      </c>
      <c r="G1046" s="138">
        <v>100.9871</v>
      </c>
      <c r="H1046" s="132" t="e">
        <v>#N/A</v>
      </c>
      <c r="I1046" s="135" t="s">
        <v>2214</v>
      </c>
    </row>
    <row r="1047" spans="1:9">
      <c r="A1047" s="131">
        <v>40908</v>
      </c>
      <c r="B1047" s="132">
        <v>99.6</v>
      </c>
      <c r="C1047" s="132">
        <v>98.165000000000006</v>
      </c>
      <c r="D1047" s="132">
        <v>98.900300000000001</v>
      </c>
      <c r="E1047" s="132" t="s">
        <v>2214</v>
      </c>
      <c r="F1047" s="132">
        <v>102.0261</v>
      </c>
      <c r="G1047" s="138">
        <v>99.977199999999996</v>
      </c>
      <c r="H1047" s="132" t="e">
        <v>#N/A</v>
      </c>
      <c r="I1047" s="135" t="s">
        <v>2214</v>
      </c>
    </row>
    <row r="1048" spans="1:9">
      <c r="A1048" s="131">
        <v>40912</v>
      </c>
      <c r="B1048" s="132">
        <v>99.6</v>
      </c>
      <c r="C1048" s="132">
        <v>98.165000000000006</v>
      </c>
      <c r="D1048" s="132">
        <v>98.900300000000001</v>
      </c>
      <c r="E1048" s="132" t="s">
        <v>2214</v>
      </c>
      <c r="F1048" s="132">
        <v>101.84050000000001</v>
      </c>
      <c r="G1048" s="138">
        <v>100.90560000000001</v>
      </c>
      <c r="H1048" s="132" t="e">
        <v>#N/A</v>
      </c>
      <c r="I1048" s="135" t="s">
        <v>2214</v>
      </c>
    </row>
    <row r="1049" spans="1:9">
      <c r="A1049" s="131">
        <v>40913</v>
      </c>
      <c r="B1049" s="132">
        <v>99.6</v>
      </c>
      <c r="C1049" s="132">
        <v>98.165000000000006</v>
      </c>
      <c r="D1049" s="132">
        <v>98.900300000000001</v>
      </c>
      <c r="E1049" s="132" t="s">
        <v>2214</v>
      </c>
      <c r="F1049" s="132">
        <v>101.83969999999999</v>
      </c>
      <c r="G1049" s="138">
        <v>101.0806</v>
      </c>
      <c r="H1049" s="132" t="e">
        <v>#N/A</v>
      </c>
      <c r="I1049" s="135" t="s">
        <v>2214</v>
      </c>
    </row>
    <row r="1050" spans="1:9">
      <c r="A1050" s="131">
        <v>40914</v>
      </c>
      <c r="B1050" s="132">
        <v>99.6</v>
      </c>
      <c r="C1050" s="132">
        <v>98.165000000000006</v>
      </c>
      <c r="D1050" s="132">
        <v>98.900300000000001</v>
      </c>
      <c r="E1050" s="132" t="s">
        <v>2214</v>
      </c>
      <c r="F1050" s="132">
        <v>102.0791</v>
      </c>
      <c r="G1050" s="138">
        <v>100.7054</v>
      </c>
      <c r="H1050" s="132" t="e">
        <v>#N/A</v>
      </c>
      <c r="I1050" s="135" t="s">
        <v>2214</v>
      </c>
    </row>
    <row r="1051" spans="1:9">
      <c r="A1051" s="131">
        <v>40917</v>
      </c>
      <c r="B1051" s="132">
        <v>99.6</v>
      </c>
      <c r="C1051" s="132">
        <v>98.165000000000006</v>
      </c>
      <c r="D1051" s="132">
        <v>98.900300000000001</v>
      </c>
      <c r="E1051" s="132" t="s">
        <v>2214</v>
      </c>
      <c r="F1051" s="132">
        <v>102.1388</v>
      </c>
      <c r="G1051" s="138">
        <v>101.5421</v>
      </c>
      <c r="H1051" s="132" t="e">
        <v>#N/A</v>
      </c>
      <c r="I1051" s="135" t="s">
        <v>2214</v>
      </c>
    </row>
    <row r="1052" spans="1:9">
      <c r="A1052" s="131">
        <v>40918</v>
      </c>
      <c r="B1052" s="132">
        <v>99.6</v>
      </c>
      <c r="C1052" s="132">
        <v>98.165000000000006</v>
      </c>
      <c r="D1052" s="132">
        <v>98.900300000000001</v>
      </c>
      <c r="E1052" s="132" t="s">
        <v>2214</v>
      </c>
      <c r="F1052" s="132">
        <v>102.0775</v>
      </c>
      <c r="G1052" s="138">
        <v>101.3398</v>
      </c>
      <c r="H1052" s="132" t="e">
        <v>#N/A</v>
      </c>
      <c r="I1052" s="135" t="s">
        <v>2214</v>
      </c>
    </row>
    <row r="1053" spans="1:9">
      <c r="A1053" s="131">
        <v>40919</v>
      </c>
      <c r="B1053" s="132">
        <v>99.6</v>
      </c>
      <c r="C1053" s="132">
        <v>98.165000000000006</v>
      </c>
      <c r="D1053" s="132">
        <v>98.900300000000001</v>
      </c>
      <c r="E1053" s="132" t="s">
        <v>2214</v>
      </c>
      <c r="F1053" s="132">
        <v>102.131</v>
      </c>
      <c r="G1053" s="138">
        <v>101.2281</v>
      </c>
      <c r="H1053" s="132" t="e">
        <v>#N/A</v>
      </c>
      <c r="I1053" s="135" t="s">
        <v>2214</v>
      </c>
    </row>
    <row r="1054" spans="1:9">
      <c r="A1054" s="131">
        <v>40920</v>
      </c>
      <c r="B1054" s="132">
        <v>99.6</v>
      </c>
      <c r="C1054" s="132">
        <v>98.165000000000006</v>
      </c>
      <c r="D1054" s="132">
        <v>98.900300000000001</v>
      </c>
      <c r="E1054" s="132" t="s">
        <v>2214</v>
      </c>
      <c r="F1054" s="132">
        <v>102.1362</v>
      </c>
      <c r="G1054" s="138" t="s">
        <v>2214</v>
      </c>
      <c r="H1054" s="132" t="e">
        <v>#N/A</v>
      </c>
      <c r="I1054" s="135" t="s">
        <v>2214</v>
      </c>
    </row>
    <row r="1055" spans="1:9">
      <c r="A1055" s="131">
        <v>40921</v>
      </c>
      <c r="B1055" s="132">
        <v>99.6</v>
      </c>
      <c r="C1055" s="132">
        <v>98.820300000000003</v>
      </c>
      <c r="D1055" s="132">
        <v>98.900300000000001</v>
      </c>
      <c r="E1055" s="132" t="s">
        <v>2214</v>
      </c>
      <c r="F1055" s="132">
        <v>102.0848</v>
      </c>
      <c r="G1055" s="138">
        <v>101.40260000000001</v>
      </c>
      <c r="H1055" s="132" t="e">
        <v>#N/A</v>
      </c>
      <c r="I1055" s="135" t="s">
        <v>2214</v>
      </c>
    </row>
    <row r="1056" spans="1:9">
      <c r="A1056" s="131">
        <v>40924</v>
      </c>
      <c r="B1056" s="132">
        <v>99.6</v>
      </c>
      <c r="C1056" s="132">
        <v>98.758899999999997</v>
      </c>
      <c r="D1056" s="132">
        <v>98.900300000000001</v>
      </c>
      <c r="E1056" s="132" t="s">
        <v>2214</v>
      </c>
      <c r="F1056" s="132">
        <v>102.07250000000001</v>
      </c>
      <c r="G1056" s="138">
        <v>101.2971</v>
      </c>
      <c r="H1056" s="132" t="e">
        <v>#N/A</v>
      </c>
      <c r="I1056" s="135" t="s">
        <v>2214</v>
      </c>
    </row>
    <row r="1057" spans="1:9">
      <c r="A1057" s="131">
        <v>40925</v>
      </c>
      <c r="B1057" s="132">
        <v>101.43</v>
      </c>
      <c r="C1057" s="132">
        <v>98.724100000000007</v>
      </c>
      <c r="D1057" s="132">
        <v>99.012500000000003</v>
      </c>
      <c r="E1057" s="132" t="s">
        <v>2214</v>
      </c>
      <c r="F1057" s="132">
        <v>102.0851</v>
      </c>
      <c r="G1057" s="138">
        <v>101.2266</v>
      </c>
      <c r="H1057" s="132" t="e">
        <v>#N/A</v>
      </c>
      <c r="I1057" s="135" t="s">
        <v>2214</v>
      </c>
    </row>
    <row r="1058" spans="1:9">
      <c r="A1058" s="131">
        <v>40926</v>
      </c>
      <c r="B1058" s="132">
        <v>101.43</v>
      </c>
      <c r="C1058" s="132">
        <v>98.715900000000005</v>
      </c>
      <c r="D1058" s="132">
        <v>99.012500000000003</v>
      </c>
      <c r="E1058" s="132" t="s">
        <v>2214</v>
      </c>
      <c r="F1058" s="132">
        <v>102.1311</v>
      </c>
      <c r="G1058" s="138">
        <v>101.1598</v>
      </c>
      <c r="H1058" s="132" t="e">
        <v>#N/A</v>
      </c>
      <c r="I1058" s="135" t="s">
        <v>2214</v>
      </c>
    </row>
    <row r="1059" spans="1:9">
      <c r="A1059" s="131">
        <v>40927</v>
      </c>
      <c r="B1059" s="132">
        <v>101.43</v>
      </c>
      <c r="C1059" s="132">
        <v>98.611800000000002</v>
      </c>
      <c r="D1059" s="132">
        <v>99.012500000000003</v>
      </c>
      <c r="E1059" s="132" t="s">
        <v>2214</v>
      </c>
      <c r="F1059" s="132">
        <v>102.2509</v>
      </c>
      <c r="G1059" s="138">
        <v>101.5444</v>
      </c>
      <c r="H1059" s="132" t="e">
        <v>#N/A</v>
      </c>
      <c r="I1059" s="135" t="s">
        <v>2214</v>
      </c>
    </row>
    <row r="1060" spans="1:9">
      <c r="A1060" s="131">
        <v>40928</v>
      </c>
      <c r="B1060" s="132">
        <v>101.43</v>
      </c>
      <c r="C1060" s="132">
        <v>98.603499999999997</v>
      </c>
      <c r="D1060" s="132">
        <v>99.012500000000003</v>
      </c>
      <c r="E1060" s="132" t="s">
        <v>2214</v>
      </c>
      <c r="F1060" s="132">
        <v>102.2509</v>
      </c>
      <c r="G1060" s="138" t="s">
        <v>2214</v>
      </c>
      <c r="H1060" s="132" t="e">
        <v>#N/A</v>
      </c>
      <c r="I1060" s="135" t="s">
        <v>2214</v>
      </c>
    </row>
    <row r="1061" spans="1:9">
      <c r="A1061" s="131">
        <v>40929</v>
      </c>
      <c r="B1061" s="132">
        <v>101.43</v>
      </c>
      <c r="C1061" s="132">
        <v>98.628799999999998</v>
      </c>
      <c r="D1061" s="132">
        <v>99.012500000000003</v>
      </c>
      <c r="E1061" s="132" t="s">
        <v>2214</v>
      </c>
      <c r="F1061" s="132">
        <v>102.2509</v>
      </c>
      <c r="G1061" s="138" t="s">
        <v>2214</v>
      </c>
      <c r="H1061" s="132" t="e">
        <v>#N/A</v>
      </c>
      <c r="I1061" s="135" t="s">
        <v>2214</v>
      </c>
    </row>
    <row r="1062" spans="1:9">
      <c r="A1062" s="131">
        <v>40937</v>
      </c>
      <c r="B1062" s="132">
        <v>101.43</v>
      </c>
      <c r="C1062" s="132">
        <v>98.603099999999998</v>
      </c>
      <c r="D1062" s="132">
        <v>99.012500000000003</v>
      </c>
      <c r="E1062" s="132" t="s">
        <v>2214</v>
      </c>
      <c r="F1062" s="132">
        <v>102.2509</v>
      </c>
      <c r="G1062" s="138" t="s">
        <v>2214</v>
      </c>
      <c r="H1062" s="132" t="e">
        <v>#N/A</v>
      </c>
      <c r="I1062" s="135" t="s">
        <v>2214</v>
      </c>
    </row>
    <row r="1063" spans="1:9">
      <c r="A1063" s="131">
        <v>40938</v>
      </c>
      <c r="B1063" s="132">
        <v>101.43</v>
      </c>
      <c r="C1063" s="132">
        <v>98.601900000000001</v>
      </c>
      <c r="D1063" s="132">
        <v>99.012500000000003</v>
      </c>
      <c r="E1063" s="132" t="s">
        <v>2214</v>
      </c>
      <c r="F1063" s="132">
        <v>102.2111</v>
      </c>
      <c r="G1063" s="138">
        <v>101.4024</v>
      </c>
      <c r="H1063" s="132" t="e">
        <v>#N/A</v>
      </c>
      <c r="I1063" s="135" t="s">
        <v>2214</v>
      </c>
    </row>
    <row r="1064" spans="1:9">
      <c r="A1064" s="131">
        <v>40939</v>
      </c>
      <c r="B1064" s="132">
        <v>101.43</v>
      </c>
      <c r="C1064" s="132">
        <v>98.602199999999996</v>
      </c>
      <c r="D1064" s="132">
        <v>99.012500000000003</v>
      </c>
      <c r="E1064" s="132" t="s">
        <v>2214</v>
      </c>
      <c r="F1064" s="132">
        <v>102.1801</v>
      </c>
      <c r="G1064" s="138">
        <v>101.3292</v>
      </c>
      <c r="H1064" s="132" t="e">
        <v>#N/A</v>
      </c>
      <c r="I1064" s="135" t="s">
        <v>2214</v>
      </c>
    </row>
    <row r="1065" spans="1:9">
      <c r="A1065" s="131">
        <v>40940</v>
      </c>
      <c r="B1065" s="132">
        <v>101.43</v>
      </c>
      <c r="C1065" s="132">
        <v>98.702299999999994</v>
      </c>
      <c r="D1065" s="132">
        <v>99.012500000000003</v>
      </c>
      <c r="E1065" s="132" t="s">
        <v>2214</v>
      </c>
      <c r="F1065" s="132">
        <v>101.8197</v>
      </c>
      <c r="G1065" s="138">
        <v>100.8103</v>
      </c>
      <c r="H1065" s="132" t="e">
        <v>#N/A</v>
      </c>
      <c r="I1065" s="135" t="s">
        <v>2214</v>
      </c>
    </row>
    <row r="1066" spans="1:9">
      <c r="A1066" s="131">
        <v>40941</v>
      </c>
      <c r="B1066" s="132">
        <v>101.43</v>
      </c>
      <c r="C1066" s="132">
        <v>98.702299999999994</v>
      </c>
      <c r="D1066" s="132">
        <v>99.012500000000003</v>
      </c>
      <c r="E1066" s="132" t="s">
        <v>2214</v>
      </c>
      <c r="F1066" s="132">
        <v>101.789</v>
      </c>
      <c r="G1066" s="138">
        <v>101.1373</v>
      </c>
      <c r="H1066" s="132" t="e">
        <v>#N/A</v>
      </c>
      <c r="I1066" s="135" t="s">
        <v>2214</v>
      </c>
    </row>
    <row r="1067" spans="1:9">
      <c r="A1067" s="131">
        <v>40942</v>
      </c>
      <c r="B1067" s="132">
        <v>101.43</v>
      </c>
      <c r="C1067" s="132">
        <v>98.706400000000002</v>
      </c>
      <c r="D1067" s="132">
        <v>99.012500000000003</v>
      </c>
      <c r="E1067" s="132" t="s">
        <v>2214</v>
      </c>
      <c r="F1067" s="132">
        <v>101.75700000000001</v>
      </c>
      <c r="G1067" s="138">
        <v>101.0611</v>
      </c>
      <c r="H1067" s="132" t="e">
        <v>#N/A</v>
      </c>
      <c r="I1067" s="135" t="s">
        <v>2214</v>
      </c>
    </row>
    <row r="1068" spans="1:9">
      <c r="A1068" s="131">
        <v>40945</v>
      </c>
      <c r="B1068" s="132">
        <v>101.43</v>
      </c>
      <c r="C1068" s="132">
        <v>98.701700000000002</v>
      </c>
      <c r="D1068" s="132">
        <v>99.012500000000003</v>
      </c>
      <c r="E1068" s="132" t="s">
        <v>2214</v>
      </c>
      <c r="F1068" s="132">
        <v>101.6073</v>
      </c>
      <c r="G1068" s="138">
        <v>100.8807</v>
      </c>
      <c r="H1068" s="132" t="e">
        <v>#N/A</v>
      </c>
      <c r="I1068" s="135" t="s">
        <v>2214</v>
      </c>
    </row>
    <row r="1069" spans="1:9">
      <c r="A1069" s="131">
        <v>40946</v>
      </c>
      <c r="B1069" s="132">
        <v>101.43</v>
      </c>
      <c r="C1069" s="132">
        <v>98.701700000000002</v>
      </c>
      <c r="D1069" s="132">
        <v>99.012500000000003</v>
      </c>
      <c r="E1069" s="132" t="s">
        <v>2214</v>
      </c>
      <c r="F1069" s="132">
        <v>101.6067</v>
      </c>
      <c r="G1069" s="138">
        <v>100.79559999999999</v>
      </c>
      <c r="H1069" s="132" t="e">
        <v>#N/A</v>
      </c>
      <c r="I1069" s="135" t="s">
        <v>2214</v>
      </c>
    </row>
    <row r="1070" spans="1:9">
      <c r="A1070" s="131">
        <v>40947</v>
      </c>
      <c r="B1070" s="132">
        <v>101.43</v>
      </c>
      <c r="C1070" s="132">
        <v>98.701700000000002</v>
      </c>
      <c r="D1070" s="132">
        <v>99.012500000000003</v>
      </c>
      <c r="E1070" s="132" t="s">
        <v>2214</v>
      </c>
      <c r="F1070" s="132">
        <v>101.4474</v>
      </c>
      <c r="G1070" s="138">
        <v>100.47110000000001</v>
      </c>
      <c r="H1070" s="132" t="e">
        <v>#N/A</v>
      </c>
      <c r="I1070" s="135" t="s">
        <v>2214</v>
      </c>
    </row>
    <row r="1071" spans="1:9">
      <c r="A1071" s="131">
        <v>40948</v>
      </c>
      <c r="B1071" s="132">
        <v>101.43</v>
      </c>
      <c r="C1071" s="132">
        <v>98.701400000000007</v>
      </c>
      <c r="D1071" s="132">
        <v>99.012500000000003</v>
      </c>
      <c r="E1071" s="132" t="s">
        <v>2214</v>
      </c>
      <c r="F1071" s="132">
        <v>101.88809999999999</v>
      </c>
      <c r="G1071" s="138">
        <v>99.914400000000001</v>
      </c>
      <c r="H1071" s="132" t="e">
        <v>#N/A</v>
      </c>
      <c r="I1071" s="135" t="s">
        <v>2214</v>
      </c>
    </row>
    <row r="1072" spans="1:9">
      <c r="A1072" s="131">
        <v>40949</v>
      </c>
      <c r="B1072" s="132">
        <v>101.43</v>
      </c>
      <c r="C1072" s="132">
        <v>98.704499999999996</v>
      </c>
      <c r="D1072" s="132">
        <v>99.012500000000003</v>
      </c>
      <c r="E1072" s="132" t="s">
        <v>2214</v>
      </c>
      <c r="F1072" s="132">
        <v>101.39570000000001</v>
      </c>
      <c r="G1072" s="138">
        <v>100.36660000000001</v>
      </c>
      <c r="H1072" s="132" t="e">
        <v>#N/A</v>
      </c>
      <c r="I1072" s="135" t="s">
        <v>2214</v>
      </c>
    </row>
    <row r="1073" spans="1:9">
      <c r="A1073" s="131">
        <v>40952</v>
      </c>
      <c r="B1073" s="132">
        <v>101.43</v>
      </c>
      <c r="C1073" s="132">
        <v>98.301500000000004</v>
      </c>
      <c r="D1073" s="132">
        <v>99.012500000000003</v>
      </c>
      <c r="E1073" s="132" t="s">
        <v>2214</v>
      </c>
      <c r="F1073" s="132">
        <v>101.5731</v>
      </c>
      <c r="G1073" s="138">
        <v>100.587</v>
      </c>
      <c r="H1073" s="132" t="e">
        <v>#N/A</v>
      </c>
      <c r="I1073" s="135" t="s">
        <v>2214</v>
      </c>
    </row>
    <row r="1074" spans="1:9">
      <c r="A1074" s="131">
        <v>40953</v>
      </c>
      <c r="B1074" s="132">
        <v>101.43</v>
      </c>
      <c r="C1074" s="132">
        <v>98.302300000000002</v>
      </c>
      <c r="D1074" s="132">
        <v>99.012500000000003</v>
      </c>
      <c r="E1074" s="132" t="s">
        <v>2214</v>
      </c>
      <c r="F1074" s="132">
        <v>101.57250000000001</v>
      </c>
      <c r="G1074" s="138">
        <v>100.4675</v>
      </c>
      <c r="H1074" s="132">
        <v>98.11</v>
      </c>
      <c r="I1074" s="135" t="s">
        <v>2214</v>
      </c>
    </row>
    <row r="1075" spans="1:9">
      <c r="A1075" s="131">
        <v>40954</v>
      </c>
      <c r="B1075" s="132">
        <v>101.43</v>
      </c>
      <c r="C1075" s="132">
        <v>98.278899999999993</v>
      </c>
      <c r="D1075" s="132">
        <v>99.012500000000003</v>
      </c>
      <c r="E1075" s="132" t="s">
        <v>2214</v>
      </c>
      <c r="F1075" s="132">
        <v>101.4532</v>
      </c>
      <c r="G1075" s="138">
        <v>100.3853</v>
      </c>
      <c r="H1075" s="132">
        <v>98.1</v>
      </c>
      <c r="I1075" s="135" t="s">
        <v>2214</v>
      </c>
    </row>
    <row r="1076" spans="1:9">
      <c r="A1076" s="131">
        <v>40955</v>
      </c>
      <c r="B1076" s="132">
        <v>101.43</v>
      </c>
      <c r="C1076" s="132">
        <v>98.303700000000006</v>
      </c>
      <c r="D1076" s="132">
        <v>99.012500000000003</v>
      </c>
      <c r="E1076" s="132" t="s">
        <v>2214</v>
      </c>
      <c r="F1076" s="132">
        <v>101.2752</v>
      </c>
      <c r="G1076" s="138">
        <v>100.24160000000001</v>
      </c>
      <c r="H1076" s="132">
        <v>98.03</v>
      </c>
      <c r="I1076" s="135" t="s">
        <v>2214</v>
      </c>
    </row>
    <row r="1077" spans="1:9">
      <c r="A1077" s="131">
        <v>40956</v>
      </c>
      <c r="B1077" s="132">
        <v>101.43</v>
      </c>
      <c r="C1077" s="132">
        <v>98.319100000000006</v>
      </c>
      <c r="D1077" s="132">
        <v>99.012500000000003</v>
      </c>
      <c r="E1077" s="132" t="s">
        <v>2214</v>
      </c>
      <c r="F1077" s="132">
        <v>101.2736</v>
      </c>
      <c r="G1077" s="138">
        <v>100.285</v>
      </c>
      <c r="H1077" s="132">
        <v>98.1</v>
      </c>
      <c r="I1077" s="135" t="s">
        <v>2214</v>
      </c>
    </row>
    <row r="1078" spans="1:9">
      <c r="A1078" s="131">
        <v>40959</v>
      </c>
      <c r="B1078" s="132">
        <v>101.43</v>
      </c>
      <c r="C1078" s="132">
        <v>98.2072</v>
      </c>
      <c r="D1078" s="132">
        <v>99.005799999999994</v>
      </c>
      <c r="E1078" s="132" t="s">
        <v>2214</v>
      </c>
      <c r="F1078" s="132">
        <v>101.2409</v>
      </c>
      <c r="G1078" s="138">
        <v>100.3395</v>
      </c>
      <c r="H1078" s="132">
        <v>98.18</v>
      </c>
      <c r="I1078" s="135" t="s">
        <v>2214</v>
      </c>
    </row>
    <row r="1079" spans="1:9">
      <c r="A1079" s="131">
        <v>40960</v>
      </c>
      <c r="B1079" s="132">
        <v>101.43</v>
      </c>
      <c r="C1079" s="132">
        <v>98.307400000000001</v>
      </c>
      <c r="D1079" s="132">
        <v>99.006299999999996</v>
      </c>
      <c r="E1079" s="132" t="s">
        <v>2214</v>
      </c>
      <c r="F1079" s="132">
        <v>101.25660000000001</v>
      </c>
      <c r="G1079" s="138">
        <v>100.2974</v>
      </c>
      <c r="H1079" s="132">
        <v>98.07</v>
      </c>
      <c r="I1079" s="135">
        <v>100</v>
      </c>
    </row>
    <row r="1080" spans="1:9">
      <c r="A1080" s="131">
        <v>40961</v>
      </c>
      <c r="B1080" s="132">
        <v>101.43</v>
      </c>
      <c r="C1080" s="132">
        <v>98.3078</v>
      </c>
      <c r="D1080" s="132">
        <v>99.105900000000005</v>
      </c>
      <c r="E1080" s="132" t="s">
        <v>2214</v>
      </c>
      <c r="F1080" s="132">
        <v>101.3901</v>
      </c>
      <c r="G1080" s="138">
        <v>100.3241</v>
      </c>
      <c r="H1080" s="132">
        <v>97.94</v>
      </c>
      <c r="I1080" s="135">
        <v>99.817499999999995</v>
      </c>
    </row>
    <row r="1081" spans="1:9">
      <c r="A1081" s="131">
        <v>40962</v>
      </c>
      <c r="B1081" s="132">
        <v>100.67</v>
      </c>
      <c r="C1081" s="132">
        <v>98.308199999999999</v>
      </c>
      <c r="D1081" s="132">
        <v>99.107299999999995</v>
      </c>
      <c r="E1081" s="132" t="s">
        <v>2214</v>
      </c>
      <c r="F1081" s="132">
        <v>101.27679999999999</v>
      </c>
      <c r="G1081" s="138">
        <v>100.3062</v>
      </c>
      <c r="H1081" s="132">
        <v>97.85</v>
      </c>
      <c r="I1081" s="135">
        <v>99.840100000000007</v>
      </c>
    </row>
    <row r="1082" spans="1:9">
      <c r="A1082" s="131">
        <v>40963</v>
      </c>
      <c r="B1082" s="132">
        <v>100.67</v>
      </c>
      <c r="C1082" s="132">
        <v>98.3202</v>
      </c>
      <c r="D1082" s="132">
        <v>99.115300000000005</v>
      </c>
      <c r="E1082" s="132" t="s">
        <v>2214</v>
      </c>
      <c r="F1082" s="132">
        <v>101.2916</v>
      </c>
      <c r="G1082" s="138">
        <v>100.3138</v>
      </c>
      <c r="H1082" s="132">
        <v>97.82</v>
      </c>
      <c r="I1082" s="135">
        <v>99.656199999999998</v>
      </c>
    </row>
    <row r="1083" spans="1:9">
      <c r="A1083" s="131">
        <v>40966</v>
      </c>
      <c r="B1083" s="132">
        <v>100.67</v>
      </c>
      <c r="C1083" s="132">
        <v>98.302300000000002</v>
      </c>
      <c r="D1083" s="132">
        <v>99.100700000000003</v>
      </c>
      <c r="E1083" s="132" t="s">
        <v>2214</v>
      </c>
      <c r="F1083" s="132">
        <v>101.2106</v>
      </c>
      <c r="G1083" s="138">
        <v>100.27549999999999</v>
      </c>
      <c r="H1083" s="132">
        <v>97.84</v>
      </c>
      <c r="I1083" s="135">
        <v>99.677700000000002</v>
      </c>
    </row>
    <row r="1084" spans="1:9">
      <c r="A1084" s="131">
        <v>40967</v>
      </c>
      <c r="B1084" s="132">
        <v>100.67</v>
      </c>
      <c r="C1084" s="132">
        <v>98.301500000000004</v>
      </c>
      <c r="D1084" s="132">
        <v>99.099800000000002</v>
      </c>
      <c r="E1084" s="132" t="s">
        <v>2214</v>
      </c>
      <c r="F1084" s="132">
        <v>101.39619999999999</v>
      </c>
      <c r="G1084" s="138">
        <v>100.3455</v>
      </c>
      <c r="H1084" s="132">
        <v>98.19</v>
      </c>
      <c r="I1084" s="135">
        <v>99.636600000000001</v>
      </c>
    </row>
    <row r="1085" spans="1:9">
      <c r="A1085" s="131">
        <v>40968</v>
      </c>
      <c r="B1085" s="132">
        <v>100.67</v>
      </c>
      <c r="C1085" s="132">
        <v>98.301199999999994</v>
      </c>
      <c r="D1085" s="132">
        <v>99.099500000000006</v>
      </c>
      <c r="E1085" s="132" t="s">
        <v>2214</v>
      </c>
      <c r="F1085" s="132">
        <v>101.2684</v>
      </c>
      <c r="G1085" s="138">
        <v>100.30549999999999</v>
      </c>
      <c r="H1085" s="132">
        <v>97.91</v>
      </c>
      <c r="I1085" s="135">
        <v>99.681799999999996</v>
      </c>
    </row>
    <row r="1086" spans="1:9">
      <c r="A1086" s="131">
        <v>40969</v>
      </c>
      <c r="B1086" s="132">
        <v>100.67</v>
      </c>
      <c r="C1086" s="132">
        <v>98.300899999999999</v>
      </c>
      <c r="D1086" s="132">
        <v>99.099500000000006</v>
      </c>
      <c r="E1086" s="132" t="s">
        <v>2214</v>
      </c>
      <c r="F1086" s="132">
        <v>101.2679</v>
      </c>
      <c r="G1086" s="138">
        <v>100.30970000000001</v>
      </c>
      <c r="H1086" s="132">
        <v>97.91</v>
      </c>
      <c r="I1086" s="135">
        <v>99.625500000000002</v>
      </c>
    </row>
    <row r="1087" spans="1:9">
      <c r="A1087" s="131">
        <v>40970</v>
      </c>
      <c r="B1087" s="132">
        <v>100.67</v>
      </c>
      <c r="C1087" s="132">
        <v>98.303100000000001</v>
      </c>
      <c r="D1087" s="132">
        <v>99.099500000000006</v>
      </c>
      <c r="E1087" s="132" t="s">
        <v>2214</v>
      </c>
      <c r="F1087" s="132">
        <v>101.0611</v>
      </c>
      <c r="G1087" s="138">
        <v>100.3078</v>
      </c>
      <c r="H1087" s="132">
        <v>97.89</v>
      </c>
      <c r="I1087" s="135">
        <v>99.591899999999995</v>
      </c>
    </row>
    <row r="1088" spans="1:9">
      <c r="A1088" s="131">
        <v>40973</v>
      </c>
      <c r="B1088" s="132">
        <v>100.67</v>
      </c>
      <c r="C1088" s="132">
        <v>98.300700000000006</v>
      </c>
      <c r="D1088" s="132">
        <v>98.929199999999994</v>
      </c>
      <c r="E1088" s="132" t="s">
        <v>2214</v>
      </c>
      <c r="F1088" s="132">
        <v>101.09</v>
      </c>
      <c r="G1088" s="138">
        <v>100.3032</v>
      </c>
      <c r="H1088" s="132">
        <v>97.93</v>
      </c>
      <c r="I1088" s="135">
        <v>99.591899999999995</v>
      </c>
    </row>
    <row r="1089" spans="1:9">
      <c r="A1089" s="131">
        <v>40974</v>
      </c>
      <c r="B1089" s="132">
        <v>100.67</v>
      </c>
      <c r="C1089" s="132">
        <v>98.159800000000004</v>
      </c>
      <c r="D1089" s="132">
        <v>98.929199999999994</v>
      </c>
      <c r="E1089" s="132" t="s">
        <v>2214</v>
      </c>
      <c r="F1089" s="132">
        <v>101.236</v>
      </c>
      <c r="G1089" s="138">
        <v>100.18810000000001</v>
      </c>
      <c r="H1089" s="132">
        <v>97.95</v>
      </c>
      <c r="I1089" s="135">
        <v>99.682000000000002</v>
      </c>
    </row>
    <row r="1090" spans="1:9">
      <c r="A1090" s="131">
        <v>40975</v>
      </c>
      <c r="B1090" s="132">
        <v>100.67</v>
      </c>
      <c r="C1090" s="132">
        <v>98.300399999999996</v>
      </c>
      <c r="D1090" s="132">
        <v>98.929199999999994</v>
      </c>
      <c r="E1090" s="132" t="s">
        <v>2214</v>
      </c>
      <c r="F1090" s="132">
        <v>101.3823</v>
      </c>
      <c r="G1090" s="138">
        <v>100.20829999999999</v>
      </c>
      <c r="H1090" s="132">
        <v>98.01</v>
      </c>
      <c r="I1090" s="135">
        <v>99.772000000000006</v>
      </c>
    </row>
    <row r="1091" spans="1:9">
      <c r="A1091" s="131">
        <v>40976</v>
      </c>
      <c r="B1091" s="132">
        <v>100.67</v>
      </c>
      <c r="C1091" s="132">
        <v>98.300399999999996</v>
      </c>
      <c r="D1091" s="132">
        <v>98.929199999999994</v>
      </c>
      <c r="E1091" s="132" t="s">
        <v>2214</v>
      </c>
      <c r="F1091" s="132">
        <v>101.30110000000001</v>
      </c>
      <c r="G1091" s="138">
        <v>100.239</v>
      </c>
      <c r="H1091" s="132">
        <v>98.03</v>
      </c>
      <c r="I1091" s="135">
        <v>99.794499999999999</v>
      </c>
    </row>
    <row r="1092" spans="1:9">
      <c r="A1092" s="131">
        <v>40977</v>
      </c>
      <c r="B1092" s="132">
        <v>100.67</v>
      </c>
      <c r="C1092" s="132">
        <v>98.301100000000005</v>
      </c>
      <c r="D1092" s="132">
        <v>98.929199999999994</v>
      </c>
      <c r="E1092" s="132" t="s">
        <v>2214</v>
      </c>
      <c r="F1092" s="132">
        <v>101.2963</v>
      </c>
      <c r="G1092" s="138">
        <v>100.1897</v>
      </c>
      <c r="H1092" s="132">
        <v>98.11</v>
      </c>
      <c r="I1092" s="135">
        <v>99.861900000000006</v>
      </c>
    </row>
    <row r="1093" spans="1:9">
      <c r="A1093" s="131">
        <v>40980</v>
      </c>
      <c r="B1093" s="132">
        <v>100.67</v>
      </c>
      <c r="C1093" s="132">
        <v>98.300399999999996</v>
      </c>
      <c r="D1093" s="132">
        <v>98.929199999999994</v>
      </c>
      <c r="E1093" s="132">
        <v>100</v>
      </c>
      <c r="F1093" s="132">
        <v>101.4675</v>
      </c>
      <c r="G1093" s="138">
        <v>100.1494</v>
      </c>
      <c r="H1093" s="132">
        <v>98.08</v>
      </c>
      <c r="I1093" s="135">
        <v>99.974299999999999</v>
      </c>
    </row>
    <row r="1094" spans="1:9">
      <c r="A1094" s="131">
        <v>40981</v>
      </c>
      <c r="B1094" s="132">
        <v>100.67</v>
      </c>
      <c r="C1094" s="132">
        <v>98.300399999999996</v>
      </c>
      <c r="D1094" s="132">
        <v>98.929199999999994</v>
      </c>
      <c r="E1094" s="132">
        <v>100</v>
      </c>
      <c r="F1094" s="132">
        <v>101.4083</v>
      </c>
      <c r="G1094" s="138">
        <v>100.1807</v>
      </c>
      <c r="H1094" s="132">
        <v>97.94</v>
      </c>
      <c r="I1094" s="135">
        <v>99.906700000000001</v>
      </c>
    </row>
    <row r="1095" spans="1:9">
      <c r="A1095" s="131">
        <v>40982</v>
      </c>
      <c r="B1095" s="132">
        <v>100.67</v>
      </c>
      <c r="C1095" s="132">
        <v>98.300399999999996</v>
      </c>
      <c r="D1095" s="132">
        <v>98.929199999999994</v>
      </c>
      <c r="E1095" s="132">
        <v>99.754499999999993</v>
      </c>
      <c r="F1095" s="132">
        <v>103.05</v>
      </c>
      <c r="G1095" s="138">
        <v>100.20610000000001</v>
      </c>
      <c r="H1095" s="132">
        <v>97.91</v>
      </c>
      <c r="I1095" s="135">
        <v>99.861800000000002</v>
      </c>
    </row>
    <row r="1096" spans="1:9">
      <c r="A1096" s="131">
        <v>40983</v>
      </c>
      <c r="B1096" s="132">
        <v>100.67</v>
      </c>
      <c r="C1096" s="132">
        <v>98.3005</v>
      </c>
      <c r="D1096" s="132">
        <v>98.929199999999994</v>
      </c>
      <c r="E1096" s="132">
        <v>99.722099999999998</v>
      </c>
      <c r="F1096" s="132">
        <v>101.298</v>
      </c>
      <c r="G1096" s="138">
        <v>100.1651</v>
      </c>
      <c r="H1096" s="132">
        <v>97.91</v>
      </c>
      <c r="I1096" s="135">
        <v>99.794399999999996</v>
      </c>
    </row>
    <row r="1097" spans="1:9">
      <c r="A1097" s="131">
        <v>40984</v>
      </c>
      <c r="B1097" s="132">
        <v>100.67</v>
      </c>
      <c r="C1097" s="132">
        <v>98.3018</v>
      </c>
      <c r="D1097" s="132">
        <v>99.034800000000004</v>
      </c>
      <c r="E1097" s="132">
        <v>99.784700000000001</v>
      </c>
      <c r="F1097" s="132">
        <v>101.31780000000001</v>
      </c>
      <c r="G1097" s="138">
        <v>100.16419999999999</v>
      </c>
      <c r="H1097" s="132">
        <v>97.88</v>
      </c>
      <c r="I1097" s="135">
        <v>99.794399999999996</v>
      </c>
    </row>
    <row r="1098" spans="1:9">
      <c r="A1098" s="131">
        <v>40987</v>
      </c>
      <c r="B1098" s="132">
        <v>100.67</v>
      </c>
      <c r="C1098" s="132">
        <v>98.300600000000003</v>
      </c>
      <c r="D1098" s="132">
        <v>99.034800000000004</v>
      </c>
      <c r="E1098" s="132">
        <v>99.815100000000001</v>
      </c>
      <c r="F1098" s="132">
        <v>101.2589</v>
      </c>
      <c r="G1098" s="138">
        <v>100.1117</v>
      </c>
      <c r="H1098" s="132" t="s">
        <v>2214</v>
      </c>
      <c r="I1098" s="135">
        <v>99.816800000000001</v>
      </c>
    </row>
    <row r="1099" spans="1:9">
      <c r="A1099" s="131">
        <v>40988</v>
      </c>
      <c r="B1099" s="132">
        <v>100.67</v>
      </c>
      <c r="C1099" s="132">
        <v>98.300899999999999</v>
      </c>
      <c r="D1099" s="132">
        <v>99.034800000000004</v>
      </c>
      <c r="E1099" s="132">
        <v>100</v>
      </c>
      <c r="F1099" s="132">
        <v>101.22920000000001</v>
      </c>
      <c r="G1099" s="138">
        <v>100.16070000000001</v>
      </c>
      <c r="H1099" s="132">
        <v>97.89</v>
      </c>
      <c r="I1099" s="135">
        <v>99.682599999999994</v>
      </c>
    </row>
    <row r="1100" spans="1:9">
      <c r="A1100" s="131">
        <v>40989</v>
      </c>
      <c r="B1100" s="132">
        <v>100.67</v>
      </c>
      <c r="C1100" s="132">
        <v>98.481099999999998</v>
      </c>
      <c r="D1100" s="132">
        <v>99.034800000000004</v>
      </c>
      <c r="E1100" s="132">
        <v>99.777600000000007</v>
      </c>
      <c r="F1100" s="132">
        <v>101.1995</v>
      </c>
      <c r="G1100" s="138">
        <v>100.1079</v>
      </c>
      <c r="H1100" s="132">
        <v>97.88</v>
      </c>
      <c r="I1100" s="135">
        <v>99.735299999999995</v>
      </c>
    </row>
    <row r="1101" spans="1:9">
      <c r="A1101" s="131">
        <v>40990</v>
      </c>
      <c r="B1101" s="132">
        <v>100.67</v>
      </c>
      <c r="C1101" s="132">
        <v>98.301500000000004</v>
      </c>
      <c r="D1101" s="132">
        <v>99.034800000000004</v>
      </c>
      <c r="E1101" s="132">
        <v>100</v>
      </c>
      <c r="F1101" s="132">
        <v>101.2282</v>
      </c>
      <c r="G1101" s="138">
        <v>100.2208</v>
      </c>
      <c r="H1101" s="132">
        <v>97.91</v>
      </c>
      <c r="I1101" s="135">
        <v>99.693799999999996</v>
      </c>
    </row>
    <row r="1102" spans="1:9">
      <c r="A1102" s="131">
        <v>40991</v>
      </c>
      <c r="B1102" s="132">
        <v>100.67</v>
      </c>
      <c r="C1102" s="132">
        <v>98.304500000000004</v>
      </c>
      <c r="D1102" s="132">
        <v>99.034800000000004</v>
      </c>
      <c r="E1102" s="132">
        <v>99.905900000000003</v>
      </c>
      <c r="F1102" s="132">
        <v>101.3725</v>
      </c>
      <c r="G1102" s="138">
        <v>100.2807</v>
      </c>
      <c r="H1102" s="132">
        <v>97.91</v>
      </c>
      <c r="I1102" s="135">
        <v>99.805400000000006</v>
      </c>
    </row>
    <row r="1103" spans="1:9">
      <c r="A1103" s="131">
        <v>40994</v>
      </c>
      <c r="B1103" s="132">
        <v>100.67</v>
      </c>
      <c r="C1103" s="132">
        <v>98.537899999999993</v>
      </c>
      <c r="D1103" s="132">
        <v>99.034800000000004</v>
      </c>
      <c r="E1103" s="132">
        <v>99.905799999999999</v>
      </c>
      <c r="F1103" s="132">
        <v>101.4012</v>
      </c>
      <c r="G1103" s="138">
        <v>100.3823</v>
      </c>
      <c r="H1103" s="132">
        <v>97.91</v>
      </c>
      <c r="I1103" s="135">
        <v>99.905900000000003</v>
      </c>
    </row>
    <row r="1104" spans="1:9">
      <c r="A1104" s="131">
        <v>40995</v>
      </c>
      <c r="B1104" s="132">
        <v>100.67</v>
      </c>
      <c r="C1104" s="132">
        <v>98.537599999999998</v>
      </c>
      <c r="D1104" s="132">
        <v>99.034800000000004</v>
      </c>
      <c r="E1104" s="132">
        <v>99.905699999999996</v>
      </c>
      <c r="F1104" s="132">
        <v>101.3115</v>
      </c>
      <c r="G1104" s="138">
        <v>100.32129999999999</v>
      </c>
      <c r="H1104" s="132">
        <v>98.01</v>
      </c>
      <c r="I1104" s="135">
        <v>99.905900000000003</v>
      </c>
    </row>
    <row r="1105" spans="1:9">
      <c r="A1105" s="131">
        <v>40996</v>
      </c>
      <c r="B1105" s="132">
        <v>100.67</v>
      </c>
      <c r="C1105" s="132">
        <v>98.537800000000004</v>
      </c>
      <c r="D1105" s="132">
        <v>99.034800000000004</v>
      </c>
      <c r="E1105" s="132">
        <v>99.936000000000007</v>
      </c>
      <c r="F1105" s="132">
        <v>101.3126</v>
      </c>
      <c r="G1105" s="138">
        <v>100.25</v>
      </c>
      <c r="H1105" s="132">
        <v>98.02</v>
      </c>
      <c r="I1105" s="135">
        <v>99.995099999999994</v>
      </c>
    </row>
    <row r="1106" spans="1:9">
      <c r="A1106" s="131">
        <v>40997</v>
      </c>
      <c r="B1106" s="132">
        <v>100.67</v>
      </c>
      <c r="C1106" s="132">
        <v>98.301199999999994</v>
      </c>
      <c r="D1106" s="132">
        <v>99.034800000000004</v>
      </c>
      <c r="E1106" s="132">
        <v>99.864400000000003</v>
      </c>
      <c r="F1106" s="132">
        <v>101.3043</v>
      </c>
      <c r="G1106" s="138" t="s">
        <v>2214</v>
      </c>
      <c r="H1106" s="132">
        <v>98.04</v>
      </c>
      <c r="I1106" s="135">
        <v>100.01730000000001</v>
      </c>
    </row>
    <row r="1107" spans="1:9">
      <c r="A1107" s="131">
        <v>40998</v>
      </c>
      <c r="B1107" s="132">
        <v>100.67</v>
      </c>
      <c r="C1107" s="132">
        <v>98.301400000000001</v>
      </c>
      <c r="D1107" s="132">
        <v>99.034800000000004</v>
      </c>
      <c r="E1107" s="132">
        <v>99.998400000000004</v>
      </c>
      <c r="F1107" s="132">
        <v>101.3022</v>
      </c>
      <c r="G1107" s="138" t="s">
        <v>2214</v>
      </c>
      <c r="H1107" s="132">
        <v>98.06</v>
      </c>
      <c r="I1107" s="135">
        <v>100.0842</v>
      </c>
    </row>
    <row r="1108" spans="1:9">
      <c r="A1108" s="131">
        <v>40999</v>
      </c>
      <c r="B1108" s="132">
        <v>100.67</v>
      </c>
      <c r="C1108" s="132">
        <v>98.301400000000001</v>
      </c>
      <c r="D1108" s="132">
        <v>99.034800000000004</v>
      </c>
      <c r="E1108" s="132">
        <v>99.998400000000004</v>
      </c>
      <c r="F1108" s="132">
        <v>101.30029999999999</v>
      </c>
      <c r="G1108" s="138" t="s">
        <v>2214</v>
      </c>
      <c r="H1108" s="132" t="e">
        <v>#N/A</v>
      </c>
      <c r="I1108" s="135">
        <v>99.389300000000006</v>
      </c>
    </row>
    <row r="1109" spans="1:9">
      <c r="A1109" s="131">
        <v>41000</v>
      </c>
      <c r="B1109" s="132">
        <v>100.67</v>
      </c>
      <c r="C1109" s="132">
        <v>98.305400000000006</v>
      </c>
      <c r="D1109" s="132">
        <v>99.034800000000004</v>
      </c>
      <c r="E1109" s="132">
        <v>99.993300000000005</v>
      </c>
      <c r="F1109" s="132">
        <v>101.31180000000001</v>
      </c>
      <c r="G1109" s="138" t="s">
        <v>2214</v>
      </c>
      <c r="H1109" s="132" t="e">
        <v>#N/A</v>
      </c>
      <c r="I1109" s="135">
        <v>99.387699999999995</v>
      </c>
    </row>
    <row r="1110" spans="1:9">
      <c r="A1110" s="131">
        <v>41004</v>
      </c>
      <c r="B1110" s="132">
        <v>100.67</v>
      </c>
      <c r="C1110" s="132">
        <v>98.669899999999998</v>
      </c>
      <c r="D1110" s="132">
        <v>99.034800000000004</v>
      </c>
      <c r="E1110" s="132">
        <v>99.999300000000005</v>
      </c>
      <c r="F1110" s="132">
        <v>101.31180000000001</v>
      </c>
      <c r="G1110" s="138" t="s">
        <v>2214</v>
      </c>
      <c r="H1110" s="132">
        <v>98.03</v>
      </c>
      <c r="I1110" s="135">
        <v>100.01649999999999</v>
      </c>
    </row>
    <row r="1111" spans="1:9">
      <c r="A1111" s="131">
        <v>41005</v>
      </c>
      <c r="B1111" s="132">
        <v>100.67</v>
      </c>
      <c r="C1111" s="132">
        <v>98.308899999999994</v>
      </c>
      <c r="D1111" s="132">
        <v>99.034800000000004</v>
      </c>
      <c r="E1111" s="132">
        <v>99.934799999999996</v>
      </c>
      <c r="F1111" s="132">
        <v>101.31180000000001</v>
      </c>
      <c r="G1111" s="138" t="s">
        <v>2214</v>
      </c>
      <c r="H1111" s="132">
        <v>98.04</v>
      </c>
      <c r="I1111" s="135">
        <v>100.0162</v>
      </c>
    </row>
    <row r="1112" spans="1:9">
      <c r="A1112" s="131">
        <v>41008</v>
      </c>
      <c r="B1112" s="132">
        <v>100.67</v>
      </c>
      <c r="C1112" s="132">
        <v>98.302000000000007</v>
      </c>
      <c r="D1112" s="132">
        <v>99.034800000000004</v>
      </c>
      <c r="E1112" s="132">
        <v>99.998999999999995</v>
      </c>
      <c r="F1112" s="132">
        <v>101.3066</v>
      </c>
      <c r="G1112" s="138">
        <v>100.32080000000001</v>
      </c>
      <c r="H1112" s="132">
        <v>97.99</v>
      </c>
      <c r="I1112" s="135">
        <v>100.0162</v>
      </c>
    </row>
    <row r="1113" spans="1:9">
      <c r="A1113" s="131">
        <v>41009</v>
      </c>
      <c r="B1113" s="132">
        <v>100.67</v>
      </c>
      <c r="C1113" s="132">
        <v>98.302300000000002</v>
      </c>
      <c r="D1113" s="132">
        <v>99.034800000000004</v>
      </c>
      <c r="E1113" s="132">
        <v>99.934600000000003</v>
      </c>
      <c r="F1113" s="132">
        <v>101.3351</v>
      </c>
      <c r="G1113" s="138">
        <v>100.2803</v>
      </c>
      <c r="H1113" s="132">
        <v>97.96</v>
      </c>
      <c r="I1113" s="135">
        <v>100.1048</v>
      </c>
    </row>
    <row r="1114" spans="1:9">
      <c r="A1114" s="131">
        <v>41010</v>
      </c>
      <c r="B1114" s="132">
        <v>100.67</v>
      </c>
      <c r="C1114" s="132">
        <v>98.302300000000002</v>
      </c>
      <c r="D1114" s="132">
        <v>99.034800000000004</v>
      </c>
      <c r="E1114" s="132">
        <v>99.934600000000003</v>
      </c>
      <c r="F1114" s="132">
        <v>101.4216</v>
      </c>
      <c r="G1114" s="138">
        <v>100.3613</v>
      </c>
      <c r="H1114" s="132">
        <v>97.8</v>
      </c>
      <c r="I1114" s="135">
        <v>100.0834</v>
      </c>
    </row>
    <row r="1115" spans="1:9">
      <c r="A1115" s="131">
        <v>41011</v>
      </c>
      <c r="B1115" s="132">
        <v>100.67</v>
      </c>
      <c r="C1115" s="132">
        <v>98.302499999999995</v>
      </c>
      <c r="D1115" s="132">
        <v>99.034800000000004</v>
      </c>
      <c r="E1115" s="132">
        <v>99.934399999999997</v>
      </c>
      <c r="F1115" s="132">
        <v>101.2761</v>
      </c>
      <c r="G1115" s="138">
        <v>100.31059999999999</v>
      </c>
      <c r="H1115" s="132">
        <v>97.93</v>
      </c>
      <c r="I1115" s="135">
        <v>100.038</v>
      </c>
    </row>
    <row r="1116" spans="1:9">
      <c r="A1116" s="131">
        <v>41012</v>
      </c>
      <c r="B1116" s="132">
        <v>100.67</v>
      </c>
      <c r="C1116" s="132">
        <v>98.310900000000004</v>
      </c>
      <c r="D1116" s="132">
        <v>99.034800000000004</v>
      </c>
      <c r="E1116" s="132">
        <v>99.908100000000005</v>
      </c>
      <c r="F1116" s="132">
        <v>101.36150000000001</v>
      </c>
      <c r="G1116" s="138">
        <v>100.3207</v>
      </c>
      <c r="H1116" s="132">
        <v>97.88</v>
      </c>
      <c r="I1116" s="135">
        <v>100.0907</v>
      </c>
    </row>
    <row r="1117" spans="1:9">
      <c r="A1117" s="131">
        <v>41015</v>
      </c>
      <c r="B1117" s="132">
        <v>100.67</v>
      </c>
      <c r="C1117" s="132">
        <v>98.699600000000004</v>
      </c>
      <c r="D1117" s="132">
        <v>99.034800000000004</v>
      </c>
      <c r="E1117" s="132">
        <v>99.994399999999999</v>
      </c>
      <c r="F1117" s="132">
        <v>101.3899</v>
      </c>
      <c r="G1117" s="138">
        <v>100.3207</v>
      </c>
      <c r="H1117" s="132">
        <v>97.88</v>
      </c>
      <c r="I1117" s="135">
        <v>100.09229999999999</v>
      </c>
    </row>
    <row r="1118" spans="1:9">
      <c r="A1118" s="131">
        <v>41016</v>
      </c>
      <c r="B1118" s="132">
        <v>100.67</v>
      </c>
      <c r="C1118" s="132">
        <v>98.302300000000002</v>
      </c>
      <c r="D1118" s="132">
        <v>99.034800000000004</v>
      </c>
      <c r="E1118" s="132">
        <v>99.873599999999996</v>
      </c>
      <c r="F1118" s="132">
        <v>101.3899</v>
      </c>
      <c r="G1118" s="138">
        <v>100.4015</v>
      </c>
      <c r="H1118" s="132">
        <v>97.83</v>
      </c>
      <c r="I1118" s="135">
        <v>100.09310000000001</v>
      </c>
    </row>
    <row r="1119" spans="1:9">
      <c r="A1119" s="131">
        <v>41017</v>
      </c>
      <c r="B1119" s="132">
        <v>100.67</v>
      </c>
      <c r="C1119" s="132">
        <v>98.662400000000005</v>
      </c>
      <c r="D1119" s="132">
        <v>99.034800000000004</v>
      </c>
      <c r="E1119" s="132">
        <v>99.903499999999994</v>
      </c>
      <c r="F1119" s="132">
        <v>101.2732</v>
      </c>
      <c r="G1119" s="138">
        <v>100.2516</v>
      </c>
      <c r="H1119" s="132">
        <v>97.77</v>
      </c>
      <c r="I1119" s="135">
        <v>99.860699999999994</v>
      </c>
    </row>
    <row r="1120" spans="1:9">
      <c r="A1120" s="131">
        <v>41018</v>
      </c>
      <c r="B1120" s="132">
        <v>100.67</v>
      </c>
      <c r="C1120" s="132">
        <v>98.662999999999997</v>
      </c>
      <c r="D1120" s="132">
        <v>99.034800000000004</v>
      </c>
      <c r="E1120" s="132">
        <v>99.919300000000007</v>
      </c>
      <c r="F1120" s="132">
        <v>101.4046</v>
      </c>
      <c r="G1120" s="138" t="s">
        <v>2214</v>
      </c>
      <c r="H1120" s="132">
        <v>97.83</v>
      </c>
      <c r="I1120" s="135">
        <v>99.958299999999994</v>
      </c>
    </row>
    <row r="1121" spans="1:9">
      <c r="A1121" s="131">
        <v>41019</v>
      </c>
      <c r="B1121" s="132">
        <v>100.67</v>
      </c>
      <c r="C1121" s="132">
        <v>98.670299999999997</v>
      </c>
      <c r="D1121" s="132">
        <v>99.034800000000004</v>
      </c>
      <c r="E1121" s="132">
        <v>99.8767</v>
      </c>
      <c r="F1121" s="132">
        <v>101.38679999999999</v>
      </c>
      <c r="G1121" s="138">
        <v>100.26</v>
      </c>
      <c r="H1121" s="132">
        <v>97.8</v>
      </c>
      <c r="I1121" s="135">
        <v>99.949100000000001</v>
      </c>
    </row>
    <row r="1122" spans="1:9">
      <c r="A1122" s="131">
        <v>41022</v>
      </c>
      <c r="B1122" s="132">
        <v>100.67</v>
      </c>
      <c r="C1122" s="132">
        <v>98.149299999999997</v>
      </c>
      <c r="D1122" s="132">
        <v>99.034800000000004</v>
      </c>
      <c r="E1122" s="132">
        <v>99.933300000000003</v>
      </c>
      <c r="F1122" s="132">
        <v>101.32850000000001</v>
      </c>
      <c r="G1122" s="138">
        <v>100.28019999999999</v>
      </c>
      <c r="H1122" s="132">
        <v>97.82</v>
      </c>
      <c r="I1122" s="135">
        <v>99.966200000000001</v>
      </c>
    </row>
    <row r="1123" spans="1:9">
      <c r="A1123" s="131">
        <v>41023</v>
      </c>
      <c r="B1123" s="132">
        <v>100.67</v>
      </c>
      <c r="C1123" s="132">
        <v>98.302999999999997</v>
      </c>
      <c r="D1123" s="132">
        <v>99.034800000000004</v>
      </c>
      <c r="E1123" s="132">
        <v>99.993499999999997</v>
      </c>
      <c r="F1123" s="132">
        <v>101.3857</v>
      </c>
      <c r="G1123" s="138">
        <v>100.3138</v>
      </c>
      <c r="H1123" s="132">
        <v>97.86</v>
      </c>
      <c r="I1123" s="135">
        <v>99.964799999999997</v>
      </c>
    </row>
    <row r="1124" spans="1:9">
      <c r="A1124" s="131">
        <v>41024</v>
      </c>
      <c r="B1124" s="132">
        <v>100.67</v>
      </c>
      <c r="C1124" s="132">
        <v>98.303600000000003</v>
      </c>
      <c r="D1124" s="132">
        <v>99.034800000000004</v>
      </c>
      <c r="E1124" s="132">
        <v>99.902900000000002</v>
      </c>
      <c r="F1124" s="132">
        <v>101.2987</v>
      </c>
      <c r="G1124" s="138" t="s">
        <v>2214</v>
      </c>
      <c r="H1124" s="132">
        <v>97.88</v>
      </c>
      <c r="I1124" s="135">
        <v>99.970500000000001</v>
      </c>
    </row>
    <row r="1125" spans="1:9">
      <c r="A1125" s="131">
        <v>41025</v>
      </c>
      <c r="B1125" s="132">
        <v>100.67</v>
      </c>
      <c r="C1125" s="132">
        <v>98.3035</v>
      </c>
      <c r="D1125" s="132">
        <v>99.034800000000004</v>
      </c>
      <c r="E1125" s="132">
        <v>99.902900000000002</v>
      </c>
      <c r="F1125" s="132">
        <v>101.3847</v>
      </c>
      <c r="G1125" s="138">
        <v>100.33369999999999</v>
      </c>
      <c r="H1125" s="132">
        <v>97.87</v>
      </c>
      <c r="I1125" s="135">
        <v>99.6815</v>
      </c>
    </row>
    <row r="1126" spans="1:9">
      <c r="A1126" s="131">
        <v>41026</v>
      </c>
      <c r="B1126" s="132">
        <v>100.67</v>
      </c>
      <c r="C1126" s="132">
        <v>98.695899999999995</v>
      </c>
      <c r="D1126" s="132">
        <v>99.034800000000004</v>
      </c>
      <c r="E1126" s="132">
        <v>99.962999999999994</v>
      </c>
      <c r="F1126" s="132">
        <v>101.3847</v>
      </c>
      <c r="G1126" s="138">
        <v>100.3205</v>
      </c>
      <c r="H1126" s="132">
        <v>97.88</v>
      </c>
      <c r="I1126" s="135">
        <v>99.6815</v>
      </c>
    </row>
    <row r="1127" spans="1:9">
      <c r="A1127" s="131">
        <v>41027</v>
      </c>
      <c r="B1127" s="132">
        <v>100.67</v>
      </c>
      <c r="C1127" s="132">
        <v>98.6999</v>
      </c>
      <c r="D1127" s="132">
        <v>99.034800000000004</v>
      </c>
      <c r="E1127" s="132">
        <v>99.962999999999994</v>
      </c>
      <c r="F1127" s="132">
        <v>101.3847</v>
      </c>
      <c r="G1127" s="138" t="s">
        <v>2214</v>
      </c>
      <c r="H1127" s="132" t="e">
        <v>#N/A</v>
      </c>
      <c r="I1127" s="135">
        <v>99.6815</v>
      </c>
    </row>
    <row r="1128" spans="1:9">
      <c r="A1128" s="131">
        <v>41031</v>
      </c>
      <c r="B1128" s="132">
        <v>100.67</v>
      </c>
      <c r="C1128" s="132">
        <v>98.207300000000004</v>
      </c>
      <c r="D1128" s="132">
        <v>99.034800000000004</v>
      </c>
      <c r="E1128" s="132">
        <v>100.0528</v>
      </c>
      <c r="F1128" s="132">
        <v>101.2037</v>
      </c>
      <c r="G1128" s="138" t="s">
        <v>2214</v>
      </c>
      <c r="H1128" s="132">
        <v>97.88</v>
      </c>
      <c r="I1128" s="135">
        <v>100.03579999999999</v>
      </c>
    </row>
    <row r="1129" spans="1:9">
      <c r="A1129" s="131">
        <v>41032</v>
      </c>
      <c r="B1129" s="132">
        <v>100.67</v>
      </c>
      <c r="C1129" s="132">
        <v>98.633099999999999</v>
      </c>
      <c r="D1129" s="132">
        <v>99.034800000000004</v>
      </c>
      <c r="E1129" s="132">
        <v>100.0528</v>
      </c>
      <c r="F1129" s="132">
        <v>101.206</v>
      </c>
      <c r="G1129" s="138">
        <v>100.36069999999999</v>
      </c>
      <c r="H1129" s="132">
        <v>97.9</v>
      </c>
      <c r="I1129" s="135">
        <v>99.97</v>
      </c>
    </row>
    <row r="1130" spans="1:9">
      <c r="A1130" s="131">
        <v>41033</v>
      </c>
      <c r="B1130" s="132">
        <v>100.67</v>
      </c>
      <c r="C1130" s="132">
        <v>98.637500000000003</v>
      </c>
      <c r="D1130" s="132">
        <v>99.034800000000004</v>
      </c>
      <c r="E1130" s="132">
        <v>99.932100000000005</v>
      </c>
      <c r="F1130" s="132">
        <v>101.2067</v>
      </c>
      <c r="G1130" s="138">
        <v>100.3492</v>
      </c>
      <c r="H1130" s="132">
        <v>97.91</v>
      </c>
      <c r="I1130" s="135">
        <v>99.969899999999996</v>
      </c>
    </row>
    <row r="1131" spans="1:9">
      <c r="A1131" s="131">
        <v>41036</v>
      </c>
      <c r="B1131" s="132">
        <v>100.67</v>
      </c>
      <c r="C1131" s="132">
        <v>98.571200000000005</v>
      </c>
      <c r="D1131" s="132">
        <v>99.034800000000004</v>
      </c>
      <c r="E1131" s="132">
        <v>99.902000000000001</v>
      </c>
      <c r="F1131" s="132">
        <v>101.20910000000001</v>
      </c>
      <c r="G1131" s="138">
        <v>100.3365</v>
      </c>
      <c r="H1131" s="132" t="s">
        <v>2214</v>
      </c>
      <c r="I1131" s="135">
        <v>99.9465</v>
      </c>
    </row>
    <row r="1132" spans="1:9">
      <c r="A1132" s="131">
        <v>41037</v>
      </c>
      <c r="B1132" s="132">
        <v>100.67</v>
      </c>
      <c r="C1132" s="132">
        <v>98.569800000000001</v>
      </c>
      <c r="D1132" s="132">
        <v>99.034800000000004</v>
      </c>
      <c r="E1132" s="132">
        <v>99.75</v>
      </c>
      <c r="F1132" s="132">
        <v>101.3498</v>
      </c>
      <c r="G1132" s="138" t="s">
        <v>2214</v>
      </c>
      <c r="H1132" s="132">
        <v>97.94</v>
      </c>
      <c r="I1132" s="135">
        <v>99.969700000000003</v>
      </c>
    </row>
    <row r="1133" spans="1:9">
      <c r="A1133" s="131">
        <v>41038</v>
      </c>
      <c r="B1133" s="132">
        <v>100.67</v>
      </c>
      <c r="C1133" s="132">
        <v>98.569699999999997</v>
      </c>
      <c r="D1133" s="132">
        <v>99.034800000000004</v>
      </c>
      <c r="E1133" s="132">
        <v>99.75</v>
      </c>
      <c r="F1133" s="132">
        <v>101.378</v>
      </c>
      <c r="G1133" s="138">
        <v>100.3768</v>
      </c>
      <c r="H1133" s="132">
        <v>97.98</v>
      </c>
      <c r="I1133" s="135">
        <v>100.00239999999999</v>
      </c>
    </row>
    <row r="1134" spans="1:9">
      <c r="A1134" s="131">
        <v>41039</v>
      </c>
      <c r="B1134" s="132">
        <v>100.67</v>
      </c>
      <c r="C1134" s="132">
        <v>98.569599999999994</v>
      </c>
      <c r="D1134" s="132">
        <v>99.034800000000004</v>
      </c>
      <c r="E1134" s="132">
        <v>100.0518</v>
      </c>
      <c r="F1134" s="132">
        <v>101.4062</v>
      </c>
      <c r="G1134" s="138">
        <v>100.36060000000001</v>
      </c>
      <c r="H1134" s="132">
        <v>98.04</v>
      </c>
      <c r="I1134" s="135">
        <v>100.0788</v>
      </c>
    </row>
    <row r="1135" spans="1:9">
      <c r="A1135" s="131">
        <v>41040</v>
      </c>
      <c r="B1135" s="132">
        <v>100.67</v>
      </c>
      <c r="C1135" s="132">
        <v>98.570099999999996</v>
      </c>
      <c r="D1135" s="132">
        <v>99.034800000000004</v>
      </c>
      <c r="E1135" s="132">
        <v>100.29170000000001</v>
      </c>
      <c r="F1135" s="132">
        <v>101.6917</v>
      </c>
      <c r="G1135" s="138">
        <v>100.5692</v>
      </c>
      <c r="H1135" s="132">
        <v>98.19</v>
      </c>
      <c r="I1135" s="135">
        <v>100.4284</v>
      </c>
    </row>
    <row r="1136" spans="1:9">
      <c r="A1136" s="131">
        <v>41043</v>
      </c>
      <c r="B1136" s="132">
        <v>100.67</v>
      </c>
      <c r="C1136" s="132">
        <v>98.854299999999995</v>
      </c>
      <c r="D1136" s="132">
        <v>99.034800000000004</v>
      </c>
      <c r="E1136" s="132">
        <v>100.3818</v>
      </c>
      <c r="F1136" s="132">
        <v>101.8926</v>
      </c>
      <c r="G1136" s="138">
        <v>100.9697</v>
      </c>
      <c r="H1136" s="132">
        <v>98.33</v>
      </c>
      <c r="I1136" s="135">
        <v>100.7355</v>
      </c>
    </row>
    <row r="1137" spans="1:9">
      <c r="A1137" s="131">
        <v>41044</v>
      </c>
      <c r="B1137" s="132">
        <v>100.67</v>
      </c>
      <c r="C1137" s="132">
        <v>98.854100000000003</v>
      </c>
      <c r="D1137" s="132">
        <v>99.034800000000004</v>
      </c>
      <c r="E1137" s="132">
        <v>101.0159</v>
      </c>
      <c r="F1137" s="132">
        <v>102.383</v>
      </c>
      <c r="G1137" s="138">
        <v>101.2617</v>
      </c>
      <c r="H1137" s="132">
        <v>98.35</v>
      </c>
      <c r="I1137" s="135">
        <v>101.5748</v>
      </c>
    </row>
    <row r="1138" spans="1:9">
      <c r="A1138" s="131">
        <v>41045</v>
      </c>
      <c r="B1138" s="132">
        <v>100.67</v>
      </c>
      <c r="C1138" s="132">
        <v>98.853999999999999</v>
      </c>
      <c r="D1138" s="132">
        <v>99.303100000000001</v>
      </c>
      <c r="E1138" s="132">
        <v>99.9559</v>
      </c>
      <c r="F1138" s="132">
        <v>102.3733</v>
      </c>
      <c r="G1138" s="138">
        <v>101.5834</v>
      </c>
      <c r="H1138" s="132">
        <v>98.53</v>
      </c>
      <c r="I1138" s="135">
        <v>101.6183</v>
      </c>
    </row>
    <row r="1139" spans="1:9">
      <c r="A1139" s="131">
        <v>41046</v>
      </c>
      <c r="B1139" s="132">
        <v>100.67</v>
      </c>
      <c r="C1139" s="132">
        <v>99.896900000000002</v>
      </c>
      <c r="D1139" s="132">
        <v>99.303100000000001</v>
      </c>
      <c r="E1139" s="132">
        <v>100.2312</v>
      </c>
      <c r="F1139" s="132">
        <v>102.6812</v>
      </c>
      <c r="G1139" s="138">
        <v>101.4169</v>
      </c>
      <c r="H1139" s="132">
        <v>98.6</v>
      </c>
      <c r="I1139" s="135">
        <v>101.30710000000001</v>
      </c>
    </row>
    <row r="1140" spans="1:9">
      <c r="A1140" s="131">
        <v>41047</v>
      </c>
      <c r="B1140" s="132">
        <v>100.67</v>
      </c>
      <c r="C1140" s="132">
        <v>99.587699999999998</v>
      </c>
      <c r="D1140" s="132">
        <v>99.303100000000001</v>
      </c>
      <c r="E1140" s="132">
        <v>101.3169</v>
      </c>
      <c r="F1140" s="132">
        <v>102.52330000000001</v>
      </c>
      <c r="G1140" s="138">
        <v>101.5338</v>
      </c>
      <c r="H1140" s="132">
        <v>98.71</v>
      </c>
      <c r="I1140" s="135">
        <v>101.61450000000001</v>
      </c>
    </row>
    <row r="1141" spans="1:9">
      <c r="A1141" s="131">
        <v>41050</v>
      </c>
      <c r="B1141" s="132">
        <v>100.67</v>
      </c>
      <c r="C1141" s="132">
        <v>99.742000000000004</v>
      </c>
      <c r="D1141" s="132">
        <v>99.303100000000001</v>
      </c>
      <c r="E1141" s="132">
        <v>101.2556</v>
      </c>
      <c r="F1141" s="132">
        <v>102.4644</v>
      </c>
      <c r="G1141" s="138">
        <v>101.4007</v>
      </c>
      <c r="H1141" s="132">
        <v>98.9</v>
      </c>
      <c r="I1141" s="135">
        <v>101.4808</v>
      </c>
    </row>
    <row r="1142" spans="1:9">
      <c r="A1142" s="131">
        <v>41051</v>
      </c>
      <c r="B1142" s="132">
        <v>100.67</v>
      </c>
      <c r="C1142" s="132">
        <v>99.679400000000001</v>
      </c>
      <c r="D1142" s="132">
        <v>99.303100000000001</v>
      </c>
      <c r="E1142" s="132">
        <v>100.24339999999999</v>
      </c>
      <c r="F1142" s="132">
        <v>102.49250000000001</v>
      </c>
      <c r="G1142" s="138">
        <v>101.34780000000001</v>
      </c>
      <c r="H1142" s="132">
        <v>98.75</v>
      </c>
      <c r="I1142" s="135">
        <v>101.502</v>
      </c>
    </row>
    <row r="1143" spans="1:9">
      <c r="A1143" s="131">
        <v>41052</v>
      </c>
      <c r="B1143" s="132">
        <v>100.67</v>
      </c>
      <c r="C1143" s="132">
        <v>99.741799999999998</v>
      </c>
      <c r="D1143" s="132">
        <v>99.303100000000001</v>
      </c>
      <c r="E1143" s="132">
        <v>101.13379999999999</v>
      </c>
      <c r="F1143" s="132">
        <v>102.4915</v>
      </c>
      <c r="G1143" s="138">
        <v>101.5326</v>
      </c>
      <c r="H1143" s="132">
        <v>98.84</v>
      </c>
      <c r="I1143" s="135">
        <v>101.5675</v>
      </c>
    </row>
    <row r="1144" spans="1:9">
      <c r="A1144" s="131">
        <v>41053</v>
      </c>
      <c r="B1144" s="132">
        <v>100.67</v>
      </c>
      <c r="C1144" s="132">
        <v>99.729699999999994</v>
      </c>
      <c r="D1144" s="132">
        <v>99.303100000000001</v>
      </c>
      <c r="E1144" s="132">
        <v>101.5273</v>
      </c>
      <c r="F1144" s="132">
        <v>102.7222</v>
      </c>
      <c r="G1144" s="138">
        <v>101.4486</v>
      </c>
      <c r="H1144" s="132">
        <v>98.91</v>
      </c>
      <c r="I1144" s="135">
        <v>102.1434</v>
      </c>
    </row>
    <row r="1145" spans="1:9">
      <c r="A1145" s="131">
        <v>41054</v>
      </c>
      <c r="B1145" s="132">
        <v>100.67</v>
      </c>
      <c r="C1145" s="132">
        <v>100.1592</v>
      </c>
      <c r="D1145" s="132">
        <v>99.303100000000001</v>
      </c>
      <c r="E1145" s="132">
        <v>101.8603</v>
      </c>
      <c r="F1145" s="132">
        <v>102.9512</v>
      </c>
      <c r="G1145" s="138">
        <v>102.1597</v>
      </c>
      <c r="H1145" s="132">
        <v>99.05</v>
      </c>
      <c r="I1145" s="135">
        <v>102.34</v>
      </c>
    </row>
    <row r="1146" spans="1:9">
      <c r="A1146" s="131">
        <v>41057</v>
      </c>
      <c r="B1146" s="132">
        <v>100.67</v>
      </c>
      <c r="C1146" s="132">
        <v>100.2985</v>
      </c>
      <c r="D1146" s="132">
        <v>99.303100000000001</v>
      </c>
      <c r="E1146" s="132">
        <v>101.5551</v>
      </c>
      <c r="F1146" s="132">
        <v>103.0081</v>
      </c>
      <c r="G1146" s="138">
        <v>102.1705</v>
      </c>
      <c r="H1146" s="132">
        <v>99</v>
      </c>
      <c r="I1146" s="135">
        <v>102.13849999999999</v>
      </c>
    </row>
    <row r="1147" spans="1:9">
      <c r="A1147" s="131">
        <v>41058</v>
      </c>
      <c r="B1147" s="132">
        <v>100.67</v>
      </c>
      <c r="C1147" s="132">
        <v>100.27849999999999</v>
      </c>
      <c r="D1147" s="132">
        <v>99.303100000000001</v>
      </c>
      <c r="E1147" s="132">
        <v>101.4331</v>
      </c>
      <c r="F1147" s="132">
        <v>102.77500000000001</v>
      </c>
      <c r="G1147" s="138">
        <v>101.64579999999999</v>
      </c>
      <c r="H1147" s="132">
        <v>98.85</v>
      </c>
      <c r="I1147" s="135">
        <v>101.8934</v>
      </c>
    </row>
    <row r="1148" spans="1:9">
      <c r="A1148" s="131">
        <v>41059</v>
      </c>
      <c r="B1148" s="132">
        <v>100.67</v>
      </c>
      <c r="C1148" s="132">
        <v>100.2675</v>
      </c>
      <c r="D1148" s="132">
        <v>99.303100000000001</v>
      </c>
      <c r="E1148" s="132">
        <v>101.3719</v>
      </c>
      <c r="F1148" s="132">
        <v>102.80289999999999</v>
      </c>
      <c r="G1148" s="138">
        <v>101.6057</v>
      </c>
      <c r="H1148" s="132">
        <v>98.79</v>
      </c>
      <c r="I1148" s="135">
        <v>101.8934</v>
      </c>
    </row>
    <row r="1149" spans="1:9">
      <c r="A1149" s="131">
        <v>41060</v>
      </c>
      <c r="B1149" s="132">
        <v>100.67</v>
      </c>
      <c r="C1149" s="132">
        <v>100.0984</v>
      </c>
      <c r="D1149" s="132">
        <v>99.303100000000001</v>
      </c>
      <c r="E1149" s="132">
        <v>101.6443</v>
      </c>
      <c r="F1149" s="132">
        <v>103.0047</v>
      </c>
      <c r="G1149" s="138">
        <v>101.76990000000001</v>
      </c>
      <c r="H1149" s="132">
        <v>98.9</v>
      </c>
      <c r="I1149" s="135">
        <v>101.7366</v>
      </c>
    </row>
    <row r="1150" spans="1:9">
      <c r="A1150" s="131">
        <v>41061</v>
      </c>
      <c r="B1150" s="132">
        <v>100.67</v>
      </c>
      <c r="C1150" s="132">
        <v>100.2869</v>
      </c>
      <c r="D1150" s="132">
        <v>99.303100000000001</v>
      </c>
      <c r="E1150" s="132">
        <v>101.703</v>
      </c>
      <c r="F1150" s="132">
        <v>103.0013</v>
      </c>
      <c r="G1150" s="138">
        <v>101.7842</v>
      </c>
      <c r="H1150" s="132">
        <v>98.94</v>
      </c>
      <c r="I1150" s="135">
        <v>101.6455</v>
      </c>
    </row>
    <row r="1151" spans="1:9">
      <c r="A1151" s="131">
        <v>41064</v>
      </c>
      <c r="B1151" s="132">
        <v>100.67</v>
      </c>
      <c r="C1151" s="132">
        <v>100.3873</v>
      </c>
      <c r="D1151" s="132">
        <v>99.303100000000001</v>
      </c>
      <c r="E1151" s="132">
        <v>100.4962</v>
      </c>
      <c r="F1151" s="132">
        <v>102.97320000000001</v>
      </c>
      <c r="G1151" s="138">
        <v>101.7069</v>
      </c>
      <c r="H1151" s="132">
        <v>98.96</v>
      </c>
      <c r="I1151" s="135">
        <v>101.6447</v>
      </c>
    </row>
    <row r="1152" spans="1:9">
      <c r="A1152" s="131">
        <v>41065</v>
      </c>
      <c r="B1152" s="132">
        <v>100.67</v>
      </c>
      <c r="C1152" s="132">
        <v>100.3797</v>
      </c>
      <c r="D1152" s="132">
        <v>99.303100000000001</v>
      </c>
      <c r="E1152" s="132">
        <v>101.4894</v>
      </c>
      <c r="F1152" s="132">
        <v>101.4791</v>
      </c>
      <c r="G1152" s="138">
        <v>101.5322</v>
      </c>
      <c r="H1152" s="132">
        <v>98.89</v>
      </c>
      <c r="I1152" s="135">
        <v>101.4241</v>
      </c>
    </row>
    <row r="1153" spans="1:9">
      <c r="A1153" s="131">
        <v>41066</v>
      </c>
      <c r="B1153" s="132">
        <v>100.67</v>
      </c>
      <c r="C1153" s="132">
        <v>100.28740000000001</v>
      </c>
      <c r="D1153" s="132">
        <v>99.303100000000001</v>
      </c>
      <c r="E1153" s="132">
        <v>100.5</v>
      </c>
      <c r="F1153" s="132">
        <v>102.79559999999999</v>
      </c>
      <c r="G1153" s="138">
        <v>101.6086</v>
      </c>
      <c r="H1153" s="132">
        <v>98.89</v>
      </c>
      <c r="I1153" s="135">
        <v>101.3802</v>
      </c>
    </row>
    <row r="1154" spans="1:9">
      <c r="A1154" s="131">
        <v>41067</v>
      </c>
      <c r="B1154" s="132">
        <v>100.67</v>
      </c>
      <c r="C1154" s="132">
        <v>100.27500000000001</v>
      </c>
      <c r="D1154" s="132">
        <v>99.303100000000001</v>
      </c>
      <c r="E1154" s="132">
        <v>101.4277</v>
      </c>
      <c r="F1154" s="132">
        <v>102.82340000000001</v>
      </c>
      <c r="G1154" s="138">
        <v>101.5001</v>
      </c>
      <c r="H1154" s="132">
        <v>98.84</v>
      </c>
      <c r="I1154" s="135">
        <v>101.3348</v>
      </c>
    </row>
    <row r="1155" spans="1:9">
      <c r="A1155" s="131">
        <v>41068</v>
      </c>
      <c r="B1155" s="132">
        <v>100.67</v>
      </c>
      <c r="C1155" s="132">
        <v>100.26090000000001</v>
      </c>
      <c r="D1155" s="132">
        <v>99.303100000000001</v>
      </c>
      <c r="E1155" s="132">
        <v>101.72839999999999</v>
      </c>
      <c r="F1155" s="132">
        <v>103.1091</v>
      </c>
      <c r="G1155" s="138">
        <v>101.9508</v>
      </c>
      <c r="H1155" s="132">
        <v>99.1</v>
      </c>
      <c r="I1155" s="135">
        <v>101.5951</v>
      </c>
    </row>
    <row r="1156" spans="1:9">
      <c r="A1156" s="131">
        <v>41071</v>
      </c>
      <c r="B1156" s="132">
        <v>100.67</v>
      </c>
      <c r="C1156" s="132">
        <v>100.46469999999999</v>
      </c>
      <c r="D1156" s="132">
        <v>99.303100000000001</v>
      </c>
      <c r="E1156" s="132">
        <v>101.4255</v>
      </c>
      <c r="F1156" s="132">
        <v>102.8192</v>
      </c>
      <c r="G1156" s="138">
        <v>101.8432</v>
      </c>
      <c r="H1156" s="132">
        <v>98.95</v>
      </c>
      <c r="I1156" s="135">
        <v>101.2881</v>
      </c>
    </row>
    <row r="1157" spans="1:9">
      <c r="A1157" s="131">
        <v>41072</v>
      </c>
      <c r="B1157" s="132">
        <v>100.67</v>
      </c>
      <c r="C1157" s="132">
        <v>100.4648</v>
      </c>
      <c r="D1157" s="132">
        <v>99.303100000000001</v>
      </c>
      <c r="E1157" s="132">
        <v>101.4851</v>
      </c>
      <c r="F1157" s="132">
        <v>102.8181</v>
      </c>
      <c r="G1157" s="138">
        <v>101.7619</v>
      </c>
      <c r="H1157" s="132">
        <v>98.95</v>
      </c>
      <c r="I1157" s="135">
        <v>101.2873</v>
      </c>
    </row>
    <row r="1158" spans="1:9">
      <c r="A1158" s="131">
        <v>41073</v>
      </c>
      <c r="B1158" s="132">
        <v>100.67</v>
      </c>
      <c r="C1158" s="132">
        <v>100.20229999999999</v>
      </c>
      <c r="D1158" s="132">
        <v>99.303100000000001</v>
      </c>
      <c r="E1158" s="132">
        <v>101.2734</v>
      </c>
      <c r="F1158" s="132">
        <v>102.70189999999999</v>
      </c>
      <c r="G1158" s="138">
        <v>101.5643</v>
      </c>
      <c r="H1158" s="132">
        <v>98.88</v>
      </c>
      <c r="I1158" s="135">
        <v>101.00369999999999</v>
      </c>
    </row>
    <row r="1159" spans="1:9">
      <c r="A1159" s="131">
        <v>41074</v>
      </c>
      <c r="B1159" s="132">
        <v>100.67</v>
      </c>
      <c r="C1159" s="132">
        <v>100.0441</v>
      </c>
      <c r="D1159" s="132">
        <v>99.303100000000001</v>
      </c>
      <c r="E1159" s="132">
        <v>100.49809999999999</v>
      </c>
      <c r="F1159" s="132">
        <v>101.482</v>
      </c>
      <c r="G1159" s="138">
        <v>101.48869999999999</v>
      </c>
      <c r="H1159" s="132">
        <v>98.87</v>
      </c>
      <c r="I1159" s="135">
        <v>100.97280000000001</v>
      </c>
    </row>
    <row r="1160" spans="1:9">
      <c r="A1160" s="131">
        <v>41075</v>
      </c>
      <c r="B1160" s="132">
        <v>101.94</v>
      </c>
      <c r="C1160" s="132">
        <v>99.938999999999993</v>
      </c>
      <c r="D1160" s="132">
        <v>99.303100000000001</v>
      </c>
      <c r="E1160" s="132">
        <v>101.3856</v>
      </c>
      <c r="F1160" s="132">
        <v>101.4795</v>
      </c>
      <c r="G1160" s="138">
        <v>101.4466</v>
      </c>
      <c r="H1160" s="132">
        <v>98.87</v>
      </c>
      <c r="I1160" s="135">
        <v>101.0014</v>
      </c>
    </row>
    <row r="1161" spans="1:9">
      <c r="A1161" s="131">
        <v>41078</v>
      </c>
      <c r="B1161" s="132">
        <v>102.18</v>
      </c>
      <c r="C1161" s="132">
        <v>99.973399999999998</v>
      </c>
      <c r="D1161" s="132">
        <v>99.303100000000001</v>
      </c>
      <c r="E1161" s="132">
        <v>101.1506</v>
      </c>
      <c r="F1161" s="132">
        <v>101.4806</v>
      </c>
      <c r="G1161" s="138">
        <v>101.2863</v>
      </c>
      <c r="H1161" s="132">
        <v>98.864000000000004</v>
      </c>
      <c r="I1161" s="135">
        <v>100.8493</v>
      </c>
    </row>
    <row r="1162" spans="1:9">
      <c r="A1162" s="131">
        <v>41079</v>
      </c>
      <c r="B1162" s="132">
        <v>101.8</v>
      </c>
      <c r="C1162" s="132">
        <v>99.846800000000002</v>
      </c>
      <c r="D1162" s="132">
        <v>99.303100000000001</v>
      </c>
      <c r="E1162" s="132">
        <v>101.30029999999999</v>
      </c>
      <c r="F1162" s="132">
        <v>102.5812</v>
      </c>
      <c r="G1162" s="138">
        <v>101.22239999999999</v>
      </c>
      <c r="H1162" s="132">
        <v>98.85</v>
      </c>
      <c r="I1162" s="135">
        <v>100.8056</v>
      </c>
    </row>
    <row r="1163" spans="1:9">
      <c r="A1163" s="131">
        <v>41080</v>
      </c>
      <c r="B1163" s="132">
        <v>101.81</v>
      </c>
      <c r="C1163" s="132">
        <v>99.740600000000001</v>
      </c>
      <c r="D1163" s="132">
        <v>99.303100000000001</v>
      </c>
      <c r="E1163" s="132">
        <v>101.2397</v>
      </c>
      <c r="F1163" s="132">
        <v>101.4854</v>
      </c>
      <c r="G1163" s="138">
        <v>101.20269999999999</v>
      </c>
      <c r="H1163" s="132">
        <v>98.78</v>
      </c>
      <c r="I1163" s="135">
        <v>100.7835</v>
      </c>
    </row>
    <row r="1164" spans="1:9">
      <c r="A1164" s="131">
        <v>41081</v>
      </c>
      <c r="B1164" s="132">
        <v>101.82</v>
      </c>
      <c r="C1164" s="132">
        <v>99.678700000000006</v>
      </c>
      <c r="D1164" s="132">
        <v>99.303100000000001</v>
      </c>
      <c r="E1164" s="132">
        <v>100.5033</v>
      </c>
      <c r="F1164" s="132">
        <v>102.6909</v>
      </c>
      <c r="G1164" s="138">
        <v>101.41119999999999</v>
      </c>
      <c r="H1164" s="132">
        <v>98.92</v>
      </c>
      <c r="I1164" s="135">
        <v>100.88930000000001</v>
      </c>
    </row>
    <row r="1165" spans="1:9">
      <c r="A1165" s="131">
        <v>41085</v>
      </c>
      <c r="B1165" s="132">
        <v>101.94</v>
      </c>
      <c r="C1165" s="132">
        <v>99.773700000000005</v>
      </c>
      <c r="D1165" s="132">
        <v>99.303100000000001</v>
      </c>
      <c r="E1165" s="132">
        <v>101.5072</v>
      </c>
      <c r="F1165" s="132">
        <v>102.74720000000001</v>
      </c>
      <c r="G1165" s="138">
        <v>101.5826</v>
      </c>
      <c r="H1165" s="132">
        <v>98.926000000000002</v>
      </c>
      <c r="I1165" s="135">
        <v>101.0609</v>
      </c>
    </row>
    <row r="1166" spans="1:9">
      <c r="A1166" s="131">
        <v>41086</v>
      </c>
      <c r="B1166" s="132">
        <v>102.07</v>
      </c>
      <c r="C1166" s="132">
        <v>99.748500000000007</v>
      </c>
      <c r="D1166" s="132">
        <v>99.303100000000001</v>
      </c>
      <c r="E1166" s="132">
        <v>101.59739999999999</v>
      </c>
      <c r="F1166" s="132">
        <v>102.8321</v>
      </c>
      <c r="G1166" s="138">
        <v>101.6177</v>
      </c>
      <c r="H1166" s="132">
        <v>98.97</v>
      </c>
      <c r="I1166" s="135">
        <v>101.1255</v>
      </c>
    </row>
    <row r="1167" spans="1:9">
      <c r="A1167" s="131">
        <v>41087</v>
      </c>
      <c r="B1167" s="132">
        <v>102.22</v>
      </c>
      <c r="C1167" s="132">
        <v>99.850999999999999</v>
      </c>
      <c r="D1167" s="132">
        <v>99.303100000000001</v>
      </c>
      <c r="E1167" s="132">
        <v>101.7466</v>
      </c>
      <c r="F1167" s="132">
        <v>103.03189999999999</v>
      </c>
      <c r="G1167" s="138">
        <v>101.785</v>
      </c>
      <c r="H1167" s="132">
        <v>99.013999999999996</v>
      </c>
      <c r="I1167" s="135">
        <v>101.3194</v>
      </c>
    </row>
    <row r="1168" spans="1:9">
      <c r="A1168" s="131">
        <v>41088</v>
      </c>
      <c r="B1168" s="132">
        <v>102.37</v>
      </c>
      <c r="C1168" s="132">
        <v>100.0047</v>
      </c>
      <c r="D1168" s="132">
        <v>99.303100000000001</v>
      </c>
      <c r="E1168" s="132">
        <v>101.7761</v>
      </c>
      <c r="F1168" s="132">
        <v>102.2234</v>
      </c>
      <c r="G1168" s="138">
        <v>100.61750000000001</v>
      </c>
      <c r="H1168" s="132">
        <v>99.07</v>
      </c>
      <c r="I1168" s="135">
        <v>101.3835</v>
      </c>
    </row>
    <row r="1169" spans="1:23">
      <c r="A1169" s="131">
        <v>41089</v>
      </c>
      <c r="B1169" s="132">
        <v>102.48</v>
      </c>
      <c r="C1169" s="132">
        <v>100.0909</v>
      </c>
      <c r="D1169" s="132">
        <v>100.6567</v>
      </c>
      <c r="E1169" s="132">
        <v>101.83410000000001</v>
      </c>
      <c r="F1169" s="132">
        <v>103.0273</v>
      </c>
      <c r="G1169" s="138">
        <v>101.94159999999999</v>
      </c>
      <c r="H1169" s="132">
        <v>99.164000000000001</v>
      </c>
      <c r="I1169" s="135">
        <v>101.29470000000001</v>
      </c>
    </row>
    <row r="1170" spans="1:23">
      <c r="A1170" s="131">
        <v>41092</v>
      </c>
      <c r="B1170" s="132">
        <v>102.45</v>
      </c>
      <c r="C1170" s="132">
        <v>100.0972</v>
      </c>
      <c r="D1170" s="132">
        <v>100.6523</v>
      </c>
      <c r="E1170" s="132">
        <v>101.7732</v>
      </c>
      <c r="F1170" s="132">
        <v>102.2475</v>
      </c>
      <c r="G1170" s="138">
        <v>101.7715</v>
      </c>
      <c r="H1170" s="132">
        <v>99.19</v>
      </c>
      <c r="I1170" s="135">
        <v>101.2638</v>
      </c>
    </row>
    <row r="1171" spans="1:23">
      <c r="A1171" s="131">
        <v>41093</v>
      </c>
      <c r="B1171" s="132">
        <v>102.35</v>
      </c>
      <c r="C1171" s="132">
        <v>100.08320000000001</v>
      </c>
      <c r="D1171" s="132">
        <v>100.65130000000001</v>
      </c>
      <c r="E1171" s="132">
        <v>101.77249999999999</v>
      </c>
      <c r="F1171" s="132">
        <v>103.1397</v>
      </c>
      <c r="G1171" s="138">
        <v>101.645</v>
      </c>
      <c r="H1171" s="132">
        <v>99.298000000000002</v>
      </c>
      <c r="I1171" s="135">
        <v>101.3364</v>
      </c>
    </row>
    <row r="1172" spans="1:23">
      <c r="A1172" s="131">
        <v>41094</v>
      </c>
      <c r="B1172" s="132">
        <v>102.44</v>
      </c>
      <c r="C1172" s="132">
        <v>99.938100000000006</v>
      </c>
      <c r="D1172" s="132">
        <v>100.6495</v>
      </c>
      <c r="E1172" s="132">
        <v>101.86199999999999</v>
      </c>
      <c r="F1172" s="132">
        <v>102.25369999999999</v>
      </c>
      <c r="G1172" s="138">
        <v>101.7903</v>
      </c>
      <c r="H1172" s="132">
        <v>99.457999999999998</v>
      </c>
      <c r="I1172" s="135">
        <v>101.3623</v>
      </c>
    </row>
    <row r="1173" spans="1:23">
      <c r="A1173" s="129">
        <v>41095</v>
      </c>
      <c r="B1173" s="130">
        <v>102.42</v>
      </c>
      <c r="C1173" s="132">
        <v>100.0227</v>
      </c>
      <c r="D1173" s="132">
        <v>100.59950000000001</v>
      </c>
      <c r="E1173" s="132">
        <v>101.8312</v>
      </c>
      <c r="F1173" s="132">
        <v>102.2551</v>
      </c>
      <c r="G1173" s="140">
        <v>101.783</v>
      </c>
      <c r="H1173" s="132">
        <v>99.658000000000001</v>
      </c>
      <c r="I1173" s="135">
        <v>101.4556</v>
      </c>
      <c r="K1173" s="141">
        <f ca="1">H24</f>
        <v>5</v>
      </c>
      <c r="L1173" s="141">
        <f ca="1">H25</f>
        <v>5</v>
      </c>
      <c r="M1173" s="141">
        <f ca="1">H26</f>
        <v>10</v>
      </c>
      <c r="N1173" s="141">
        <f ca="1">H27</f>
        <v>15</v>
      </c>
      <c r="O1173" s="141">
        <f ca="1">H28</f>
        <v>2</v>
      </c>
      <c r="P1173" s="141">
        <f ca="1">H29</f>
        <v>15</v>
      </c>
      <c r="Q1173" s="3">
        <f ca="1">-ROUND(E40,0)</f>
        <v>-57</v>
      </c>
      <c r="R1173" s="3">
        <f ca="1">-E41</f>
        <v>15.53269384</v>
      </c>
      <c r="V1173" s="142" t="s">
        <v>2215</v>
      </c>
      <c r="W1173" s="142" t="s">
        <v>2216</v>
      </c>
    </row>
    <row r="1174" spans="1:23">
      <c r="A1174" s="131">
        <v>41096</v>
      </c>
      <c r="B1174" s="132">
        <v>102.48</v>
      </c>
      <c r="C1174" s="132">
        <v>100.0812</v>
      </c>
      <c r="D1174" s="132">
        <v>100.5963</v>
      </c>
      <c r="E1174" s="132">
        <v>102.0697</v>
      </c>
      <c r="F1174" s="132">
        <v>103.36320000000001</v>
      </c>
      <c r="G1174" s="138">
        <v>102.2958</v>
      </c>
      <c r="H1174" s="132">
        <v>99.658000000000001</v>
      </c>
      <c r="I1174" s="135">
        <v>101.6559</v>
      </c>
      <c r="K1174" s="137">
        <f ca="1">B1174-B1173</f>
        <v>6.0000000000002274E-2</v>
      </c>
      <c r="L1174" s="137">
        <f t="shared" ref="L1174:R1174" ca="1" si="11">C1174-C1173</f>
        <v>5.8499999999995111E-2</v>
      </c>
      <c r="M1174" s="137">
        <f t="shared" ca="1" si="11"/>
        <v>-3.200000000006753E-3</v>
      </c>
      <c r="N1174" s="137">
        <f t="shared" ca="1" si="11"/>
        <v>0.23850000000000193</v>
      </c>
      <c r="O1174" s="137">
        <f t="shared" ca="1" si="11"/>
        <v>1.1081000000000074</v>
      </c>
      <c r="P1174" s="137">
        <f t="shared" ca="1" si="11"/>
        <v>0.51279999999999859</v>
      </c>
      <c r="Q1174" s="137">
        <f t="shared" ca="1" si="11"/>
        <v>0</v>
      </c>
      <c r="R1174" s="137">
        <f t="shared" ca="1" si="11"/>
        <v>0.20029999999999859</v>
      </c>
      <c r="V1174" s="3">
        <f ca="1">SUMPRODUCT(K1174:P1174,$K$1173:$P$1173)/100</f>
        <v>0.14046199999999942</v>
      </c>
      <c r="W1174" s="3">
        <f ca="1">SUMPRODUCT(K1174:R1174,$K$1173:$R$1173)/100</f>
        <v>0.17157398576151919</v>
      </c>
    </row>
    <row r="1175" spans="1:23">
      <c r="A1175" s="131">
        <v>41099</v>
      </c>
      <c r="B1175" s="132">
        <v>102.71</v>
      </c>
      <c r="C1175" s="132">
        <v>100.206</v>
      </c>
      <c r="D1175" s="132">
        <v>100.89870000000001</v>
      </c>
      <c r="E1175" s="132">
        <v>102.37050000000001</v>
      </c>
      <c r="F1175" s="132">
        <v>103.5919</v>
      </c>
      <c r="G1175" s="138">
        <v>102.5003</v>
      </c>
      <c r="H1175" s="132">
        <v>99.61</v>
      </c>
      <c r="I1175" s="135">
        <v>101.76730000000001</v>
      </c>
      <c r="K1175" s="137">
        <f t="shared" ref="K1175:K1203" ca="1" si="12">B1175-B1174</f>
        <v>0.22999999999998977</v>
      </c>
      <c r="L1175" s="137">
        <f t="shared" ref="L1175:L1203" ca="1" si="13">C1175-C1174</f>
        <v>0.12480000000000757</v>
      </c>
      <c r="M1175" s="137">
        <f t="shared" ref="M1175:M1203" ca="1" si="14">D1175-D1174</f>
        <v>0.30240000000000578</v>
      </c>
      <c r="N1175" s="137">
        <f t="shared" ref="N1175:N1203" ca="1" si="15">E1175-E1174</f>
        <v>0.3008000000000095</v>
      </c>
      <c r="O1175" s="137">
        <f t="shared" ref="O1175:O1203" ca="1" si="16">F1175-F1174</f>
        <v>0.22869999999998925</v>
      </c>
      <c r="P1175" s="137">
        <f t="shared" ref="P1175:P1203" ca="1" si="17">G1175-G1174</f>
        <v>0.20449999999999591</v>
      </c>
      <c r="Q1175" s="137">
        <f t="shared" ref="Q1175:Q1203" ca="1" si="18">H1175-H1174</f>
        <v>-4.8000000000001819E-2</v>
      </c>
      <c r="R1175" s="137">
        <f t="shared" ref="R1175:R1203" ca="1" si="19">I1175-I1174</f>
        <v>0.11140000000000327</v>
      </c>
      <c r="V1175" s="3">
        <f ca="1">SUMPRODUCT(K1175:P1175,$K$1173:$P$1173)/100+V1174</f>
        <v>0.26881100000000047</v>
      </c>
      <c r="W1175" s="3">
        <f ca="1">SUMPRODUCT(K1175:R1175,$K$1173:$R$1173)/100+W1174</f>
        <v>0.34458640669928176</v>
      </c>
    </row>
    <row r="1176" spans="1:23">
      <c r="A1176" s="131">
        <v>41100</v>
      </c>
      <c r="B1176" s="132">
        <v>102.84</v>
      </c>
      <c r="C1176" s="132">
        <v>100.25369999999999</v>
      </c>
      <c r="D1176" s="132">
        <v>100.89870000000001</v>
      </c>
      <c r="E1176" s="132">
        <v>102.4905</v>
      </c>
      <c r="F1176" s="132">
        <v>103.6193</v>
      </c>
      <c r="G1176" s="138">
        <v>102.5081</v>
      </c>
      <c r="H1176" s="132">
        <v>99.7</v>
      </c>
      <c r="I1176" s="135">
        <v>101.91289999999999</v>
      </c>
      <c r="K1176" s="137">
        <f t="shared" ca="1" si="12"/>
        <v>0.13000000000000966</v>
      </c>
      <c r="L1176" s="137">
        <f t="shared" ca="1" si="13"/>
        <v>4.769999999999186E-2</v>
      </c>
      <c r="M1176" s="137">
        <f t="shared" ca="1" si="14"/>
        <v>0</v>
      </c>
      <c r="N1176" s="137">
        <f t="shared" ca="1" si="15"/>
        <v>0.11999999999999034</v>
      </c>
      <c r="O1176" s="137">
        <f t="shared" ca="1" si="16"/>
        <v>2.7400000000000091E-2</v>
      </c>
      <c r="P1176" s="137">
        <f t="shared" ca="1" si="17"/>
        <v>7.8000000000031378E-3</v>
      </c>
      <c r="Q1176" s="137">
        <f t="shared" ca="1" si="18"/>
        <v>9.0000000000003411E-2</v>
      </c>
      <c r="R1176" s="137">
        <f t="shared" ca="1" si="19"/>
        <v>0.14559999999998752</v>
      </c>
      <c r="V1176" s="3">
        <f t="shared" ref="V1176:V1203" ca="1" si="20">SUMPRODUCT(K1176:P1176,$K$1173:$P$1173)/100+V1175</f>
        <v>0.29741399999999957</v>
      </c>
      <c r="W1176" s="3">
        <f t="shared" ref="W1176:W1203" ca="1" si="21">SUMPRODUCT(K1176:R1176,$K$1173:$R$1173)/100+W1175</f>
        <v>0.34450500893031699</v>
      </c>
    </row>
    <row r="1177" spans="1:23">
      <c r="A1177" s="131">
        <v>41101</v>
      </c>
      <c r="B1177" s="132">
        <v>102.9</v>
      </c>
      <c r="C1177" s="132">
        <v>100.3229</v>
      </c>
      <c r="D1177" s="132">
        <v>100.89870000000001</v>
      </c>
      <c r="E1177" s="132">
        <v>102.4593</v>
      </c>
      <c r="F1177" s="132">
        <v>103.7619</v>
      </c>
      <c r="G1177" s="138">
        <v>102.5176</v>
      </c>
      <c r="H1177" s="132">
        <v>99.85</v>
      </c>
      <c r="I1177" s="135">
        <v>101.93380000000001</v>
      </c>
      <c r="K1177" s="137">
        <f t="shared" ca="1" si="12"/>
        <v>6.0000000000002274E-2</v>
      </c>
      <c r="L1177" s="137">
        <f t="shared" ca="1" si="13"/>
        <v>6.9200000000009254E-2</v>
      </c>
      <c r="M1177" s="137">
        <f t="shared" ca="1" si="14"/>
        <v>0</v>
      </c>
      <c r="N1177" s="137">
        <f t="shared" ca="1" si="15"/>
        <v>-3.119999999999834E-2</v>
      </c>
      <c r="O1177" s="137">
        <f t="shared" ca="1" si="16"/>
        <v>0.14260000000000161</v>
      </c>
      <c r="P1177" s="137">
        <f t="shared" ca="1" si="17"/>
        <v>9.5000000000027285E-3</v>
      </c>
      <c r="Q1177" s="137">
        <f t="shared" ca="1" si="18"/>
        <v>0.14999999999999147</v>
      </c>
      <c r="R1177" s="137">
        <f t="shared" ca="1" si="19"/>
        <v>2.0900000000011687E-2</v>
      </c>
      <c r="V1177" s="3">
        <f t="shared" ca="1" si="20"/>
        <v>0.30347100000000082</v>
      </c>
      <c r="W1177" s="3">
        <f t="shared" ca="1" si="21"/>
        <v>0.26830834194288494</v>
      </c>
    </row>
    <row r="1178" spans="1:23">
      <c r="A1178" s="131">
        <v>41102</v>
      </c>
      <c r="B1178" s="132">
        <v>102.96</v>
      </c>
      <c r="C1178" s="132">
        <v>100.39279999999999</v>
      </c>
      <c r="D1178" s="132">
        <v>100.8989</v>
      </c>
      <c r="E1178" s="132">
        <v>102.45829999999999</v>
      </c>
      <c r="F1178" s="132">
        <v>102.2542</v>
      </c>
      <c r="G1178" s="138">
        <v>102.6996</v>
      </c>
      <c r="H1178" s="132">
        <v>99.97</v>
      </c>
      <c r="I1178" s="135">
        <v>101.95440000000001</v>
      </c>
      <c r="K1178" s="137">
        <f t="shared" ca="1" si="12"/>
        <v>5.9999999999988063E-2</v>
      </c>
      <c r="L1178" s="137">
        <f t="shared" ca="1" si="13"/>
        <v>6.9899999999989859E-2</v>
      </c>
      <c r="M1178" s="137">
        <f t="shared" ca="1" si="14"/>
        <v>1.9999999999242846E-4</v>
      </c>
      <c r="N1178" s="137">
        <f t="shared" ca="1" si="15"/>
        <v>-1.0000000000047748E-3</v>
      </c>
      <c r="O1178" s="137">
        <f t="shared" ca="1" si="16"/>
        <v>-1.5076999999999998</v>
      </c>
      <c r="P1178" s="137">
        <f t="shared" ca="1" si="17"/>
        <v>0.18200000000000216</v>
      </c>
      <c r="Q1178" s="137">
        <f t="shared" ca="1" si="18"/>
        <v>0.12000000000000455</v>
      </c>
      <c r="R1178" s="137">
        <f t="shared" ca="1" si="19"/>
        <v>2.0600000000001728E-2</v>
      </c>
      <c r="V1178" s="3">
        <f t="shared" ca="1" si="20"/>
        <v>0.30698199999999859</v>
      </c>
      <c r="W1178" s="3">
        <f t="shared" ca="1" si="21"/>
        <v>0.20661907687392037</v>
      </c>
    </row>
    <row r="1179" spans="1:23">
      <c r="A1179" s="131">
        <v>41103</v>
      </c>
      <c r="B1179" s="132">
        <v>103.04</v>
      </c>
      <c r="C1179" s="132">
        <v>100.4141</v>
      </c>
      <c r="D1179" s="132">
        <v>101.2975</v>
      </c>
      <c r="E1179" s="132">
        <v>102.3824</v>
      </c>
      <c r="F1179" s="132">
        <v>103.6412</v>
      </c>
      <c r="G1179" s="138">
        <v>102.5274</v>
      </c>
      <c r="H1179" s="132">
        <v>99.89</v>
      </c>
      <c r="I1179" s="135">
        <v>101.9186</v>
      </c>
      <c r="K1179" s="137">
        <f t="shared" ca="1" si="12"/>
        <v>8.0000000000012506E-2</v>
      </c>
      <c r="L1179" s="137">
        <f t="shared" ca="1" si="13"/>
        <v>2.1300000000010755E-2</v>
      </c>
      <c r="M1179" s="137">
        <f t="shared" ca="1" si="14"/>
        <v>0.39860000000000184</v>
      </c>
      <c r="N1179" s="137">
        <f t="shared" ca="1" si="15"/>
        <v>-7.5899999999990087E-2</v>
      </c>
      <c r="O1179" s="137">
        <f t="shared" ca="1" si="16"/>
        <v>1.3870000000000005</v>
      </c>
      <c r="P1179" s="137">
        <f t="shared" ca="1" si="17"/>
        <v>-0.17220000000000368</v>
      </c>
      <c r="Q1179" s="137">
        <f t="shared" ca="1" si="18"/>
        <v>-7.9999999999998295E-2</v>
      </c>
      <c r="R1179" s="137">
        <f t="shared" ca="1" si="19"/>
        <v>-3.5800000000008936E-2</v>
      </c>
      <c r="V1179" s="3">
        <f t="shared" ca="1" si="20"/>
        <v>0.3424320000000009</v>
      </c>
      <c r="W1179" s="3">
        <f t="shared" ca="1" si="21"/>
        <v>0.28210837247920029</v>
      </c>
    </row>
    <row r="1180" spans="1:23">
      <c r="A1180" s="131">
        <v>41106</v>
      </c>
      <c r="B1180" s="132">
        <v>103.01</v>
      </c>
      <c r="C1180" s="132">
        <v>100.301</v>
      </c>
      <c r="D1180" s="132">
        <v>101.2991</v>
      </c>
      <c r="E1180" s="132">
        <v>102.2736</v>
      </c>
      <c r="F1180" s="132">
        <v>102.2518</v>
      </c>
      <c r="G1180" s="138">
        <v>102.4556</v>
      </c>
      <c r="H1180" s="132">
        <v>99.835999999999999</v>
      </c>
      <c r="I1180" s="135">
        <v>101.8205</v>
      </c>
      <c r="K1180" s="137">
        <f t="shared" ca="1" si="12"/>
        <v>-3.0000000000001137E-2</v>
      </c>
      <c r="L1180" s="137">
        <f t="shared" ca="1" si="13"/>
        <v>-0.11310000000000286</v>
      </c>
      <c r="M1180" s="137">
        <f t="shared" ca="1" si="14"/>
        <v>1.5999999999962711E-3</v>
      </c>
      <c r="N1180" s="137">
        <f t="shared" ca="1" si="15"/>
        <v>-0.10880000000000223</v>
      </c>
      <c r="O1180" s="137">
        <f t="shared" ca="1" si="16"/>
        <v>-1.3893999999999949</v>
      </c>
      <c r="P1180" s="137">
        <f t="shared" ca="1" si="17"/>
        <v>-7.1799999999996089E-2</v>
      </c>
      <c r="Q1180" s="137">
        <f t="shared" ca="1" si="18"/>
        <v>-5.4000000000002046E-2</v>
      </c>
      <c r="R1180" s="137">
        <f t="shared" ca="1" si="19"/>
        <v>-9.8100000000002296E-2</v>
      </c>
      <c r="V1180" s="3">
        <f t="shared" ca="1" si="20"/>
        <v>0.28055900000000067</v>
      </c>
      <c r="W1180" s="3">
        <f t="shared" ca="1" si="21"/>
        <v>0.23577779982216088</v>
      </c>
    </row>
    <row r="1181" spans="1:23">
      <c r="A1181" s="131">
        <v>41107</v>
      </c>
      <c r="B1181" s="132">
        <v>102.96</v>
      </c>
      <c r="C1181" s="132">
        <v>100.3403</v>
      </c>
      <c r="D1181" s="132">
        <v>101.1996</v>
      </c>
      <c r="E1181" s="132">
        <v>101.4982</v>
      </c>
      <c r="F1181" s="132">
        <v>103.46639999999999</v>
      </c>
      <c r="G1181" s="138">
        <v>102.31140000000001</v>
      </c>
      <c r="H1181" s="132">
        <v>99.798000000000002</v>
      </c>
      <c r="I1181" s="135">
        <v>101.77209999999999</v>
      </c>
      <c r="K1181" s="137">
        <f t="shared" ca="1" si="12"/>
        <v>-5.0000000000011369E-2</v>
      </c>
      <c r="L1181" s="137">
        <f t="shared" ca="1" si="13"/>
        <v>3.9299999999997226E-2</v>
      </c>
      <c r="M1181" s="137">
        <f t="shared" ca="1" si="14"/>
        <v>-9.9499999999991928E-2</v>
      </c>
      <c r="N1181" s="137">
        <f t="shared" ca="1" si="15"/>
        <v>-0.77540000000000475</v>
      </c>
      <c r="O1181" s="137">
        <f t="shared" ca="1" si="16"/>
        <v>1.2145999999999901</v>
      </c>
      <c r="P1181" s="137">
        <f t="shared" ca="1" si="17"/>
        <v>-0.14419999999999789</v>
      </c>
      <c r="Q1181" s="137">
        <f t="shared" ca="1" si="18"/>
        <v>-3.7999999999996703E-2</v>
      </c>
      <c r="R1181" s="137">
        <f t="shared" ca="1" si="19"/>
        <v>-4.8400000000000887E-2</v>
      </c>
      <c r="V1181" s="3">
        <f t="shared" ca="1" si="20"/>
        <v>0.15642600000000018</v>
      </c>
      <c r="W1181" s="3">
        <f t="shared" ca="1" si="21"/>
        <v>0.12578697600359837</v>
      </c>
    </row>
    <row r="1182" spans="1:23">
      <c r="A1182" s="131">
        <v>41108</v>
      </c>
      <c r="B1182" s="132">
        <v>102.86</v>
      </c>
      <c r="C1182" s="132">
        <v>100.4958</v>
      </c>
      <c r="D1182" s="132">
        <v>101.10039999999999</v>
      </c>
      <c r="E1182" s="132">
        <v>102.3019</v>
      </c>
      <c r="F1182" s="132">
        <v>102.2534</v>
      </c>
      <c r="G1182" s="138">
        <v>102.292</v>
      </c>
      <c r="H1182" s="132">
        <v>99.77</v>
      </c>
      <c r="I1182" s="135">
        <v>101.7754</v>
      </c>
      <c r="K1182" s="137">
        <f t="shared" ca="1" si="12"/>
        <v>-9.9999999999994316E-2</v>
      </c>
      <c r="L1182" s="137">
        <f t="shared" ca="1" si="13"/>
        <v>0.15550000000000352</v>
      </c>
      <c r="M1182" s="137">
        <f t="shared" ca="1" si="14"/>
        <v>-9.9200000000010391E-2</v>
      </c>
      <c r="N1182" s="137">
        <f t="shared" ca="1" si="15"/>
        <v>0.8037000000000063</v>
      </c>
      <c r="O1182" s="137">
        <f t="shared" ca="1" si="16"/>
        <v>-1.2129999999999939</v>
      </c>
      <c r="P1182" s="137">
        <f t="shared" ca="1" si="17"/>
        <v>-1.9400000000004525E-2</v>
      </c>
      <c r="Q1182" s="137">
        <f t="shared" ca="1" si="18"/>
        <v>-2.8000000000005798E-2</v>
      </c>
      <c r="R1182" s="137">
        <f t="shared" ca="1" si="19"/>
        <v>3.3000000000100727E-3</v>
      </c>
      <c r="V1182" s="3">
        <f t="shared" ca="1" si="20"/>
        <v>0.24266599999999999</v>
      </c>
      <c r="W1182" s="3">
        <f t="shared" ca="1" si="21"/>
        <v>0.22849955490032303</v>
      </c>
    </row>
    <row r="1183" spans="1:23">
      <c r="A1183" s="131">
        <v>41109</v>
      </c>
      <c r="B1183" s="132">
        <v>102.82</v>
      </c>
      <c r="C1183" s="132">
        <v>100.49169999999999</v>
      </c>
      <c r="D1183" s="132">
        <v>101.1009</v>
      </c>
      <c r="E1183" s="132">
        <v>101.4992</v>
      </c>
      <c r="F1183" s="132">
        <v>102.25579999999999</v>
      </c>
      <c r="G1183" s="138">
        <v>102.30289999999999</v>
      </c>
      <c r="H1183" s="132">
        <v>99.757999999999996</v>
      </c>
      <c r="I1183" s="135">
        <v>101.7313</v>
      </c>
      <c r="K1183" s="137">
        <f t="shared" ca="1" si="12"/>
        <v>-4.0000000000006253E-2</v>
      </c>
      <c r="L1183" s="137">
        <f t="shared" ca="1" si="13"/>
        <v>-4.1000000000082082E-3</v>
      </c>
      <c r="M1183" s="137">
        <f t="shared" ca="1" si="14"/>
        <v>5.0000000000238742E-4</v>
      </c>
      <c r="N1183" s="137">
        <f t="shared" ca="1" si="15"/>
        <v>-0.80270000000000152</v>
      </c>
      <c r="O1183" s="137">
        <f t="shared" ca="1" si="16"/>
        <v>2.3999999999944066E-3</v>
      </c>
      <c r="P1183" s="137">
        <f t="shared" ca="1" si="17"/>
        <v>1.089999999999236E-2</v>
      </c>
      <c r="Q1183" s="137">
        <f t="shared" ca="1" si="18"/>
        <v>-1.2000000000000455E-2</v>
      </c>
      <c r="R1183" s="137">
        <f t="shared" ca="1" si="19"/>
        <v>-4.410000000000025E-2</v>
      </c>
      <c r="V1183" s="3">
        <f t="shared" ca="1" si="20"/>
        <v>0.12178899999999802</v>
      </c>
      <c r="W1183" s="3">
        <f t="shared" ca="1" si="21"/>
        <v>0.10761263691688128</v>
      </c>
    </row>
    <row r="1184" spans="1:23">
      <c r="A1184" s="131">
        <v>41110</v>
      </c>
      <c r="B1184" s="132">
        <v>102.81</v>
      </c>
      <c r="C1184" s="132">
        <v>100.45569999999999</v>
      </c>
      <c r="D1184" s="132">
        <v>101.1044</v>
      </c>
      <c r="E1184" s="132">
        <v>101.4986</v>
      </c>
      <c r="F1184" s="132">
        <v>103.60290000000001</v>
      </c>
      <c r="G1184" s="138">
        <v>102.2991</v>
      </c>
      <c r="H1184" s="132">
        <v>99.738</v>
      </c>
      <c r="I1184" s="135">
        <v>101.74769999999999</v>
      </c>
      <c r="K1184" s="137">
        <f t="shared" ca="1" si="12"/>
        <v>-9.9999999999909051E-3</v>
      </c>
      <c r="L1184" s="137">
        <f t="shared" ca="1" si="13"/>
        <v>-3.6000000000001364E-2</v>
      </c>
      <c r="M1184" s="137">
        <f t="shared" ca="1" si="14"/>
        <v>3.5000000000025011E-3</v>
      </c>
      <c r="N1184" s="137">
        <f t="shared" ca="1" si="15"/>
        <v>-6.0000000000570708E-4</v>
      </c>
      <c r="O1184" s="137">
        <f t="shared" ca="1" si="16"/>
        <v>1.3471000000000117</v>
      </c>
      <c r="P1184" s="137">
        <f t="shared" ca="1" si="17"/>
        <v>-3.7999999999982492E-3</v>
      </c>
      <c r="Q1184" s="137">
        <f t="shared" ca="1" si="18"/>
        <v>-1.9999999999996021E-2</v>
      </c>
      <c r="R1184" s="137">
        <f t="shared" ca="1" si="19"/>
        <v>1.63999999999902E-2</v>
      </c>
      <c r="V1184" s="3">
        <f t="shared" ca="1" si="20"/>
        <v>0.14612099999999831</v>
      </c>
      <c r="W1184" s="3">
        <f t="shared" ca="1" si="21"/>
        <v>0.14589199870663777</v>
      </c>
    </row>
    <row r="1185" spans="1:23">
      <c r="A1185" s="131">
        <v>41113</v>
      </c>
      <c r="B1185" s="132">
        <v>102.8</v>
      </c>
      <c r="C1185" s="132">
        <v>100.5035</v>
      </c>
      <c r="D1185" s="132">
        <v>101.20189999999999</v>
      </c>
      <c r="E1185" s="132">
        <v>101.50020000000001</v>
      </c>
      <c r="F1185" s="132">
        <v>102.2689</v>
      </c>
      <c r="G1185" s="138">
        <v>102.3032</v>
      </c>
      <c r="H1185" s="132">
        <v>99.768000000000001</v>
      </c>
      <c r="I1185" s="135">
        <v>101.7274</v>
      </c>
      <c r="K1185" s="137">
        <f t="shared" ca="1" si="12"/>
        <v>-1.0000000000005116E-2</v>
      </c>
      <c r="L1185" s="137">
        <f t="shared" ca="1" si="13"/>
        <v>4.7800000000009391E-2</v>
      </c>
      <c r="M1185" s="137">
        <f t="shared" ca="1" si="14"/>
        <v>9.7499999999996589E-2</v>
      </c>
      <c r="N1185" s="137">
        <f t="shared" ca="1" si="15"/>
        <v>1.6000000000104819E-3</v>
      </c>
      <c r="O1185" s="137">
        <f t="shared" ca="1" si="16"/>
        <v>-1.3340000000000032</v>
      </c>
      <c r="P1185" s="137">
        <f t="shared" ca="1" si="17"/>
        <v>4.1000000000082082E-3</v>
      </c>
      <c r="Q1185" s="137">
        <f t="shared" ca="1" si="18"/>
        <v>3.0000000000001137E-2</v>
      </c>
      <c r="R1185" s="137">
        <f t="shared" ca="1" si="19"/>
        <v>-2.0299999999991769E-2</v>
      </c>
      <c r="V1185" s="3">
        <f t="shared" ca="1" si="20"/>
        <v>0.13193600000000091</v>
      </c>
      <c r="W1185" s="3">
        <f t="shared" ca="1" si="21"/>
        <v>0.11145386185712101</v>
      </c>
    </row>
    <row r="1186" spans="1:23">
      <c r="A1186" s="131">
        <v>41114</v>
      </c>
      <c r="B1186" s="132">
        <v>102.83</v>
      </c>
      <c r="C1186" s="132">
        <v>100.4735</v>
      </c>
      <c r="D1186" s="132">
        <v>101.1005</v>
      </c>
      <c r="E1186" s="132">
        <v>101.4991</v>
      </c>
      <c r="F1186" s="132">
        <v>102.2713</v>
      </c>
      <c r="G1186" s="138">
        <v>102.30070000000001</v>
      </c>
      <c r="H1186" s="132">
        <v>99.84</v>
      </c>
      <c r="I1186" s="135">
        <v>101.765</v>
      </c>
      <c r="K1186" s="137">
        <f t="shared" ca="1" si="12"/>
        <v>3.0000000000001137E-2</v>
      </c>
      <c r="L1186" s="137">
        <f t="shared" ca="1" si="13"/>
        <v>-3.0000000000001137E-2</v>
      </c>
      <c r="M1186" s="137">
        <f t="shared" ca="1" si="14"/>
        <v>-0.10139999999999816</v>
      </c>
      <c r="N1186" s="137">
        <f t="shared" ca="1" si="15"/>
        <v>-1.1000000000080945E-3</v>
      </c>
      <c r="O1186" s="137">
        <f t="shared" ca="1" si="16"/>
        <v>2.3999999999944066E-3</v>
      </c>
      <c r="P1186" s="137">
        <f t="shared" ca="1" si="17"/>
        <v>-2.4999999999977263E-3</v>
      </c>
      <c r="Q1186" s="137">
        <f t="shared" ca="1" si="18"/>
        <v>7.2000000000002728E-2</v>
      </c>
      <c r="R1186" s="137">
        <f t="shared" ca="1" si="19"/>
        <v>3.7599999999997635E-2</v>
      </c>
      <c r="V1186" s="3">
        <f t="shared" ca="1" si="20"/>
        <v>0.12130400000000011</v>
      </c>
      <c r="W1186" s="3">
        <f t="shared" ca="1" si="21"/>
        <v>6.5622154740958283E-2</v>
      </c>
    </row>
    <row r="1187" spans="1:23">
      <c r="A1187" s="131">
        <v>41115</v>
      </c>
      <c r="B1187" s="132">
        <v>102.84</v>
      </c>
      <c r="C1187" s="132">
        <v>100.4957</v>
      </c>
      <c r="D1187" s="132">
        <v>101.0997</v>
      </c>
      <c r="E1187" s="132">
        <v>102.17570000000001</v>
      </c>
      <c r="F1187" s="132">
        <v>102.27290000000001</v>
      </c>
      <c r="G1187" s="138">
        <v>102.3001</v>
      </c>
      <c r="H1187" s="132">
        <v>99.83</v>
      </c>
      <c r="I1187" s="135">
        <v>101.73399999999999</v>
      </c>
      <c r="K1187" s="137">
        <f t="shared" ca="1" si="12"/>
        <v>1.0000000000005116E-2</v>
      </c>
      <c r="L1187" s="137">
        <f t="shared" ca="1" si="13"/>
        <v>2.2199999999997999E-2</v>
      </c>
      <c r="M1187" s="137">
        <f t="shared" ca="1" si="14"/>
        <v>-7.9999999999813554E-4</v>
      </c>
      <c r="N1187" s="137">
        <f t="shared" ca="1" si="15"/>
        <v>0.67660000000000764</v>
      </c>
      <c r="O1187" s="137">
        <f t="shared" ca="1" si="16"/>
        <v>1.6000000000104819E-3</v>
      </c>
      <c r="P1187" s="137">
        <f t="shared" ca="1" si="17"/>
        <v>-6.0000000000570708E-4</v>
      </c>
      <c r="Q1187" s="137">
        <f t="shared" ca="1" si="18"/>
        <v>-1.0000000000005116E-2</v>
      </c>
      <c r="R1187" s="137">
        <f t="shared" ca="1" si="19"/>
        <v>-3.1000000000005912E-2</v>
      </c>
      <c r="V1187" s="3">
        <f t="shared" ca="1" si="20"/>
        <v>0.22426600000000096</v>
      </c>
      <c r="W1187" s="3">
        <f t="shared" ca="1" si="21"/>
        <v>0.16946901965056113</v>
      </c>
    </row>
    <row r="1188" spans="1:23">
      <c r="A1188" s="131">
        <v>41116</v>
      </c>
      <c r="B1188" s="132">
        <v>102.81</v>
      </c>
      <c r="C1188" s="132">
        <v>100.4041</v>
      </c>
      <c r="D1188" s="132">
        <v>101.0997</v>
      </c>
      <c r="E1188" s="132">
        <v>101.4983</v>
      </c>
      <c r="F1188" s="132">
        <v>102.2745</v>
      </c>
      <c r="G1188" s="138">
        <v>102.2991</v>
      </c>
      <c r="H1188" s="132">
        <v>99.82</v>
      </c>
      <c r="I1188" s="135">
        <v>101.7244</v>
      </c>
      <c r="K1188" s="137">
        <f t="shared" ca="1" si="12"/>
        <v>-3.0000000000001137E-2</v>
      </c>
      <c r="L1188" s="137">
        <f t="shared" ca="1" si="13"/>
        <v>-9.1599999999999682E-2</v>
      </c>
      <c r="M1188" s="137">
        <f t="shared" ca="1" si="14"/>
        <v>0</v>
      </c>
      <c r="N1188" s="137">
        <f t="shared" ca="1" si="15"/>
        <v>-0.67740000000000578</v>
      </c>
      <c r="O1188" s="137">
        <f t="shared" ca="1" si="16"/>
        <v>1.5999999999962711E-3</v>
      </c>
      <c r="P1188" s="137">
        <f t="shared" ca="1" si="17"/>
        <v>-1.0000000000047748E-3</v>
      </c>
      <c r="Q1188" s="137">
        <f t="shared" ca="1" si="18"/>
        <v>-1.0000000000005116E-2</v>
      </c>
      <c r="R1188" s="137">
        <f t="shared" ca="1" si="19"/>
        <v>-9.5999999999918373E-3</v>
      </c>
      <c r="V1188" s="3">
        <f t="shared" ca="1" si="20"/>
        <v>0.11645799999999927</v>
      </c>
      <c r="W1188" s="3">
        <f t="shared" ca="1" si="21"/>
        <v>6.5869881041923622E-2</v>
      </c>
    </row>
    <row r="1189" spans="1:23">
      <c r="A1189" s="131">
        <v>41117</v>
      </c>
      <c r="B1189" s="132">
        <v>102.87</v>
      </c>
      <c r="C1189" s="132">
        <v>100.4045</v>
      </c>
      <c r="D1189" s="132">
        <v>101.0985</v>
      </c>
      <c r="E1189" s="132">
        <v>101.5</v>
      </c>
      <c r="F1189" s="132">
        <v>102.2726</v>
      </c>
      <c r="G1189" s="138">
        <v>102.0312</v>
      </c>
      <c r="H1189" s="132">
        <v>99.835999999999999</v>
      </c>
      <c r="I1189" s="135">
        <v>101.70010000000001</v>
      </c>
      <c r="K1189" s="137">
        <f t="shared" ca="1" si="12"/>
        <v>6.0000000000002274E-2</v>
      </c>
      <c r="L1189" s="137">
        <f t="shared" ca="1" si="13"/>
        <v>3.9999999999906777E-4</v>
      </c>
      <c r="M1189" s="137">
        <f t="shared" ca="1" si="14"/>
        <v>-1.1999999999972033E-3</v>
      </c>
      <c r="N1189" s="137">
        <f t="shared" ca="1" si="15"/>
        <v>1.6999999999995907E-3</v>
      </c>
      <c r="O1189" s="137">
        <f t="shared" ca="1" si="16"/>
        <v>-1.90000000000623E-3</v>
      </c>
      <c r="P1189" s="137">
        <f t="shared" ca="1" si="17"/>
        <v>-0.26789999999999736</v>
      </c>
      <c r="Q1189" s="137">
        <f t="shared" ca="1" si="18"/>
        <v>1.6000000000005343E-2</v>
      </c>
      <c r="R1189" s="137">
        <f t="shared" ca="1" si="19"/>
        <v>-2.4299999999996658E-2</v>
      </c>
      <c r="V1189" s="3">
        <f t="shared" ca="1" si="20"/>
        <v>7.9389999999999822E-2</v>
      </c>
      <c r="W1189" s="3">
        <f t="shared" ca="1" si="21"/>
        <v>1.5907436438801652E-2</v>
      </c>
    </row>
    <row r="1190" spans="1:23">
      <c r="A1190" s="131">
        <v>41120</v>
      </c>
      <c r="B1190" s="132">
        <v>102.77</v>
      </c>
      <c r="C1190" s="132">
        <v>99.901300000000006</v>
      </c>
      <c r="D1190" s="132">
        <v>100.99930000000001</v>
      </c>
      <c r="E1190" s="132">
        <v>102.1116</v>
      </c>
      <c r="F1190" s="132">
        <v>103.5064</v>
      </c>
      <c r="G1190" s="138">
        <v>102.2989</v>
      </c>
      <c r="H1190" s="132">
        <v>99.88</v>
      </c>
      <c r="I1190" s="135">
        <v>101.6564</v>
      </c>
      <c r="K1190" s="137">
        <f t="shared" ca="1" si="12"/>
        <v>-0.10000000000000853</v>
      </c>
      <c r="L1190" s="137">
        <f t="shared" ca="1" si="13"/>
        <v>-0.50319999999999254</v>
      </c>
      <c r="M1190" s="137">
        <f t="shared" ca="1" si="14"/>
        <v>-9.919999999999618E-2</v>
      </c>
      <c r="N1190" s="137">
        <f t="shared" ca="1" si="15"/>
        <v>0.6115999999999957</v>
      </c>
      <c r="O1190" s="137">
        <f t="shared" ca="1" si="16"/>
        <v>1.2338000000000022</v>
      </c>
      <c r="P1190" s="137">
        <f t="shared" ca="1" si="17"/>
        <v>0.26770000000000493</v>
      </c>
      <c r="Q1190" s="137">
        <f t="shared" ca="1" si="18"/>
        <v>4.399999999999693E-2</v>
      </c>
      <c r="R1190" s="137">
        <f t="shared" ca="1" si="19"/>
        <v>-4.3700000000001182E-2</v>
      </c>
      <c r="V1190" s="3">
        <f t="shared" ca="1" si="20"/>
        <v>0.1958810000000003</v>
      </c>
      <c r="W1190" s="3">
        <f t="shared" ca="1" si="21"/>
        <v>0.10053064923072369</v>
      </c>
    </row>
    <row r="1191" spans="1:23">
      <c r="A1191" s="131">
        <v>41121</v>
      </c>
      <c r="B1191" s="132">
        <v>102.75</v>
      </c>
      <c r="C1191" s="132">
        <v>99.914900000000003</v>
      </c>
      <c r="D1191" s="132">
        <v>100.9995</v>
      </c>
      <c r="E1191" s="132">
        <v>101.9913</v>
      </c>
      <c r="F1191" s="132">
        <v>103.30589999999999</v>
      </c>
      <c r="G1191" s="138">
        <v>102.29949999999999</v>
      </c>
      <c r="H1191" s="132">
        <v>99.83</v>
      </c>
      <c r="I1191" s="135">
        <v>101.5489</v>
      </c>
      <c r="K1191" s="137">
        <f t="shared" ca="1" si="12"/>
        <v>-1.9999999999996021E-2</v>
      </c>
      <c r="L1191" s="137">
        <f t="shared" ca="1" si="13"/>
        <v>1.3599999999996726E-2</v>
      </c>
      <c r="M1191" s="137">
        <f t="shared" ca="1" si="14"/>
        <v>1.9999999999242846E-4</v>
      </c>
      <c r="N1191" s="137">
        <f t="shared" ca="1" si="15"/>
        <v>-0.1203000000000003</v>
      </c>
      <c r="O1191" s="137">
        <f t="shared" ca="1" si="16"/>
        <v>-0.20050000000000523</v>
      </c>
      <c r="P1191" s="137">
        <f t="shared" ca="1" si="17"/>
        <v>5.9999999999149622E-4</v>
      </c>
      <c r="Q1191" s="137">
        <f t="shared" ca="1" si="18"/>
        <v>-4.9999999999997158E-2</v>
      </c>
      <c r="R1191" s="137">
        <f t="shared" ca="1" si="19"/>
        <v>-0.10750000000000171</v>
      </c>
      <c r="V1191" s="3">
        <f t="shared" ca="1" si="20"/>
        <v>0.17361599999999816</v>
      </c>
      <c r="W1191" s="3">
        <f t="shared" ca="1" si="21"/>
        <v>9.0068003352719667E-2</v>
      </c>
    </row>
    <row r="1192" spans="1:23">
      <c r="A1192" s="131">
        <v>41122</v>
      </c>
      <c r="B1192" s="132">
        <v>102.68</v>
      </c>
      <c r="C1192" s="132">
        <v>99.854799999999997</v>
      </c>
      <c r="D1192" s="132">
        <v>100.8995</v>
      </c>
      <c r="E1192" s="132">
        <v>101.93089999999999</v>
      </c>
      <c r="F1192" s="132">
        <v>102.2826</v>
      </c>
      <c r="G1192" s="138">
        <v>102.20050000000001</v>
      </c>
      <c r="H1192" s="132">
        <v>99.74</v>
      </c>
      <c r="I1192" s="135">
        <v>101.6332</v>
      </c>
      <c r="K1192" s="137">
        <f t="shared" ca="1" si="12"/>
        <v>-6.9999999999993179E-2</v>
      </c>
      <c r="L1192" s="137">
        <f t="shared" ca="1" si="13"/>
        <v>-6.0100000000005593E-2</v>
      </c>
      <c r="M1192" s="137">
        <f t="shared" ca="1" si="14"/>
        <v>-9.9999999999994316E-2</v>
      </c>
      <c r="N1192" s="137">
        <f t="shared" ca="1" si="15"/>
        <v>-6.0400000000001342E-2</v>
      </c>
      <c r="O1192" s="137">
        <f t="shared" ca="1" si="16"/>
        <v>-1.0232999999999919</v>
      </c>
      <c r="P1192" s="137">
        <f t="shared" ca="1" si="17"/>
        <v>-9.8999999999989541E-2</v>
      </c>
      <c r="Q1192" s="137">
        <f t="shared" ca="1" si="18"/>
        <v>-9.0000000000003411E-2</v>
      </c>
      <c r="R1192" s="137">
        <f t="shared" ca="1" si="19"/>
        <v>8.4299999999998931E-2</v>
      </c>
      <c r="V1192" s="3">
        <f t="shared" ca="1" si="20"/>
        <v>0.11273500000000032</v>
      </c>
      <c r="W1192" s="3">
        <f t="shared" ca="1" si="21"/>
        <v>9.358106425984361E-2</v>
      </c>
    </row>
    <row r="1193" spans="1:23">
      <c r="A1193" s="131">
        <v>41123</v>
      </c>
      <c r="B1193" s="132">
        <v>102.67</v>
      </c>
      <c r="C1193" s="132">
        <v>99.877700000000004</v>
      </c>
      <c r="D1193" s="132">
        <v>100.8993</v>
      </c>
      <c r="E1193" s="132">
        <v>101.9003</v>
      </c>
      <c r="F1193" s="132">
        <v>103.27500000000001</v>
      </c>
      <c r="G1193" s="138">
        <v>101.9978</v>
      </c>
      <c r="H1193" s="132">
        <v>99.688000000000002</v>
      </c>
      <c r="I1193" s="135">
        <v>101.6246</v>
      </c>
      <c r="K1193" s="137">
        <f t="shared" ca="1" si="12"/>
        <v>-1.0000000000005116E-2</v>
      </c>
      <c r="L1193" s="137">
        <f t="shared" ca="1" si="13"/>
        <v>2.2900000000007026E-2</v>
      </c>
      <c r="M1193" s="137">
        <f t="shared" ca="1" si="14"/>
        <v>-2.0000000000663931E-4</v>
      </c>
      <c r="N1193" s="137">
        <f t="shared" ca="1" si="15"/>
        <v>-3.0599999999992633E-2</v>
      </c>
      <c r="O1193" s="137">
        <f t="shared" ca="1" si="16"/>
        <v>0.9924000000000035</v>
      </c>
      <c r="P1193" s="137">
        <f t="shared" ca="1" si="17"/>
        <v>-0.20270000000000721</v>
      </c>
      <c r="Q1193" s="137">
        <f t="shared" ca="1" si="18"/>
        <v>-5.1999999999992497E-2</v>
      </c>
      <c r="R1193" s="137">
        <f t="shared" ca="1" si="19"/>
        <v>-8.6000000000012733E-3</v>
      </c>
      <c r="V1193" s="3">
        <f t="shared" ca="1" si="20"/>
        <v>9.8212999999999842E-2</v>
      </c>
      <c r="W1193" s="3">
        <f t="shared" ca="1" si="21"/>
        <v>0.10736325258959867</v>
      </c>
    </row>
    <row r="1194" spans="1:23">
      <c r="A1194" s="129">
        <v>41124</v>
      </c>
      <c r="B1194" s="130">
        <v>102.7</v>
      </c>
      <c r="C1194" s="132">
        <v>99.866799999999998</v>
      </c>
      <c r="D1194" s="132">
        <v>100.8976</v>
      </c>
      <c r="E1194" s="132">
        <v>101.8683</v>
      </c>
      <c r="F1194" s="132">
        <v>103.30419999999999</v>
      </c>
      <c r="G1194" s="138">
        <v>101.8302</v>
      </c>
      <c r="H1194" s="132">
        <v>99.73</v>
      </c>
      <c r="I1194" s="135">
        <v>101.5444</v>
      </c>
      <c r="K1194" s="137">
        <f t="shared" ca="1" si="12"/>
        <v>3.0000000000001137E-2</v>
      </c>
      <c r="L1194" s="137">
        <f t="shared" ca="1" si="13"/>
        <v>-1.0900000000006571E-2</v>
      </c>
      <c r="M1194" s="137">
        <f t="shared" ca="1" si="14"/>
        <v>-1.6999999999995907E-3</v>
      </c>
      <c r="N1194" s="137">
        <f t="shared" ca="1" si="15"/>
        <v>-3.1999999999996476E-2</v>
      </c>
      <c r="O1194" s="137">
        <f t="shared" ca="1" si="16"/>
        <v>2.919999999998879E-2</v>
      </c>
      <c r="P1194" s="137">
        <f t="shared" ca="1" si="17"/>
        <v>-0.16759999999999309</v>
      </c>
      <c r="Q1194" s="137">
        <f t="shared" ca="1" si="18"/>
        <v>4.2000000000001592E-2</v>
      </c>
      <c r="R1194" s="137">
        <f t="shared" ca="1" si="19"/>
        <v>-8.0200000000004934E-2</v>
      </c>
      <c r="V1194" s="3">
        <f t="shared" ca="1" si="20"/>
        <v>6.9642000000000953E-2</v>
      </c>
      <c r="W1194" s="3">
        <f t="shared" ca="1" si="21"/>
        <v>4.2395032129918103E-2</v>
      </c>
    </row>
    <row r="1195" spans="1:23">
      <c r="A1195" s="131">
        <v>41127</v>
      </c>
      <c r="B1195" s="132">
        <v>102.68</v>
      </c>
      <c r="C1195" s="132">
        <v>99.802300000000002</v>
      </c>
      <c r="D1195" s="132">
        <v>100.8991</v>
      </c>
      <c r="E1195" s="132">
        <v>101.77849999999999</v>
      </c>
      <c r="F1195" s="132">
        <v>103.267</v>
      </c>
      <c r="G1195" s="138">
        <v>101.9511</v>
      </c>
      <c r="H1195" s="132">
        <v>99.697999999999993</v>
      </c>
      <c r="I1195" s="135">
        <v>101.379</v>
      </c>
      <c r="K1195" s="137">
        <f t="shared" ca="1" si="12"/>
        <v>-1.9999999999996021E-2</v>
      </c>
      <c r="L1195" s="137">
        <f t="shared" ca="1" si="13"/>
        <v>-6.4499999999995339E-2</v>
      </c>
      <c r="M1195" s="137">
        <f t="shared" ca="1" si="14"/>
        <v>1.5000000000071623E-3</v>
      </c>
      <c r="N1195" s="137">
        <f t="shared" ca="1" si="15"/>
        <v>-8.9800000000010982E-2</v>
      </c>
      <c r="O1195" s="137">
        <f t="shared" ca="1" si="16"/>
        <v>-3.7199999999998568E-2</v>
      </c>
      <c r="P1195" s="137">
        <f t="shared" ca="1" si="17"/>
        <v>0.12089999999999179</v>
      </c>
      <c r="Q1195" s="137">
        <f t="shared" ca="1" si="18"/>
        <v>-3.2000000000010687E-2</v>
      </c>
      <c r="R1195" s="137">
        <f t="shared" ca="1" si="19"/>
        <v>-0.16539999999999111</v>
      </c>
      <c r="V1195" s="3">
        <f t="shared" ca="1" si="20"/>
        <v>6.9487999999999245E-2</v>
      </c>
      <c r="W1195" s="3">
        <f t="shared" ca="1" si="21"/>
        <v>3.4789956518563869E-2</v>
      </c>
    </row>
    <row r="1196" spans="1:23">
      <c r="A1196" s="131">
        <v>41128</v>
      </c>
      <c r="B1196" s="132">
        <v>102.48</v>
      </c>
      <c r="C1196" s="132">
        <v>99.761799999999994</v>
      </c>
      <c r="D1196" s="132">
        <v>100.7993</v>
      </c>
      <c r="E1196" s="132">
        <v>101.5406</v>
      </c>
      <c r="F1196" s="132">
        <v>103.12730000000001</v>
      </c>
      <c r="G1196" s="138">
        <v>101.85550000000001</v>
      </c>
      <c r="H1196" s="132">
        <v>99.658000000000001</v>
      </c>
      <c r="I1196" s="135">
        <v>101.2462</v>
      </c>
      <c r="K1196" s="137">
        <f t="shared" ca="1" si="12"/>
        <v>-0.20000000000000284</v>
      </c>
      <c r="L1196" s="137">
        <f t="shared" ca="1" si="13"/>
        <v>-4.050000000000864E-2</v>
      </c>
      <c r="M1196" s="137">
        <f t="shared" ca="1" si="14"/>
        <v>-9.9800000000001887E-2</v>
      </c>
      <c r="N1196" s="137">
        <f t="shared" ca="1" si="15"/>
        <v>-0.23789999999999623</v>
      </c>
      <c r="O1196" s="137">
        <f t="shared" ca="1" si="16"/>
        <v>-0.13969999999999061</v>
      </c>
      <c r="P1196" s="137">
        <f t="shared" ca="1" si="17"/>
        <v>-9.5599999999990359E-2</v>
      </c>
      <c r="Q1196" s="137">
        <f t="shared" ca="1" si="18"/>
        <v>-3.9999999999992042E-2</v>
      </c>
      <c r="R1196" s="137">
        <f t="shared" ca="1" si="19"/>
        <v>-0.13280000000000314</v>
      </c>
      <c r="V1196" s="3">
        <f t="shared" ca="1" si="20"/>
        <v>-5.3359999999993135E-3</v>
      </c>
      <c r="W1196" s="3">
        <f t="shared" ca="1" si="21"/>
        <v>-3.7861460900959723E-2</v>
      </c>
    </row>
    <row r="1197" spans="1:23">
      <c r="A1197" s="131">
        <v>41129</v>
      </c>
      <c r="B1197" s="132">
        <v>102.45</v>
      </c>
      <c r="C1197" s="132">
        <v>99.677000000000007</v>
      </c>
      <c r="D1197" s="132">
        <v>100.699</v>
      </c>
      <c r="E1197" s="132">
        <v>101.363</v>
      </c>
      <c r="F1197" s="132">
        <v>102.658</v>
      </c>
      <c r="G1197" s="138">
        <v>101.855</v>
      </c>
      <c r="H1197" s="132">
        <v>99.382000000000005</v>
      </c>
      <c r="I1197" s="135">
        <v>101.379</v>
      </c>
      <c r="K1197" s="137">
        <f t="shared" ca="1" si="12"/>
        <v>-3.0000000000001137E-2</v>
      </c>
      <c r="L1197" s="137">
        <f t="shared" ca="1" si="13"/>
        <v>-8.4799999999987108E-2</v>
      </c>
      <c r="M1197" s="137">
        <f t="shared" ca="1" si="14"/>
        <v>-0.10030000000000427</v>
      </c>
      <c r="N1197" s="137">
        <f t="shared" ca="1" si="15"/>
        <v>-0.1775999999999982</v>
      </c>
      <c r="O1197" s="137">
        <f t="shared" ca="1" si="16"/>
        <v>-0.46930000000000405</v>
      </c>
      <c r="P1197" s="137">
        <f t="shared" ca="1" si="17"/>
        <v>-5.0000000000238742E-4</v>
      </c>
      <c r="Q1197" s="137">
        <f t="shared" ca="1" si="18"/>
        <v>-0.27599999999999625</v>
      </c>
      <c r="R1197" s="137">
        <f t="shared" ca="1" si="19"/>
        <v>0.13280000000000314</v>
      </c>
      <c r="V1197" s="3">
        <f t="shared" ca="1" si="20"/>
        <v>-5.7206999999999321E-2</v>
      </c>
      <c r="W1197" s="3">
        <f t="shared" ca="1" si="21"/>
        <v>8.821495651855861E-2</v>
      </c>
    </row>
    <row r="1198" spans="1:23">
      <c r="A1198" s="131">
        <v>41130</v>
      </c>
      <c r="B1198" s="132">
        <v>102.33</v>
      </c>
      <c r="C1198" s="132">
        <v>99.600999999999999</v>
      </c>
      <c r="D1198" s="132">
        <v>100.399</v>
      </c>
      <c r="E1198" s="132">
        <v>101.51</v>
      </c>
      <c r="F1198" s="132">
        <v>102.81699999999999</v>
      </c>
      <c r="G1198" s="138">
        <v>101.86199999999999</v>
      </c>
      <c r="H1198" s="132">
        <v>99.4</v>
      </c>
      <c r="I1198" s="135">
        <v>101.262</v>
      </c>
      <c r="K1198" s="137">
        <f t="shared" ca="1" si="12"/>
        <v>-0.12000000000000455</v>
      </c>
      <c r="L1198" s="137">
        <f t="shared" ca="1" si="13"/>
        <v>-7.6000000000007617E-2</v>
      </c>
      <c r="M1198" s="137">
        <f t="shared" ca="1" si="14"/>
        <v>-0.29999999999999716</v>
      </c>
      <c r="N1198" s="137">
        <f t="shared" ca="1" si="15"/>
        <v>0.14700000000000557</v>
      </c>
      <c r="O1198" s="137">
        <f t="shared" ca="1" si="16"/>
        <v>0.15899999999999181</v>
      </c>
      <c r="P1198" s="137">
        <f t="shared" ca="1" si="17"/>
        <v>6.9999999999907914E-3</v>
      </c>
      <c r="Q1198" s="137">
        <f t="shared" ca="1" si="18"/>
        <v>1.8000000000000682E-2</v>
      </c>
      <c r="R1198" s="137">
        <f t="shared" ca="1" si="19"/>
        <v>-0.11700000000000443</v>
      </c>
      <c r="V1198" s="3">
        <f t="shared" ca="1" si="20"/>
        <v>-7.0727000000000359E-2</v>
      </c>
      <c r="W1198" s="3">
        <f t="shared" ca="1" si="21"/>
        <v>4.6261704725756504E-2</v>
      </c>
    </row>
    <row r="1199" spans="1:23">
      <c r="A1199" s="131">
        <v>41131</v>
      </c>
      <c r="B1199" s="132">
        <v>102.34</v>
      </c>
      <c r="C1199" s="132">
        <v>99.708399999999997</v>
      </c>
      <c r="D1199" s="132">
        <v>100.52679999999999</v>
      </c>
      <c r="E1199" s="132">
        <v>101.6854</v>
      </c>
      <c r="F1199" s="132">
        <v>103.0932</v>
      </c>
      <c r="G1199" s="138">
        <v>101.99299999999999</v>
      </c>
      <c r="H1199" s="132">
        <v>99.29</v>
      </c>
      <c r="I1199" s="135">
        <v>101.3058</v>
      </c>
      <c r="K1199" s="137">
        <f t="shared" ca="1" si="12"/>
        <v>1.0000000000005116E-2</v>
      </c>
      <c r="L1199" s="137">
        <f t="shared" ca="1" si="13"/>
        <v>0.10739999999999839</v>
      </c>
      <c r="M1199" s="137">
        <f t="shared" ca="1" si="14"/>
        <v>0.12779999999999347</v>
      </c>
      <c r="N1199" s="137">
        <f t="shared" ca="1" si="15"/>
        <v>0.17539999999999623</v>
      </c>
      <c r="O1199" s="137">
        <f t="shared" ca="1" si="16"/>
        <v>0.27620000000000289</v>
      </c>
      <c r="P1199" s="137">
        <f t="shared" ca="1" si="17"/>
        <v>0.13100000000000023</v>
      </c>
      <c r="Q1199" s="137">
        <f t="shared" ca="1" si="18"/>
        <v>-0.10999999999999943</v>
      </c>
      <c r="R1199" s="137">
        <f t="shared" ca="1" si="19"/>
        <v>4.3800000000004502E-2</v>
      </c>
      <c r="V1199" s="3">
        <f t="shared" ca="1" si="20"/>
        <v>-5.930000000013147E-4</v>
      </c>
      <c r="W1199" s="3">
        <f t="shared" ca="1" si="21"/>
        <v>0.18589902462767591</v>
      </c>
    </row>
    <row r="1200" spans="1:23">
      <c r="A1200" s="131">
        <v>41134</v>
      </c>
      <c r="B1200" s="132">
        <v>102.37</v>
      </c>
      <c r="C1200" s="132">
        <v>99.767899999999997</v>
      </c>
      <c r="D1200" s="132">
        <v>100.55</v>
      </c>
      <c r="E1200" s="132">
        <v>101.4478</v>
      </c>
      <c r="F1200" s="132">
        <v>102.28570000000001</v>
      </c>
      <c r="G1200" s="138">
        <v>101.9603</v>
      </c>
      <c r="H1200" s="132">
        <v>99.236000000000004</v>
      </c>
      <c r="I1200" s="135">
        <v>101.1913</v>
      </c>
      <c r="K1200" s="137">
        <f t="shared" ca="1" si="12"/>
        <v>3.0000000000001137E-2</v>
      </c>
      <c r="L1200" s="137">
        <f t="shared" ca="1" si="13"/>
        <v>5.9499999999999886E-2</v>
      </c>
      <c r="M1200" s="137">
        <f t="shared" ca="1" si="14"/>
        <v>2.3200000000002774E-2</v>
      </c>
      <c r="N1200" s="137">
        <f t="shared" ca="1" si="15"/>
        <v>-0.23760000000000048</v>
      </c>
      <c r="O1200" s="137">
        <f t="shared" ca="1" si="16"/>
        <v>-0.80749999999999034</v>
      </c>
      <c r="P1200" s="137">
        <f t="shared" ca="1" si="17"/>
        <v>-3.2699999999991292E-2</v>
      </c>
      <c r="Q1200" s="137">
        <f t="shared" ca="1" si="18"/>
        <v>-5.4000000000002046E-2</v>
      </c>
      <c r="R1200" s="137">
        <f t="shared" ca="1" si="19"/>
        <v>-0.11450000000000671</v>
      </c>
      <c r="V1200" s="3">
        <f t="shared" ca="1" si="20"/>
        <v>-5.0492999999999559E-2</v>
      </c>
      <c r="W1200" s="3">
        <f t="shared" ca="1" si="21"/>
        <v>0.14899409018087778</v>
      </c>
    </row>
    <row r="1201" spans="1:24">
      <c r="A1201" s="131">
        <v>41135</v>
      </c>
      <c r="B1201" s="132">
        <v>102.33</v>
      </c>
      <c r="C1201" s="132">
        <v>99.601600000000005</v>
      </c>
      <c r="D1201" s="132">
        <v>100.4019</v>
      </c>
      <c r="E1201" s="132">
        <v>101.35939999999999</v>
      </c>
      <c r="F1201" s="132">
        <v>102.75320000000001</v>
      </c>
      <c r="G1201" s="138">
        <v>101.9511</v>
      </c>
      <c r="H1201" s="132">
        <v>99.18</v>
      </c>
      <c r="I1201" s="135">
        <v>101.0519</v>
      </c>
      <c r="K1201" s="137">
        <f t="shared" ca="1" si="12"/>
        <v>-4.0000000000006253E-2</v>
      </c>
      <c r="L1201" s="137">
        <f t="shared" ca="1" si="13"/>
        <v>-0.16629999999999256</v>
      </c>
      <c r="M1201" s="137">
        <f t="shared" ca="1" si="14"/>
        <v>-0.14809999999999945</v>
      </c>
      <c r="N1201" s="137">
        <f t="shared" ca="1" si="15"/>
        <v>-8.840000000000714E-2</v>
      </c>
      <c r="O1201" s="137">
        <f t="shared" ca="1" si="16"/>
        <v>0.46750000000000114</v>
      </c>
      <c r="P1201" s="137">
        <f t="shared" ca="1" si="17"/>
        <v>-9.2000000000069804E-3</v>
      </c>
      <c r="Q1201" s="137">
        <f t="shared" ca="1" si="18"/>
        <v>-5.5999999999997385E-2</v>
      </c>
      <c r="R1201" s="137">
        <f t="shared" ca="1" si="19"/>
        <v>-0.13939999999999486</v>
      </c>
      <c r="V1201" s="3">
        <f t="shared" ca="1" si="20"/>
        <v>-8.0908000000001534E-2</v>
      </c>
      <c r="W1201" s="3">
        <f t="shared" ca="1" si="21"/>
        <v>0.1288465149679151</v>
      </c>
    </row>
    <row r="1202" spans="1:24">
      <c r="A1202" s="131">
        <v>41136</v>
      </c>
      <c r="B1202" s="132">
        <v>102.21</v>
      </c>
      <c r="C1202" s="132">
        <v>99.582999999999998</v>
      </c>
      <c r="D1202" s="132">
        <v>100.402</v>
      </c>
      <c r="E1202" s="132">
        <v>101.315</v>
      </c>
      <c r="F1202" s="132">
        <v>102.48699999999999</v>
      </c>
      <c r="G1202" s="138">
        <v>101.855</v>
      </c>
      <c r="H1202" s="132">
        <v>99.126000000000005</v>
      </c>
      <c r="I1202" s="135">
        <v>100.8</v>
      </c>
      <c r="K1202" s="137">
        <f t="shared" ca="1" si="12"/>
        <v>-0.12000000000000455</v>
      </c>
      <c r="L1202" s="137">
        <f t="shared" ca="1" si="13"/>
        <v>-1.8600000000006389E-2</v>
      </c>
      <c r="M1202" s="137">
        <f t="shared" ca="1" si="14"/>
        <v>1.0000000000331966E-4</v>
      </c>
      <c r="N1202" s="137">
        <f t="shared" ca="1" si="15"/>
        <v>-4.4399999999995998E-2</v>
      </c>
      <c r="O1202" s="137">
        <f t="shared" ca="1" si="16"/>
        <v>-0.26620000000001198</v>
      </c>
      <c r="P1202" s="137">
        <f t="shared" ca="1" si="17"/>
        <v>-9.6099999999992747E-2</v>
      </c>
      <c r="Q1202" s="137">
        <f t="shared" ca="1" si="18"/>
        <v>-5.4000000000002046E-2</v>
      </c>
      <c r="R1202" s="137">
        <f t="shared" ca="1" si="19"/>
        <v>-0.25190000000000623</v>
      </c>
      <c r="V1202" s="3">
        <f t="shared" ca="1" si="20"/>
        <v>-0.1142270000000003</v>
      </c>
      <c r="W1202" s="3">
        <f t="shared" ca="1" si="21"/>
        <v>8.7180659184956544E-2</v>
      </c>
    </row>
    <row r="1203" spans="1:24">
      <c r="A1203" s="131">
        <v>41137</v>
      </c>
      <c r="B1203" s="132">
        <v>101.83</v>
      </c>
      <c r="C1203" s="132">
        <v>99.462000000000003</v>
      </c>
      <c r="D1203" s="132">
        <v>100.333</v>
      </c>
      <c r="E1203" s="132">
        <v>101.499</v>
      </c>
      <c r="F1203" s="132">
        <v>102.583</v>
      </c>
      <c r="G1203" s="138">
        <v>101.854</v>
      </c>
      <c r="H1203" s="132">
        <v>99.05</v>
      </c>
      <c r="I1203" s="135">
        <v>100.8</v>
      </c>
      <c r="K1203" s="137">
        <f t="shared" ca="1" si="12"/>
        <v>-0.37999999999999545</v>
      </c>
      <c r="L1203" s="137">
        <f t="shared" ca="1" si="13"/>
        <v>-0.12099999999999511</v>
      </c>
      <c r="M1203" s="137">
        <f t="shared" ca="1" si="14"/>
        <v>-6.9000000000002615E-2</v>
      </c>
      <c r="N1203" s="137">
        <f t="shared" ca="1" si="15"/>
        <v>0.1839999999999975</v>
      </c>
      <c r="O1203" s="137">
        <f t="shared" ca="1" si="16"/>
        <v>9.6000000000003638E-2</v>
      </c>
      <c r="P1203" s="137">
        <f t="shared" ca="1" si="17"/>
        <v>-1.0000000000047748E-3</v>
      </c>
      <c r="Q1203" s="137">
        <f t="shared" ca="1" si="18"/>
        <v>-7.6000000000007617E-2</v>
      </c>
      <c r="R1203" s="137">
        <f t="shared" ca="1" si="19"/>
        <v>0</v>
      </c>
      <c r="V1203" s="3">
        <f t="shared" ca="1" si="20"/>
        <v>-0.1168070000000011</v>
      </c>
      <c r="W1203" s="3">
        <f t="shared" ca="1" si="21"/>
        <v>0.12792065918496007</v>
      </c>
    </row>
    <row r="1204" spans="1:24">
      <c r="A1204" s="131">
        <v>41138</v>
      </c>
      <c r="B1204" s="132">
        <v>101.95</v>
      </c>
      <c r="C1204" s="132">
        <v>99.418999999999997</v>
      </c>
      <c r="D1204" s="132">
        <v>100.06</v>
      </c>
      <c r="E1204" s="132">
        <v>101.21</v>
      </c>
      <c r="F1204" s="132">
        <v>102.55500000000001</v>
      </c>
      <c r="G1204" s="138">
        <v>101.8064</v>
      </c>
      <c r="H1204" s="132">
        <v>98.95</v>
      </c>
      <c r="I1204" s="135">
        <v>100.756</v>
      </c>
    </row>
    <row r="1205" spans="1:24">
      <c r="A1205" s="128"/>
      <c r="B1205" s="132"/>
      <c r="C1205" s="132"/>
      <c r="D1205" s="132"/>
      <c r="E1205" s="132"/>
      <c r="F1205" s="132"/>
      <c r="G1205" s="138"/>
      <c r="H1205" s="135"/>
      <c r="V1205" s="3">
        <f ca="1">_xlfn.STDEV.P(V1174:V1203)</f>
        <v>0.13165563016616089</v>
      </c>
      <c r="W1205" s="3">
        <f ca="1">_xlfn.STDEV.P(W1174:W1203)</f>
        <v>9.0965788527747407E-2</v>
      </c>
      <c r="X1205" s="3">
        <v>7.6193119687949493E-2</v>
      </c>
    </row>
    <row r="1206" spans="1:24">
      <c r="A1206" s="128"/>
      <c r="B1206" s="132"/>
      <c r="C1206" s="132"/>
      <c r="D1206" s="132"/>
      <c r="E1206" s="132"/>
      <c r="F1206" s="132"/>
      <c r="G1206" s="138"/>
      <c r="H1206" s="135"/>
      <c r="V1206" s="3">
        <f ca="1">SUMSQ(V1174:V1203)</f>
        <v>0.92920822088999988</v>
      </c>
      <c r="W1206" s="3">
        <f ca="1">SUMSQ(W1174:W1203)</f>
        <v>0.8178468784268752</v>
      </c>
      <c r="X1206" s="3">
        <v>0.60466640089000234</v>
      </c>
    </row>
    <row r="1207" spans="1:24">
      <c r="A1207" s="128"/>
      <c r="B1207" s="132"/>
      <c r="C1207" s="132"/>
      <c r="D1207" s="132"/>
      <c r="E1207" s="132"/>
      <c r="F1207" s="132"/>
      <c r="G1207" s="132"/>
      <c r="H1207" s="135"/>
    </row>
    <row r="1208" spans="1:24">
      <c r="A1208" s="128"/>
      <c r="B1208" s="132"/>
      <c r="C1208" s="132"/>
      <c r="D1208" s="132"/>
      <c r="E1208" s="132"/>
      <c r="F1208" s="132"/>
      <c r="G1208" s="132"/>
      <c r="H1208" s="135"/>
    </row>
    <row r="1209" spans="1:24">
      <c r="A1209" s="128"/>
      <c r="B1209" s="132"/>
      <c r="C1209" s="132"/>
      <c r="D1209" s="132"/>
      <c r="E1209" s="132"/>
      <c r="F1209" s="132"/>
      <c r="G1209" s="132"/>
      <c r="H1209" s="135"/>
    </row>
    <row r="1210" spans="1:24" ht="26.25" customHeight="1">
      <c r="A1210" s="128"/>
      <c r="B1210" s="132"/>
      <c r="C1210" s="132"/>
      <c r="D1210" s="132"/>
      <c r="E1210" s="132"/>
      <c r="F1210" s="132"/>
      <c r="G1210" s="132"/>
      <c r="H1210" s="135"/>
      <c r="M1210" s="155"/>
      <c r="N1210" s="156" t="s">
        <v>2232</v>
      </c>
      <c r="O1210" s="156" t="s">
        <v>2235</v>
      </c>
      <c r="P1210" s="156" t="s">
        <v>2236</v>
      </c>
    </row>
    <row r="1211" spans="1:24" ht="21.75" customHeight="1">
      <c r="A1211" s="131">
        <v>41061</v>
      </c>
      <c r="B1211" s="132"/>
      <c r="C1211" s="132"/>
      <c r="D1211" s="132"/>
      <c r="E1211" s="132"/>
      <c r="F1211" s="132"/>
      <c r="G1211" s="132"/>
      <c r="H1211" s="135"/>
      <c r="M1211" s="157" t="s">
        <v>2233</v>
      </c>
      <c r="N1211" s="158">
        <f ca="1">V1205</f>
        <v>0.13165563016616089</v>
      </c>
      <c r="O1211" s="158">
        <f ca="1">X1205</f>
        <v>7.6193119687949493E-2</v>
      </c>
      <c r="P1211" s="158">
        <f ca="1">W1205</f>
        <v>9.0965788527747407E-2</v>
      </c>
    </row>
    <row r="1212" spans="1:24" ht="24.75" customHeight="1" thickBot="1">
      <c r="A1212" s="131">
        <v>41064</v>
      </c>
      <c r="B1212" s="132"/>
      <c r="C1212" s="132"/>
      <c r="D1212" s="132"/>
      <c r="E1212" s="132"/>
      <c r="F1212" s="178">
        <f ca="1">F1150</f>
        <v>103.0013</v>
      </c>
      <c r="G1212" s="179" t="str">
        <f ca="1">B2374</f>
        <v>-</v>
      </c>
      <c r="H1212" s="178">
        <f ca="1">H1150</f>
        <v>98.94</v>
      </c>
      <c r="M1212" s="159" t="s">
        <v>2234</v>
      </c>
      <c r="N1212" s="160">
        <f ca="1">V1206</f>
        <v>0.92920822088999988</v>
      </c>
      <c r="O1212" s="161">
        <f ca="1">X1206</f>
        <v>0.60466640089000234</v>
      </c>
      <c r="P1212" s="160">
        <f ca="1">W1206</f>
        <v>0.8178468784268752</v>
      </c>
    </row>
    <row r="1213" spans="1:24">
      <c r="A1213" s="131">
        <v>41065</v>
      </c>
      <c r="B1213" s="132"/>
      <c r="C1213" s="132"/>
      <c r="D1213" s="132"/>
      <c r="E1213" s="132"/>
      <c r="F1213" s="178">
        <f t="shared" ref="F1213:F1265" ca="1" si="22">F1151</f>
        <v>102.97320000000001</v>
      </c>
      <c r="G1213" s="179" t="str">
        <f t="shared" ref="G1213:G1265" ca="1" si="23">B2375</f>
        <v>-</v>
      </c>
      <c r="H1213" s="178">
        <f t="shared" ref="H1213:H1265" ca="1" si="24">H1151</f>
        <v>98.96</v>
      </c>
    </row>
    <row r="1214" spans="1:24">
      <c r="A1214" s="131">
        <v>41066</v>
      </c>
      <c r="B1214" s="132"/>
      <c r="C1214" s="132"/>
      <c r="D1214" s="132"/>
      <c r="E1214" s="132"/>
      <c r="F1214" s="178">
        <f t="shared" ca="1" si="22"/>
        <v>101.4791</v>
      </c>
      <c r="G1214" s="179" t="str">
        <f t="shared" ca="1" si="23"/>
        <v>-</v>
      </c>
      <c r="H1214" s="178">
        <f t="shared" ca="1" si="24"/>
        <v>98.89</v>
      </c>
    </row>
    <row r="1215" spans="1:24">
      <c r="A1215" s="131">
        <v>41067</v>
      </c>
      <c r="B1215" s="132"/>
      <c r="C1215" s="132"/>
      <c r="D1215" s="132"/>
      <c r="E1215" s="132"/>
      <c r="F1215" s="178">
        <f t="shared" ca="1" si="22"/>
        <v>102.79559999999999</v>
      </c>
      <c r="G1215" s="179" t="str">
        <f t="shared" ca="1" si="23"/>
        <v>-</v>
      </c>
      <c r="H1215" s="178">
        <f t="shared" ca="1" si="24"/>
        <v>98.89</v>
      </c>
    </row>
    <row r="1216" spans="1:24">
      <c r="A1216" s="131">
        <v>41068</v>
      </c>
      <c r="B1216" s="132"/>
      <c r="C1216" s="132"/>
      <c r="D1216" s="132"/>
      <c r="E1216" s="132"/>
      <c r="F1216" s="178">
        <f t="shared" ca="1" si="22"/>
        <v>102.82340000000001</v>
      </c>
      <c r="G1216" s="179" t="str">
        <f t="shared" ca="1" si="23"/>
        <v>-</v>
      </c>
      <c r="H1216" s="178">
        <f t="shared" ca="1" si="24"/>
        <v>98.84</v>
      </c>
    </row>
    <row r="1217" spans="1:8">
      <c r="A1217" s="131">
        <v>41071</v>
      </c>
      <c r="B1217" s="132"/>
      <c r="C1217" s="132"/>
      <c r="D1217" s="132"/>
      <c r="E1217" s="132"/>
      <c r="F1217" s="178">
        <f t="shared" ca="1" si="22"/>
        <v>103.1091</v>
      </c>
      <c r="G1217" s="179" t="str">
        <f t="shared" ca="1" si="23"/>
        <v>-</v>
      </c>
      <c r="H1217" s="178">
        <f t="shared" ca="1" si="24"/>
        <v>99.1</v>
      </c>
    </row>
    <row r="1218" spans="1:8">
      <c r="A1218" s="131">
        <v>41072</v>
      </c>
      <c r="B1218" s="132"/>
      <c r="C1218" s="132"/>
      <c r="D1218" s="132"/>
      <c r="E1218" s="132"/>
      <c r="F1218" s="178">
        <f t="shared" ca="1" si="22"/>
        <v>102.8192</v>
      </c>
      <c r="G1218" s="179" t="str">
        <f t="shared" ca="1" si="23"/>
        <v>-</v>
      </c>
      <c r="H1218" s="178">
        <f t="shared" ca="1" si="24"/>
        <v>98.95</v>
      </c>
    </row>
    <row r="1219" spans="1:8">
      <c r="A1219" s="131">
        <v>41073</v>
      </c>
      <c r="B1219" s="132"/>
      <c r="C1219" s="132"/>
      <c r="D1219" s="132"/>
      <c r="E1219" s="132"/>
      <c r="F1219" s="178">
        <f t="shared" ca="1" si="22"/>
        <v>102.8181</v>
      </c>
      <c r="G1219" s="179" t="str">
        <f t="shared" ca="1" si="23"/>
        <v>-</v>
      </c>
      <c r="H1219" s="178">
        <f t="shared" ca="1" si="24"/>
        <v>98.95</v>
      </c>
    </row>
    <row r="1220" spans="1:8">
      <c r="A1220" s="131">
        <v>41074</v>
      </c>
      <c r="B1220" s="132"/>
      <c r="C1220" s="132"/>
      <c r="D1220" s="132"/>
      <c r="E1220" s="132"/>
      <c r="F1220" s="178">
        <f t="shared" ca="1" si="22"/>
        <v>102.70189999999999</v>
      </c>
      <c r="G1220" s="179">
        <f t="shared" ca="1" si="23"/>
        <v>99.8035</v>
      </c>
      <c r="H1220" s="178">
        <f t="shared" ca="1" si="24"/>
        <v>98.88</v>
      </c>
    </row>
    <row r="1221" spans="1:8">
      <c r="A1221" s="131">
        <v>41075</v>
      </c>
      <c r="B1221" s="132"/>
      <c r="C1221" s="132"/>
      <c r="D1221" s="132"/>
      <c r="E1221" s="132"/>
      <c r="F1221" s="178">
        <f t="shared" ca="1" si="22"/>
        <v>101.482</v>
      </c>
      <c r="G1221" s="179">
        <f t="shared" ca="1" si="23"/>
        <v>97.866900000000001</v>
      </c>
      <c r="H1221" s="178">
        <f t="shared" ca="1" si="24"/>
        <v>98.87</v>
      </c>
    </row>
    <row r="1222" spans="1:8">
      <c r="A1222" s="131">
        <v>41078</v>
      </c>
      <c r="B1222" s="132"/>
      <c r="C1222" s="132"/>
      <c r="D1222" s="132"/>
      <c r="E1222" s="132"/>
      <c r="F1222" s="178">
        <f t="shared" ca="1" si="22"/>
        <v>101.4795</v>
      </c>
      <c r="G1222" s="179" t="str">
        <f t="shared" ca="1" si="23"/>
        <v>-</v>
      </c>
      <c r="H1222" s="178">
        <f t="shared" ca="1" si="24"/>
        <v>98.87</v>
      </c>
    </row>
    <row r="1223" spans="1:8">
      <c r="A1223" s="131">
        <v>41079</v>
      </c>
      <c r="B1223" s="132"/>
      <c r="C1223" s="132"/>
      <c r="D1223" s="132"/>
      <c r="E1223" s="132"/>
      <c r="F1223" s="178">
        <f t="shared" ca="1" si="22"/>
        <v>101.4806</v>
      </c>
      <c r="G1223" s="179" t="str">
        <f t="shared" ca="1" si="23"/>
        <v>-</v>
      </c>
      <c r="H1223" s="178">
        <f t="shared" ca="1" si="24"/>
        <v>98.864000000000004</v>
      </c>
    </row>
    <row r="1224" spans="1:8">
      <c r="A1224" s="131">
        <v>41080</v>
      </c>
      <c r="B1224" s="132"/>
      <c r="C1224" s="132"/>
      <c r="D1224" s="132"/>
      <c r="E1224" s="132"/>
      <c r="F1224" s="178">
        <f t="shared" ca="1" si="22"/>
        <v>102.5812</v>
      </c>
      <c r="G1224" s="179">
        <f t="shared" ca="1" si="23"/>
        <v>99.349800000000002</v>
      </c>
      <c r="H1224" s="178">
        <f t="shared" ca="1" si="24"/>
        <v>98.85</v>
      </c>
    </row>
    <row r="1225" spans="1:8">
      <c r="A1225" s="131">
        <v>41081</v>
      </c>
      <c r="B1225" s="132"/>
      <c r="C1225" s="132"/>
      <c r="D1225" s="132"/>
      <c r="E1225" s="132"/>
      <c r="F1225" s="178">
        <f t="shared" ca="1" si="22"/>
        <v>101.4854</v>
      </c>
      <c r="G1225" s="179">
        <f t="shared" ca="1" si="23"/>
        <v>99.500799999999998</v>
      </c>
      <c r="H1225" s="178">
        <f t="shared" ca="1" si="24"/>
        <v>98.78</v>
      </c>
    </row>
    <row r="1226" spans="1:8">
      <c r="A1226" s="131">
        <v>41085</v>
      </c>
      <c r="B1226" s="132"/>
      <c r="C1226" s="132"/>
      <c r="D1226" s="132"/>
      <c r="E1226" s="132"/>
      <c r="F1226" s="178">
        <f t="shared" ca="1" si="22"/>
        <v>102.6909</v>
      </c>
      <c r="G1226" s="179">
        <f t="shared" ca="1" si="23"/>
        <v>99.509600000000006</v>
      </c>
      <c r="H1226" s="178">
        <f t="shared" ca="1" si="24"/>
        <v>98.92</v>
      </c>
    </row>
    <row r="1227" spans="1:8">
      <c r="A1227" s="131">
        <v>41086</v>
      </c>
      <c r="B1227" s="132"/>
      <c r="C1227" s="132"/>
      <c r="D1227" s="132"/>
      <c r="E1227" s="132"/>
      <c r="F1227" s="178">
        <f t="shared" ca="1" si="22"/>
        <v>102.74720000000001</v>
      </c>
      <c r="G1227" s="179">
        <f t="shared" ca="1" si="23"/>
        <v>99.632300000000001</v>
      </c>
      <c r="H1227" s="178">
        <f t="shared" ca="1" si="24"/>
        <v>98.926000000000002</v>
      </c>
    </row>
    <row r="1228" spans="1:8">
      <c r="A1228" s="131">
        <v>41087</v>
      </c>
      <c r="B1228" s="132"/>
      <c r="C1228" s="132"/>
      <c r="D1228" s="132"/>
      <c r="E1228" s="132"/>
      <c r="F1228" s="178">
        <f t="shared" ca="1" si="22"/>
        <v>102.8321</v>
      </c>
      <c r="G1228" s="179">
        <f t="shared" ca="1" si="23"/>
        <v>99.711299999999994</v>
      </c>
      <c r="H1228" s="178">
        <f t="shared" ca="1" si="24"/>
        <v>98.97</v>
      </c>
    </row>
    <row r="1229" spans="1:8">
      <c r="A1229" s="131">
        <v>41088</v>
      </c>
      <c r="B1229" s="132"/>
      <c r="C1229" s="132"/>
      <c r="D1229" s="132"/>
      <c r="E1229" s="132"/>
      <c r="F1229" s="178">
        <f t="shared" ca="1" si="22"/>
        <v>103.03189999999999</v>
      </c>
      <c r="G1229" s="179">
        <f t="shared" ca="1" si="23"/>
        <v>99.885400000000004</v>
      </c>
      <c r="H1229" s="178">
        <f t="shared" ca="1" si="24"/>
        <v>99.013999999999996</v>
      </c>
    </row>
    <row r="1230" spans="1:8">
      <c r="A1230" s="131">
        <v>41089</v>
      </c>
      <c r="B1230" s="132"/>
      <c r="C1230" s="132"/>
      <c r="D1230" s="132"/>
      <c r="E1230" s="132"/>
      <c r="F1230" s="178">
        <f t="shared" ca="1" si="22"/>
        <v>102.2234</v>
      </c>
      <c r="G1230" s="179">
        <f t="shared" ca="1" si="23"/>
        <v>100.1152</v>
      </c>
      <c r="H1230" s="178">
        <f t="shared" ca="1" si="24"/>
        <v>99.07</v>
      </c>
    </row>
    <row r="1231" spans="1:8">
      <c r="A1231" s="131">
        <v>41092</v>
      </c>
      <c r="B1231" s="132"/>
      <c r="C1231" s="132"/>
      <c r="D1231" s="132"/>
      <c r="E1231" s="132"/>
      <c r="F1231" s="178">
        <f t="shared" ca="1" si="22"/>
        <v>103.0273</v>
      </c>
      <c r="G1231" s="179">
        <f t="shared" ca="1" si="23"/>
        <v>100.1103</v>
      </c>
      <c r="H1231" s="178">
        <f t="shared" ca="1" si="24"/>
        <v>99.164000000000001</v>
      </c>
    </row>
    <row r="1232" spans="1:8">
      <c r="A1232" s="131">
        <v>41093</v>
      </c>
      <c r="B1232" s="132"/>
      <c r="C1232" s="132"/>
      <c r="D1232" s="132"/>
      <c r="E1232" s="132"/>
      <c r="F1232" s="178">
        <f t="shared" ca="1" si="22"/>
        <v>102.2475</v>
      </c>
      <c r="G1232" s="179">
        <f t="shared" ca="1" si="23"/>
        <v>100.2231</v>
      </c>
      <c r="H1232" s="178">
        <f t="shared" ca="1" si="24"/>
        <v>99.19</v>
      </c>
    </row>
    <row r="1233" spans="1:8">
      <c r="A1233" s="131">
        <v>41094</v>
      </c>
      <c r="B1233" s="132"/>
      <c r="C1233" s="132"/>
      <c r="D1233" s="132"/>
      <c r="E1233" s="132"/>
      <c r="F1233" s="178">
        <f t="shared" ca="1" si="22"/>
        <v>103.1397</v>
      </c>
      <c r="G1233" s="179">
        <f t="shared" ca="1" si="23"/>
        <v>100.154</v>
      </c>
      <c r="H1233" s="178">
        <f t="shared" ca="1" si="24"/>
        <v>99.298000000000002</v>
      </c>
    </row>
    <row r="1234" spans="1:8">
      <c r="A1234" s="129">
        <v>41095</v>
      </c>
      <c r="B1234" s="132"/>
      <c r="C1234" s="132"/>
      <c r="D1234" s="132"/>
      <c r="E1234" s="132"/>
      <c r="F1234" s="178">
        <f t="shared" ca="1" si="22"/>
        <v>102.25369999999999</v>
      </c>
      <c r="G1234" s="179">
        <f t="shared" ca="1" si="23"/>
        <v>100.1781</v>
      </c>
      <c r="H1234" s="178">
        <f t="shared" ca="1" si="24"/>
        <v>99.457999999999998</v>
      </c>
    </row>
    <row r="1235" spans="1:8">
      <c r="A1235" s="131">
        <v>41096</v>
      </c>
      <c r="B1235" s="132"/>
      <c r="C1235" s="132"/>
      <c r="D1235" s="132"/>
      <c r="E1235" s="132"/>
      <c r="F1235" s="178">
        <f t="shared" ca="1" si="22"/>
        <v>102.2551</v>
      </c>
      <c r="G1235" s="179">
        <f t="shared" ca="1" si="23"/>
        <v>100.22880000000001</v>
      </c>
      <c r="H1235" s="178">
        <f t="shared" ca="1" si="24"/>
        <v>99.658000000000001</v>
      </c>
    </row>
    <row r="1236" spans="1:8">
      <c r="A1236" s="131">
        <v>41099</v>
      </c>
      <c r="B1236" s="132"/>
      <c r="C1236" s="132"/>
      <c r="D1236" s="132"/>
      <c r="E1236" s="132"/>
      <c r="F1236" s="178">
        <f t="shared" ca="1" si="22"/>
        <v>103.36320000000001</v>
      </c>
      <c r="G1236" s="179">
        <f t="shared" ca="1" si="23"/>
        <v>100.26220000000001</v>
      </c>
      <c r="H1236" s="178">
        <f t="shared" ca="1" si="24"/>
        <v>99.658000000000001</v>
      </c>
    </row>
    <row r="1237" spans="1:8">
      <c r="A1237" s="131">
        <v>41100</v>
      </c>
      <c r="B1237" s="132"/>
      <c r="C1237" s="132"/>
      <c r="D1237" s="132"/>
      <c r="E1237" s="132"/>
      <c r="F1237" s="178">
        <f t="shared" ca="1" si="22"/>
        <v>103.5919</v>
      </c>
      <c r="G1237" s="179">
        <f t="shared" ca="1" si="23"/>
        <v>100.4559</v>
      </c>
      <c r="H1237" s="178">
        <f t="shared" ca="1" si="24"/>
        <v>99.61</v>
      </c>
    </row>
    <row r="1238" spans="1:8">
      <c r="A1238" s="131">
        <v>41101</v>
      </c>
      <c r="B1238" s="132"/>
      <c r="C1238" s="132"/>
      <c r="D1238" s="132"/>
      <c r="E1238" s="132"/>
      <c r="F1238" s="178">
        <f t="shared" ca="1" si="22"/>
        <v>103.6193</v>
      </c>
      <c r="G1238" s="179">
        <f t="shared" ca="1" si="23"/>
        <v>100.6481</v>
      </c>
      <c r="H1238" s="178">
        <f t="shared" ca="1" si="24"/>
        <v>99.7</v>
      </c>
    </row>
    <row r="1239" spans="1:8">
      <c r="A1239" s="131">
        <v>41102</v>
      </c>
      <c r="B1239" s="132"/>
      <c r="C1239" s="132"/>
      <c r="D1239" s="132"/>
      <c r="E1239" s="132"/>
      <c r="F1239" s="178">
        <f t="shared" ca="1" si="22"/>
        <v>103.7619</v>
      </c>
      <c r="G1239" s="179">
        <f t="shared" ca="1" si="23"/>
        <v>100.73635</v>
      </c>
      <c r="H1239" s="178">
        <f t="shared" ca="1" si="24"/>
        <v>99.85</v>
      </c>
    </row>
    <row r="1240" spans="1:8">
      <c r="A1240" s="131">
        <v>41103</v>
      </c>
      <c r="B1240" s="132"/>
      <c r="C1240" s="132"/>
      <c r="D1240" s="132"/>
      <c r="E1240" s="132"/>
      <c r="F1240" s="178">
        <f t="shared" ca="1" si="22"/>
        <v>102.2542</v>
      </c>
      <c r="G1240" s="179">
        <f t="shared" ca="1" si="23"/>
        <v>100.8246</v>
      </c>
      <c r="H1240" s="178">
        <f t="shared" ca="1" si="24"/>
        <v>99.97</v>
      </c>
    </row>
    <row r="1241" spans="1:8">
      <c r="A1241" s="131">
        <v>41106</v>
      </c>
      <c r="B1241" s="132"/>
      <c r="C1241" s="132"/>
      <c r="D1241" s="132"/>
      <c r="E1241" s="132"/>
      <c r="F1241" s="178">
        <f t="shared" ca="1" si="22"/>
        <v>103.6412</v>
      </c>
      <c r="G1241" s="179">
        <f t="shared" ca="1" si="23"/>
        <v>100.8408</v>
      </c>
      <c r="H1241" s="178">
        <f t="shared" ca="1" si="24"/>
        <v>99.89</v>
      </c>
    </row>
    <row r="1242" spans="1:8">
      <c r="A1242" s="131">
        <v>41107</v>
      </c>
      <c r="B1242" s="132"/>
      <c r="C1242" s="132"/>
      <c r="D1242" s="132"/>
      <c r="E1242" s="132"/>
      <c r="F1242" s="178">
        <f t="shared" ca="1" si="22"/>
        <v>102.2518</v>
      </c>
      <c r="G1242" s="179">
        <f t="shared" ca="1" si="23"/>
        <v>100.6981</v>
      </c>
      <c r="H1242" s="178">
        <f t="shared" ca="1" si="24"/>
        <v>99.835999999999999</v>
      </c>
    </row>
    <row r="1243" spans="1:8">
      <c r="A1243" s="131">
        <v>41108</v>
      </c>
      <c r="B1243" s="132"/>
      <c r="C1243" s="132"/>
      <c r="D1243" s="132"/>
      <c r="E1243" s="132"/>
      <c r="F1243" s="178">
        <f t="shared" ca="1" si="22"/>
        <v>103.46639999999999</v>
      </c>
      <c r="G1243" s="179">
        <f t="shared" ca="1" si="23"/>
        <v>100.1919</v>
      </c>
      <c r="H1243" s="178">
        <f t="shared" ca="1" si="24"/>
        <v>99.798000000000002</v>
      </c>
    </row>
    <row r="1244" spans="1:8">
      <c r="A1244" s="131">
        <v>41109</v>
      </c>
      <c r="B1244" s="132"/>
      <c r="C1244" s="132"/>
      <c r="D1244" s="132"/>
      <c r="E1244" s="132"/>
      <c r="F1244" s="178">
        <f t="shared" ca="1" si="22"/>
        <v>102.2534</v>
      </c>
      <c r="G1244" s="179">
        <f t="shared" ca="1" si="23"/>
        <v>100.48779999999999</v>
      </c>
      <c r="H1244" s="178">
        <f t="shared" ca="1" si="24"/>
        <v>99.77</v>
      </c>
    </row>
    <row r="1245" spans="1:8">
      <c r="A1245" s="131">
        <v>41110</v>
      </c>
      <c r="B1245" s="132"/>
      <c r="C1245" s="132"/>
      <c r="D1245" s="132"/>
      <c r="E1245" s="132"/>
      <c r="F1245" s="178">
        <f t="shared" ca="1" si="22"/>
        <v>102.25579999999999</v>
      </c>
      <c r="G1245" s="179">
        <f t="shared" ca="1" si="23"/>
        <v>99.466300000000004</v>
      </c>
      <c r="H1245" s="178">
        <f t="shared" ca="1" si="24"/>
        <v>99.757999999999996</v>
      </c>
    </row>
    <row r="1246" spans="1:8">
      <c r="A1246" s="131">
        <v>41113</v>
      </c>
      <c r="B1246" s="132"/>
      <c r="C1246" s="132"/>
      <c r="D1246" s="132"/>
      <c r="E1246" s="132"/>
      <c r="F1246" s="178">
        <f t="shared" ca="1" si="22"/>
        <v>103.60290000000001</v>
      </c>
      <c r="G1246" s="179">
        <f t="shared" ca="1" si="23"/>
        <v>100.2225</v>
      </c>
      <c r="H1246" s="178">
        <f t="shared" ca="1" si="24"/>
        <v>99.738</v>
      </c>
    </row>
    <row r="1247" spans="1:8">
      <c r="A1247" s="131">
        <v>41114</v>
      </c>
      <c r="B1247" s="132"/>
      <c r="C1247" s="132"/>
      <c r="D1247" s="132"/>
      <c r="E1247" s="132"/>
      <c r="F1247" s="178">
        <f t="shared" ca="1" si="22"/>
        <v>102.2689</v>
      </c>
      <c r="G1247" s="179">
        <f t="shared" ca="1" si="23"/>
        <v>100.24939999999999</v>
      </c>
      <c r="H1247" s="178">
        <f t="shared" ca="1" si="24"/>
        <v>99.768000000000001</v>
      </c>
    </row>
    <row r="1248" spans="1:8">
      <c r="A1248" s="131">
        <v>41115</v>
      </c>
      <c r="B1248" s="132"/>
      <c r="C1248" s="132"/>
      <c r="D1248" s="132"/>
      <c r="E1248" s="132"/>
      <c r="F1248" s="178">
        <f t="shared" ca="1" si="22"/>
        <v>102.2713</v>
      </c>
      <c r="G1248" s="179">
        <f t="shared" ca="1" si="23"/>
        <v>100.57380000000001</v>
      </c>
      <c r="H1248" s="178">
        <f t="shared" ca="1" si="24"/>
        <v>99.84</v>
      </c>
    </row>
    <row r="1249" spans="1:8">
      <c r="A1249" s="131">
        <v>41116</v>
      </c>
      <c r="B1249" s="132"/>
      <c r="C1249" s="132"/>
      <c r="D1249" s="132"/>
      <c r="E1249" s="132"/>
      <c r="F1249" s="178">
        <f t="shared" ca="1" si="22"/>
        <v>102.27290000000001</v>
      </c>
      <c r="G1249" s="179">
        <f t="shared" ca="1" si="23"/>
        <v>100.2163</v>
      </c>
      <c r="H1249" s="178">
        <f t="shared" ca="1" si="24"/>
        <v>99.83</v>
      </c>
    </row>
    <row r="1250" spans="1:8">
      <c r="A1250" s="131">
        <v>41117</v>
      </c>
      <c r="B1250" s="132"/>
      <c r="C1250" s="132"/>
      <c r="D1250" s="132"/>
      <c r="E1250" s="132"/>
      <c r="F1250" s="178">
        <f t="shared" ca="1" si="22"/>
        <v>102.2745</v>
      </c>
      <c r="G1250" s="179">
        <f t="shared" ca="1" si="23"/>
        <v>100.2166</v>
      </c>
      <c r="H1250" s="178">
        <f t="shared" ca="1" si="24"/>
        <v>99.82</v>
      </c>
    </row>
    <row r="1251" spans="1:8">
      <c r="A1251" s="131">
        <v>41120</v>
      </c>
      <c r="B1251" s="132"/>
      <c r="C1251" s="132"/>
      <c r="D1251" s="132"/>
      <c r="E1251" s="132"/>
      <c r="F1251" s="178">
        <f t="shared" ca="1" si="22"/>
        <v>102.2726</v>
      </c>
      <c r="G1251" s="179">
        <f t="shared" ca="1" si="23"/>
        <v>100.20659999999999</v>
      </c>
      <c r="H1251" s="178">
        <f t="shared" ca="1" si="24"/>
        <v>99.835999999999999</v>
      </c>
    </row>
    <row r="1252" spans="1:8">
      <c r="A1252" s="131">
        <v>41121</v>
      </c>
      <c r="B1252" s="132"/>
      <c r="C1252" s="132"/>
      <c r="D1252" s="132"/>
      <c r="E1252" s="132"/>
      <c r="F1252" s="178">
        <f t="shared" ca="1" si="22"/>
        <v>103.5064</v>
      </c>
      <c r="G1252" s="179">
        <f t="shared" ca="1" si="23"/>
        <v>100.2161</v>
      </c>
      <c r="H1252" s="178">
        <f t="shared" ca="1" si="24"/>
        <v>99.88</v>
      </c>
    </row>
    <row r="1253" spans="1:8">
      <c r="A1253" s="131">
        <v>41122</v>
      </c>
      <c r="B1253" s="132"/>
      <c r="C1253" s="132"/>
      <c r="D1253" s="132"/>
      <c r="E1253" s="132"/>
      <c r="F1253" s="178">
        <f t="shared" ca="1" si="22"/>
        <v>103.30589999999999</v>
      </c>
      <c r="G1253" s="179">
        <f t="shared" ca="1" si="23"/>
        <v>100.20529999999999</v>
      </c>
      <c r="H1253" s="178">
        <f t="shared" ca="1" si="24"/>
        <v>99.83</v>
      </c>
    </row>
    <row r="1254" spans="1:8">
      <c r="A1254" s="131">
        <v>41123</v>
      </c>
      <c r="B1254" s="132"/>
      <c r="C1254" s="132"/>
      <c r="D1254" s="132"/>
      <c r="E1254" s="132"/>
      <c r="F1254" s="178">
        <f t="shared" ca="1" si="22"/>
        <v>102.2826</v>
      </c>
      <c r="G1254" s="179">
        <f t="shared" ca="1" si="23"/>
        <v>100.161</v>
      </c>
      <c r="H1254" s="178">
        <f t="shared" ca="1" si="24"/>
        <v>99.74</v>
      </c>
    </row>
    <row r="1255" spans="1:8">
      <c r="A1255" s="129">
        <v>41124</v>
      </c>
      <c r="B1255" s="132"/>
      <c r="C1255" s="132"/>
      <c r="D1255" s="132"/>
      <c r="E1255" s="132"/>
      <c r="F1255" s="178">
        <f t="shared" ca="1" si="22"/>
        <v>103.27500000000001</v>
      </c>
      <c r="G1255" s="179">
        <f t="shared" ca="1" si="23"/>
        <v>100.15560000000001</v>
      </c>
      <c r="H1255" s="178">
        <f t="shared" ca="1" si="24"/>
        <v>99.688000000000002</v>
      </c>
    </row>
    <row r="1256" spans="1:8">
      <c r="A1256" s="131">
        <v>41127</v>
      </c>
      <c r="B1256" s="132"/>
      <c r="C1256" s="132"/>
      <c r="D1256" s="132"/>
      <c r="E1256" s="132"/>
      <c r="F1256" s="178">
        <f t="shared" ca="1" si="22"/>
        <v>103.30419999999999</v>
      </c>
      <c r="G1256" s="179">
        <f t="shared" ca="1" si="23"/>
        <v>100.1604</v>
      </c>
      <c r="H1256" s="178">
        <f t="shared" ca="1" si="24"/>
        <v>99.73</v>
      </c>
    </row>
    <row r="1257" spans="1:8">
      <c r="A1257" s="131">
        <v>41128</v>
      </c>
      <c r="B1257" s="132"/>
      <c r="C1257" s="132"/>
      <c r="D1257" s="132"/>
      <c r="E1257" s="132"/>
      <c r="F1257" s="178">
        <f t="shared" ca="1" si="22"/>
        <v>103.267</v>
      </c>
      <c r="G1257" s="179">
        <f t="shared" ca="1" si="23"/>
        <v>100.1621</v>
      </c>
      <c r="H1257" s="178">
        <f t="shared" ca="1" si="24"/>
        <v>99.697999999999993</v>
      </c>
    </row>
    <row r="1258" spans="1:8">
      <c r="A1258" s="131">
        <v>41129</v>
      </c>
      <c r="B1258" s="132"/>
      <c r="C1258" s="132"/>
      <c r="D1258" s="132"/>
      <c r="E1258" s="132"/>
      <c r="F1258" s="178">
        <f t="shared" ca="1" si="22"/>
        <v>103.12730000000001</v>
      </c>
      <c r="G1258" s="179">
        <f t="shared" ca="1" si="23"/>
        <v>100.13209999999999</v>
      </c>
      <c r="H1258" s="178">
        <f t="shared" ca="1" si="24"/>
        <v>99.658000000000001</v>
      </c>
    </row>
    <row r="1259" spans="1:8">
      <c r="A1259" s="131">
        <v>41130</v>
      </c>
      <c r="B1259" s="132"/>
      <c r="C1259" s="132"/>
      <c r="D1259" s="132"/>
      <c r="E1259" s="132"/>
      <c r="F1259" s="178">
        <f t="shared" ca="1" si="22"/>
        <v>102.658</v>
      </c>
      <c r="G1259" s="179">
        <f t="shared" ca="1" si="23"/>
        <v>100.09455</v>
      </c>
      <c r="H1259" s="178">
        <f t="shared" ca="1" si="24"/>
        <v>99.382000000000005</v>
      </c>
    </row>
    <row r="1260" spans="1:8">
      <c r="A1260" s="131">
        <v>41131</v>
      </c>
      <c r="B1260" s="132"/>
      <c r="C1260" s="132"/>
      <c r="D1260" s="132"/>
      <c r="E1260" s="132"/>
      <c r="F1260" s="178">
        <f t="shared" ca="1" si="22"/>
        <v>102.81699999999999</v>
      </c>
      <c r="G1260" s="179">
        <f t="shared" ca="1" si="23"/>
        <v>100.057</v>
      </c>
      <c r="H1260" s="178">
        <f t="shared" ca="1" si="24"/>
        <v>99.4</v>
      </c>
    </row>
    <row r="1261" spans="1:8">
      <c r="A1261" s="131">
        <v>41134</v>
      </c>
      <c r="B1261" s="132"/>
      <c r="C1261" s="132"/>
      <c r="D1261" s="132"/>
      <c r="E1261" s="132"/>
      <c r="F1261" s="178">
        <f t="shared" ca="1" si="22"/>
        <v>103.0932</v>
      </c>
      <c r="G1261" s="179">
        <f t="shared" ca="1" si="23"/>
        <v>100.0677</v>
      </c>
      <c r="H1261" s="178">
        <f t="shared" ca="1" si="24"/>
        <v>99.29</v>
      </c>
    </row>
    <row r="1262" spans="1:8">
      <c r="A1262" s="131">
        <v>41135</v>
      </c>
      <c r="B1262" s="132"/>
      <c r="C1262" s="132"/>
      <c r="D1262" s="132"/>
      <c r="E1262" s="132"/>
      <c r="F1262" s="178">
        <f t="shared" ca="1" si="22"/>
        <v>102.28570000000001</v>
      </c>
      <c r="G1262" s="179">
        <f t="shared" ca="1" si="23"/>
        <v>100.0775</v>
      </c>
      <c r="H1262" s="178">
        <f t="shared" ca="1" si="24"/>
        <v>99.236000000000004</v>
      </c>
    </row>
    <row r="1263" spans="1:8">
      <c r="A1263" s="131">
        <v>41136</v>
      </c>
      <c r="B1263" s="132"/>
      <c r="C1263" s="132"/>
      <c r="D1263" s="132"/>
      <c r="E1263" s="132"/>
      <c r="F1263" s="178">
        <f t="shared" ca="1" si="22"/>
        <v>102.75320000000001</v>
      </c>
      <c r="G1263" s="179">
        <f t="shared" ca="1" si="23"/>
        <v>100.0355</v>
      </c>
      <c r="H1263" s="178">
        <f t="shared" ca="1" si="24"/>
        <v>99.18</v>
      </c>
    </row>
    <row r="1264" spans="1:8">
      <c r="A1264" s="131">
        <v>41137</v>
      </c>
      <c r="B1264" s="132"/>
      <c r="C1264" s="132"/>
      <c r="D1264" s="132"/>
      <c r="E1264" s="132"/>
      <c r="F1264" s="178">
        <f t="shared" ca="1" si="22"/>
        <v>102.48699999999999</v>
      </c>
      <c r="G1264" s="179">
        <f t="shared" ca="1" si="23"/>
        <v>99.822000000000003</v>
      </c>
      <c r="H1264" s="178">
        <f t="shared" ca="1" si="24"/>
        <v>99.126000000000005</v>
      </c>
    </row>
    <row r="1265" spans="1:8">
      <c r="A1265" s="131">
        <v>41138</v>
      </c>
      <c r="B1265" s="132"/>
      <c r="C1265" s="132"/>
      <c r="D1265" s="132"/>
      <c r="E1265" s="132"/>
      <c r="F1265" s="178">
        <f t="shared" ca="1" si="22"/>
        <v>102.583</v>
      </c>
      <c r="G1265" s="179">
        <f t="shared" ca="1" si="23"/>
        <v>99.966999999999999</v>
      </c>
      <c r="H1265" s="178">
        <f t="shared" ca="1" si="24"/>
        <v>99.05</v>
      </c>
    </row>
    <row r="1266" spans="1:8">
      <c r="B1266" s="132"/>
      <c r="C1266" s="132"/>
      <c r="D1266" s="132"/>
      <c r="E1266" s="132"/>
      <c r="F1266" s="132"/>
      <c r="G1266" s="132"/>
      <c r="H1266" s="135"/>
    </row>
    <row r="1267" spans="1:8">
      <c r="B1267" s="132"/>
      <c r="C1267" s="132"/>
      <c r="D1267" s="132"/>
      <c r="E1267" s="132"/>
      <c r="F1267" s="132"/>
      <c r="G1267" s="132"/>
      <c r="H1267" s="135"/>
    </row>
    <row r="1268" spans="1:8">
      <c r="B1268" s="132"/>
      <c r="C1268" s="132"/>
      <c r="D1268" s="132"/>
      <c r="E1268" s="132"/>
      <c r="F1268" s="132"/>
      <c r="G1268" s="132"/>
      <c r="H1268" s="135"/>
    </row>
    <row r="1269" spans="1:8">
      <c r="B1269" s="132"/>
      <c r="C1269" s="132"/>
      <c r="D1269" s="132"/>
      <c r="E1269" s="132"/>
      <c r="F1269" s="132"/>
      <c r="G1269" s="132"/>
      <c r="H1269" s="135"/>
    </row>
    <row r="1270" spans="1:8">
      <c r="B1270" s="174" t="s">
        <v>2239</v>
      </c>
      <c r="C1270" s="132"/>
      <c r="D1270" s="132"/>
      <c r="E1270" s="132"/>
      <c r="F1270" s="132"/>
      <c r="G1270" s="132"/>
      <c r="H1270" s="135"/>
    </row>
    <row r="1271" spans="1:8">
      <c r="A1271" s="176">
        <v>39449</v>
      </c>
      <c r="B1271" s="111" t="s">
        <v>2240</v>
      </c>
      <c r="C1271" s="132"/>
      <c r="D1271" s="132"/>
      <c r="E1271" s="132"/>
      <c r="F1271" s="132"/>
      <c r="G1271" s="132"/>
      <c r="H1271" s="135"/>
    </row>
    <row r="1272" spans="1:8">
      <c r="A1272" s="176">
        <v>39450</v>
      </c>
      <c r="B1272" s="111" t="s">
        <v>2240</v>
      </c>
      <c r="C1272" s="132"/>
      <c r="D1272" s="132"/>
      <c r="E1272" s="132"/>
      <c r="F1272" s="132"/>
      <c r="G1272" s="132"/>
      <c r="H1272" s="135"/>
    </row>
    <row r="1273" spans="1:8">
      <c r="A1273" s="176">
        <v>39451</v>
      </c>
      <c r="B1273" s="111" t="s">
        <v>2240</v>
      </c>
      <c r="C1273" s="132"/>
      <c r="D1273" s="132"/>
      <c r="E1273" s="132"/>
      <c r="F1273" s="132"/>
      <c r="G1273" s="132"/>
      <c r="H1273" s="135"/>
    </row>
    <row r="1274" spans="1:8">
      <c r="A1274" s="176">
        <v>39454</v>
      </c>
      <c r="B1274" s="111" t="s">
        <v>2240</v>
      </c>
      <c r="C1274" s="132"/>
      <c r="D1274" s="132"/>
      <c r="E1274" s="132"/>
      <c r="F1274" s="132"/>
      <c r="G1274" s="132"/>
      <c r="H1274" s="135"/>
    </row>
    <row r="1275" spans="1:8">
      <c r="A1275" s="176">
        <v>39455</v>
      </c>
      <c r="B1275" s="111" t="s">
        <v>2240</v>
      </c>
      <c r="C1275" s="132"/>
      <c r="D1275" s="132"/>
      <c r="E1275" s="132"/>
      <c r="F1275" s="132"/>
      <c r="G1275" s="132"/>
      <c r="H1275" s="135"/>
    </row>
    <row r="1276" spans="1:8">
      <c r="A1276" s="176">
        <v>39456</v>
      </c>
      <c r="B1276" s="111" t="s">
        <v>2240</v>
      </c>
      <c r="C1276" s="132"/>
      <c r="D1276" s="132"/>
      <c r="E1276" s="132"/>
      <c r="F1276" s="132"/>
      <c r="G1276" s="132"/>
      <c r="H1276" s="135"/>
    </row>
    <row r="1277" spans="1:8">
      <c r="A1277" s="176">
        <v>39457</v>
      </c>
      <c r="B1277" s="111" t="s">
        <v>2240</v>
      </c>
      <c r="C1277" s="132"/>
      <c r="D1277" s="132"/>
      <c r="E1277" s="132"/>
      <c r="F1277" s="132"/>
      <c r="G1277" s="132"/>
      <c r="H1277" s="135"/>
    </row>
    <row r="1278" spans="1:8">
      <c r="A1278" s="176">
        <v>39458</v>
      </c>
      <c r="B1278" s="111" t="s">
        <v>2240</v>
      </c>
      <c r="C1278" s="132"/>
      <c r="D1278" s="132"/>
      <c r="E1278" s="132"/>
      <c r="F1278" s="132"/>
      <c r="G1278" s="132"/>
      <c r="H1278" s="135"/>
    </row>
    <row r="1279" spans="1:8">
      <c r="A1279" s="176">
        <v>39461</v>
      </c>
      <c r="B1279" s="111" t="s">
        <v>2240</v>
      </c>
      <c r="C1279" s="132"/>
      <c r="D1279" s="132"/>
      <c r="E1279" s="132"/>
      <c r="F1279" s="132"/>
      <c r="G1279" s="132"/>
      <c r="H1279" s="135"/>
    </row>
    <row r="1280" spans="1:8">
      <c r="A1280" s="176">
        <v>39462</v>
      </c>
      <c r="B1280" s="111" t="s">
        <v>2240</v>
      </c>
      <c r="C1280" s="132"/>
      <c r="D1280" s="132"/>
      <c r="E1280" s="132"/>
      <c r="F1280" s="132"/>
      <c r="G1280" s="132"/>
      <c r="H1280" s="135"/>
    </row>
    <row r="1281" spans="1:2">
      <c r="A1281" s="176">
        <v>39463</v>
      </c>
      <c r="B1281" s="111" t="s">
        <v>2240</v>
      </c>
    </row>
    <row r="1282" spans="1:2">
      <c r="A1282" s="176">
        <v>39464</v>
      </c>
      <c r="B1282" s="111" t="s">
        <v>2240</v>
      </c>
    </row>
    <row r="1283" spans="1:2">
      <c r="A1283" s="176">
        <v>39465</v>
      </c>
      <c r="B1283" s="111" t="s">
        <v>2240</v>
      </c>
    </row>
    <row r="1284" spans="1:2">
      <c r="A1284" s="176">
        <v>39468</v>
      </c>
      <c r="B1284" s="111" t="s">
        <v>2240</v>
      </c>
    </row>
    <row r="1285" spans="1:2">
      <c r="A1285" s="176">
        <v>39469</v>
      </c>
      <c r="B1285" s="111" t="s">
        <v>2240</v>
      </c>
    </row>
    <row r="1286" spans="1:2">
      <c r="A1286" s="176">
        <v>39470</v>
      </c>
      <c r="B1286" s="111" t="s">
        <v>2240</v>
      </c>
    </row>
    <row r="1287" spans="1:2">
      <c r="A1287" s="176">
        <v>39471</v>
      </c>
      <c r="B1287" s="111" t="s">
        <v>2240</v>
      </c>
    </row>
    <row r="1288" spans="1:2">
      <c r="A1288" s="176">
        <v>39472</v>
      </c>
      <c r="B1288" s="111" t="s">
        <v>2240</v>
      </c>
    </row>
    <row r="1289" spans="1:2">
      <c r="A1289" s="176">
        <v>39475</v>
      </c>
      <c r="B1289" s="111" t="s">
        <v>2240</v>
      </c>
    </row>
    <row r="1290" spans="1:2">
      <c r="A1290" s="176">
        <v>39476</v>
      </c>
      <c r="B1290" s="111" t="s">
        <v>2240</v>
      </c>
    </row>
    <row r="1291" spans="1:2">
      <c r="A1291" s="176">
        <v>39477</v>
      </c>
      <c r="B1291" s="111" t="s">
        <v>2240</v>
      </c>
    </row>
    <row r="1292" spans="1:2">
      <c r="A1292" s="176">
        <v>39478</v>
      </c>
      <c r="B1292" s="111" t="s">
        <v>2240</v>
      </c>
    </row>
    <row r="1293" spans="1:2">
      <c r="A1293" s="176">
        <v>39479</v>
      </c>
      <c r="B1293" s="111" t="s">
        <v>2240</v>
      </c>
    </row>
    <row r="1294" spans="1:2">
      <c r="A1294" s="176">
        <v>39480</v>
      </c>
      <c r="B1294" s="111" t="s">
        <v>2240</v>
      </c>
    </row>
    <row r="1295" spans="1:2">
      <c r="A1295" s="176">
        <v>39481</v>
      </c>
      <c r="B1295" s="111" t="s">
        <v>2240</v>
      </c>
    </row>
    <row r="1296" spans="1:2">
      <c r="A1296" s="176">
        <v>39482</v>
      </c>
      <c r="B1296" s="111" t="s">
        <v>2240</v>
      </c>
    </row>
    <row r="1297" spans="1:2">
      <c r="A1297" s="176">
        <v>39483</v>
      </c>
      <c r="B1297" s="111" t="s">
        <v>2240</v>
      </c>
    </row>
    <row r="1298" spans="1:2">
      <c r="A1298" s="176">
        <v>39491</v>
      </c>
      <c r="B1298" s="111" t="s">
        <v>2240</v>
      </c>
    </row>
    <row r="1299" spans="1:2">
      <c r="A1299" s="176">
        <v>39492</v>
      </c>
      <c r="B1299" s="111" t="s">
        <v>2240</v>
      </c>
    </row>
    <row r="1300" spans="1:2">
      <c r="A1300" s="176">
        <v>39493</v>
      </c>
      <c r="B1300" s="111" t="s">
        <v>2240</v>
      </c>
    </row>
    <row r="1301" spans="1:2">
      <c r="A1301" s="176">
        <v>39496</v>
      </c>
      <c r="B1301" s="111" t="s">
        <v>2240</v>
      </c>
    </row>
    <row r="1302" spans="1:2">
      <c r="A1302" s="176">
        <v>39497</v>
      </c>
      <c r="B1302" s="111" t="s">
        <v>2240</v>
      </c>
    </row>
    <row r="1303" spans="1:2">
      <c r="A1303" s="176">
        <v>39498</v>
      </c>
      <c r="B1303" s="111" t="s">
        <v>2240</v>
      </c>
    </row>
    <row r="1304" spans="1:2">
      <c r="A1304" s="176">
        <v>39499</v>
      </c>
      <c r="B1304" s="111" t="s">
        <v>2240</v>
      </c>
    </row>
    <row r="1305" spans="1:2">
      <c r="A1305" s="176">
        <v>39500</v>
      </c>
      <c r="B1305" s="111" t="s">
        <v>2240</v>
      </c>
    </row>
    <row r="1306" spans="1:2">
      <c r="A1306" s="176">
        <v>39503</v>
      </c>
      <c r="B1306" s="111" t="s">
        <v>2240</v>
      </c>
    </row>
    <row r="1307" spans="1:2">
      <c r="A1307" s="176">
        <v>39504</v>
      </c>
      <c r="B1307" s="111" t="s">
        <v>2240</v>
      </c>
    </row>
    <row r="1308" spans="1:2">
      <c r="A1308" s="176">
        <v>39505</v>
      </c>
      <c r="B1308" s="111" t="s">
        <v>2240</v>
      </c>
    </row>
    <row r="1309" spans="1:2">
      <c r="A1309" s="176">
        <v>39506</v>
      </c>
      <c r="B1309" s="111" t="s">
        <v>2240</v>
      </c>
    </row>
    <row r="1310" spans="1:2">
      <c r="A1310" s="176">
        <v>39507</v>
      </c>
      <c r="B1310" s="111" t="s">
        <v>2240</v>
      </c>
    </row>
    <row r="1311" spans="1:2">
      <c r="A1311" s="176">
        <v>39510</v>
      </c>
      <c r="B1311" s="111" t="s">
        <v>2240</v>
      </c>
    </row>
    <row r="1312" spans="1:2">
      <c r="A1312" s="176">
        <v>39511</v>
      </c>
      <c r="B1312" s="111" t="s">
        <v>2240</v>
      </c>
    </row>
    <row r="1313" spans="1:2">
      <c r="A1313" s="176">
        <v>39512</v>
      </c>
      <c r="B1313" s="111" t="s">
        <v>2240</v>
      </c>
    </row>
    <row r="1314" spans="1:2">
      <c r="A1314" s="176">
        <v>39513</v>
      </c>
      <c r="B1314" s="111" t="s">
        <v>2240</v>
      </c>
    </row>
    <row r="1315" spans="1:2">
      <c r="A1315" s="176">
        <v>39514</v>
      </c>
      <c r="B1315" s="111" t="s">
        <v>2240</v>
      </c>
    </row>
    <row r="1316" spans="1:2">
      <c r="A1316" s="176">
        <v>39517</v>
      </c>
      <c r="B1316" s="111" t="s">
        <v>2240</v>
      </c>
    </row>
    <row r="1317" spans="1:2">
      <c r="A1317" s="176">
        <v>39518</v>
      </c>
      <c r="B1317" s="111" t="s">
        <v>2240</v>
      </c>
    </row>
    <row r="1318" spans="1:2">
      <c r="A1318" s="176">
        <v>39519</v>
      </c>
      <c r="B1318" s="111" t="s">
        <v>2240</v>
      </c>
    </row>
    <row r="1319" spans="1:2">
      <c r="A1319" s="176">
        <v>39520</v>
      </c>
      <c r="B1319" s="111" t="s">
        <v>2240</v>
      </c>
    </row>
    <row r="1320" spans="1:2">
      <c r="A1320" s="176">
        <v>39521</v>
      </c>
      <c r="B1320" s="111" t="s">
        <v>2240</v>
      </c>
    </row>
    <row r="1321" spans="1:2">
      <c r="A1321" s="176">
        <v>39524</v>
      </c>
      <c r="B1321" s="111" t="s">
        <v>2240</v>
      </c>
    </row>
    <row r="1322" spans="1:2">
      <c r="A1322" s="176">
        <v>39525</v>
      </c>
      <c r="B1322" s="111" t="s">
        <v>2240</v>
      </c>
    </row>
    <row r="1323" spans="1:2">
      <c r="A1323" s="176">
        <v>39526</v>
      </c>
      <c r="B1323" s="111" t="s">
        <v>2240</v>
      </c>
    </row>
    <row r="1324" spans="1:2">
      <c r="A1324" s="176">
        <v>39527</v>
      </c>
      <c r="B1324" s="111" t="s">
        <v>2240</v>
      </c>
    </row>
    <row r="1325" spans="1:2">
      <c r="A1325" s="176">
        <v>39528</v>
      </c>
      <c r="B1325" s="111" t="s">
        <v>2240</v>
      </c>
    </row>
    <row r="1326" spans="1:2">
      <c r="A1326" s="176">
        <v>39531</v>
      </c>
      <c r="B1326" s="111" t="s">
        <v>2240</v>
      </c>
    </row>
    <row r="1327" spans="1:2">
      <c r="A1327" s="176">
        <v>39532</v>
      </c>
      <c r="B1327" s="111" t="s">
        <v>2240</v>
      </c>
    </row>
    <row r="1328" spans="1:2">
      <c r="A1328" s="176">
        <v>39533</v>
      </c>
      <c r="B1328" s="111" t="s">
        <v>2240</v>
      </c>
    </row>
    <row r="1329" spans="1:2">
      <c r="A1329" s="176">
        <v>39534</v>
      </c>
      <c r="B1329" s="111" t="s">
        <v>2240</v>
      </c>
    </row>
    <row r="1330" spans="1:2">
      <c r="A1330" s="176">
        <v>39535</v>
      </c>
      <c r="B1330" s="111" t="s">
        <v>2240</v>
      </c>
    </row>
    <row r="1331" spans="1:2">
      <c r="A1331" s="176">
        <v>39538</v>
      </c>
      <c r="B1331" s="111" t="s">
        <v>2240</v>
      </c>
    </row>
    <row r="1332" spans="1:2">
      <c r="A1332" s="176">
        <v>39539</v>
      </c>
      <c r="B1332" s="111" t="s">
        <v>2240</v>
      </c>
    </row>
    <row r="1333" spans="1:2">
      <c r="A1333" s="176">
        <v>39540</v>
      </c>
      <c r="B1333" s="111" t="s">
        <v>2240</v>
      </c>
    </row>
    <row r="1334" spans="1:2">
      <c r="A1334" s="176">
        <v>39541</v>
      </c>
      <c r="B1334" s="111" t="s">
        <v>2240</v>
      </c>
    </row>
    <row r="1335" spans="1:2">
      <c r="A1335" s="176">
        <v>39545</v>
      </c>
      <c r="B1335" s="111" t="s">
        <v>2240</v>
      </c>
    </row>
    <row r="1336" spans="1:2">
      <c r="A1336" s="176">
        <v>39546</v>
      </c>
      <c r="B1336" s="111" t="s">
        <v>2240</v>
      </c>
    </row>
    <row r="1337" spans="1:2">
      <c r="A1337" s="176">
        <v>39547</v>
      </c>
      <c r="B1337" s="111" t="s">
        <v>2240</v>
      </c>
    </row>
    <row r="1338" spans="1:2">
      <c r="A1338" s="176">
        <v>39548</v>
      </c>
      <c r="B1338" s="111" t="s">
        <v>2240</v>
      </c>
    </row>
    <row r="1339" spans="1:2">
      <c r="A1339" s="176">
        <v>39549</v>
      </c>
      <c r="B1339" s="111" t="s">
        <v>2240</v>
      </c>
    </row>
    <row r="1340" spans="1:2">
      <c r="A1340" s="176">
        <v>39552</v>
      </c>
      <c r="B1340" s="111" t="s">
        <v>2240</v>
      </c>
    </row>
    <row r="1341" spans="1:2">
      <c r="A1341" s="176">
        <v>39553</v>
      </c>
      <c r="B1341" s="111" t="s">
        <v>2240</v>
      </c>
    </row>
    <row r="1342" spans="1:2">
      <c r="A1342" s="176">
        <v>39554</v>
      </c>
      <c r="B1342" s="111" t="s">
        <v>2240</v>
      </c>
    </row>
    <row r="1343" spans="1:2">
      <c r="A1343" s="176">
        <v>39555</v>
      </c>
      <c r="B1343" s="111" t="s">
        <v>2240</v>
      </c>
    </row>
    <row r="1344" spans="1:2">
      <c r="A1344" s="176">
        <v>39556</v>
      </c>
      <c r="B1344" s="111" t="s">
        <v>2240</v>
      </c>
    </row>
    <row r="1345" spans="1:2">
      <c r="A1345" s="176">
        <v>39559</v>
      </c>
      <c r="B1345" s="111" t="s">
        <v>2240</v>
      </c>
    </row>
    <row r="1346" spans="1:2">
      <c r="A1346" s="176">
        <v>39560</v>
      </c>
      <c r="B1346" s="111" t="s">
        <v>2240</v>
      </c>
    </row>
    <row r="1347" spans="1:2">
      <c r="A1347" s="176">
        <v>39561</v>
      </c>
      <c r="B1347" s="111" t="s">
        <v>2240</v>
      </c>
    </row>
    <row r="1348" spans="1:2">
      <c r="A1348" s="176">
        <v>39562</v>
      </c>
      <c r="B1348" s="111" t="s">
        <v>2240</v>
      </c>
    </row>
    <row r="1349" spans="1:2">
      <c r="A1349" s="176">
        <v>39563</v>
      </c>
      <c r="B1349" s="111" t="s">
        <v>2240</v>
      </c>
    </row>
    <row r="1350" spans="1:2">
      <c r="A1350" s="176">
        <v>39566</v>
      </c>
      <c r="B1350" s="111" t="s">
        <v>2240</v>
      </c>
    </row>
    <row r="1351" spans="1:2">
      <c r="A1351" s="176">
        <v>39567</v>
      </c>
      <c r="B1351" s="111" t="s">
        <v>2240</v>
      </c>
    </row>
    <row r="1352" spans="1:2">
      <c r="A1352" s="176">
        <v>39568</v>
      </c>
      <c r="B1352" s="111" t="s">
        <v>2240</v>
      </c>
    </row>
    <row r="1353" spans="1:2">
      <c r="A1353" s="176">
        <v>39572</v>
      </c>
      <c r="B1353" s="111" t="s">
        <v>2240</v>
      </c>
    </row>
    <row r="1354" spans="1:2">
      <c r="A1354" s="176">
        <v>39573</v>
      </c>
      <c r="B1354" s="111" t="s">
        <v>2240</v>
      </c>
    </row>
    <row r="1355" spans="1:2">
      <c r="A1355" s="176">
        <v>39574</v>
      </c>
      <c r="B1355" s="111" t="s">
        <v>2240</v>
      </c>
    </row>
    <row r="1356" spans="1:2">
      <c r="A1356" s="176">
        <v>39575</v>
      </c>
      <c r="B1356" s="111" t="s">
        <v>2240</v>
      </c>
    </row>
    <row r="1357" spans="1:2">
      <c r="A1357" s="176">
        <v>39576</v>
      </c>
      <c r="B1357" s="111" t="s">
        <v>2240</v>
      </c>
    </row>
    <row r="1358" spans="1:2">
      <c r="A1358" s="176">
        <v>39577</v>
      </c>
      <c r="B1358" s="111" t="s">
        <v>2240</v>
      </c>
    </row>
    <row r="1359" spans="1:2">
      <c r="A1359" s="176">
        <v>39580</v>
      </c>
      <c r="B1359" s="111" t="s">
        <v>2240</v>
      </c>
    </row>
    <row r="1360" spans="1:2">
      <c r="A1360" s="176">
        <v>39581</v>
      </c>
      <c r="B1360" s="111" t="s">
        <v>2240</v>
      </c>
    </row>
    <row r="1361" spans="1:2">
      <c r="A1361" s="176">
        <v>39582</v>
      </c>
      <c r="B1361" s="111" t="s">
        <v>2240</v>
      </c>
    </row>
    <row r="1362" spans="1:2">
      <c r="A1362" s="176">
        <v>39583</v>
      </c>
      <c r="B1362" s="111" t="s">
        <v>2240</v>
      </c>
    </row>
    <row r="1363" spans="1:2">
      <c r="A1363" s="176">
        <v>39584</v>
      </c>
      <c r="B1363" s="111" t="s">
        <v>2240</v>
      </c>
    </row>
    <row r="1364" spans="1:2">
      <c r="A1364" s="176">
        <v>39587</v>
      </c>
      <c r="B1364" s="111" t="s">
        <v>2240</v>
      </c>
    </row>
    <row r="1365" spans="1:2">
      <c r="A1365" s="176">
        <v>39588</v>
      </c>
      <c r="B1365" s="111" t="s">
        <v>2240</v>
      </c>
    </row>
    <row r="1366" spans="1:2">
      <c r="A1366" s="176">
        <v>39589</v>
      </c>
      <c r="B1366" s="111" t="s">
        <v>2240</v>
      </c>
    </row>
    <row r="1367" spans="1:2">
      <c r="A1367" s="176">
        <v>39590</v>
      </c>
      <c r="B1367" s="111" t="s">
        <v>2240</v>
      </c>
    </row>
    <row r="1368" spans="1:2">
      <c r="A1368" s="176">
        <v>39591</v>
      </c>
      <c r="B1368" s="111" t="s">
        <v>2240</v>
      </c>
    </row>
    <row r="1369" spans="1:2">
      <c r="A1369" s="176">
        <v>39594</v>
      </c>
      <c r="B1369" s="111" t="s">
        <v>2240</v>
      </c>
    </row>
    <row r="1370" spans="1:2">
      <c r="A1370" s="176">
        <v>39595</v>
      </c>
      <c r="B1370" s="111" t="s">
        <v>2240</v>
      </c>
    </row>
    <row r="1371" spans="1:2">
      <c r="A1371" s="176">
        <v>39596</v>
      </c>
      <c r="B1371" s="111" t="s">
        <v>2240</v>
      </c>
    </row>
    <row r="1372" spans="1:2">
      <c r="A1372" s="176">
        <v>39597</v>
      </c>
      <c r="B1372" s="111" t="s">
        <v>2240</v>
      </c>
    </row>
    <row r="1373" spans="1:2">
      <c r="A1373" s="176">
        <v>39598</v>
      </c>
      <c r="B1373" s="111" t="s">
        <v>2240</v>
      </c>
    </row>
    <row r="1374" spans="1:2">
      <c r="A1374" s="176">
        <v>39601</v>
      </c>
      <c r="B1374" s="111" t="s">
        <v>2240</v>
      </c>
    </row>
    <row r="1375" spans="1:2">
      <c r="A1375" s="176">
        <v>39602</v>
      </c>
      <c r="B1375" s="111" t="s">
        <v>2240</v>
      </c>
    </row>
    <row r="1376" spans="1:2">
      <c r="A1376" s="176">
        <v>39603</v>
      </c>
      <c r="B1376" s="111" t="s">
        <v>2240</v>
      </c>
    </row>
    <row r="1377" spans="1:2">
      <c r="A1377" s="176">
        <v>39604</v>
      </c>
      <c r="B1377" s="111" t="s">
        <v>2240</v>
      </c>
    </row>
    <row r="1378" spans="1:2">
      <c r="A1378" s="176">
        <v>39605</v>
      </c>
      <c r="B1378" s="111" t="s">
        <v>2240</v>
      </c>
    </row>
    <row r="1379" spans="1:2">
      <c r="A1379" s="176">
        <v>39609</v>
      </c>
      <c r="B1379" s="111" t="s">
        <v>2240</v>
      </c>
    </row>
    <row r="1380" spans="1:2">
      <c r="A1380" s="176">
        <v>39610</v>
      </c>
      <c r="B1380" s="111" t="s">
        <v>2240</v>
      </c>
    </row>
    <row r="1381" spans="1:2">
      <c r="A1381" s="176">
        <v>39611</v>
      </c>
      <c r="B1381" s="111" t="s">
        <v>2240</v>
      </c>
    </row>
    <row r="1382" spans="1:2">
      <c r="A1382" s="176">
        <v>39612</v>
      </c>
      <c r="B1382" s="111" t="s">
        <v>2240</v>
      </c>
    </row>
    <row r="1383" spans="1:2">
      <c r="A1383" s="176">
        <v>39615</v>
      </c>
      <c r="B1383" s="111" t="s">
        <v>2240</v>
      </c>
    </row>
    <row r="1384" spans="1:2">
      <c r="A1384" s="176">
        <v>39616</v>
      </c>
      <c r="B1384" s="111" t="s">
        <v>2240</v>
      </c>
    </row>
    <row r="1385" spans="1:2">
      <c r="A1385" s="176">
        <v>39617</v>
      </c>
      <c r="B1385" s="111" t="s">
        <v>2240</v>
      </c>
    </row>
    <row r="1386" spans="1:2">
      <c r="A1386" s="176">
        <v>39618</v>
      </c>
      <c r="B1386" s="111" t="s">
        <v>2240</v>
      </c>
    </row>
    <row r="1387" spans="1:2">
      <c r="A1387" s="176">
        <v>39619</v>
      </c>
      <c r="B1387" s="111" t="s">
        <v>2240</v>
      </c>
    </row>
    <row r="1388" spans="1:2">
      <c r="A1388" s="176">
        <v>39622</v>
      </c>
      <c r="B1388" s="111" t="s">
        <v>2240</v>
      </c>
    </row>
    <row r="1389" spans="1:2">
      <c r="A1389" s="176">
        <v>39623</v>
      </c>
      <c r="B1389" s="111" t="s">
        <v>2240</v>
      </c>
    </row>
    <row r="1390" spans="1:2">
      <c r="A1390" s="176">
        <v>39624</v>
      </c>
      <c r="B1390" s="111" t="s">
        <v>2240</v>
      </c>
    </row>
    <row r="1391" spans="1:2">
      <c r="A1391" s="176">
        <v>39625</v>
      </c>
      <c r="B1391" s="111" t="s">
        <v>2240</v>
      </c>
    </row>
    <row r="1392" spans="1:2">
      <c r="A1392" s="176">
        <v>39626</v>
      </c>
      <c r="B1392" s="111" t="s">
        <v>2240</v>
      </c>
    </row>
    <row r="1393" spans="1:2">
      <c r="A1393" s="176">
        <v>39629</v>
      </c>
      <c r="B1393" s="111" t="s">
        <v>2240</v>
      </c>
    </row>
    <row r="1394" spans="1:2">
      <c r="A1394" s="176">
        <v>39630</v>
      </c>
      <c r="B1394" s="111" t="s">
        <v>2240</v>
      </c>
    </row>
    <row r="1395" spans="1:2">
      <c r="A1395" s="176">
        <v>39631</v>
      </c>
      <c r="B1395" s="111" t="s">
        <v>2240</v>
      </c>
    </row>
    <row r="1396" spans="1:2">
      <c r="A1396" s="176">
        <v>39632</v>
      </c>
      <c r="B1396" s="111" t="s">
        <v>2240</v>
      </c>
    </row>
    <row r="1397" spans="1:2">
      <c r="A1397" s="176">
        <v>39633</v>
      </c>
      <c r="B1397" s="111" t="s">
        <v>2240</v>
      </c>
    </row>
    <row r="1398" spans="1:2">
      <c r="A1398" s="176">
        <v>39636</v>
      </c>
      <c r="B1398" s="111" t="s">
        <v>2240</v>
      </c>
    </row>
    <row r="1399" spans="1:2">
      <c r="A1399" s="176">
        <v>39637</v>
      </c>
      <c r="B1399" s="111" t="s">
        <v>2240</v>
      </c>
    </row>
    <row r="1400" spans="1:2">
      <c r="A1400" s="176">
        <v>39638</v>
      </c>
      <c r="B1400" s="111" t="s">
        <v>2240</v>
      </c>
    </row>
    <row r="1401" spans="1:2">
      <c r="A1401" s="176">
        <v>39639</v>
      </c>
      <c r="B1401" s="111" t="s">
        <v>2240</v>
      </c>
    </row>
    <row r="1402" spans="1:2">
      <c r="A1402" s="176">
        <v>39640</v>
      </c>
      <c r="B1402" s="111" t="s">
        <v>2240</v>
      </c>
    </row>
    <row r="1403" spans="1:2">
      <c r="A1403" s="176">
        <v>39643</v>
      </c>
      <c r="B1403" s="111" t="s">
        <v>2240</v>
      </c>
    </row>
    <row r="1404" spans="1:2">
      <c r="A1404" s="176">
        <v>39644</v>
      </c>
      <c r="B1404" s="111" t="s">
        <v>2240</v>
      </c>
    </row>
    <row r="1405" spans="1:2">
      <c r="A1405" s="176">
        <v>39645</v>
      </c>
      <c r="B1405" s="111" t="s">
        <v>2240</v>
      </c>
    </row>
    <row r="1406" spans="1:2">
      <c r="A1406" s="176">
        <v>39646</v>
      </c>
      <c r="B1406" s="111" t="s">
        <v>2240</v>
      </c>
    </row>
    <row r="1407" spans="1:2">
      <c r="A1407" s="176">
        <v>39647</v>
      </c>
      <c r="B1407" s="111" t="s">
        <v>2240</v>
      </c>
    </row>
    <row r="1408" spans="1:2">
      <c r="A1408" s="176">
        <v>39650</v>
      </c>
      <c r="B1408" s="111" t="s">
        <v>2240</v>
      </c>
    </row>
    <row r="1409" spans="1:2">
      <c r="A1409" s="176">
        <v>39651</v>
      </c>
      <c r="B1409" s="111" t="s">
        <v>2240</v>
      </c>
    </row>
    <row r="1410" spans="1:2">
      <c r="A1410" s="176">
        <v>39652</v>
      </c>
      <c r="B1410" s="111" t="s">
        <v>2240</v>
      </c>
    </row>
    <row r="1411" spans="1:2">
      <c r="A1411" s="176">
        <v>39653</v>
      </c>
      <c r="B1411" s="111" t="s">
        <v>2240</v>
      </c>
    </row>
    <row r="1412" spans="1:2">
      <c r="A1412" s="176">
        <v>39654</v>
      </c>
      <c r="B1412" s="111" t="s">
        <v>2240</v>
      </c>
    </row>
    <row r="1413" spans="1:2">
      <c r="A1413" s="176">
        <v>39657</v>
      </c>
      <c r="B1413" s="111" t="s">
        <v>2240</v>
      </c>
    </row>
    <row r="1414" spans="1:2">
      <c r="A1414" s="176">
        <v>39658</v>
      </c>
      <c r="B1414" s="111" t="s">
        <v>2240</v>
      </c>
    </row>
    <row r="1415" spans="1:2">
      <c r="A1415" s="176">
        <v>39659</v>
      </c>
      <c r="B1415" s="111" t="s">
        <v>2240</v>
      </c>
    </row>
    <row r="1416" spans="1:2">
      <c r="A1416" s="176">
        <v>39660</v>
      </c>
      <c r="B1416" s="111" t="s">
        <v>2240</v>
      </c>
    </row>
    <row r="1417" spans="1:2">
      <c r="A1417" s="176">
        <v>39661</v>
      </c>
      <c r="B1417" s="111" t="s">
        <v>2240</v>
      </c>
    </row>
    <row r="1418" spans="1:2">
      <c r="A1418" s="176">
        <v>39664</v>
      </c>
      <c r="B1418" s="111" t="s">
        <v>2240</v>
      </c>
    </row>
    <row r="1419" spans="1:2">
      <c r="A1419" s="176">
        <v>39665</v>
      </c>
      <c r="B1419" s="111" t="s">
        <v>2240</v>
      </c>
    </row>
    <row r="1420" spans="1:2">
      <c r="A1420" s="176">
        <v>39666</v>
      </c>
      <c r="B1420" s="111" t="s">
        <v>2240</v>
      </c>
    </row>
    <row r="1421" spans="1:2">
      <c r="A1421" s="176">
        <v>39667</v>
      </c>
      <c r="B1421" s="111" t="s">
        <v>2240</v>
      </c>
    </row>
    <row r="1422" spans="1:2">
      <c r="A1422" s="176">
        <v>39668</v>
      </c>
      <c r="B1422" s="111" t="s">
        <v>2240</v>
      </c>
    </row>
    <row r="1423" spans="1:2">
      <c r="A1423" s="176">
        <v>39671</v>
      </c>
      <c r="B1423" s="111" t="s">
        <v>2240</v>
      </c>
    </row>
    <row r="1424" spans="1:2">
      <c r="A1424" s="176">
        <v>39672</v>
      </c>
      <c r="B1424" s="111" t="s">
        <v>2240</v>
      </c>
    </row>
    <row r="1425" spans="1:2">
      <c r="A1425" s="176">
        <v>39673</v>
      </c>
      <c r="B1425" s="111" t="s">
        <v>2240</v>
      </c>
    </row>
    <row r="1426" spans="1:2">
      <c r="A1426" s="176">
        <v>39674</v>
      </c>
      <c r="B1426" s="111" t="s">
        <v>2240</v>
      </c>
    </row>
    <row r="1427" spans="1:2">
      <c r="A1427" s="176">
        <v>39675</v>
      </c>
      <c r="B1427" s="111" t="s">
        <v>2240</v>
      </c>
    </row>
    <row r="1428" spans="1:2">
      <c r="A1428" s="176">
        <v>39678</v>
      </c>
      <c r="B1428" s="111" t="s">
        <v>2240</v>
      </c>
    </row>
    <row r="1429" spans="1:2">
      <c r="A1429" s="176">
        <v>39679</v>
      </c>
      <c r="B1429" s="111" t="s">
        <v>2240</v>
      </c>
    </row>
    <row r="1430" spans="1:2">
      <c r="A1430" s="176">
        <v>39680</v>
      </c>
      <c r="B1430" s="111" t="s">
        <v>2240</v>
      </c>
    </row>
    <row r="1431" spans="1:2">
      <c r="A1431" s="176">
        <v>39681</v>
      </c>
      <c r="B1431" s="111" t="s">
        <v>2240</v>
      </c>
    </row>
    <row r="1432" spans="1:2">
      <c r="A1432" s="176">
        <v>39682</v>
      </c>
      <c r="B1432" s="111" t="s">
        <v>2240</v>
      </c>
    </row>
    <row r="1433" spans="1:2">
      <c r="A1433" s="176">
        <v>39685</v>
      </c>
      <c r="B1433" s="111" t="s">
        <v>2240</v>
      </c>
    </row>
    <row r="1434" spans="1:2">
      <c r="A1434" s="176">
        <v>39686</v>
      </c>
      <c r="B1434" s="111" t="s">
        <v>2240</v>
      </c>
    </row>
    <row r="1435" spans="1:2">
      <c r="A1435" s="176">
        <v>39687</v>
      </c>
      <c r="B1435" s="111" t="s">
        <v>2240</v>
      </c>
    </row>
    <row r="1436" spans="1:2">
      <c r="A1436" s="176">
        <v>39688</v>
      </c>
      <c r="B1436" s="111" t="s">
        <v>2240</v>
      </c>
    </row>
    <row r="1437" spans="1:2">
      <c r="A1437" s="176">
        <v>39689</v>
      </c>
      <c r="B1437" s="111" t="s">
        <v>2240</v>
      </c>
    </row>
    <row r="1438" spans="1:2">
      <c r="A1438" s="176">
        <v>39692</v>
      </c>
      <c r="B1438" s="111" t="s">
        <v>2240</v>
      </c>
    </row>
    <row r="1439" spans="1:2">
      <c r="A1439" s="176">
        <v>39693</v>
      </c>
      <c r="B1439" s="111" t="s">
        <v>2240</v>
      </c>
    </row>
    <row r="1440" spans="1:2">
      <c r="A1440" s="176">
        <v>39694</v>
      </c>
      <c r="B1440" s="111" t="s">
        <v>2240</v>
      </c>
    </row>
    <row r="1441" spans="1:2">
      <c r="A1441" s="176">
        <v>39695</v>
      </c>
      <c r="B1441" s="111" t="s">
        <v>2240</v>
      </c>
    </row>
    <row r="1442" spans="1:2">
      <c r="A1442" s="176">
        <v>39696</v>
      </c>
      <c r="B1442" s="111" t="s">
        <v>2240</v>
      </c>
    </row>
    <row r="1443" spans="1:2">
      <c r="A1443" s="176">
        <v>39699</v>
      </c>
      <c r="B1443" s="111" t="s">
        <v>2240</v>
      </c>
    </row>
    <row r="1444" spans="1:2">
      <c r="A1444" s="176">
        <v>39700</v>
      </c>
      <c r="B1444" s="111" t="s">
        <v>2240</v>
      </c>
    </row>
    <row r="1445" spans="1:2">
      <c r="A1445" s="176">
        <v>39701</v>
      </c>
      <c r="B1445" s="111" t="s">
        <v>2240</v>
      </c>
    </row>
    <row r="1446" spans="1:2">
      <c r="A1446" s="176">
        <v>39702</v>
      </c>
      <c r="B1446" s="111" t="s">
        <v>2240</v>
      </c>
    </row>
    <row r="1447" spans="1:2">
      <c r="A1447" s="176">
        <v>39703</v>
      </c>
      <c r="B1447" s="111" t="s">
        <v>2240</v>
      </c>
    </row>
    <row r="1448" spans="1:2">
      <c r="A1448" s="176">
        <v>39707</v>
      </c>
      <c r="B1448" s="111" t="s">
        <v>2240</v>
      </c>
    </row>
    <row r="1449" spans="1:2">
      <c r="A1449" s="176">
        <v>39708</v>
      </c>
      <c r="B1449" s="111" t="s">
        <v>2240</v>
      </c>
    </row>
    <row r="1450" spans="1:2">
      <c r="A1450" s="176">
        <v>39709</v>
      </c>
      <c r="B1450" s="111" t="s">
        <v>2240</v>
      </c>
    </row>
    <row r="1451" spans="1:2">
      <c r="A1451" s="176">
        <v>39710</v>
      </c>
      <c r="B1451" s="111" t="s">
        <v>2240</v>
      </c>
    </row>
    <row r="1452" spans="1:2">
      <c r="A1452" s="176">
        <v>39713</v>
      </c>
      <c r="B1452" s="111" t="s">
        <v>2240</v>
      </c>
    </row>
    <row r="1453" spans="1:2">
      <c r="A1453" s="176">
        <v>39714</v>
      </c>
      <c r="B1453" s="111" t="s">
        <v>2240</v>
      </c>
    </row>
    <row r="1454" spans="1:2">
      <c r="A1454" s="176">
        <v>39715</v>
      </c>
      <c r="B1454" s="111" t="s">
        <v>2240</v>
      </c>
    </row>
    <row r="1455" spans="1:2">
      <c r="A1455" s="176">
        <v>39716</v>
      </c>
      <c r="B1455" s="111" t="s">
        <v>2240</v>
      </c>
    </row>
    <row r="1456" spans="1:2">
      <c r="A1456" s="176">
        <v>39717</v>
      </c>
      <c r="B1456" s="111" t="s">
        <v>2240</v>
      </c>
    </row>
    <row r="1457" spans="1:2">
      <c r="A1457" s="176">
        <v>39718</v>
      </c>
      <c r="B1457" s="111" t="s">
        <v>2240</v>
      </c>
    </row>
    <row r="1458" spans="1:2">
      <c r="A1458" s="176">
        <v>39719</v>
      </c>
      <c r="B1458" s="111" t="s">
        <v>2240</v>
      </c>
    </row>
    <row r="1459" spans="1:2">
      <c r="A1459" s="176">
        <v>39727</v>
      </c>
      <c r="B1459" s="111" t="s">
        <v>2240</v>
      </c>
    </row>
    <row r="1460" spans="1:2">
      <c r="A1460" s="176">
        <v>39728</v>
      </c>
      <c r="B1460" s="111" t="s">
        <v>2240</v>
      </c>
    </row>
    <row r="1461" spans="1:2">
      <c r="A1461" s="176">
        <v>39729</v>
      </c>
      <c r="B1461" s="111" t="s">
        <v>2240</v>
      </c>
    </row>
    <row r="1462" spans="1:2">
      <c r="A1462" s="176">
        <v>39730</v>
      </c>
      <c r="B1462" s="111" t="s">
        <v>2240</v>
      </c>
    </row>
    <row r="1463" spans="1:2">
      <c r="A1463" s="176">
        <v>39731</v>
      </c>
      <c r="B1463" s="111" t="s">
        <v>2240</v>
      </c>
    </row>
    <row r="1464" spans="1:2">
      <c r="A1464" s="176">
        <v>39734</v>
      </c>
      <c r="B1464" s="111" t="s">
        <v>2240</v>
      </c>
    </row>
    <row r="1465" spans="1:2">
      <c r="A1465" s="176">
        <v>39735</v>
      </c>
      <c r="B1465" s="111" t="s">
        <v>2240</v>
      </c>
    </row>
    <row r="1466" spans="1:2">
      <c r="A1466" s="176">
        <v>39736</v>
      </c>
      <c r="B1466" s="111" t="s">
        <v>2240</v>
      </c>
    </row>
    <row r="1467" spans="1:2">
      <c r="A1467" s="176">
        <v>39737</v>
      </c>
      <c r="B1467" s="111" t="s">
        <v>2240</v>
      </c>
    </row>
    <row r="1468" spans="1:2">
      <c r="A1468" s="176">
        <v>39738</v>
      </c>
      <c r="B1468" s="111" t="s">
        <v>2240</v>
      </c>
    </row>
    <row r="1469" spans="1:2">
      <c r="A1469" s="176">
        <v>39741</v>
      </c>
      <c r="B1469" s="111" t="s">
        <v>2240</v>
      </c>
    </row>
    <row r="1470" spans="1:2">
      <c r="A1470" s="176">
        <v>39742</v>
      </c>
      <c r="B1470" s="111" t="s">
        <v>2240</v>
      </c>
    </row>
    <row r="1471" spans="1:2">
      <c r="A1471" s="176">
        <v>39743</v>
      </c>
      <c r="B1471" s="111" t="s">
        <v>2240</v>
      </c>
    </row>
    <row r="1472" spans="1:2">
      <c r="A1472" s="176">
        <v>39744</v>
      </c>
      <c r="B1472" s="111" t="s">
        <v>2240</v>
      </c>
    </row>
    <row r="1473" spans="1:2">
      <c r="A1473" s="176">
        <v>39745</v>
      </c>
      <c r="B1473" s="111" t="s">
        <v>2240</v>
      </c>
    </row>
    <row r="1474" spans="1:2">
      <c r="A1474" s="176">
        <v>39748</v>
      </c>
      <c r="B1474" s="111" t="s">
        <v>2240</v>
      </c>
    </row>
    <row r="1475" spans="1:2">
      <c r="A1475" s="176">
        <v>39749</v>
      </c>
      <c r="B1475" s="111" t="s">
        <v>2240</v>
      </c>
    </row>
    <row r="1476" spans="1:2">
      <c r="A1476" s="176">
        <v>39750</v>
      </c>
      <c r="B1476" s="111" t="s">
        <v>2240</v>
      </c>
    </row>
    <row r="1477" spans="1:2">
      <c r="A1477" s="176">
        <v>39751</v>
      </c>
      <c r="B1477" s="111" t="s">
        <v>2240</v>
      </c>
    </row>
    <row r="1478" spans="1:2">
      <c r="A1478" s="176">
        <v>39752</v>
      </c>
      <c r="B1478" s="111" t="s">
        <v>2240</v>
      </c>
    </row>
    <row r="1479" spans="1:2">
      <c r="A1479" s="176">
        <v>39755</v>
      </c>
      <c r="B1479" s="111" t="s">
        <v>2240</v>
      </c>
    </row>
    <row r="1480" spans="1:2">
      <c r="A1480" s="176">
        <v>39756</v>
      </c>
      <c r="B1480" s="111" t="s">
        <v>2240</v>
      </c>
    </row>
    <row r="1481" spans="1:2">
      <c r="A1481" s="176">
        <v>39757</v>
      </c>
      <c r="B1481" s="111" t="s">
        <v>2240</v>
      </c>
    </row>
    <row r="1482" spans="1:2">
      <c r="A1482" s="176">
        <v>39758</v>
      </c>
      <c r="B1482" s="111" t="s">
        <v>2240</v>
      </c>
    </row>
    <row r="1483" spans="1:2">
      <c r="A1483" s="176">
        <v>39759</v>
      </c>
      <c r="B1483" s="111" t="s">
        <v>2240</v>
      </c>
    </row>
    <row r="1484" spans="1:2">
      <c r="A1484" s="176">
        <v>39762</v>
      </c>
      <c r="B1484" s="111" t="s">
        <v>2240</v>
      </c>
    </row>
    <row r="1485" spans="1:2">
      <c r="A1485" s="176">
        <v>39763</v>
      </c>
      <c r="B1485" s="111" t="s">
        <v>2240</v>
      </c>
    </row>
    <row r="1486" spans="1:2">
      <c r="A1486" s="176">
        <v>39764</v>
      </c>
      <c r="B1486" s="111" t="s">
        <v>2240</v>
      </c>
    </row>
    <row r="1487" spans="1:2">
      <c r="A1487" s="176">
        <v>39765</v>
      </c>
      <c r="B1487" s="111" t="s">
        <v>2240</v>
      </c>
    </row>
    <row r="1488" spans="1:2">
      <c r="A1488" s="176">
        <v>39766</v>
      </c>
      <c r="B1488" s="111" t="s">
        <v>2240</v>
      </c>
    </row>
    <row r="1489" spans="1:2">
      <c r="A1489" s="176">
        <v>39769</v>
      </c>
      <c r="B1489" s="111" t="s">
        <v>2240</v>
      </c>
    </row>
    <row r="1490" spans="1:2">
      <c r="A1490" s="176">
        <v>39770</v>
      </c>
      <c r="B1490" s="111" t="s">
        <v>2240</v>
      </c>
    </row>
    <row r="1491" spans="1:2">
      <c r="A1491" s="176">
        <v>39771</v>
      </c>
      <c r="B1491" s="111" t="s">
        <v>2240</v>
      </c>
    </row>
    <row r="1492" spans="1:2">
      <c r="A1492" s="176">
        <v>39772</v>
      </c>
      <c r="B1492" s="111" t="s">
        <v>2240</v>
      </c>
    </row>
    <row r="1493" spans="1:2">
      <c r="A1493" s="176">
        <v>39773</v>
      </c>
      <c r="B1493" s="111" t="s">
        <v>2240</v>
      </c>
    </row>
    <row r="1494" spans="1:2">
      <c r="A1494" s="176">
        <v>39776</v>
      </c>
      <c r="B1494" s="111" t="s">
        <v>2240</v>
      </c>
    </row>
    <row r="1495" spans="1:2">
      <c r="A1495" s="176">
        <v>39777</v>
      </c>
      <c r="B1495" s="111" t="s">
        <v>2240</v>
      </c>
    </row>
    <row r="1496" spans="1:2">
      <c r="A1496" s="176">
        <v>39778</v>
      </c>
      <c r="B1496" s="111" t="s">
        <v>2240</v>
      </c>
    </row>
    <row r="1497" spans="1:2">
      <c r="A1497" s="176">
        <v>39779</v>
      </c>
      <c r="B1497" s="111" t="s">
        <v>2240</v>
      </c>
    </row>
    <row r="1498" spans="1:2">
      <c r="A1498" s="176">
        <v>39780</v>
      </c>
      <c r="B1498" s="111" t="s">
        <v>2240</v>
      </c>
    </row>
    <row r="1499" spans="1:2">
      <c r="A1499" s="176">
        <v>39783</v>
      </c>
      <c r="B1499" s="111" t="s">
        <v>2240</v>
      </c>
    </row>
    <row r="1500" spans="1:2">
      <c r="A1500" s="176">
        <v>39784</v>
      </c>
      <c r="B1500" s="111" t="s">
        <v>2240</v>
      </c>
    </row>
    <row r="1501" spans="1:2">
      <c r="A1501" s="176">
        <v>39785</v>
      </c>
      <c r="B1501" s="111" t="s">
        <v>2240</v>
      </c>
    </row>
    <row r="1502" spans="1:2">
      <c r="A1502" s="176">
        <v>39786</v>
      </c>
      <c r="B1502" s="111" t="s">
        <v>2240</v>
      </c>
    </row>
    <row r="1503" spans="1:2">
      <c r="A1503" s="176">
        <v>39787</v>
      </c>
      <c r="B1503" s="111" t="s">
        <v>2240</v>
      </c>
    </row>
    <row r="1504" spans="1:2">
      <c r="A1504" s="176">
        <v>39790</v>
      </c>
      <c r="B1504" s="111" t="s">
        <v>2240</v>
      </c>
    </row>
    <row r="1505" spans="1:2">
      <c r="A1505" s="176">
        <v>39791</v>
      </c>
      <c r="B1505" s="111" t="s">
        <v>2240</v>
      </c>
    </row>
    <row r="1506" spans="1:2">
      <c r="A1506" s="176">
        <v>39792</v>
      </c>
      <c r="B1506" s="111" t="s">
        <v>2240</v>
      </c>
    </row>
    <row r="1507" spans="1:2">
      <c r="A1507" s="176">
        <v>39793</v>
      </c>
      <c r="B1507" s="111" t="s">
        <v>2240</v>
      </c>
    </row>
    <row r="1508" spans="1:2">
      <c r="A1508" s="176">
        <v>39794</v>
      </c>
      <c r="B1508" s="111" t="s">
        <v>2240</v>
      </c>
    </row>
    <row r="1509" spans="1:2">
      <c r="A1509" s="176">
        <v>39797</v>
      </c>
      <c r="B1509" s="111" t="s">
        <v>2240</v>
      </c>
    </row>
    <row r="1510" spans="1:2">
      <c r="A1510" s="176">
        <v>39798</v>
      </c>
      <c r="B1510" s="111" t="s">
        <v>2240</v>
      </c>
    </row>
    <row r="1511" spans="1:2">
      <c r="A1511" s="176">
        <v>39799</v>
      </c>
      <c r="B1511" s="111" t="s">
        <v>2240</v>
      </c>
    </row>
    <row r="1512" spans="1:2">
      <c r="A1512" s="176">
        <v>39800</v>
      </c>
      <c r="B1512" s="111" t="s">
        <v>2240</v>
      </c>
    </row>
    <row r="1513" spans="1:2">
      <c r="A1513" s="176">
        <v>39801</v>
      </c>
      <c r="B1513" s="111" t="s">
        <v>2240</v>
      </c>
    </row>
    <row r="1514" spans="1:2">
      <c r="A1514" s="176">
        <v>39804</v>
      </c>
      <c r="B1514" s="111" t="s">
        <v>2240</v>
      </c>
    </row>
    <row r="1515" spans="1:2">
      <c r="A1515" s="176">
        <v>39805</v>
      </c>
      <c r="B1515" s="111" t="s">
        <v>2240</v>
      </c>
    </row>
    <row r="1516" spans="1:2">
      <c r="A1516" s="176">
        <v>39806</v>
      </c>
      <c r="B1516" s="111" t="s">
        <v>2240</v>
      </c>
    </row>
    <row r="1517" spans="1:2">
      <c r="A1517" s="176">
        <v>39807</v>
      </c>
      <c r="B1517" s="111" t="s">
        <v>2240</v>
      </c>
    </row>
    <row r="1518" spans="1:2">
      <c r="A1518" s="176">
        <v>39808</v>
      </c>
      <c r="B1518" s="111" t="s">
        <v>2240</v>
      </c>
    </row>
    <row r="1519" spans="1:2">
      <c r="A1519" s="176">
        <v>39811</v>
      </c>
      <c r="B1519" s="111" t="s">
        <v>2240</v>
      </c>
    </row>
    <row r="1520" spans="1:2">
      <c r="A1520" s="176">
        <v>39812</v>
      </c>
      <c r="B1520" s="111" t="s">
        <v>2240</v>
      </c>
    </row>
    <row r="1521" spans="1:2">
      <c r="A1521" s="176">
        <v>39813</v>
      </c>
      <c r="B1521" s="111" t="s">
        <v>2240</v>
      </c>
    </row>
    <row r="1522" spans="1:2">
      <c r="A1522" s="176">
        <v>39817</v>
      </c>
      <c r="B1522" s="111" t="s">
        <v>2240</v>
      </c>
    </row>
    <row r="1523" spans="1:2">
      <c r="A1523" s="176">
        <v>39818</v>
      </c>
      <c r="B1523" s="111" t="s">
        <v>2240</v>
      </c>
    </row>
    <row r="1524" spans="1:2">
      <c r="A1524" s="176">
        <v>39819</v>
      </c>
      <c r="B1524" s="111" t="s">
        <v>2240</v>
      </c>
    </row>
    <row r="1525" spans="1:2">
      <c r="A1525" s="176">
        <v>39820</v>
      </c>
      <c r="B1525" s="111" t="s">
        <v>2240</v>
      </c>
    </row>
    <row r="1526" spans="1:2">
      <c r="A1526" s="176">
        <v>39821</v>
      </c>
      <c r="B1526" s="111" t="s">
        <v>2240</v>
      </c>
    </row>
    <row r="1527" spans="1:2">
      <c r="A1527" s="176">
        <v>39822</v>
      </c>
      <c r="B1527" s="111" t="s">
        <v>2240</v>
      </c>
    </row>
    <row r="1528" spans="1:2">
      <c r="A1528" s="176">
        <v>39825</v>
      </c>
      <c r="B1528" s="111" t="s">
        <v>2240</v>
      </c>
    </row>
    <row r="1529" spans="1:2">
      <c r="A1529" s="176">
        <v>39826</v>
      </c>
      <c r="B1529" s="111" t="s">
        <v>2240</v>
      </c>
    </row>
    <row r="1530" spans="1:2">
      <c r="A1530" s="176">
        <v>39827</v>
      </c>
      <c r="B1530" s="111" t="s">
        <v>2240</v>
      </c>
    </row>
    <row r="1531" spans="1:2">
      <c r="A1531" s="176">
        <v>39828</v>
      </c>
      <c r="B1531" s="111" t="s">
        <v>2240</v>
      </c>
    </row>
    <row r="1532" spans="1:2">
      <c r="A1532" s="176">
        <v>39829</v>
      </c>
      <c r="B1532" s="111" t="s">
        <v>2240</v>
      </c>
    </row>
    <row r="1533" spans="1:2">
      <c r="A1533" s="176">
        <v>39832</v>
      </c>
      <c r="B1533" s="111" t="s">
        <v>2240</v>
      </c>
    </row>
    <row r="1534" spans="1:2">
      <c r="A1534" s="176">
        <v>39833</v>
      </c>
      <c r="B1534" s="111" t="s">
        <v>2240</v>
      </c>
    </row>
    <row r="1535" spans="1:2">
      <c r="A1535" s="176">
        <v>39834</v>
      </c>
      <c r="B1535" s="111" t="s">
        <v>2240</v>
      </c>
    </row>
    <row r="1536" spans="1:2">
      <c r="A1536" s="176">
        <v>39835</v>
      </c>
      <c r="B1536" s="111" t="s">
        <v>2240</v>
      </c>
    </row>
    <row r="1537" spans="1:2">
      <c r="A1537" s="176">
        <v>39836</v>
      </c>
      <c r="B1537" s="111" t="s">
        <v>2240</v>
      </c>
    </row>
    <row r="1538" spans="1:2">
      <c r="A1538" s="176">
        <v>39837</v>
      </c>
      <c r="B1538" s="111" t="s">
        <v>2240</v>
      </c>
    </row>
    <row r="1539" spans="1:2">
      <c r="A1539" s="176">
        <v>39845</v>
      </c>
      <c r="B1539" s="111" t="s">
        <v>2240</v>
      </c>
    </row>
    <row r="1540" spans="1:2">
      <c r="A1540" s="176">
        <v>39846</v>
      </c>
      <c r="B1540" s="111" t="s">
        <v>2240</v>
      </c>
    </row>
    <row r="1541" spans="1:2">
      <c r="A1541" s="176">
        <v>39847</v>
      </c>
      <c r="B1541" s="111" t="s">
        <v>2240</v>
      </c>
    </row>
    <row r="1542" spans="1:2">
      <c r="A1542" s="176">
        <v>39848</v>
      </c>
      <c r="B1542" s="111" t="s">
        <v>2240</v>
      </c>
    </row>
    <row r="1543" spans="1:2">
      <c r="A1543" s="176">
        <v>39849</v>
      </c>
      <c r="B1543" s="111" t="s">
        <v>2240</v>
      </c>
    </row>
    <row r="1544" spans="1:2">
      <c r="A1544" s="176">
        <v>39850</v>
      </c>
      <c r="B1544" s="111" t="s">
        <v>2240</v>
      </c>
    </row>
    <row r="1545" spans="1:2">
      <c r="A1545" s="176">
        <v>39853</v>
      </c>
      <c r="B1545" s="111" t="s">
        <v>2240</v>
      </c>
    </row>
    <row r="1546" spans="1:2">
      <c r="A1546" s="176">
        <v>39854</v>
      </c>
      <c r="B1546" s="111" t="s">
        <v>2240</v>
      </c>
    </row>
    <row r="1547" spans="1:2">
      <c r="A1547" s="176">
        <v>39855</v>
      </c>
      <c r="B1547" s="111" t="s">
        <v>2240</v>
      </c>
    </row>
    <row r="1548" spans="1:2">
      <c r="A1548" s="176">
        <v>39856</v>
      </c>
      <c r="B1548" s="111" t="s">
        <v>2240</v>
      </c>
    </row>
    <row r="1549" spans="1:2">
      <c r="A1549" s="176">
        <v>39857</v>
      </c>
      <c r="B1549" s="111" t="s">
        <v>2240</v>
      </c>
    </row>
    <row r="1550" spans="1:2">
      <c r="A1550" s="176">
        <v>39860</v>
      </c>
      <c r="B1550" s="111" t="s">
        <v>2240</v>
      </c>
    </row>
    <row r="1551" spans="1:2">
      <c r="A1551" s="176">
        <v>39861</v>
      </c>
      <c r="B1551" s="111" t="s">
        <v>2240</v>
      </c>
    </row>
    <row r="1552" spans="1:2">
      <c r="A1552" s="176">
        <v>39862</v>
      </c>
      <c r="B1552" s="111" t="s">
        <v>2240</v>
      </c>
    </row>
    <row r="1553" spans="1:2">
      <c r="A1553" s="176">
        <v>39863</v>
      </c>
      <c r="B1553" s="111" t="s">
        <v>2240</v>
      </c>
    </row>
    <row r="1554" spans="1:2">
      <c r="A1554" s="176">
        <v>39864</v>
      </c>
      <c r="B1554" s="111" t="s">
        <v>2240</v>
      </c>
    </row>
    <row r="1555" spans="1:2">
      <c r="A1555" s="176">
        <v>39867</v>
      </c>
      <c r="B1555" s="111" t="s">
        <v>2240</v>
      </c>
    </row>
    <row r="1556" spans="1:2">
      <c r="A1556" s="176">
        <v>39868</v>
      </c>
      <c r="B1556" s="111" t="s">
        <v>2240</v>
      </c>
    </row>
    <row r="1557" spans="1:2">
      <c r="A1557" s="176">
        <v>39869</v>
      </c>
      <c r="B1557" s="111" t="s">
        <v>2240</v>
      </c>
    </row>
    <row r="1558" spans="1:2">
      <c r="A1558" s="176">
        <v>39870</v>
      </c>
      <c r="B1558" s="111" t="s">
        <v>2240</v>
      </c>
    </row>
    <row r="1559" spans="1:2">
      <c r="A1559" s="176">
        <v>39871</v>
      </c>
      <c r="B1559" s="111" t="s">
        <v>2240</v>
      </c>
    </row>
    <row r="1560" spans="1:2">
      <c r="A1560" s="176">
        <v>39874</v>
      </c>
      <c r="B1560" s="111" t="s">
        <v>2240</v>
      </c>
    </row>
    <row r="1561" spans="1:2">
      <c r="A1561" s="176">
        <v>39875</v>
      </c>
      <c r="B1561" s="111" t="s">
        <v>2240</v>
      </c>
    </row>
    <row r="1562" spans="1:2">
      <c r="A1562" s="176">
        <v>39876</v>
      </c>
      <c r="B1562" s="111" t="s">
        <v>2240</v>
      </c>
    </row>
    <row r="1563" spans="1:2">
      <c r="A1563" s="176">
        <v>39877</v>
      </c>
      <c r="B1563" s="111" t="s">
        <v>2240</v>
      </c>
    </row>
    <row r="1564" spans="1:2">
      <c r="A1564" s="176">
        <v>39878</v>
      </c>
      <c r="B1564" s="111" t="s">
        <v>2240</v>
      </c>
    </row>
    <row r="1565" spans="1:2">
      <c r="A1565" s="176">
        <v>39881</v>
      </c>
      <c r="B1565" s="111" t="s">
        <v>2240</v>
      </c>
    </row>
    <row r="1566" spans="1:2">
      <c r="A1566" s="176">
        <v>39882</v>
      </c>
      <c r="B1566" s="111" t="s">
        <v>2240</v>
      </c>
    </row>
    <row r="1567" spans="1:2">
      <c r="A1567" s="176">
        <v>39883</v>
      </c>
      <c r="B1567" s="111" t="s">
        <v>2240</v>
      </c>
    </row>
    <row r="1568" spans="1:2">
      <c r="A1568" s="176">
        <v>39884</v>
      </c>
      <c r="B1568" s="111" t="s">
        <v>2240</v>
      </c>
    </row>
    <row r="1569" spans="1:2">
      <c r="A1569" s="176">
        <v>39885</v>
      </c>
      <c r="B1569" s="111" t="s">
        <v>2240</v>
      </c>
    </row>
    <row r="1570" spans="1:2">
      <c r="A1570" s="176">
        <v>39888</v>
      </c>
      <c r="B1570" s="111" t="s">
        <v>2240</v>
      </c>
    </row>
    <row r="1571" spans="1:2">
      <c r="A1571" s="176">
        <v>39889</v>
      </c>
      <c r="B1571" s="111" t="s">
        <v>2240</v>
      </c>
    </row>
    <row r="1572" spans="1:2">
      <c r="A1572" s="176">
        <v>39890</v>
      </c>
      <c r="B1572" s="111" t="s">
        <v>2240</v>
      </c>
    </row>
    <row r="1573" spans="1:2">
      <c r="A1573" s="176">
        <v>39891</v>
      </c>
      <c r="B1573" s="111" t="s">
        <v>2240</v>
      </c>
    </row>
    <row r="1574" spans="1:2">
      <c r="A1574" s="176">
        <v>39892</v>
      </c>
      <c r="B1574" s="111" t="s">
        <v>2240</v>
      </c>
    </row>
    <row r="1575" spans="1:2">
      <c r="A1575" s="176">
        <v>39895</v>
      </c>
      <c r="B1575" s="111" t="s">
        <v>2240</v>
      </c>
    </row>
    <row r="1576" spans="1:2">
      <c r="A1576" s="176">
        <v>39896</v>
      </c>
      <c r="B1576" s="111" t="s">
        <v>2240</v>
      </c>
    </row>
    <row r="1577" spans="1:2">
      <c r="A1577" s="176">
        <v>39897</v>
      </c>
      <c r="B1577" s="111" t="s">
        <v>2240</v>
      </c>
    </row>
    <row r="1578" spans="1:2">
      <c r="A1578" s="176">
        <v>39898</v>
      </c>
      <c r="B1578" s="111" t="s">
        <v>2240</v>
      </c>
    </row>
    <row r="1579" spans="1:2">
      <c r="A1579" s="176">
        <v>39899</v>
      </c>
      <c r="B1579" s="111" t="s">
        <v>2240</v>
      </c>
    </row>
    <row r="1580" spans="1:2">
      <c r="A1580" s="176">
        <v>39902</v>
      </c>
      <c r="B1580" s="111" t="s">
        <v>2240</v>
      </c>
    </row>
    <row r="1581" spans="1:2">
      <c r="A1581" s="176">
        <v>39903</v>
      </c>
      <c r="B1581" s="111" t="s">
        <v>2240</v>
      </c>
    </row>
    <row r="1582" spans="1:2">
      <c r="A1582" s="176">
        <v>39904</v>
      </c>
      <c r="B1582" s="111" t="s">
        <v>2240</v>
      </c>
    </row>
    <row r="1583" spans="1:2">
      <c r="A1583" s="176">
        <v>39905</v>
      </c>
      <c r="B1583" s="111" t="s">
        <v>2240</v>
      </c>
    </row>
    <row r="1584" spans="1:2">
      <c r="A1584" s="176">
        <v>39906</v>
      </c>
      <c r="B1584" s="111" t="s">
        <v>2240</v>
      </c>
    </row>
    <row r="1585" spans="1:2">
      <c r="A1585" s="176">
        <v>39910</v>
      </c>
      <c r="B1585" s="111" t="s">
        <v>2240</v>
      </c>
    </row>
    <row r="1586" spans="1:2">
      <c r="A1586" s="176">
        <v>39911</v>
      </c>
      <c r="B1586" s="111" t="s">
        <v>2240</v>
      </c>
    </row>
    <row r="1587" spans="1:2">
      <c r="A1587" s="176">
        <v>39912</v>
      </c>
      <c r="B1587" s="111" t="s">
        <v>2240</v>
      </c>
    </row>
    <row r="1588" spans="1:2">
      <c r="A1588" s="176">
        <v>39913</v>
      </c>
      <c r="B1588" s="111" t="s">
        <v>2240</v>
      </c>
    </row>
    <row r="1589" spans="1:2">
      <c r="A1589" s="176">
        <v>39916</v>
      </c>
      <c r="B1589" s="111" t="s">
        <v>2240</v>
      </c>
    </row>
    <row r="1590" spans="1:2">
      <c r="A1590" s="176">
        <v>39917</v>
      </c>
      <c r="B1590" s="111" t="s">
        <v>2240</v>
      </c>
    </row>
    <row r="1591" spans="1:2">
      <c r="A1591" s="176">
        <v>39918</v>
      </c>
      <c r="B1591" s="111" t="s">
        <v>2240</v>
      </c>
    </row>
    <row r="1592" spans="1:2">
      <c r="A1592" s="176">
        <v>39919</v>
      </c>
      <c r="B1592" s="111" t="s">
        <v>2240</v>
      </c>
    </row>
    <row r="1593" spans="1:2">
      <c r="A1593" s="176">
        <v>39920</v>
      </c>
      <c r="B1593" s="111" t="s">
        <v>2240</v>
      </c>
    </row>
    <row r="1594" spans="1:2">
      <c r="A1594" s="176">
        <v>39923</v>
      </c>
      <c r="B1594" s="111" t="s">
        <v>2240</v>
      </c>
    </row>
    <row r="1595" spans="1:2">
      <c r="A1595" s="176">
        <v>39924</v>
      </c>
      <c r="B1595" s="111" t="s">
        <v>2240</v>
      </c>
    </row>
    <row r="1596" spans="1:2">
      <c r="A1596" s="176">
        <v>39925</v>
      </c>
      <c r="B1596" s="111" t="s">
        <v>2240</v>
      </c>
    </row>
    <row r="1597" spans="1:2">
      <c r="A1597" s="176">
        <v>39926</v>
      </c>
      <c r="B1597" s="111" t="s">
        <v>2240</v>
      </c>
    </row>
    <row r="1598" spans="1:2">
      <c r="A1598" s="176">
        <v>39927</v>
      </c>
      <c r="B1598" s="111" t="s">
        <v>2240</v>
      </c>
    </row>
    <row r="1599" spans="1:2">
      <c r="A1599" s="176">
        <v>39930</v>
      </c>
      <c r="B1599" s="111" t="s">
        <v>2240</v>
      </c>
    </row>
    <row r="1600" spans="1:2">
      <c r="A1600" s="176">
        <v>39931</v>
      </c>
      <c r="B1600" s="111" t="s">
        <v>2240</v>
      </c>
    </row>
    <row r="1601" spans="1:2">
      <c r="A1601" s="176">
        <v>39932</v>
      </c>
      <c r="B1601" s="111" t="s">
        <v>2240</v>
      </c>
    </row>
    <row r="1602" spans="1:2">
      <c r="A1602" s="176">
        <v>39933</v>
      </c>
      <c r="B1602" s="111" t="s">
        <v>2240</v>
      </c>
    </row>
    <row r="1603" spans="1:2">
      <c r="A1603" s="176">
        <v>39937</v>
      </c>
      <c r="B1603" s="111" t="s">
        <v>2240</v>
      </c>
    </row>
    <row r="1604" spans="1:2">
      <c r="A1604" s="176">
        <v>39938</v>
      </c>
      <c r="B1604" s="111" t="s">
        <v>2240</v>
      </c>
    </row>
    <row r="1605" spans="1:2">
      <c r="A1605" s="176">
        <v>39939</v>
      </c>
      <c r="B1605" s="111" t="s">
        <v>2240</v>
      </c>
    </row>
    <row r="1606" spans="1:2">
      <c r="A1606" s="176">
        <v>39940</v>
      </c>
      <c r="B1606" s="111" t="s">
        <v>2240</v>
      </c>
    </row>
    <row r="1607" spans="1:2">
      <c r="A1607" s="176">
        <v>39941</v>
      </c>
      <c r="B1607" s="111" t="s">
        <v>2240</v>
      </c>
    </row>
    <row r="1608" spans="1:2">
      <c r="A1608" s="176">
        <v>39944</v>
      </c>
      <c r="B1608" s="111" t="s">
        <v>2240</v>
      </c>
    </row>
    <row r="1609" spans="1:2">
      <c r="A1609" s="176">
        <v>39945</v>
      </c>
      <c r="B1609" s="111" t="s">
        <v>2240</v>
      </c>
    </row>
    <row r="1610" spans="1:2">
      <c r="A1610" s="176">
        <v>39946</v>
      </c>
      <c r="B1610" s="111" t="s">
        <v>2240</v>
      </c>
    </row>
    <row r="1611" spans="1:2">
      <c r="A1611" s="176">
        <v>39947</v>
      </c>
      <c r="B1611" s="111" t="s">
        <v>2240</v>
      </c>
    </row>
    <row r="1612" spans="1:2">
      <c r="A1612" s="176">
        <v>39948</v>
      </c>
      <c r="B1612" s="111" t="s">
        <v>2240</v>
      </c>
    </row>
    <row r="1613" spans="1:2">
      <c r="A1613" s="176">
        <v>39951</v>
      </c>
      <c r="B1613" s="111" t="s">
        <v>2240</v>
      </c>
    </row>
    <row r="1614" spans="1:2">
      <c r="A1614" s="176">
        <v>39952</v>
      </c>
      <c r="B1614" s="111" t="s">
        <v>2240</v>
      </c>
    </row>
    <row r="1615" spans="1:2">
      <c r="A1615" s="176">
        <v>39953</v>
      </c>
      <c r="B1615" s="111" t="s">
        <v>2240</v>
      </c>
    </row>
    <row r="1616" spans="1:2">
      <c r="A1616" s="176">
        <v>39954</v>
      </c>
      <c r="B1616" s="111" t="s">
        <v>2240</v>
      </c>
    </row>
    <row r="1617" spans="1:2">
      <c r="A1617" s="176">
        <v>39955</v>
      </c>
      <c r="B1617" s="111" t="s">
        <v>2240</v>
      </c>
    </row>
    <row r="1618" spans="1:2">
      <c r="A1618" s="176">
        <v>39958</v>
      </c>
      <c r="B1618" s="111" t="s">
        <v>2240</v>
      </c>
    </row>
    <row r="1619" spans="1:2">
      <c r="A1619" s="176">
        <v>39959</v>
      </c>
      <c r="B1619" s="111" t="s">
        <v>2240</v>
      </c>
    </row>
    <row r="1620" spans="1:2">
      <c r="A1620" s="176">
        <v>39960</v>
      </c>
      <c r="B1620" s="111" t="s">
        <v>2240</v>
      </c>
    </row>
    <row r="1621" spans="1:2">
      <c r="A1621" s="176">
        <v>39964</v>
      </c>
      <c r="B1621" s="111" t="s">
        <v>2240</v>
      </c>
    </row>
    <row r="1622" spans="1:2">
      <c r="A1622" s="176">
        <v>39965</v>
      </c>
      <c r="B1622" s="111" t="s">
        <v>2240</v>
      </c>
    </row>
    <row r="1623" spans="1:2">
      <c r="A1623" s="176">
        <v>39966</v>
      </c>
      <c r="B1623" s="111" t="s">
        <v>2240</v>
      </c>
    </row>
    <row r="1624" spans="1:2">
      <c r="A1624" s="176">
        <v>39967</v>
      </c>
      <c r="B1624" s="111" t="s">
        <v>2240</v>
      </c>
    </row>
    <row r="1625" spans="1:2">
      <c r="A1625" s="176">
        <v>39968</v>
      </c>
      <c r="B1625" s="111" t="s">
        <v>2240</v>
      </c>
    </row>
    <row r="1626" spans="1:2">
      <c r="A1626" s="176">
        <v>39969</v>
      </c>
      <c r="B1626" s="111" t="s">
        <v>2240</v>
      </c>
    </row>
    <row r="1627" spans="1:2">
      <c r="A1627" s="176">
        <v>39972</v>
      </c>
      <c r="B1627" s="111" t="s">
        <v>2240</v>
      </c>
    </row>
    <row r="1628" spans="1:2">
      <c r="A1628" s="176">
        <v>39973</v>
      </c>
      <c r="B1628" s="111" t="s">
        <v>2240</v>
      </c>
    </row>
    <row r="1629" spans="1:2">
      <c r="A1629" s="176">
        <v>39974</v>
      </c>
      <c r="B1629" s="111" t="s">
        <v>2240</v>
      </c>
    </row>
    <row r="1630" spans="1:2">
      <c r="A1630" s="176">
        <v>39975</v>
      </c>
      <c r="B1630" s="111" t="s">
        <v>2240</v>
      </c>
    </row>
    <row r="1631" spans="1:2">
      <c r="A1631" s="176">
        <v>39976</v>
      </c>
      <c r="B1631" s="111" t="s">
        <v>2240</v>
      </c>
    </row>
    <row r="1632" spans="1:2">
      <c r="A1632" s="176">
        <v>39979</v>
      </c>
      <c r="B1632" s="111" t="s">
        <v>2240</v>
      </c>
    </row>
    <row r="1633" spans="1:2">
      <c r="A1633" s="176">
        <v>39980</v>
      </c>
      <c r="B1633" s="111" t="s">
        <v>2240</v>
      </c>
    </row>
    <row r="1634" spans="1:2">
      <c r="A1634" s="176">
        <v>39981</v>
      </c>
      <c r="B1634" s="111" t="s">
        <v>2240</v>
      </c>
    </row>
    <row r="1635" spans="1:2">
      <c r="A1635" s="176">
        <v>39982</v>
      </c>
      <c r="B1635" s="111" t="s">
        <v>2240</v>
      </c>
    </row>
    <row r="1636" spans="1:2">
      <c r="A1636" s="176">
        <v>39983</v>
      </c>
      <c r="B1636" s="111" t="s">
        <v>2240</v>
      </c>
    </row>
    <row r="1637" spans="1:2">
      <c r="A1637" s="176">
        <v>39986</v>
      </c>
      <c r="B1637" s="111" t="s">
        <v>2240</v>
      </c>
    </row>
    <row r="1638" spans="1:2">
      <c r="A1638" s="176">
        <v>39987</v>
      </c>
      <c r="B1638" s="111" t="s">
        <v>2240</v>
      </c>
    </row>
    <row r="1639" spans="1:2">
      <c r="A1639" s="176">
        <v>39988</v>
      </c>
      <c r="B1639" s="111" t="s">
        <v>2240</v>
      </c>
    </row>
    <row r="1640" spans="1:2">
      <c r="A1640" s="176">
        <v>39989</v>
      </c>
      <c r="B1640" s="111" t="s">
        <v>2240</v>
      </c>
    </row>
    <row r="1641" spans="1:2">
      <c r="A1641" s="176">
        <v>39990</v>
      </c>
      <c r="B1641" s="111" t="s">
        <v>2240</v>
      </c>
    </row>
    <row r="1642" spans="1:2">
      <c r="A1642" s="176">
        <v>39993</v>
      </c>
      <c r="B1642" s="111" t="s">
        <v>2240</v>
      </c>
    </row>
    <row r="1643" spans="1:2">
      <c r="A1643" s="176">
        <v>39994</v>
      </c>
      <c r="B1643" s="111" t="s">
        <v>2240</v>
      </c>
    </row>
    <row r="1644" spans="1:2">
      <c r="A1644" s="176">
        <v>39995</v>
      </c>
      <c r="B1644" s="111" t="s">
        <v>2240</v>
      </c>
    </row>
    <row r="1645" spans="1:2">
      <c r="A1645" s="176">
        <v>39996</v>
      </c>
      <c r="B1645" s="111" t="s">
        <v>2240</v>
      </c>
    </row>
    <row r="1646" spans="1:2">
      <c r="A1646" s="176">
        <v>39997</v>
      </c>
      <c r="B1646" s="111" t="s">
        <v>2240</v>
      </c>
    </row>
    <row r="1647" spans="1:2">
      <c r="A1647" s="176">
        <v>40000</v>
      </c>
      <c r="B1647" s="111" t="s">
        <v>2240</v>
      </c>
    </row>
    <row r="1648" spans="1:2">
      <c r="A1648" s="176">
        <v>40001</v>
      </c>
      <c r="B1648" s="111" t="s">
        <v>2240</v>
      </c>
    </row>
    <row r="1649" spans="1:2">
      <c r="A1649" s="176">
        <v>40002</v>
      </c>
      <c r="B1649" s="111" t="s">
        <v>2240</v>
      </c>
    </row>
    <row r="1650" spans="1:2">
      <c r="A1650" s="176">
        <v>40003</v>
      </c>
      <c r="B1650" s="111" t="s">
        <v>2240</v>
      </c>
    </row>
    <row r="1651" spans="1:2">
      <c r="A1651" s="176">
        <v>40004</v>
      </c>
      <c r="B1651" s="111" t="s">
        <v>2240</v>
      </c>
    </row>
    <row r="1652" spans="1:2">
      <c r="A1652" s="176">
        <v>40007</v>
      </c>
      <c r="B1652" s="111" t="s">
        <v>2240</v>
      </c>
    </row>
    <row r="1653" spans="1:2">
      <c r="A1653" s="176">
        <v>40008</v>
      </c>
      <c r="B1653" s="111" t="s">
        <v>2240</v>
      </c>
    </row>
    <row r="1654" spans="1:2">
      <c r="A1654" s="176">
        <v>40009</v>
      </c>
      <c r="B1654" s="111" t="s">
        <v>2240</v>
      </c>
    </row>
    <row r="1655" spans="1:2">
      <c r="A1655" s="176">
        <v>40010</v>
      </c>
      <c r="B1655" s="111" t="s">
        <v>2240</v>
      </c>
    </row>
    <row r="1656" spans="1:2">
      <c r="A1656" s="176">
        <v>40011</v>
      </c>
      <c r="B1656" s="111" t="s">
        <v>2240</v>
      </c>
    </row>
    <row r="1657" spans="1:2">
      <c r="A1657" s="176">
        <v>40014</v>
      </c>
      <c r="B1657" s="111" t="s">
        <v>2240</v>
      </c>
    </row>
    <row r="1658" spans="1:2">
      <c r="A1658" s="176">
        <v>40015</v>
      </c>
      <c r="B1658" s="111" t="s">
        <v>2240</v>
      </c>
    </row>
    <row r="1659" spans="1:2">
      <c r="A1659" s="176">
        <v>40016</v>
      </c>
      <c r="B1659" s="111" t="s">
        <v>2240</v>
      </c>
    </row>
    <row r="1660" spans="1:2">
      <c r="A1660" s="176">
        <v>40017</v>
      </c>
      <c r="B1660" s="111" t="s">
        <v>2240</v>
      </c>
    </row>
    <row r="1661" spans="1:2">
      <c r="A1661" s="176">
        <v>40018</v>
      </c>
      <c r="B1661" s="111" t="s">
        <v>2240</v>
      </c>
    </row>
    <row r="1662" spans="1:2">
      <c r="A1662" s="176">
        <v>40021</v>
      </c>
      <c r="B1662" s="111" t="s">
        <v>2240</v>
      </c>
    </row>
    <row r="1663" spans="1:2">
      <c r="A1663" s="176">
        <v>40022</v>
      </c>
      <c r="B1663" s="111" t="s">
        <v>2240</v>
      </c>
    </row>
    <row r="1664" spans="1:2">
      <c r="A1664" s="176">
        <v>40023</v>
      </c>
      <c r="B1664" s="111" t="s">
        <v>2240</v>
      </c>
    </row>
    <row r="1665" spans="1:2">
      <c r="A1665" s="176">
        <v>40024</v>
      </c>
      <c r="B1665" s="111" t="s">
        <v>2240</v>
      </c>
    </row>
    <row r="1666" spans="1:2">
      <c r="A1666" s="176">
        <v>40025</v>
      </c>
      <c r="B1666" s="111" t="s">
        <v>2240</v>
      </c>
    </row>
    <row r="1667" spans="1:2">
      <c r="A1667" s="176">
        <v>40028</v>
      </c>
      <c r="B1667" s="111" t="s">
        <v>2240</v>
      </c>
    </row>
    <row r="1668" spans="1:2">
      <c r="A1668" s="176">
        <v>40029</v>
      </c>
      <c r="B1668" s="111" t="s">
        <v>2240</v>
      </c>
    </row>
    <row r="1669" spans="1:2">
      <c r="A1669" s="176">
        <v>40030</v>
      </c>
      <c r="B1669" s="111" t="s">
        <v>2240</v>
      </c>
    </row>
    <row r="1670" spans="1:2">
      <c r="A1670" s="176">
        <v>40031</v>
      </c>
      <c r="B1670" s="111" t="s">
        <v>2240</v>
      </c>
    </row>
    <row r="1671" spans="1:2">
      <c r="A1671" s="176">
        <v>40032</v>
      </c>
      <c r="B1671" s="111" t="s">
        <v>2240</v>
      </c>
    </row>
    <row r="1672" spans="1:2">
      <c r="A1672" s="176">
        <v>40035</v>
      </c>
      <c r="B1672" s="111" t="s">
        <v>2240</v>
      </c>
    </row>
    <row r="1673" spans="1:2">
      <c r="A1673" s="176">
        <v>40036</v>
      </c>
      <c r="B1673" s="111" t="s">
        <v>2240</v>
      </c>
    </row>
    <row r="1674" spans="1:2">
      <c r="A1674" s="176">
        <v>40037</v>
      </c>
      <c r="B1674" s="111" t="s">
        <v>2240</v>
      </c>
    </row>
    <row r="1675" spans="1:2">
      <c r="A1675" s="176">
        <v>40038</v>
      </c>
      <c r="B1675" s="111" t="s">
        <v>2240</v>
      </c>
    </row>
    <row r="1676" spans="1:2">
      <c r="A1676" s="176">
        <v>40039</v>
      </c>
      <c r="B1676" s="111" t="s">
        <v>2240</v>
      </c>
    </row>
    <row r="1677" spans="1:2">
      <c r="A1677" s="176">
        <v>40042</v>
      </c>
      <c r="B1677" s="111" t="s">
        <v>2240</v>
      </c>
    </row>
    <row r="1678" spans="1:2">
      <c r="A1678" s="176">
        <v>40043</v>
      </c>
      <c r="B1678" s="111" t="s">
        <v>2240</v>
      </c>
    </row>
    <row r="1679" spans="1:2">
      <c r="A1679" s="176">
        <v>40044</v>
      </c>
      <c r="B1679" s="111" t="s">
        <v>2240</v>
      </c>
    </row>
    <row r="1680" spans="1:2">
      <c r="A1680" s="176">
        <v>40045</v>
      </c>
      <c r="B1680" s="111" t="s">
        <v>2240</v>
      </c>
    </row>
    <row r="1681" spans="1:2">
      <c r="A1681" s="176">
        <v>40046</v>
      </c>
      <c r="B1681" s="111" t="s">
        <v>2240</v>
      </c>
    </row>
    <row r="1682" spans="1:2">
      <c r="A1682" s="176">
        <v>40049</v>
      </c>
      <c r="B1682" s="111" t="s">
        <v>2240</v>
      </c>
    </row>
    <row r="1683" spans="1:2">
      <c r="A1683" s="176">
        <v>40050</v>
      </c>
      <c r="B1683" s="111" t="s">
        <v>2240</v>
      </c>
    </row>
    <row r="1684" spans="1:2">
      <c r="A1684" s="176">
        <v>40051</v>
      </c>
      <c r="B1684" s="111" t="s">
        <v>2240</v>
      </c>
    </row>
    <row r="1685" spans="1:2">
      <c r="A1685" s="176">
        <v>40052</v>
      </c>
      <c r="B1685" s="111" t="s">
        <v>2240</v>
      </c>
    </row>
    <row r="1686" spans="1:2">
      <c r="A1686" s="176">
        <v>40053</v>
      </c>
      <c r="B1686" s="111" t="s">
        <v>2240</v>
      </c>
    </row>
    <row r="1687" spans="1:2">
      <c r="A1687" s="176">
        <v>40056</v>
      </c>
      <c r="B1687" s="111" t="s">
        <v>2240</v>
      </c>
    </row>
    <row r="1688" spans="1:2">
      <c r="A1688" s="176">
        <v>40057</v>
      </c>
      <c r="B1688" s="111" t="s">
        <v>2240</v>
      </c>
    </row>
    <row r="1689" spans="1:2">
      <c r="A1689" s="176">
        <v>40058</v>
      </c>
      <c r="B1689" s="111" t="s">
        <v>2240</v>
      </c>
    </row>
    <row r="1690" spans="1:2">
      <c r="A1690" s="176">
        <v>40059</v>
      </c>
      <c r="B1690" s="111" t="s">
        <v>2240</v>
      </c>
    </row>
    <row r="1691" spans="1:2">
      <c r="A1691" s="176">
        <v>40060</v>
      </c>
      <c r="B1691" s="111" t="s">
        <v>2240</v>
      </c>
    </row>
    <row r="1692" spans="1:2">
      <c r="A1692" s="176">
        <v>40063</v>
      </c>
      <c r="B1692" s="111" t="s">
        <v>2240</v>
      </c>
    </row>
    <row r="1693" spans="1:2">
      <c r="A1693" s="176">
        <v>40064</v>
      </c>
      <c r="B1693" s="111" t="s">
        <v>2240</v>
      </c>
    </row>
    <row r="1694" spans="1:2">
      <c r="A1694" s="176">
        <v>40065</v>
      </c>
      <c r="B1694" s="111" t="s">
        <v>2240</v>
      </c>
    </row>
    <row r="1695" spans="1:2">
      <c r="A1695" s="176">
        <v>40066</v>
      </c>
      <c r="B1695" s="111" t="s">
        <v>2240</v>
      </c>
    </row>
    <row r="1696" spans="1:2">
      <c r="A1696" s="176">
        <v>40067</v>
      </c>
      <c r="B1696" s="111" t="s">
        <v>2240</v>
      </c>
    </row>
    <row r="1697" spans="1:2">
      <c r="A1697" s="176">
        <v>40070</v>
      </c>
      <c r="B1697" s="111" t="s">
        <v>2240</v>
      </c>
    </row>
    <row r="1698" spans="1:2">
      <c r="A1698" s="176">
        <v>40071</v>
      </c>
      <c r="B1698" s="111" t="s">
        <v>2240</v>
      </c>
    </row>
    <row r="1699" spans="1:2">
      <c r="A1699" s="176">
        <v>40072</v>
      </c>
      <c r="B1699" s="111" t="s">
        <v>2240</v>
      </c>
    </row>
    <row r="1700" spans="1:2">
      <c r="A1700" s="176">
        <v>40073</v>
      </c>
      <c r="B1700" s="111" t="s">
        <v>2240</v>
      </c>
    </row>
    <row r="1701" spans="1:2">
      <c r="A1701" s="176">
        <v>40074</v>
      </c>
      <c r="B1701" s="111" t="s">
        <v>2240</v>
      </c>
    </row>
    <row r="1702" spans="1:2">
      <c r="A1702" s="176">
        <v>40077</v>
      </c>
      <c r="B1702" s="111" t="s">
        <v>2240</v>
      </c>
    </row>
    <row r="1703" spans="1:2">
      <c r="A1703" s="176">
        <v>40078</v>
      </c>
      <c r="B1703" s="111" t="s">
        <v>2240</v>
      </c>
    </row>
    <row r="1704" spans="1:2">
      <c r="A1704" s="176">
        <v>40079</v>
      </c>
      <c r="B1704" s="111" t="s">
        <v>2240</v>
      </c>
    </row>
    <row r="1705" spans="1:2">
      <c r="A1705" s="176">
        <v>40080</v>
      </c>
      <c r="B1705" s="111" t="s">
        <v>2240</v>
      </c>
    </row>
    <row r="1706" spans="1:2">
      <c r="A1706" s="176">
        <v>40081</v>
      </c>
      <c r="B1706" s="111" t="s">
        <v>2240</v>
      </c>
    </row>
    <row r="1707" spans="1:2">
      <c r="A1707" s="176">
        <v>40083</v>
      </c>
      <c r="B1707" s="111" t="s">
        <v>2240</v>
      </c>
    </row>
    <row r="1708" spans="1:2">
      <c r="A1708" s="176">
        <v>40084</v>
      </c>
      <c r="B1708" s="111" t="s">
        <v>2240</v>
      </c>
    </row>
    <row r="1709" spans="1:2">
      <c r="A1709" s="176">
        <v>40085</v>
      </c>
      <c r="B1709" s="111" t="s">
        <v>2240</v>
      </c>
    </row>
    <row r="1710" spans="1:2">
      <c r="A1710" s="176">
        <v>40086</v>
      </c>
      <c r="B1710" s="111" t="s">
        <v>2240</v>
      </c>
    </row>
    <row r="1711" spans="1:2">
      <c r="A1711" s="176">
        <v>40095</v>
      </c>
      <c r="B1711" s="111" t="s">
        <v>2240</v>
      </c>
    </row>
    <row r="1712" spans="1:2">
      <c r="A1712" s="176">
        <v>40096</v>
      </c>
      <c r="B1712" s="111" t="s">
        <v>2240</v>
      </c>
    </row>
    <row r="1713" spans="1:2">
      <c r="A1713" s="176">
        <v>40098</v>
      </c>
      <c r="B1713" s="111" t="s">
        <v>2240</v>
      </c>
    </row>
    <row r="1714" spans="1:2">
      <c r="A1714" s="176">
        <v>40099</v>
      </c>
      <c r="B1714" s="111" t="s">
        <v>2240</v>
      </c>
    </row>
    <row r="1715" spans="1:2">
      <c r="A1715" s="176">
        <v>40100</v>
      </c>
      <c r="B1715" s="111" t="s">
        <v>2240</v>
      </c>
    </row>
    <row r="1716" spans="1:2">
      <c r="A1716" s="176">
        <v>40101</v>
      </c>
      <c r="B1716" s="111" t="s">
        <v>2240</v>
      </c>
    </row>
    <row r="1717" spans="1:2">
      <c r="A1717" s="176">
        <v>40102</v>
      </c>
      <c r="B1717" s="111" t="s">
        <v>2240</v>
      </c>
    </row>
    <row r="1718" spans="1:2">
      <c r="A1718" s="176">
        <v>40105</v>
      </c>
      <c r="B1718" s="111" t="s">
        <v>2240</v>
      </c>
    </row>
    <row r="1719" spans="1:2">
      <c r="A1719" s="176">
        <v>40106</v>
      </c>
      <c r="B1719" s="111" t="s">
        <v>2240</v>
      </c>
    </row>
    <row r="1720" spans="1:2">
      <c r="A1720" s="176">
        <v>40107</v>
      </c>
      <c r="B1720" s="111" t="s">
        <v>2240</v>
      </c>
    </row>
    <row r="1721" spans="1:2">
      <c r="A1721" s="176">
        <v>40108</v>
      </c>
      <c r="B1721" s="111" t="s">
        <v>2240</v>
      </c>
    </row>
    <row r="1722" spans="1:2">
      <c r="A1722" s="176">
        <v>40109</v>
      </c>
      <c r="B1722" s="111" t="s">
        <v>2240</v>
      </c>
    </row>
    <row r="1723" spans="1:2">
      <c r="A1723" s="176">
        <v>40112</v>
      </c>
      <c r="B1723" s="111" t="s">
        <v>2240</v>
      </c>
    </row>
    <row r="1724" spans="1:2">
      <c r="A1724" s="176">
        <v>40113</v>
      </c>
      <c r="B1724" s="111" t="s">
        <v>2240</v>
      </c>
    </row>
    <row r="1725" spans="1:2">
      <c r="A1725" s="176">
        <v>40114</v>
      </c>
      <c r="B1725" s="111" t="s">
        <v>2240</v>
      </c>
    </row>
    <row r="1726" spans="1:2">
      <c r="A1726" s="176">
        <v>40115</v>
      </c>
      <c r="B1726" s="111" t="s">
        <v>2240</v>
      </c>
    </row>
    <row r="1727" spans="1:2">
      <c r="A1727" s="176">
        <v>40116</v>
      </c>
      <c r="B1727" s="111" t="s">
        <v>2240</v>
      </c>
    </row>
    <row r="1728" spans="1:2">
      <c r="A1728" s="176">
        <v>40119</v>
      </c>
      <c r="B1728" s="111" t="s">
        <v>2240</v>
      </c>
    </row>
    <row r="1729" spans="1:2">
      <c r="A1729" s="176">
        <v>40120</v>
      </c>
      <c r="B1729" s="111" t="s">
        <v>2240</v>
      </c>
    </row>
    <row r="1730" spans="1:2">
      <c r="A1730" s="176">
        <v>40121</v>
      </c>
      <c r="B1730" s="111" t="s">
        <v>2240</v>
      </c>
    </row>
    <row r="1731" spans="1:2">
      <c r="A1731" s="176">
        <v>40122</v>
      </c>
      <c r="B1731" s="111" t="s">
        <v>2240</v>
      </c>
    </row>
    <row r="1732" spans="1:2">
      <c r="A1732" s="176">
        <v>40123</v>
      </c>
      <c r="B1732" s="111" t="s">
        <v>2240</v>
      </c>
    </row>
    <row r="1733" spans="1:2">
      <c r="A1733" s="176">
        <v>40126</v>
      </c>
      <c r="B1733" s="111" t="s">
        <v>2240</v>
      </c>
    </row>
    <row r="1734" spans="1:2">
      <c r="A1734" s="176">
        <v>40127</v>
      </c>
      <c r="B1734" s="111" t="s">
        <v>2240</v>
      </c>
    </row>
    <row r="1735" spans="1:2">
      <c r="A1735" s="176">
        <v>40128</v>
      </c>
      <c r="B1735" s="111" t="s">
        <v>2240</v>
      </c>
    </row>
    <row r="1736" spans="1:2">
      <c r="A1736" s="176">
        <v>40129</v>
      </c>
      <c r="B1736" s="111" t="s">
        <v>2240</v>
      </c>
    </row>
    <row r="1737" spans="1:2">
      <c r="A1737" s="176">
        <v>40130</v>
      </c>
      <c r="B1737" s="111" t="s">
        <v>2240</v>
      </c>
    </row>
    <row r="1738" spans="1:2">
      <c r="A1738" s="176">
        <v>40133</v>
      </c>
      <c r="B1738" s="111" t="s">
        <v>2240</v>
      </c>
    </row>
    <row r="1739" spans="1:2">
      <c r="A1739" s="176">
        <v>40134</v>
      </c>
      <c r="B1739" s="111" t="s">
        <v>2240</v>
      </c>
    </row>
    <row r="1740" spans="1:2">
      <c r="A1740" s="176">
        <v>40135</v>
      </c>
      <c r="B1740" s="111" t="s">
        <v>2240</v>
      </c>
    </row>
    <row r="1741" spans="1:2">
      <c r="A1741" s="176">
        <v>40136</v>
      </c>
      <c r="B1741" s="111" t="s">
        <v>2240</v>
      </c>
    </row>
    <row r="1742" spans="1:2">
      <c r="A1742" s="176">
        <v>40137</v>
      </c>
      <c r="B1742" s="111" t="s">
        <v>2240</v>
      </c>
    </row>
    <row r="1743" spans="1:2">
      <c r="A1743" s="176">
        <v>40140</v>
      </c>
      <c r="B1743" s="111" t="s">
        <v>2240</v>
      </c>
    </row>
    <row r="1744" spans="1:2">
      <c r="A1744" s="176">
        <v>40141</v>
      </c>
      <c r="B1744" s="111" t="s">
        <v>2240</v>
      </c>
    </row>
    <row r="1745" spans="1:2">
      <c r="A1745" s="176">
        <v>40142</v>
      </c>
      <c r="B1745" s="111" t="s">
        <v>2240</v>
      </c>
    </row>
    <row r="1746" spans="1:2">
      <c r="A1746" s="176">
        <v>40143</v>
      </c>
      <c r="B1746" s="111" t="s">
        <v>2240</v>
      </c>
    </row>
    <row r="1747" spans="1:2">
      <c r="A1747" s="176">
        <v>40144</v>
      </c>
      <c r="B1747" s="111" t="s">
        <v>2240</v>
      </c>
    </row>
    <row r="1748" spans="1:2">
      <c r="A1748" s="176">
        <v>40147</v>
      </c>
      <c r="B1748" s="111" t="s">
        <v>2240</v>
      </c>
    </row>
    <row r="1749" spans="1:2">
      <c r="A1749" s="176">
        <v>40148</v>
      </c>
      <c r="B1749" s="111" t="s">
        <v>2240</v>
      </c>
    </row>
    <row r="1750" spans="1:2">
      <c r="A1750" s="176">
        <v>40149</v>
      </c>
      <c r="B1750" s="111" t="s">
        <v>2240</v>
      </c>
    </row>
    <row r="1751" spans="1:2">
      <c r="A1751" s="176">
        <v>40150</v>
      </c>
      <c r="B1751" s="111" t="s">
        <v>2240</v>
      </c>
    </row>
    <row r="1752" spans="1:2">
      <c r="A1752" s="176">
        <v>40151</v>
      </c>
      <c r="B1752" s="111" t="s">
        <v>2240</v>
      </c>
    </row>
    <row r="1753" spans="1:2">
      <c r="A1753" s="176">
        <v>40154</v>
      </c>
      <c r="B1753" s="111" t="s">
        <v>2240</v>
      </c>
    </row>
    <row r="1754" spans="1:2">
      <c r="A1754" s="176">
        <v>40155</v>
      </c>
      <c r="B1754" s="111" t="s">
        <v>2240</v>
      </c>
    </row>
    <row r="1755" spans="1:2">
      <c r="A1755" s="176">
        <v>40156</v>
      </c>
      <c r="B1755" s="111" t="s">
        <v>2240</v>
      </c>
    </row>
    <row r="1756" spans="1:2">
      <c r="A1756" s="176">
        <v>40157</v>
      </c>
      <c r="B1756" s="111" t="s">
        <v>2240</v>
      </c>
    </row>
    <row r="1757" spans="1:2">
      <c r="A1757" s="176">
        <v>40158</v>
      </c>
      <c r="B1757" s="111" t="s">
        <v>2240</v>
      </c>
    </row>
    <row r="1758" spans="1:2">
      <c r="A1758" s="176">
        <v>40161</v>
      </c>
      <c r="B1758" s="111" t="s">
        <v>2240</v>
      </c>
    </row>
    <row r="1759" spans="1:2">
      <c r="A1759" s="176">
        <v>40162</v>
      </c>
      <c r="B1759" s="111" t="s">
        <v>2240</v>
      </c>
    </row>
    <row r="1760" spans="1:2">
      <c r="A1760" s="176">
        <v>40163</v>
      </c>
      <c r="B1760" s="111" t="s">
        <v>2240</v>
      </c>
    </row>
    <row r="1761" spans="1:2">
      <c r="A1761" s="176">
        <v>40164</v>
      </c>
      <c r="B1761" s="111" t="s">
        <v>2240</v>
      </c>
    </row>
    <row r="1762" spans="1:2">
      <c r="A1762" s="176">
        <v>40165</v>
      </c>
      <c r="B1762" s="111" t="s">
        <v>2240</v>
      </c>
    </row>
    <row r="1763" spans="1:2">
      <c r="A1763" s="176">
        <v>40168</v>
      </c>
      <c r="B1763" s="111" t="s">
        <v>2240</v>
      </c>
    </row>
    <row r="1764" spans="1:2">
      <c r="A1764" s="176">
        <v>40169</v>
      </c>
      <c r="B1764" s="111" t="s">
        <v>2240</v>
      </c>
    </row>
    <row r="1765" spans="1:2">
      <c r="A1765" s="176">
        <v>40170</v>
      </c>
      <c r="B1765" s="111" t="s">
        <v>2240</v>
      </c>
    </row>
    <row r="1766" spans="1:2">
      <c r="A1766" s="176">
        <v>40171</v>
      </c>
      <c r="B1766" s="111" t="s">
        <v>2240</v>
      </c>
    </row>
    <row r="1767" spans="1:2">
      <c r="A1767" s="176">
        <v>40172</v>
      </c>
      <c r="B1767" s="111" t="s">
        <v>2240</v>
      </c>
    </row>
    <row r="1768" spans="1:2">
      <c r="A1768" s="176">
        <v>40175</v>
      </c>
      <c r="B1768" s="111" t="s">
        <v>2240</v>
      </c>
    </row>
    <row r="1769" spans="1:2">
      <c r="A1769" s="176">
        <v>40176</v>
      </c>
      <c r="B1769" s="111" t="s">
        <v>2240</v>
      </c>
    </row>
    <row r="1770" spans="1:2">
      <c r="A1770" s="176">
        <v>40177</v>
      </c>
      <c r="B1770" s="111" t="s">
        <v>2240</v>
      </c>
    </row>
    <row r="1771" spans="1:2">
      <c r="A1771" s="176">
        <v>40178</v>
      </c>
      <c r="B1771" s="111" t="s">
        <v>2240</v>
      </c>
    </row>
    <row r="1772" spans="1:2">
      <c r="A1772" s="176">
        <v>40182</v>
      </c>
      <c r="B1772" s="111" t="s">
        <v>2240</v>
      </c>
    </row>
    <row r="1773" spans="1:2">
      <c r="A1773" s="176">
        <v>40183</v>
      </c>
      <c r="B1773" s="111" t="s">
        <v>2240</v>
      </c>
    </row>
    <row r="1774" spans="1:2">
      <c r="A1774" s="176">
        <v>40184</v>
      </c>
      <c r="B1774" s="111" t="s">
        <v>2240</v>
      </c>
    </row>
    <row r="1775" spans="1:2">
      <c r="A1775" s="176">
        <v>40185</v>
      </c>
      <c r="B1775" s="111" t="s">
        <v>2240</v>
      </c>
    </row>
    <row r="1776" spans="1:2">
      <c r="A1776" s="176">
        <v>40186</v>
      </c>
      <c r="B1776" s="111" t="s">
        <v>2240</v>
      </c>
    </row>
    <row r="1777" spans="1:2">
      <c r="A1777" s="176">
        <v>40189</v>
      </c>
      <c r="B1777" s="111" t="s">
        <v>2240</v>
      </c>
    </row>
    <row r="1778" spans="1:2">
      <c r="A1778" s="176">
        <v>40190</v>
      </c>
      <c r="B1778" s="111" t="s">
        <v>2240</v>
      </c>
    </row>
    <row r="1779" spans="1:2">
      <c r="A1779" s="176">
        <v>40191</v>
      </c>
      <c r="B1779" s="111" t="s">
        <v>2240</v>
      </c>
    </row>
    <row r="1780" spans="1:2">
      <c r="A1780" s="176">
        <v>40192</v>
      </c>
      <c r="B1780" s="111" t="s">
        <v>2240</v>
      </c>
    </row>
    <row r="1781" spans="1:2">
      <c r="A1781" s="176">
        <v>40193</v>
      </c>
      <c r="B1781" s="111" t="s">
        <v>2240</v>
      </c>
    </row>
    <row r="1782" spans="1:2">
      <c r="A1782" s="176">
        <v>40196</v>
      </c>
      <c r="B1782" s="111" t="s">
        <v>2240</v>
      </c>
    </row>
    <row r="1783" spans="1:2">
      <c r="A1783" s="176">
        <v>40197</v>
      </c>
      <c r="B1783" s="111" t="s">
        <v>2240</v>
      </c>
    </row>
    <row r="1784" spans="1:2">
      <c r="A1784" s="176">
        <v>40198</v>
      </c>
      <c r="B1784" s="111" t="s">
        <v>2240</v>
      </c>
    </row>
    <row r="1785" spans="1:2">
      <c r="A1785" s="176">
        <v>40199</v>
      </c>
      <c r="B1785" s="111" t="s">
        <v>2240</v>
      </c>
    </row>
    <row r="1786" spans="1:2">
      <c r="A1786" s="176">
        <v>40200</v>
      </c>
      <c r="B1786" s="111" t="s">
        <v>2240</v>
      </c>
    </row>
    <row r="1787" spans="1:2">
      <c r="A1787" s="176">
        <v>40203</v>
      </c>
      <c r="B1787" s="111" t="s">
        <v>2240</v>
      </c>
    </row>
    <row r="1788" spans="1:2">
      <c r="A1788" s="176">
        <v>40204</v>
      </c>
      <c r="B1788" s="111" t="s">
        <v>2240</v>
      </c>
    </row>
    <row r="1789" spans="1:2">
      <c r="A1789" s="176">
        <v>40205</v>
      </c>
      <c r="B1789" s="111" t="s">
        <v>2240</v>
      </c>
    </row>
    <row r="1790" spans="1:2">
      <c r="A1790" s="176">
        <v>40206</v>
      </c>
      <c r="B1790" s="111" t="s">
        <v>2240</v>
      </c>
    </row>
    <row r="1791" spans="1:2">
      <c r="A1791" s="176">
        <v>40207</v>
      </c>
      <c r="B1791" s="111" t="s">
        <v>2240</v>
      </c>
    </row>
    <row r="1792" spans="1:2">
      <c r="A1792" s="176">
        <v>40210</v>
      </c>
      <c r="B1792" s="111" t="s">
        <v>2240</v>
      </c>
    </row>
    <row r="1793" spans="1:2">
      <c r="A1793" s="176">
        <v>40211</v>
      </c>
      <c r="B1793" s="111" t="s">
        <v>2240</v>
      </c>
    </row>
    <row r="1794" spans="1:2">
      <c r="A1794" s="176">
        <v>40212</v>
      </c>
      <c r="B1794" s="111" t="s">
        <v>2240</v>
      </c>
    </row>
    <row r="1795" spans="1:2">
      <c r="A1795" s="176">
        <v>40213</v>
      </c>
      <c r="B1795" s="111" t="s">
        <v>2240</v>
      </c>
    </row>
    <row r="1796" spans="1:2">
      <c r="A1796" s="176">
        <v>40214</v>
      </c>
      <c r="B1796" s="111" t="s">
        <v>2240</v>
      </c>
    </row>
    <row r="1797" spans="1:2">
      <c r="A1797" s="176">
        <v>40217</v>
      </c>
      <c r="B1797" s="111" t="s">
        <v>2240</v>
      </c>
    </row>
    <row r="1798" spans="1:2">
      <c r="A1798" s="176">
        <v>40218</v>
      </c>
      <c r="B1798" s="111" t="s">
        <v>2240</v>
      </c>
    </row>
    <row r="1799" spans="1:2">
      <c r="A1799" s="176">
        <v>40219</v>
      </c>
      <c r="B1799" s="111" t="s">
        <v>2240</v>
      </c>
    </row>
    <row r="1800" spans="1:2">
      <c r="A1800" s="176">
        <v>40220</v>
      </c>
      <c r="B1800" s="111" t="s">
        <v>2240</v>
      </c>
    </row>
    <row r="1801" spans="1:2">
      <c r="A1801" s="176">
        <v>40221</v>
      </c>
      <c r="B1801" s="111" t="s">
        <v>2240</v>
      </c>
    </row>
    <row r="1802" spans="1:2">
      <c r="A1802" s="176">
        <v>40229</v>
      </c>
      <c r="B1802" s="111" t="s">
        <v>2240</v>
      </c>
    </row>
    <row r="1803" spans="1:2">
      <c r="A1803" s="176">
        <v>40230</v>
      </c>
      <c r="B1803" s="111" t="s">
        <v>2240</v>
      </c>
    </row>
    <row r="1804" spans="1:2">
      <c r="A1804" s="176">
        <v>40231</v>
      </c>
      <c r="B1804" s="111" t="s">
        <v>2240</v>
      </c>
    </row>
    <row r="1805" spans="1:2">
      <c r="A1805" s="176">
        <v>40232</v>
      </c>
      <c r="B1805" s="111" t="s">
        <v>2240</v>
      </c>
    </row>
    <row r="1806" spans="1:2">
      <c r="A1806" s="176">
        <v>40233</v>
      </c>
      <c r="B1806" s="111" t="s">
        <v>2240</v>
      </c>
    </row>
    <row r="1807" spans="1:2">
      <c r="A1807" s="176">
        <v>40234</v>
      </c>
      <c r="B1807" s="111" t="s">
        <v>2240</v>
      </c>
    </row>
    <row r="1808" spans="1:2">
      <c r="A1808" s="176">
        <v>40235</v>
      </c>
      <c r="B1808" s="111" t="s">
        <v>2240</v>
      </c>
    </row>
    <row r="1809" spans="1:2">
      <c r="A1809" s="176">
        <v>40238</v>
      </c>
      <c r="B1809" s="111" t="s">
        <v>2240</v>
      </c>
    </row>
    <row r="1810" spans="1:2">
      <c r="A1810" s="176">
        <v>40239</v>
      </c>
      <c r="B1810" s="111" t="s">
        <v>2240</v>
      </c>
    </row>
    <row r="1811" spans="1:2">
      <c r="A1811" s="176">
        <v>40240</v>
      </c>
      <c r="B1811" s="111" t="s">
        <v>2240</v>
      </c>
    </row>
    <row r="1812" spans="1:2">
      <c r="A1812" s="176">
        <v>40241</v>
      </c>
      <c r="B1812" s="111" t="s">
        <v>2240</v>
      </c>
    </row>
    <row r="1813" spans="1:2">
      <c r="A1813" s="176">
        <v>40242</v>
      </c>
      <c r="B1813" s="111" t="s">
        <v>2240</v>
      </c>
    </row>
    <row r="1814" spans="1:2">
      <c r="A1814" s="176">
        <v>40245</v>
      </c>
      <c r="B1814" s="111" t="s">
        <v>2240</v>
      </c>
    </row>
    <row r="1815" spans="1:2">
      <c r="A1815" s="176">
        <v>40246</v>
      </c>
      <c r="B1815" s="111" t="s">
        <v>2240</v>
      </c>
    </row>
    <row r="1816" spans="1:2">
      <c r="A1816" s="176">
        <v>40247</v>
      </c>
      <c r="B1816" s="111" t="s">
        <v>2240</v>
      </c>
    </row>
    <row r="1817" spans="1:2">
      <c r="A1817" s="176">
        <v>40248</v>
      </c>
      <c r="B1817" s="111" t="s">
        <v>2240</v>
      </c>
    </row>
    <row r="1818" spans="1:2">
      <c r="A1818" s="176">
        <v>40249</v>
      </c>
      <c r="B1818" s="111" t="s">
        <v>2240</v>
      </c>
    </row>
    <row r="1819" spans="1:2">
      <c r="A1819" s="176">
        <v>40252</v>
      </c>
      <c r="B1819" s="111" t="s">
        <v>2240</v>
      </c>
    </row>
    <row r="1820" spans="1:2">
      <c r="A1820" s="176">
        <v>40253</v>
      </c>
      <c r="B1820" s="111" t="s">
        <v>2240</v>
      </c>
    </row>
    <row r="1821" spans="1:2">
      <c r="A1821" s="176">
        <v>40254</v>
      </c>
      <c r="B1821" s="111" t="s">
        <v>2240</v>
      </c>
    </row>
    <row r="1822" spans="1:2">
      <c r="A1822" s="176">
        <v>40255</v>
      </c>
      <c r="B1822" s="111" t="s">
        <v>2240</v>
      </c>
    </row>
    <row r="1823" spans="1:2">
      <c r="A1823" s="176">
        <v>40256</v>
      </c>
      <c r="B1823" s="111" t="s">
        <v>2240</v>
      </c>
    </row>
    <row r="1824" spans="1:2">
      <c r="A1824" s="176">
        <v>40259</v>
      </c>
      <c r="B1824" s="111" t="s">
        <v>2240</v>
      </c>
    </row>
    <row r="1825" spans="1:2">
      <c r="A1825" s="176">
        <v>40260</v>
      </c>
      <c r="B1825" s="111" t="s">
        <v>2240</v>
      </c>
    </row>
    <row r="1826" spans="1:2">
      <c r="A1826" s="176">
        <v>40261</v>
      </c>
      <c r="B1826" s="111" t="s">
        <v>2240</v>
      </c>
    </row>
    <row r="1827" spans="1:2">
      <c r="A1827" s="176">
        <v>40262</v>
      </c>
      <c r="B1827" s="111" t="s">
        <v>2240</v>
      </c>
    </row>
    <row r="1828" spans="1:2">
      <c r="A1828" s="176">
        <v>40263</v>
      </c>
      <c r="B1828" s="111" t="s">
        <v>2240</v>
      </c>
    </row>
    <row r="1829" spans="1:2">
      <c r="A1829" s="176">
        <v>40266</v>
      </c>
      <c r="B1829" s="111" t="s">
        <v>2240</v>
      </c>
    </row>
    <row r="1830" spans="1:2">
      <c r="A1830" s="176">
        <v>40267</v>
      </c>
      <c r="B1830" s="111" t="s">
        <v>2240</v>
      </c>
    </row>
    <row r="1831" spans="1:2">
      <c r="A1831" s="176">
        <v>40268</v>
      </c>
      <c r="B1831" s="111" t="s">
        <v>2240</v>
      </c>
    </row>
    <row r="1832" spans="1:2">
      <c r="A1832" s="176">
        <v>40269</v>
      </c>
      <c r="B1832" s="111" t="s">
        <v>2240</v>
      </c>
    </row>
    <row r="1833" spans="1:2">
      <c r="A1833" s="176">
        <v>40270</v>
      </c>
      <c r="B1833" s="111" t="s">
        <v>2240</v>
      </c>
    </row>
    <row r="1834" spans="1:2">
      <c r="A1834" s="176">
        <v>40274</v>
      </c>
      <c r="B1834" s="111" t="s">
        <v>2240</v>
      </c>
    </row>
    <row r="1835" spans="1:2">
      <c r="A1835" s="176">
        <v>40275</v>
      </c>
      <c r="B1835" s="111" t="s">
        <v>2240</v>
      </c>
    </row>
    <row r="1836" spans="1:2">
      <c r="A1836" s="176">
        <v>40276</v>
      </c>
      <c r="B1836" s="111" t="s">
        <v>2240</v>
      </c>
    </row>
    <row r="1837" spans="1:2">
      <c r="A1837" s="176">
        <v>40277</v>
      </c>
      <c r="B1837" s="111" t="s">
        <v>2240</v>
      </c>
    </row>
    <row r="1838" spans="1:2">
      <c r="A1838" s="176">
        <v>40280</v>
      </c>
      <c r="B1838" s="111" t="s">
        <v>2240</v>
      </c>
    </row>
    <row r="1839" spans="1:2">
      <c r="A1839" s="176">
        <v>40281</v>
      </c>
      <c r="B1839" s="111" t="s">
        <v>2240</v>
      </c>
    </row>
    <row r="1840" spans="1:2">
      <c r="A1840" s="176">
        <v>40282</v>
      </c>
      <c r="B1840" s="111" t="s">
        <v>2240</v>
      </c>
    </row>
    <row r="1841" spans="1:2">
      <c r="A1841" s="176">
        <v>40283</v>
      </c>
      <c r="B1841" s="111" t="s">
        <v>2240</v>
      </c>
    </row>
    <row r="1842" spans="1:2">
      <c r="A1842" s="176">
        <v>40284</v>
      </c>
      <c r="B1842" s="111" t="s">
        <v>2240</v>
      </c>
    </row>
    <row r="1843" spans="1:2">
      <c r="A1843" s="176">
        <v>40287</v>
      </c>
      <c r="B1843" s="111" t="s">
        <v>2240</v>
      </c>
    </row>
    <row r="1844" spans="1:2">
      <c r="A1844" s="176">
        <v>40288</v>
      </c>
      <c r="B1844" s="111" t="s">
        <v>2240</v>
      </c>
    </row>
    <row r="1845" spans="1:2">
      <c r="A1845" s="176">
        <v>40289</v>
      </c>
      <c r="B1845" s="111" t="s">
        <v>2240</v>
      </c>
    </row>
    <row r="1846" spans="1:2">
      <c r="A1846" s="176">
        <v>40290</v>
      </c>
      <c r="B1846" s="111" t="s">
        <v>2240</v>
      </c>
    </row>
    <row r="1847" spans="1:2">
      <c r="A1847" s="176">
        <v>40291</v>
      </c>
      <c r="B1847" s="111" t="s">
        <v>2240</v>
      </c>
    </row>
    <row r="1848" spans="1:2">
      <c r="A1848" s="176">
        <v>40294</v>
      </c>
      <c r="B1848" s="111" t="s">
        <v>2240</v>
      </c>
    </row>
    <row r="1849" spans="1:2">
      <c r="A1849" s="176">
        <v>40295</v>
      </c>
      <c r="B1849" s="111" t="s">
        <v>2240</v>
      </c>
    </row>
    <row r="1850" spans="1:2">
      <c r="A1850" s="176">
        <v>40296</v>
      </c>
      <c r="B1850" s="111" t="s">
        <v>2240</v>
      </c>
    </row>
    <row r="1851" spans="1:2">
      <c r="A1851" s="176">
        <v>40297</v>
      </c>
      <c r="B1851" s="111" t="s">
        <v>2240</v>
      </c>
    </row>
    <row r="1852" spans="1:2">
      <c r="A1852" s="176">
        <v>40298</v>
      </c>
      <c r="B1852" s="111" t="s">
        <v>2240</v>
      </c>
    </row>
    <row r="1853" spans="1:2">
      <c r="A1853" s="176">
        <v>40302</v>
      </c>
      <c r="B1853" s="111" t="s">
        <v>2240</v>
      </c>
    </row>
    <row r="1854" spans="1:2">
      <c r="A1854" s="176">
        <v>40303</v>
      </c>
      <c r="B1854" s="111" t="s">
        <v>2240</v>
      </c>
    </row>
    <row r="1855" spans="1:2">
      <c r="A1855" s="176">
        <v>40304</v>
      </c>
      <c r="B1855" s="111" t="s">
        <v>2240</v>
      </c>
    </row>
    <row r="1856" spans="1:2">
      <c r="A1856" s="176">
        <v>40305</v>
      </c>
      <c r="B1856" s="111" t="s">
        <v>2240</v>
      </c>
    </row>
    <row r="1857" spans="1:2">
      <c r="A1857" s="176">
        <v>40308</v>
      </c>
      <c r="B1857" s="111" t="s">
        <v>2240</v>
      </c>
    </row>
    <row r="1858" spans="1:2">
      <c r="A1858" s="176">
        <v>40309</v>
      </c>
      <c r="B1858" s="111" t="s">
        <v>2240</v>
      </c>
    </row>
    <row r="1859" spans="1:2">
      <c r="A1859" s="176">
        <v>40310</v>
      </c>
      <c r="B1859" s="111" t="s">
        <v>2240</v>
      </c>
    </row>
    <row r="1860" spans="1:2">
      <c r="A1860" s="176">
        <v>40311</v>
      </c>
      <c r="B1860" s="111" t="s">
        <v>2240</v>
      </c>
    </row>
    <row r="1861" spans="1:2">
      <c r="A1861" s="176">
        <v>40312</v>
      </c>
      <c r="B1861" s="111" t="s">
        <v>2240</v>
      </c>
    </row>
    <row r="1862" spans="1:2">
      <c r="A1862" s="176">
        <v>40315</v>
      </c>
      <c r="B1862" s="111" t="s">
        <v>2240</v>
      </c>
    </row>
    <row r="1863" spans="1:2">
      <c r="A1863" s="176">
        <v>40316</v>
      </c>
      <c r="B1863" s="111" t="s">
        <v>2240</v>
      </c>
    </row>
    <row r="1864" spans="1:2">
      <c r="A1864" s="176">
        <v>40317</v>
      </c>
      <c r="B1864" s="111" t="s">
        <v>2240</v>
      </c>
    </row>
    <row r="1865" spans="1:2">
      <c r="A1865" s="176">
        <v>40318</v>
      </c>
      <c r="B1865" s="111" t="s">
        <v>2240</v>
      </c>
    </row>
    <row r="1866" spans="1:2">
      <c r="A1866" s="176">
        <v>40319</v>
      </c>
      <c r="B1866" s="111" t="s">
        <v>2240</v>
      </c>
    </row>
    <row r="1867" spans="1:2">
      <c r="A1867" s="176">
        <v>40322</v>
      </c>
      <c r="B1867" s="111" t="s">
        <v>2240</v>
      </c>
    </row>
    <row r="1868" spans="1:2">
      <c r="A1868" s="176">
        <v>40323</v>
      </c>
      <c r="B1868" s="111" t="s">
        <v>2240</v>
      </c>
    </row>
    <row r="1869" spans="1:2">
      <c r="A1869" s="176">
        <v>40324</v>
      </c>
      <c r="B1869" s="111" t="s">
        <v>2240</v>
      </c>
    </row>
    <row r="1870" spans="1:2">
      <c r="A1870" s="176">
        <v>40325</v>
      </c>
      <c r="B1870" s="111" t="s">
        <v>2240</v>
      </c>
    </row>
    <row r="1871" spans="1:2">
      <c r="A1871" s="176">
        <v>40326</v>
      </c>
      <c r="B1871" s="111" t="s">
        <v>2240</v>
      </c>
    </row>
    <row r="1872" spans="1:2">
      <c r="A1872" s="176">
        <v>40329</v>
      </c>
      <c r="B1872" s="111" t="s">
        <v>2240</v>
      </c>
    </row>
    <row r="1873" spans="1:2">
      <c r="A1873" s="176">
        <v>40330</v>
      </c>
      <c r="B1873" s="111" t="s">
        <v>2240</v>
      </c>
    </row>
    <row r="1874" spans="1:2">
      <c r="A1874" s="176">
        <v>40331</v>
      </c>
      <c r="B1874" s="111" t="s">
        <v>2240</v>
      </c>
    </row>
    <row r="1875" spans="1:2">
      <c r="A1875" s="176">
        <v>40332</v>
      </c>
      <c r="B1875" s="111" t="s">
        <v>2240</v>
      </c>
    </row>
    <row r="1876" spans="1:2">
      <c r="A1876" s="176">
        <v>40333</v>
      </c>
      <c r="B1876" s="111" t="s">
        <v>2240</v>
      </c>
    </row>
    <row r="1877" spans="1:2">
      <c r="A1877" s="176">
        <v>40336</v>
      </c>
      <c r="B1877" s="111" t="s">
        <v>2240</v>
      </c>
    </row>
    <row r="1878" spans="1:2">
      <c r="A1878" s="176">
        <v>40337</v>
      </c>
      <c r="B1878" s="111" t="s">
        <v>2240</v>
      </c>
    </row>
    <row r="1879" spans="1:2">
      <c r="A1879" s="176">
        <v>40338</v>
      </c>
      <c r="B1879" s="111" t="s">
        <v>2240</v>
      </c>
    </row>
    <row r="1880" spans="1:2">
      <c r="A1880" s="176">
        <v>40339</v>
      </c>
      <c r="B1880" s="111" t="s">
        <v>2240</v>
      </c>
    </row>
    <row r="1881" spans="1:2">
      <c r="A1881" s="176">
        <v>40340</v>
      </c>
      <c r="B1881" s="111" t="s">
        <v>2240</v>
      </c>
    </row>
    <row r="1882" spans="1:2">
      <c r="A1882" s="176">
        <v>40341</v>
      </c>
      <c r="B1882" s="111" t="s">
        <v>2240</v>
      </c>
    </row>
    <row r="1883" spans="1:2">
      <c r="A1883" s="176">
        <v>40342</v>
      </c>
      <c r="B1883" s="111" t="s">
        <v>2240</v>
      </c>
    </row>
    <row r="1884" spans="1:2">
      <c r="A1884" s="176">
        <v>40346</v>
      </c>
      <c r="B1884" s="111" t="s">
        <v>2240</v>
      </c>
    </row>
    <row r="1885" spans="1:2">
      <c r="A1885" s="176">
        <v>40347</v>
      </c>
      <c r="B1885" s="111" t="s">
        <v>2240</v>
      </c>
    </row>
    <row r="1886" spans="1:2">
      <c r="A1886" s="176">
        <v>40350</v>
      </c>
      <c r="B1886" s="111" t="s">
        <v>2240</v>
      </c>
    </row>
    <row r="1887" spans="1:2">
      <c r="A1887" s="176">
        <v>40351</v>
      </c>
      <c r="B1887" s="111" t="s">
        <v>2240</v>
      </c>
    </row>
    <row r="1888" spans="1:2">
      <c r="A1888" s="176">
        <v>40352</v>
      </c>
      <c r="B1888" s="111" t="s">
        <v>2240</v>
      </c>
    </row>
    <row r="1889" spans="1:2">
      <c r="A1889" s="176">
        <v>40353</v>
      </c>
      <c r="B1889" s="111" t="s">
        <v>2240</v>
      </c>
    </row>
    <row r="1890" spans="1:2">
      <c r="A1890" s="176">
        <v>40354</v>
      </c>
      <c r="B1890" s="111" t="s">
        <v>2240</v>
      </c>
    </row>
    <row r="1891" spans="1:2">
      <c r="A1891" s="176">
        <v>40357</v>
      </c>
      <c r="B1891" s="111" t="s">
        <v>2240</v>
      </c>
    </row>
    <row r="1892" spans="1:2">
      <c r="A1892" s="176">
        <v>40358</v>
      </c>
      <c r="B1892" s="111" t="s">
        <v>2240</v>
      </c>
    </row>
    <row r="1893" spans="1:2">
      <c r="A1893" s="176">
        <v>40359</v>
      </c>
      <c r="B1893" s="111" t="s">
        <v>2240</v>
      </c>
    </row>
    <row r="1894" spans="1:2">
      <c r="A1894" s="176">
        <v>40360</v>
      </c>
      <c r="B1894" s="111" t="s">
        <v>2240</v>
      </c>
    </row>
    <row r="1895" spans="1:2">
      <c r="A1895" s="176">
        <v>40361</v>
      </c>
      <c r="B1895" s="111" t="s">
        <v>2240</v>
      </c>
    </row>
    <row r="1896" spans="1:2">
      <c r="A1896" s="176">
        <v>40364</v>
      </c>
      <c r="B1896" s="111" t="s">
        <v>2240</v>
      </c>
    </row>
    <row r="1897" spans="1:2">
      <c r="A1897" s="176">
        <v>40365</v>
      </c>
      <c r="B1897" s="111" t="s">
        <v>2240</v>
      </c>
    </row>
    <row r="1898" spans="1:2">
      <c r="A1898" s="176">
        <v>40366</v>
      </c>
      <c r="B1898" s="111" t="s">
        <v>2240</v>
      </c>
    </row>
    <row r="1899" spans="1:2">
      <c r="A1899" s="176">
        <v>40367</v>
      </c>
      <c r="B1899" s="111" t="s">
        <v>2240</v>
      </c>
    </row>
    <row r="1900" spans="1:2">
      <c r="A1900" s="176">
        <v>40368</v>
      </c>
      <c r="B1900" s="111" t="s">
        <v>2240</v>
      </c>
    </row>
    <row r="1901" spans="1:2">
      <c r="A1901" s="176">
        <v>40371</v>
      </c>
      <c r="B1901" s="111" t="s">
        <v>2240</v>
      </c>
    </row>
    <row r="1902" spans="1:2">
      <c r="A1902" s="176">
        <v>40372</v>
      </c>
      <c r="B1902" s="111" t="s">
        <v>2240</v>
      </c>
    </row>
    <row r="1903" spans="1:2">
      <c r="A1903" s="176">
        <v>40373</v>
      </c>
      <c r="B1903" s="111" t="s">
        <v>2240</v>
      </c>
    </row>
    <row r="1904" spans="1:2">
      <c r="A1904" s="176">
        <v>40374</v>
      </c>
      <c r="B1904" s="111" t="s">
        <v>2240</v>
      </c>
    </row>
    <row r="1905" spans="1:2">
      <c r="A1905" s="176">
        <v>40375</v>
      </c>
      <c r="B1905" s="111" t="s">
        <v>2240</v>
      </c>
    </row>
    <row r="1906" spans="1:2">
      <c r="A1906" s="176">
        <v>40378</v>
      </c>
      <c r="B1906" s="111" t="s">
        <v>2240</v>
      </c>
    </row>
    <row r="1907" spans="1:2">
      <c r="A1907" s="176">
        <v>40379</v>
      </c>
      <c r="B1907" s="111" t="s">
        <v>2240</v>
      </c>
    </row>
    <row r="1908" spans="1:2">
      <c r="A1908" s="176">
        <v>40380</v>
      </c>
      <c r="B1908" s="111" t="s">
        <v>2240</v>
      </c>
    </row>
    <row r="1909" spans="1:2">
      <c r="A1909" s="176">
        <v>40381</v>
      </c>
      <c r="B1909" s="111" t="s">
        <v>2240</v>
      </c>
    </row>
    <row r="1910" spans="1:2">
      <c r="A1910" s="176">
        <v>40382</v>
      </c>
      <c r="B1910" s="111" t="s">
        <v>2240</v>
      </c>
    </row>
    <row r="1911" spans="1:2">
      <c r="A1911" s="176">
        <v>40385</v>
      </c>
      <c r="B1911" s="111" t="s">
        <v>2240</v>
      </c>
    </row>
    <row r="1912" spans="1:2">
      <c r="A1912" s="176">
        <v>40386</v>
      </c>
      <c r="B1912" s="111" t="s">
        <v>2240</v>
      </c>
    </row>
    <row r="1913" spans="1:2">
      <c r="A1913" s="176">
        <v>40387</v>
      </c>
      <c r="B1913" s="111" t="s">
        <v>2240</v>
      </c>
    </row>
    <row r="1914" spans="1:2">
      <c r="A1914" s="176">
        <v>40388</v>
      </c>
      <c r="B1914" s="111" t="s">
        <v>2240</v>
      </c>
    </row>
    <row r="1915" spans="1:2">
      <c r="A1915" s="176">
        <v>40389</v>
      </c>
      <c r="B1915" s="111" t="s">
        <v>2240</v>
      </c>
    </row>
    <row r="1916" spans="1:2">
      <c r="A1916" s="176">
        <v>40392</v>
      </c>
      <c r="B1916" s="111" t="s">
        <v>2240</v>
      </c>
    </row>
    <row r="1917" spans="1:2">
      <c r="A1917" s="176">
        <v>40393</v>
      </c>
      <c r="B1917" s="111" t="s">
        <v>2240</v>
      </c>
    </row>
    <row r="1918" spans="1:2">
      <c r="A1918" s="176">
        <v>40394</v>
      </c>
      <c r="B1918" s="111" t="s">
        <v>2240</v>
      </c>
    </row>
    <row r="1919" spans="1:2">
      <c r="A1919" s="176">
        <v>40395</v>
      </c>
      <c r="B1919" s="111" t="s">
        <v>2240</v>
      </c>
    </row>
    <row r="1920" spans="1:2">
      <c r="A1920" s="176">
        <v>40396</v>
      </c>
      <c r="B1920" s="111" t="s">
        <v>2240</v>
      </c>
    </row>
    <row r="1921" spans="1:2">
      <c r="A1921" s="176">
        <v>40399</v>
      </c>
      <c r="B1921" s="111" t="s">
        <v>2240</v>
      </c>
    </row>
    <row r="1922" spans="1:2">
      <c r="A1922" s="176">
        <v>40400</v>
      </c>
      <c r="B1922" s="111" t="s">
        <v>2240</v>
      </c>
    </row>
    <row r="1923" spans="1:2">
      <c r="A1923" s="176">
        <v>40401</v>
      </c>
      <c r="B1923" s="111" t="s">
        <v>2240</v>
      </c>
    </row>
    <row r="1924" spans="1:2">
      <c r="A1924" s="176">
        <v>40402</v>
      </c>
      <c r="B1924" s="111" t="s">
        <v>2240</v>
      </c>
    </row>
    <row r="1925" spans="1:2">
      <c r="A1925" s="176">
        <v>40403</v>
      </c>
      <c r="B1925" s="111" t="s">
        <v>2240</v>
      </c>
    </row>
    <row r="1926" spans="1:2">
      <c r="A1926" s="176">
        <v>40406</v>
      </c>
      <c r="B1926" s="111" t="s">
        <v>2240</v>
      </c>
    </row>
    <row r="1927" spans="1:2">
      <c r="A1927" s="176">
        <v>40407</v>
      </c>
      <c r="B1927" s="111" t="s">
        <v>2240</v>
      </c>
    </row>
    <row r="1928" spans="1:2">
      <c r="A1928" s="176">
        <v>40408</v>
      </c>
      <c r="B1928" s="111" t="s">
        <v>2240</v>
      </c>
    </row>
    <row r="1929" spans="1:2">
      <c r="A1929" s="176">
        <v>40409</v>
      </c>
      <c r="B1929" s="111" t="s">
        <v>2240</v>
      </c>
    </row>
    <row r="1930" spans="1:2">
      <c r="A1930" s="176">
        <v>40410</v>
      </c>
      <c r="B1930" s="111" t="s">
        <v>2240</v>
      </c>
    </row>
    <row r="1931" spans="1:2">
      <c r="A1931" s="176">
        <v>40413</v>
      </c>
      <c r="B1931" s="111" t="s">
        <v>2240</v>
      </c>
    </row>
    <row r="1932" spans="1:2">
      <c r="A1932" s="176">
        <v>40414</v>
      </c>
      <c r="B1932" s="111" t="s">
        <v>2240</v>
      </c>
    </row>
    <row r="1933" spans="1:2">
      <c r="A1933" s="176">
        <v>40415</v>
      </c>
      <c r="B1933" s="111" t="s">
        <v>2240</v>
      </c>
    </row>
    <row r="1934" spans="1:2">
      <c r="A1934" s="176">
        <v>40416</v>
      </c>
      <c r="B1934" s="111" t="s">
        <v>2240</v>
      </c>
    </row>
    <row r="1935" spans="1:2">
      <c r="A1935" s="176">
        <v>40417</v>
      </c>
      <c r="B1935" s="111" t="s">
        <v>2240</v>
      </c>
    </row>
    <row r="1936" spans="1:2">
      <c r="A1936" s="176">
        <v>40420</v>
      </c>
      <c r="B1936" s="111" t="s">
        <v>2240</v>
      </c>
    </row>
    <row r="1937" spans="1:2">
      <c r="A1937" s="176">
        <v>40421</v>
      </c>
      <c r="B1937" s="111" t="s">
        <v>2240</v>
      </c>
    </row>
    <row r="1938" spans="1:2">
      <c r="A1938" s="176">
        <v>40422</v>
      </c>
      <c r="B1938" s="111" t="s">
        <v>2240</v>
      </c>
    </row>
    <row r="1939" spans="1:2">
      <c r="A1939" s="176">
        <v>40423</v>
      </c>
      <c r="B1939" s="111" t="s">
        <v>2240</v>
      </c>
    </row>
    <row r="1940" spans="1:2">
      <c r="A1940" s="176">
        <v>40424</v>
      </c>
      <c r="B1940" s="111" t="s">
        <v>2240</v>
      </c>
    </row>
    <row r="1941" spans="1:2">
      <c r="A1941" s="176">
        <v>40427</v>
      </c>
      <c r="B1941" s="111" t="s">
        <v>2240</v>
      </c>
    </row>
    <row r="1942" spans="1:2">
      <c r="A1942" s="176">
        <v>40428</v>
      </c>
      <c r="B1942" s="111" t="s">
        <v>2240</v>
      </c>
    </row>
    <row r="1943" spans="1:2">
      <c r="A1943" s="176">
        <v>40429</v>
      </c>
      <c r="B1943" s="111" t="s">
        <v>2240</v>
      </c>
    </row>
    <row r="1944" spans="1:2">
      <c r="A1944" s="176">
        <v>40430</v>
      </c>
      <c r="B1944" s="111" t="s">
        <v>2240</v>
      </c>
    </row>
    <row r="1945" spans="1:2">
      <c r="A1945" s="176">
        <v>40431</v>
      </c>
      <c r="B1945" s="111" t="s">
        <v>2240</v>
      </c>
    </row>
    <row r="1946" spans="1:2">
      <c r="A1946" s="176">
        <v>40434</v>
      </c>
      <c r="B1946" s="111" t="s">
        <v>2240</v>
      </c>
    </row>
    <row r="1947" spans="1:2">
      <c r="A1947" s="176">
        <v>40435</v>
      </c>
      <c r="B1947" s="111" t="s">
        <v>2240</v>
      </c>
    </row>
    <row r="1948" spans="1:2">
      <c r="A1948" s="176">
        <v>40436</v>
      </c>
      <c r="B1948" s="111" t="s">
        <v>2240</v>
      </c>
    </row>
    <row r="1949" spans="1:2">
      <c r="A1949" s="176">
        <v>40437</v>
      </c>
      <c r="B1949" s="111" t="s">
        <v>2240</v>
      </c>
    </row>
    <row r="1950" spans="1:2">
      <c r="A1950" s="176">
        <v>40438</v>
      </c>
      <c r="B1950" s="111" t="s">
        <v>2240</v>
      </c>
    </row>
    <row r="1951" spans="1:2">
      <c r="A1951" s="176">
        <v>40440</v>
      </c>
      <c r="B1951" s="111" t="s">
        <v>2240</v>
      </c>
    </row>
    <row r="1952" spans="1:2">
      <c r="A1952" s="176">
        <v>40441</v>
      </c>
      <c r="B1952" s="111" t="s">
        <v>2240</v>
      </c>
    </row>
    <row r="1953" spans="1:2">
      <c r="A1953" s="176">
        <v>40442</v>
      </c>
      <c r="B1953" s="111" t="s">
        <v>2240</v>
      </c>
    </row>
    <row r="1954" spans="1:2">
      <c r="A1954" s="176">
        <v>40446</v>
      </c>
      <c r="B1954" s="111" t="s">
        <v>2240</v>
      </c>
    </row>
    <row r="1955" spans="1:2">
      <c r="A1955" s="176">
        <v>40447</v>
      </c>
      <c r="B1955" s="111" t="s">
        <v>2240</v>
      </c>
    </row>
    <row r="1956" spans="1:2">
      <c r="A1956" s="176">
        <v>40448</v>
      </c>
      <c r="B1956" s="111" t="s">
        <v>2240</v>
      </c>
    </row>
    <row r="1957" spans="1:2">
      <c r="A1957" s="176">
        <v>40449</v>
      </c>
      <c r="B1957" s="111" t="s">
        <v>2240</v>
      </c>
    </row>
    <row r="1958" spans="1:2">
      <c r="A1958" s="176">
        <v>40450</v>
      </c>
      <c r="B1958" s="111" t="s">
        <v>2240</v>
      </c>
    </row>
    <row r="1959" spans="1:2">
      <c r="A1959" s="176">
        <v>40451</v>
      </c>
      <c r="B1959" s="111" t="s">
        <v>2240</v>
      </c>
    </row>
    <row r="1960" spans="1:2">
      <c r="A1960" s="176">
        <v>40459</v>
      </c>
      <c r="B1960" s="111" t="s">
        <v>2240</v>
      </c>
    </row>
    <row r="1961" spans="1:2">
      <c r="A1961" s="176">
        <v>40460</v>
      </c>
      <c r="B1961" s="111" t="s">
        <v>2240</v>
      </c>
    </row>
    <row r="1962" spans="1:2">
      <c r="A1962" s="176">
        <v>40462</v>
      </c>
      <c r="B1962" s="111" t="s">
        <v>2240</v>
      </c>
    </row>
    <row r="1963" spans="1:2">
      <c r="A1963" s="176">
        <v>40463</v>
      </c>
      <c r="B1963" s="111" t="s">
        <v>2240</v>
      </c>
    </row>
    <row r="1964" spans="1:2">
      <c r="A1964" s="176">
        <v>40464</v>
      </c>
      <c r="B1964" s="111" t="s">
        <v>2240</v>
      </c>
    </row>
    <row r="1965" spans="1:2">
      <c r="A1965" s="176">
        <v>40465</v>
      </c>
      <c r="B1965" s="111" t="s">
        <v>2240</v>
      </c>
    </row>
    <row r="1966" spans="1:2">
      <c r="A1966" s="176">
        <v>40466</v>
      </c>
      <c r="B1966" s="111" t="s">
        <v>2240</v>
      </c>
    </row>
    <row r="1967" spans="1:2">
      <c r="A1967" s="176">
        <v>40469</v>
      </c>
      <c r="B1967" s="111" t="s">
        <v>2240</v>
      </c>
    </row>
    <row r="1968" spans="1:2">
      <c r="A1968" s="176">
        <v>40470</v>
      </c>
      <c r="B1968" s="111" t="s">
        <v>2240</v>
      </c>
    </row>
    <row r="1969" spans="1:2">
      <c r="A1969" s="176">
        <v>40471</v>
      </c>
      <c r="B1969" s="111" t="s">
        <v>2240</v>
      </c>
    </row>
    <row r="1970" spans="1:2">
      <c r="A1970" s="176">
        <v>40472</v>
      </c>
      <c r="B1970" s="111" t="s">
        <v>2240</v>
      </c>
    </row>
    <row r="1971" spans="1:2">
      <c r="A1971" s="176">
        <v>40473</v>
      </c>
      <c r="B1971" s="111" t="s">
        <v>2240</v>
      </c>
    </row>
    <row r="1972" spans="1:2">
      <c r="A1972" s="176">
        <v>40476</v>
      </c>
      <c r="B1972" s="111" t="s">
        <v>2240</v>
      </c>
    </row>
    <row r="1973" spans="1:2">
      <c r="A1973" s="176">
        <v>40477</v>
      </c>
      <c r="B1973" s="111" t="s">
        <v>2240</v>
      </c>
    </row>
    <row r="1974" spans="1:2">
      <c r="A1974" s="176">
        <v>40478</v>
      </c>
      <c r="B1974" s="111" t="s">
        <v>2240</v>
      </c>
    </row>
    <row r="1975" spans="1:2">
      <c r="A1975" s="176">
        <v>40479</v>
      </c>
      <c r="B1975" s="111" t="s">
        <v>2240</v>
      </c>
    </row>
    <row r="1976" spans="1:2">
      <c r="A1976" s="176">
        <v>40480</v>
      </c>
      <c r="B1976" s="111" t="s">
        <v>2240</v>
      </c>
    </row>
    <row r="1977" spans="1:2">
      <c r="A1977" s="176">
        <v>40483</v>
      </c>
      <c r="B1977" s="111" t="s">
        <v>2240</v>
      </c>
    </row>
    <row r="1978" spans="1:2">
      <c r="A1978" s="176">
        <v>40484</v>
      </c>
      <c r="B1978" s="111" t="s">
        <v>2240</v>
      </c>
    </row>
    <row r="1979" spans="1:2">
      <c r="A1979" s="176">
        <v>40485</v>
      </c>
      <c r="B1979" s="111" t="s">
        <v>2240</v>
      </c>
    </row>
    <row r="1980" spans="1:2">
      <c r="A1980" s="176">
        <v>40486</v>
      </c>
      <c r="B1980" s="111" t="s">
        <v>2240</v>
      </c>
    </row>
    <row r="1981" spans="1:2">
      <c r="A1981" s="176">
        <v>40487</v>
      </c>
      <c r="B1981" s="111" t="s">
        <v>2240</v>
      </c>
    </row>
    <row r="1982" spans="1:2">
      <c r="A1982" s="176">
        <v>40490</v>
      </c>
      <c r="B1982" s="111" t="s">
        <v>2240</v>
      </c>
    </row>
    <row r="1983" spans="1:2">
      <c r="A1983" s="176">
        <v>40491</v>
      </c>
      <c r="B1983" s="111" t="s">
        <v>2240</v>
      </c>
    </row>
    <row r="1984" spans="1:2">
      <c r="A1984" s="176">
        <v>40492</v>
      </c>
      <c r="B1984" s="111" t="s">
        <v>2240</v>
      </c>
    </row>
    <row r="1985" spans="1:2">
      <c r="A1985" s="176">
        <v>40493</v>
      </c>
      <c r="B1985" s="111" t="s">
        <v>2240</v>
      </c>
    </row>
    <row r="1986" spans="1:2">
      <c r="A1986" s="176">
        <v>40494</v>
      </c>
      <c r="B1986" s="111" t="s">
        <v>2240</v>
      </c>
    </row>
    <row r="1987" spans="1:2">
      <c r="A1987" s="176">
        <v>40497</v>
      </c>
      <c r="B1987" s="111" t="s">
        <v>2240</v>
      </c>
    </row>
    <row r="1988" spans="1:2">
      <c r="A1988" s="176">
        <v>40498</v>
      </c>
      <c r="B1988" s="111" t="s">
        <v>2240</v>
      </c>
    </row>
    <row r="1989" spans="1:2">
      <c r="A1989" s="176">
        <v>40499</v>
      </c>
      <c r="B1989" s="111" t="s">
        <v>2240</v>
      </c>
    </row>
    <row r="1990" spans="1:2">
      <c r="A1990" s="176">
        <v>40500</v>
      </c>
      <c r="B1990" s="111" t="s">
        <v>2240</v>
      </c>
    </row>
    <row r="1991" spans="1:2">
      <c r="A1991" s="176">
        <v>40501</v>
      </c>
      <c r="B1991" s="111" t="s">
        <v>2240</v>
      </c>
    </row>
    <row r="1992" spans="1:2">
      <c r="A1992" s="176">
        <v>40504</v>
      </c>
      <c r="B1992" s="111" t="s">
        <v>2240</v>
      </c>
    </row>
    <row r="1993" spans="1:2">
      <c r="A1993" s="176">
        <v>40505</v>
      </c>
      <c r="B1993" s="111" t="s">
        <v>2240</v>
      </c>
    </row>
    <row r="1994" spans="1:2">
      <c r="A1994" s="176">
        <v>40506</v>
      </c>
      <c r="B1994" s="111" t="s">
        <v>2240</v>
      </c>
    </row>
    <row r="1995" spans="1:2">
      <c r="A1995" s="176">
        <v>40507</v>
      </c>
      <c r="B1995" s="111" t="s">
        <v>2240</v>
      </c>
    </row>
    <row r="1996" spans="1:2">
      <c r="A1996" s="176">
        <v>40508</v>
      </c>
      <c r="B1996" s="111" t="s">
        <v>2240</v>
      </c>
    </row>
    <row r="1997" spans="1:2">
      <c r="A1997" s="176">
        <v>40511</v>
      </c>
      <c r="B1997" s="111" t="s">
        <v>2240</v>
      </c>
    </row>
    <row r="1998" spans="1:2">
      <c r="A1998" s="176">
        <v>40512</v>
      </c>
      <c r="B1998" s="111" t="s">
        <v>2240</v>
      </c>
    </row>
    <row r="1999" spans="1:2">
      <c r="A1999" s="176">
        <v>40513</v>
      </c>
      <c r="B1999" s="111" t="s">
        <v>2240</v>
      </c>
    </row>
    <row r="2000" spans="1:2">
      <c r="A2000" s="176">
        <v>40514</v>
      </c>
      <c r="B2000" s="111" t="s">
        <v>2240</v>
      </c>
    </row>
    <row r="2001" spans="1:2">
      <c r="A2001" s="176">
        <v>40515</v>
      </c>
      <c r="B2001" s="111" t="s">
        <v>2240</v>
      </c>
    </row>
    <row r="2002" spans="1:2">
      <c r="A2002" s="176">
        <v>40518</v>
      </c>
      <c r="B2002" s="111" t="s">
        <v>2240</v>
      </c>
    </row>
    <row r="2003" spans="1:2">
      <c r="A2003" s="176">
        <v>40519</v>
      </c>
      <c r="B2003" s="111" t="s">
        <v>2240</v>
      </c>
    </row>
    <row r="2004" spans="1:2">
      <c r="A2004" s="176">
        <v>40520</v>
      </c>
      <c r="B2004" s="111" t="s">
        <v>2240</v>
      </c>
    </row>
    <row r="2005" spans="1:2">
      <c r="A2005" s="176">
        <v>40521</v>
      </c>
      <c r="B2005" s="111" t="s">
        <v>2240</v>
      </c>
    </row>
    <row r="2006" spans="1:2">
      <c r="A2006" s="176">
        <v>40522</v>
      </c>
      <c r="B2006" s="111" t="s">
        <v>2240</v>
      </c>
    </row>
    <row r="2007" spans="1:2">
      <c r="A2007" s="176">
        <v>40525</v>
      </c>
      <c r="B2007" s="111" t="s">
        <v>2240</v>
      </c>
    </row>
    <row r="2008" spans="1:2">
      <c r="A2008" s="176">
        <v>40526</v>
      </c>
      <c r="B2008" s="111" t="s">
        <v>2240</v>
      </c>
    </row>
    <row r="2009" spans="1:2">
      <c r="A2009" s="176">
        <v>40527</v>
      </c>
      <c r="B2009" s="111" t="s">
        <v>2240</v>
      </c>
    </row>
    <row r="2010" spans="1:2">
      <c r="A2010" s="176">
        <v>40528</v>
      </c>
      <c r="B2010" s="111" t="s">
        <v>2240</v>
      </c>
    </row>
    <row r="2011" spans="1:2">
      <c r="A2011" s="176">
        <v>40529</v>
      </c>
      <c r="B2011" s="111" t="s">
        <v>2240</v>
      </c>
    </row>
    <row r="2012" spans="1:2">
      <c r="A2012" s="176">
        <v>40532</v>
      </c>
      <c r="B2012" s="111" t="s">
        <v>2240</v>
      </c>
    </row>
    <row r="2013" spans="1:2">
      <c r="A2013" s="176">
        <v>40533</v>
      </c>
      <c r="B2013" s="111" t="s">
        <v>2240</v>
      </c>
    </row>
    <row r="2014" spans="1:2">
      <c r="A2014" s="176">
        <v>40534</v>
      </c>
      <c r="B2014" s="111" t="s">
        <v>2240</v>
      </c>
    </row>
    <row r="2015" spans="1:2">
      <c r="A2015" s="176">
        <v>40535</v>
      </c>
      <c r="B2015" s="111" t="s">
        <v>2240</v>
      </c>
    </row>
    <row r="2016" spans="1:2">
      <c r="A2016" s="176">
        <v>40536</v>
      </c>
      <c r="B2016" s="111" t="s">
        <v>2240</v>
      </c>
    </row>
    <row r="2017" spans="1:2">
      <c r="A2017" s="176">
        <v>40539</v>
      </c>
      <c r="B2017" s="111" t="s">
        <v>2240</v>
      </c>
    </row>
    <row r="2018" spans="1:2">
      <c r="A2018" s="176">
        <v>40540</v>
      </c>
      <c r="B2018" s="111" t="s">
        <v>2240</v>
      </c>
    </row>
    <row r="2019" spans="1:2">
      <c r="A2019" s="176">
        <v>40541</v>
      </c>
      <c r="B2019" s="111" t="s">
        <v>2240</v>
      </c>
    </row>
    <row r="2020" spans="1:2">
      <c r="A2020" s="176">
        <v>40542</v>
      </c>
      <c r="B2020" s="111" t="s">
        <v>2240</v>
      </c>
    </row>
    <row r="2021" spans="1:2">
      <c r="A2021" s="176">
        <v>40543</v>
      </c>
      <c r="B2021" s="111" t="s">
        <v>2240</v>
      </c>
    </row>
    <row r="2022" spans="1:2">
      <c r="A2022" s="176">
        <v>40547</v>
      </c>
      <c r="B2022" s="111" t="s">
        <v>2240</v>
      </c>
    </row>
    <row r="2023" spans="1:2">
      <c r="A2023" s="176">
        <v>40548</v>
      </c>
      <c r="B2023" s="111" t="s">
        <v>2240</v>
      </c>
    </row>
    <row r="2024" spans="1:2">
      <c r="A2024" s="176">
        <v>40549</v>
      </c>
      <c r="B2024" s="111" t="s">
        <v>2240</v>
      </c>
    </row>
    <row r="2025" spans="1:2">
      <c r="A2025" s="176">
        <v>40550</v>
      </c>
      <c r="B2025" s="111" t="s">
        <v>2240</v>
      </c>
    </row>
    <row r="2026" spans="1:2">
      <c r="A2026" s="176">
        <v>40553</v>
      </c>
      <c r="B2026" s="111" t="s">
        <v>2240</v>
      </c>
    </row>
    <row r="2027" spans="1:2">
      <c r="A2027" s="176">
        <v>40554</v>
      </c>
      <c r="B2027" s="111" t="s">
        <v>2240</v>
      </c>
    </row>
    <row r="2028" spans="1:2">
      <c r="A2028" s="176">
        <v>40555</v>
      </c>
      <c r="B2028" s="111" t="s">
        <v>2240</v>
      </c>
    </row>
    <row r="2029" spans="1:2">
      <c r="A2029" s="176">
        <v>40556</v>
      </c>
      <c r="B2029" s="111" t="s">
        <v>2240</v>
      </c>
    </row>
    <row r="2030" spans="1:2">
      <c r="A2030" s="176">
        <v>40557</v>
      </c>
      <c r="B2030" s="111" t="s">
        <v>2240</v>
      </c>
    </row>
    <row r="2031" spans="1:2">
      <c r="A2031" s="176">
        <v>40560</v>
      </c>
      <c r="B2031" s="111" t="s">
        <v>2240</v>
      </c>
    </row>
    <row r="2032" spans="1:2">
      <c r="A2032" s="176">
        <v>40561</v>
      </c>
      <c r="B2032" s="111" t="s">
        <v>2240</v>
      </c>
    </row>
    <row r="2033" spans="1:2">
      <c r="A2033" s="176">
        <v>40562</v>
      </c>
      <c r="B2033" s="111" t="s">
        <v>2240</v>
      </c>
    </row>
    <row r="2034" spans="1:2">
      <c r="A2034" s="176">
        <v>40563</v>
      </c>
      <c r="B2034" s="111" t="s">
        <v>2240</v>
      </c>
    </row>
    <row r="2035" spans="1:2">
      <c r="A2035" s="176">
        <v>40564</v>
      </c>
      <c r="B2035" s="111" t="s">
        <v>2240</v>
      </c>
    </row>
    <row r="2036" spans="1:2">
      <c r="A2036" s="176">
        <v>40567</v>
      </c>
      <c r="B2036" s="111" t="s">
        <v>2240</v>
      </c>
    </row>
    <row r="2037" spans="1:2">
      <c r="A2037" s="176">
        <v>40568</v>
      </c>
      <c r="B2037" s="111" t="s">
        <v>2240</v>
      </c>
    </row>
    <row r="2038" spans="1:2">
      <c r="A2038" s="176">
        <v>40569</v>
      </c>
      <c r="B2038" s="111" t="s">
        <v>2240</v>
      </c>
    </row>
    <row r="2039" spans="1:2">
      <c r="A2039" s="176">
        <v>40570</v>
      </c>
      <c r="B2039" s="111" t="s">
        <v>2240</v>
      </c>
    </row>
    <row r="2040" spans="1:2">
      <c r="A2040" s="176">
        <v>40571</v>
      </c>
      <c r="B2040" s="111" t="s">
        <v>2240</v>
      </c>
    </row>
    <row r="2041" spans="1:2">
      <c r="A2041" s="176">
        <v>40573</v>
      </c>
      <c r="B2041" s="111" t="s">
        <v>2240</v>
      </c>
    </row>
    <row r="2042" spans="1:2">
      <c r="A2042" s="176">
        <v>40574</v>
      </c>
      <c r="B2042" s="111" t="s">
        <v>2240</v>
      </c>
    </row>
    <row r="2043" spans="1:2">
      <c r="A2043" s="176">
        <v>40575</v>
      </c>
      <c r="B2043" s="111" t="s">
        <v>2240</v>
      </c>
    </row>
    <row r="2044" spans="1:2">
      <c r="A2044" s="176">
        <v>40583</v>
      </c>
      <c r="B2044" s="111" t="s">
        <v>2240</v>
      </c>
    </row>
    <row r="2045" spans="1:2">
      <c r="A2045" s="176">
        <v>40584</v>
      </c>
      <c r="B2045" s="111" t="s">
        <v>2240</v>
      </c>
    </row>
    <row r="2046" spans="1:2">
      <c r="A2046" s="176">
        <v>40585</v>
      </c>
      <c r="B2046" s="111" t="s">
        <v>2240</v>
      </c>
    </row>
    <row r="2047" spans="1:2">
      <c r="A2047" s="176">
        <v>40586</v>
      </c>
      <c r="B2047" s="111" t="s">
        <v>2240</v>
      </c>
    </row>
    <row r="2048" spans="1:2">
      <c r="A2048" s="176">
        <v>40588</v>
      </c>
      <c r="B2048" s="111" t="s">
        <v>2240</v>
      </c>
    </row>
    <row r="2049" spans="1:2">
      <c r="A2049" s="176">
        <v>40589</v>
      </c>
      <c r="B2049" s="111" t="s">
        <v>2240</v>
      </c>
    </row>
    <row r="2050" spans="1:2">
      <c r="A2050" s="176">
        <v>40590</v>
      </c>
      <c r="B2050" s="111" t="s">
        <v>2240</v>
      </c>
    </row>
    <row r="2051" spans="1:2">
      <c r="A2051" s="176">
        <v>40591</v>
      </c>
      <c r="B2051" s="111" t="s">
        <v>2240</v>
      </c>
    </row>
    <row r="2052" spans="1:2">
      <c r="A2052" s="176">
        <v>40592</v>
      </c>
      <c r="B2052" s="111" t="s">
        <v>2240</v>
      </c>
    </row>
    <row r="2053" spans="1:2">
      <c r="A2053" s="176">
        <v>40595</v>
      </c>
      <c r="B2053" s="111" t="s">
        <v>2240</v>
      </c>
    </row>
    <row r="2054" spans="1:2">
      <c r="A2054" s="176">
        <v>40596</v>
      </c>
      <c r="B2054" s="111" t="s">
        <v>2240</v>
      </c>
    </row>
    <row r="2055" spans="1:2">
      <c r="A2055" s="176">
        <v>40597</v>
      </c>
      <c r="B2055" s="111" t="s">
        <v>2240</v>
      </c>
    </row>
    <row r="2056" spans="1:2">
      <c r="A2056" s="176">
        <v>40598</v>
      </c>
      <c r="B2056" s="111" t="s">
        <v>2240</v>
      </c>
    </row>
    <row r="2057" spans="1:2">
      <c r="A2057" s="176">
        <v>40599</v>
      </c>
      <c r="B2057" s="111" t="s">
        <v>2240</v>
      </c>
    </row>
    <row r="2058" spans="1:2">
      <c r="A2058" s="176">
        <v>40602</v>
      </c>
      <c r="B2058" s="111" t="s">
        <v>2240</v>
      </c>
    </row>
    <row r="2059" spans="1:2">
      <c r="A2059" s="176">
        <v>40603</v>
      </c>
      <c r="B2059" s="111" t="s">
        <v>2240</v>
      </c>
    </row>
    <row r="2060" spans="1:2">
      <c r="A2060" s="176">
        <v>40604</v>
      </c>
      <c r="B2060" s="111" t="s">
        <v>2240</v>
      </c>
    </row>
    <row r="2061" spans="1:2">
      <c r="A2061" s="176">
        <v>40605</v>
      </c>
      <c r="B2061" s="111" t="s">
        <v>2240</v>
      </c>
    </row>
    <row r="2062" spans="1:2">
      <c r="A2062" s="176">
        <v>40606</v>
      </c>
      <c r="B2062" s="111" t="s">
        <v>2240</v>
      </c>
    </row>
    <row r="2063" spans="1:2">
      <c r="A2063" s="176">
        <v>40609</v>
      </c>
      <c r="B2063" s="111" t="s">
        <v>2240</v>
      </c>
    </row>
    <row r="2064" spans="1:2">
      <c r="A2064" s="176">
        <v>40610</v>
      </c>
      <c r="B2064" s="111" t="s">
        <v>2240</v>
      </c>
    </row>
    <row r="2065" spans="1:2">
      <c r="A2065" s="176">
        <v>40611</v>
      </c>
      <c r="B2065" s="111" t="s">
        <v>2240</v>
      </c>
    </row>
    <row r="2066" spans="1:2">
      <c r="A2066" s="176">
        <v>40612</v>
      </c>
      <c r="B2066" s="111" t="s">
        <v>2240</v>
      </c>
    </row>
    <row r="2067" spans="1:2">
      <c r="A2067" s="176">
        <v>40613</v>
      </c>
      <c r="B2067" s="111" t="s">
        <v>2240</v>
      </c>
    </row>
    <row r="2068" spans="1:2">
      <c r="A2068" s="176">
        <v>40616</v>
      </c>
      <c r="B2068" s="111" t="s">
        <v>2240</v>
      </c>
    </row>
    <row r="2069" spans="1:2">
      <c r="A2069" s="176">
        <v>40617</v>
      </c>
      <c r="B2069" s="111" t="s">
        <v>2240</v>
      </c>
    </row>
    <row r="2070" spans="1:2">
      <c r="A2070" s="176">
        <v>40618</v>
      </c>
      <c r="B2070" s="111" t="s">
        <v>2240</v>
      </c>
    </row>
    <row r="2071" spans="1:2">
      <c r="A2071" s="176">
        <v>40619</v>
      </c>
      <c r="B2071" s="111" t="s">
        <v>2240</v>
      </c>
    </row>
    <row r="2072" spans="1:2">
      <c r="A2072" s="176">
        <v>40620</v>
      </c>
      <c r="B2072" s="111" t="s">
        <v>2240</v>
      </c>
    </row>
    <row r="2073" spans="1:2">
      <c r="A2073" s="176">
        <v>40623</v>
      </c>
      <c r="B2073" s="111" t="s">
        <v>2240</v>
      </c>
    </row>
    <row r="2074" spans="1:2">
      <c r="A2074" s="176">
        <v>40624</v>
      </c>
      <c r="B2074" s="111" t="s">
        <v>2240</v>
      </c>
    </row>
    <row r="2075" spans="1:2">
      <c r="A2075" s="176">
        <v>40625</v>
      </c>
      <c r="B2075" s="111" t="s">
        <v>2240</v>
      </c>
    </row>
    <row r="2076" spans="1:2">
      <c r="A2076" s="176">
        <v>40626</v>
      </c>
      <c r="B2076" s="111" t="s">
        <v>2240</v>
      </c>
    </row>
    <row r="2077" spans="1:2">
      <c r="A2077" s="176">
        <v>40627</v>
      </c>
      <c r="B2077" s="111" t="s">
        <v>2240</v>
      </c>
    </row>
    <row r="2078" spans="1:2">
      <c r="A2078" s="176">
        <v>40630</v>
      </c>
      <c r="B2078" s="111" t="s">
        <v>2240</v>
      </c>
    </row>
    <row r="2079" spans="1:2">
      <c r="A2079" s="176">
        <v>40631</v>
      </c>
      <c r="B2079" s="111" t="s">
        <v>2240</v>
      </c>
    </row>
    <row r="2080" spans="1:2">
      <c r="A2080" s="176">
        <v>40632</v>
      </c>
      <c r="B2080" s="111" t="s">
        <v>2240</v>
      </c>
    </row>
    <row r="2081" spans="1:2">
      <c r="A2081" s="176">
        <v>40633</v>
      </c>
      <c r="B2081" s="111" t="s">
        <v>2240</v>
      </c>
    </row>
    <row r="2082" spans="1:2">
      <c r="A2082" s="176">
        <v>40634</v>
      </c>
      <c r="B2082" s="111" t="s">
        <v>2240</v>
      </c>
    </row>
    <row r="2083" spans="1:2">
      <c r="A2083" s="176">
        <v>40635</v>
      </c>
      <c r="B2083" s="111" t="s">
        <v>2240</v>
      </c>
    </row>
    <row r="2084" spans="1:2">
      <c r="A2084" s="176">
        <v>40639</v>
      </c>
      <c r="B2084" s="111" t="s">
        <v>2240</v>
      </c>
    </row>
    <row r="2085" spans="1:2">
      <c r="A2085" s="176">
        <v>40640</v>
      </c>
      <c r="B2085" s="111" t="s">
        <v>2240</v>
      </c>
    </row>
    <row r="2086" spans="1:2">
      <c r="A2086" s="176">
        <v>40641</v>
      </c>
      <c r="B2086" s="111" t="s">
        <v>2240</v>
      </c>
    </row>
    <row r="2087" spans="1:2">
      <c r="A2087" s="176">
        <v>40644</v>
      </c>
      <c r="B2087" s="111" t="s">
        <v>2240</v>
      </c>
    </row>
    <row r="2088" spans="1:2">
      <c r="A2088" s="176">
        <v>40645</v>
      </c>
      <c r="B2088" s="111" t="s">
        <v>2240</v>
      </c>
    </row>
    <row r="2089" spans="1:2">
      <c r="A2089" s="176">
        <v>40646</v>
      </c>
      <c r="B2089" s="111" t="s">
        <v>2240</v>
      </c>
    </row>
    <row r="2090" spans="1:2">
      <c r="A2090" s="176">
        <v>40647</v>
      </c>
      <c r="B2090" s="111" t="s">
        <v>2240</v>
      </c>
    </row>
    <row r="2091" spans="1:2">
      <c r="A2091" s="176">
        <v>40648</v>
      </c>
      <c r="B2091" s="111" t="s">
        <v>2240</v>
      </c>
    </row>
    <row r="2092" spans="1:2">
      <c r="A2092" s="176">
        <v>40651</v>
      </c>
      <c r="B2092" s="111" t="s">
        <v>2240</v>
      </c>
    </row>
    <row r="2093" spans="1:2">
      <c r="A2093" s="176">
        <v>40652</v>
      </c>
      <c r="B2093" s="111" t="s">
        <v>2240</v>
      </c>
    </row>
    <row r="2094" spans="1:2">
      <c r="A2094" s="176">
        <v>40653</v>
      </c>
      <c r="B2094" s="111" t="s">
        <v>2240</v>
      </c>
    </row>
    <row r="2095" spans="1:2">
      <c r="A2095" s="176">
        <v>40654</v>
      </c>
      <c r="B2095" s="111" t="s">
        <v>2240</v>
      </c>
    </row>
    <row r="2096" spans="1:2">
      <c r="A2096" s="176">
        <v>40655</v>
      </c>
      <c r="B2096" s="111" t="s">
        <v>2240</v>
      </c>
    </row>
    <row r="2097" spans="1:2">
      <c r="A2097" s="176">
        <v>40658</v>
      </c>
      <c r="B2097" s="111" t="s">
        <v>2240</v>
      </c>
    </row>
    <row r="2098" spans="1:2">
      <c r="A2098" s="176">
        <v>40659</v>
      </c>
      <c r="B2098" s="111" t="s">
        <v>2240</v>
      </c>
    </row>
    <row r="2099" spans="1:2">
      <c r="A2099" s="176">
        <v>40660</v>
      </c>
      <c r="B2099" s="111" t="s">
        <v>2240</v>
      </c>
    </row>
    <row r="2100" spans="1:2">
      <c r="A2100" s="176">
        <v>40661</v>
      </c>
      <c r="B2100" s="111" t="s">
        <v>2240</v>
      </c>
    </row>
    <row r="2101" spans="1:2">
      <c r="A2101" s="176">
        <v>40662</v>
      </c>
      <c r="B2101" s="111" t="s">
        <v>2240</v>
      </c>
    </row>
    <row r="2102" spans="1:2">
      <c r="A2102" s="176">
        <v>40666</v>
      </c>
      <c r="B2102" s="111" t="s">
        <v>2240</v>
      </c>
    </row>
    <row r="2103" spans="1:2">
      <c r="A2103" s="176">
        <v>40667</v>
      </c>
      <c r="B2103" s="111" t="s">
        <v>2240</v>
      </c>
    </row>
    <row r="2104" spans="1:2">
      <c r="A2104" s="176">
        <v>40668</v>
      </c>
      <c r="B2104" s="111" t="s">
        <v>2240</v>
      </c>
    </row>
    <row r="2105" spans="1:2">
      <c r="A2105" s="176">
        <v>40669</v>
      </c>
      <c r="B2105" s="111" t="s">
        <v>2240</v>
      </c>
    </row>
    <row r="2106" spans="1:2">
      <c r="A2106" s="176">
        <v>40672</v>
      </c>
      <c r="B2106" s="111" t="s">
        <v>2240</v>
      </c>
    </row>
    <row r="2107" spans="1:2">
      <c r="A2107" s="176">
        <v>40673</v>
      </c>
      <c r="B2107" s="111" t="s">
        <v>2240</v>
      </c>
    </row>
    <row r="2108" spans="1:2">
      <c r="A2108" s="176">
        <v>40674</v>
      </c>
      <c r="B2108" s="111" t="s">
        <v>2240</v>
      </c>
    </row>
    <row r="2109" spans="1:2">
      <c r="A2109" s="176">
        <v>40675</v>
      </c>
      <c r="B2109" s="111" t="s">
        <v>2240</v>
      </c>
    </row>
    <row r="2110" spans="1:2">
      <c r="A2110" s="176">
        <v>40676</v>
      </c>
      <c r="B2110" s="111" t="s">
        <v>2240</v>
      </c>
    </row>
    <row r="2111" spans="1:2">
      <c r="A2111" s="176">
        <v>40679</v>
      </c>
      <c r="B2111" s="111" t="s">
        <v>2240</v>
      </c>
    </row>
    <row r="2112" spans="1:2">
      <c r="A2112" s="176">
        <v>40680</v>
      </c>
      <c r="B2112" s="111" t="s">
        <v>2240</v>
      </c>
    </row>
    <row r="2113" spans="1:2">
      <c r="A2113" s="176">
        <v>40681</v>
      </c>
      <c r="B2113" s="111" t="s">
        <v>2240</v>
      </c>
    </row>
    <row r="2114" spans="1:2">
      <c r="A2114" s="176">
        <v>40682</v>
      </c>
      <c r="B2114" s="111" t="s">
        <v>2240</v>
      </c>
    </row>
    <row r="2115" spans="1:2">
      <c r="A2115" s="176">
        <v>40683</v>
      </c>
      <c r="B2115" s="111" t="s">
        <v>2240</v>
      </c>
    </row>
    <row r="2116" spans="1:2">
      <c r="A2116" s="176">
        <v>40686</v>
      </c>
      <c r="B2116" s="111" t="s">
        <v>2240</v>
      </c>
    </row>
    <row r="2117" spans="1:2">
      <c r="A2117" s="176">
        <v>40687</v>
      </c>
      <c r="B2117" s="111" t="s">
        <v>2240</v>
      </c>
    </row>
    <row r="2118" spans="1:2">
      <c r="A2118" s="176">
        <v>40688</v>
      </c>
      <c r="B2118" s="111" t="s">
        <v>2240</v>
      </c>
    </row>
    <row r="2119" spans="1:2">
      <c r="A2119" s="176">
        <v>40689</v>
      </c>
      <c r="B2119" s="111" t="s">
        <v>2240</v>
      </c>
    </row>
    <row r="2120" spans="1:2">
      <c r="A2120" s="176">
        <v>40690</v>
      </c>
      <c r="B2120" s="111" t="s">
        <v>2240</v>
      </c>
    </row>
    <row r="2121" spans="1:2">
      <c r="A2121" s="176">
        <v>40693</v>
      </c>
      <c r="B2121" s="111" t="s">
        <v>2240</v>
      </c>
    </row>
    <row r="2122" spans="1:2">
      <c r="A2122" s="176">
        <v>40694</v>
      </c>
      <c r="B2122" s="111" t="s">
        <v>2240</v>
      </c>
    </row>
    <row r="2123" spans="1:2">
      <c r="A2123" s="176">
        <v>40695</v>
      </c>
      <c r="B2123" s="111" t="s">
        <v>2240</v>
      </c>
    </row>
    <row r="2124" spans="1:2">
      <c r="A2124" s="176">
        <v>40696</v>
      </c>
      <c r="B2124" s="111" t="s">
        <v>2240</v>
      </c>
    </row>
    <row r="2125" spans="1:2">
      <c r="A2125" s="176">
        <v>40697</v>
      </c>
      <c r="B2125" s="111" t="s">
        <v>2240</v>
      </c>
    </row>
    <row r="2126" spans="1:2">
      <c r="A2126" s="176">
        <v>40701</v>
      </c>
      <c r="B2126" s="111" t="s">
        <v>2240</v>
      </c>
    </row>
    <row r="2127" spans="1:2">
      <c r="A2127" s="176">
        <v>40702</v>
      </c>
      <c r="B2127" s="111" t="s">
        <v>2240</v>
      </c>
    </row>
    <row r="2128" spans="1:2">
      <c r="A2128" s="176">
        <v>40703</v>
      </c>
      <c r="B2128" s="111" t="s">
        <v>2240</v>
      </c>
    </row>
    <row r="2129" spans="1:2">
      <c r="A2129" s="176">
        <v>40704</v>
      </c>
      <c r="B2129" s="111" t="s">
        <v>2240</v>
      </c>
    </row>
    <row r="2130" spans="1:2">
      <c r="A2130" s="176">
        <v>40707</v>
      </c>
      <c r="B2130" s="111" t="s">
        <v>2240</v>
      </c>
    </row>
    <row r="2131" spans="1:2">
      <c r="A2131" s="176">
        <v>40708</v>
      </c>
      <c r="B2131" s="111" t="s">
        <v>2240</v>
      </c>
    </row>
    <row r="2132" spans="1:2">
      <c r="A2132" s="176">
        <v>40709</v>
      </c>
      <c r="B2132" s="111" t="s">
        <v>2240</v>
      </c>
    </row>
    <row r="2133" spans="1:2">
      <c r="A2133" s="176">
        <v>40710</v>
      </c>
      <c r="B2133" s="111" t="s">
        <v>2240</v>
      </c>
    </row>
    <row r="2134" spans="1:2">
      <c r="A2134" s="176">
        <v>40711</v>
      </c>
      <c r="B2134" s="111" t="s">
        <v>2240</v>
      </c>
    </row>
    <row r="2135" spans="1:2">
      <c r="A2135" s="176">
        <v>40714</v>
      </c>
      <c r="B2135" s="111" t="s">
        <v>2240</v>
      </c>
    </row>
    <row r="2136" spans="1:2">
      <c r="A2136" s="176">
        <v>40715</v>
      </c>
      <c r="B2136" s="111" t="s">
        <v>2240</v>
      </c>
    </row>
    <row r="2137" spans="1:2">
      <c r="A2137" s="176">
        <v>40716</v>
      </c>
      <c r="B2137" s="111" t="s">
        <v>2240</v>
      </c>
    </row>
    <row r="2138" spans="1:2">
      <c r="A2138" s="176">
        <v>40717</v>
      </c>
      <c r="B2138" s="111" t="s">
        <v>2240</v>
      </c>
    </row>
    <row r="2139" spans="1:2">
      <c r="A2139" s="176">
        <v>40718</v>
      </c>
      <c r="B2139" s="111" t="s">
        <v>2240</v>
      </c>
    </row>
    <row r="2140" spans="1:2">
      <c r="A2140" s="176">
        <v>40721</v>
      </c>
      <c r="B2140" s="111" t="s">
        <v>2240</v>
      </c>
    </row>
    <row r="2141" spans="1:2">
      <c r="A2141" s="176">
        <v>40722</v>
      </c>
      <c r="B2141" s="111" t="s">
        <v>2240</v>
      </c>
    </row>
    <row r="2142" spans="1:2">
      <c r="A2142" s="176">
        <v>40723</v>
      </c>
      <c r="B2142" s="111" t="s">
        <v>2240</v>
      </c>
    </row>
    <row r="2143" spans="1:2">
      <c r="A2143" s="176">
        <v>40724</v>
      </c>
      <c r="B2143" s="111" t="s">
        <v>2240</v>
      </c>
    </row>
    <row r="2144" spans="1:2">
      <c r="A2144" s="176">
        <v>40725</v>
      </c>
      <c r="B2144" s="111" t="s">
        <v>2240</v>
      </c>
    </row>
    <row r="2145" spans="1:2">
      <c r="A2145" s="176">
        <v>40728</v>
      </c>
      <c r="B2145" s="111" t="s">
        <v>2240</v>
      </c>
    </row>
    <row r="2146" spans="1:2">
      <c r="A2146" s="176">
        <v>40729</v>
      </c>
      <c r="B2146" s="111" t="s">
        <v>2240</v>
      </c>
    </row>
    <row r="2147" spans="1:2">
      <c r="A2147" s="176">
        <v>40730</v>
      </c>
      <c r="B2147" s="111" t="s">
        <v>2240</v>
      </c>
    </row>
    <row r="2148" spans="1:2">
      <c r="A2148" s="176">
        <v>40731</v>
      </c>
      <c r="B2148" s="111" t="s">
        <v>2240</v>
      </c>
    </row>
    <row r="2149" spans="1:2">
      <c r="A2149" s="176">
        <v>40732</v>
      </c>
      <c r="B2149" s="111" t="s">
        <v>2240</v>
      </c>
    </row>
    <row r="2150" spans="1:2">
      <c r="A2150" s="176">
        <v>40735</v>
      </c>
      <c r="B2150" s="111" t="s">
        <v>2240</v>
      </c>
    </row>
    <row r="2151" spans="1:2">
      <c r="A2151" s="176">
        <v>40736</v>
      </c>
      <c r="B2151" s="111" t="s">
        <v>2240</v>
      </c>
    </row>
    <row r="2152" spans="1:2">
      <c r="A2152" s="176">
        <v>40737</v>
      </c>
      <c r="B2152" s="111" t="s">
        <v>2240</v>
      </c>
    </row>
    <row r="2153" spans="1:2">
      <c r="A2153" s="176">
        <v>40738</v>
      </c>
      <c r="B2153" s="111" t="s">
        <v>2240</v>
      </c>
    </row>
    <row r="2154" spans="1:2">
      <c r="A2154" s="176">
        <v>40739</v>
      </c>
      <c r="B2154" s="111" t="s">
        <v>2240</v>
      </c>
    </row>
    <row r="2155" spans="1:2">
      <c r="A2155" s="176">
        <v>40742</v>
      </c>
      <c r="B2155" s="111" t="s">
        <v>2240</v>
      </c>
    </row>
    <row r="2156" spans="1:2">
      <c r="A2156" s="176">
        <v>40743</v>
      </c>
      <c r="B2156" s="111" t="s">
        <v>2240</v>
      </c>
    </row>
    <row r="2157" spans="1:2">
      <c r="A2157" s="176">
        <v>40744</v>
      </c>
      <c r="B2157" s="111" t="s">
        <v>2240</v>
      </c>
    </row>
    <row r="2158" spans="1:2">
      <c r="A2158" s="176">
        <v>40745</v>
      </c>
      <c r="B2158" s="111" t="s">
        <v>2240</v>
      </c>
    </row>
    <row r="2159" spans="1:2">
      <c r="A2159" s="176">
        <v>40746</v>
      </c>
      <c r="B2159" s="111" t="s">
        <v>2240</v>
      </c>
    </row>
    <row r="2160" spans="1:2">
      <c r="A2160" s="176">
        <v>40749</v>
      </c>
      <c r="B2160" s="111" t="s">
        <v>2240</v>
      </c>
    </row>
    <row r="2161" spans="1:2">
      <c r="A2161" s="176">
        <v>40750</v>
      </c>
      <c r="B2161" s="111" t="s">
        <v>2240</v>
      </c>
    </row>
    <row r="2162" spans="1:2">
      <c r="A2162" s="176">
        <v>40751</v>
      </c>
      <c r="B2162" s="111" t="s">
        <v>2240</v>
      </c>
    </row>
    <row r="2163" spans="1:2">
      <c r="A2163" s="176">
        <v>40752</v>
      </c>
      <c r="B2163" s="111" t="s">
        <v>2240</v>
      </c>
    </row>
    <row r="2164" spans="1:2">
      <c r="A2164" s="176">
        <v>40753</v>
      </c>
      <c r="B2164" s="111" t="s">
        <v>2240</v>
      </c>
    </row>
    <row r="2165" spans="1:2">
      <c r="A2165" s="176">
        <v>40756</v>
      </c>
      <c r="B2165" s="111" t="s">
        <v>2240</v>
      </c>
    </row>
    <row r="2166" spans="1:2">
      <c r="A2166" s="176">
        <v>40757</v>
      </c>
      <c r="B2166" s="111" t="s">
        <v>2240</v>
      </c>
    </row>
    <row r="2167" spans="1:2">
      <c r="A2167" s="176">
        <v>40758</v>
      </c>
      <c r="B2167" s="111" t="s">
        <v>2240</v>
      </c>
    </row>
    <row r="2168" spans="1:2">
      <c r="A2168" s="176">
        <v>40759</v>
      </c>
      <c r="B2168" s="111" t="s">
        <v>2240</v>
      </c>
    </row>
    <row r="2169" spans="1:2">
      <c r="A2169" s="176">
        <v>40760</v>
      </c>
      <c r="B2169" s="111" t="s">
        <v>2240</v>
      </c>
    </row>
    <row r="2170" spans="1:2">
      <c r="A2170" s="176">
        <v>40763</v>
      </c>
      <c r="B2170" s="111" t="s">
        <v>2240</v>
      </c>
    </row>
    <row r="2171" spans="1:2">
      <c r="A2171" s="176">
        <v>40764</v>
      </c>
      <c r="B2171" s="111" t="s">
        <v>2240</v>
      </c>
    </row>
    <row r="2172" spans="1:2">
      <c r="A2172" s="176">
        <v>40765</v>
      </c>
      <c r="B2172" s="111" t="s">
        <v>2240</v>
      </c>
    </row>
    <row r="2173" spans="1:2">
      <c r="A2173" s="176">
        <v>40766</v>
      </c>
      <c r="B2173" s="111" t="s">
        <v>2240</v>
      </c>
    </row>
    <row r="2174" spans="1:2">
      <c r="A2174" s="176">
        <v>40767</v>
      </c>
      <c r="B2174" s="111" t="s">
        <v>2240</v>
      </c>
    </row>
    <row r="2175" spans="1:2">
      <c r="A2175" s="176">
        <v>40770</v>
      </c>
      <c r="B2175" s="111" t="s">
        <v>2240</v>
      </c>
    </row>
    <row r="2176" spans="1:2">
      <c r="A2176" s="176">
        <v>40771</v>
      </c>
      <c r="B2176" s="111" t="s">
        <v>2240</v>
      </c>
    </row>
    <row r="2177" spans="1:2">
      <c r="A2177" s="176">
        <v>40772</v>
      </c>
      <c r="B2177" s="111" t="s">
        <v>2240</v>
      </c>
    </row>
    <row r="2178" spans="1:2">
      <c r="A2178" s="176">
        <v>40773</v>
      </c>
      <c r="B2178" s="111" t="s">
        <v>2240</v>
      </c>
    </row>
    <row r="2179" spans="1:2">
      <c r="A2179" s="176">
        <v>40774</v>
      </c>
      <c r="B2179" s="111" t="s">
        <v>2240</v>
      </c>
    </row>
    <row r="2180" spans="1:2">
      <c r="A2180" s="176">
        <v>40777</v>
      </c>
      <c r="B2180" s="111" t="s">
        <v>2240</v>
      </c>
    </row>
    <row r="2181" spans="1:2">
      <c r="A2181" s="176">
        <v>40778</v>
      </c>
      <c r="B2181" s="111" t="s">
        <v>2240</v>
      </c>
    </row>
    <row r="2182" spans="1:2">
      <c r="A2182" s="176">
        <v>40779</v>
      </c>
      <c r="B2182" s="111" t="s">
        <v>2240</v>
      </c>
    </row>
    <row r="2183" spans="1:2">
      <c r="A2183" s="176">
        <v>40780</v>
      </c>
      <c r="B2183" s="111" t="s">
        <v>2240</v>
      </c>
    </row>
    <row r="2184" spans="1:2">
      <c r="A2184" s="176">
        <v>40781</v>
      </c>
      <c r="B2184" s="111" t="s">
        <v>2240</v>
      </c>
    </row>
    <row r="2185" spans="1:2">
      <c r="A2185" s="176">
        <v>40784</v>
      </c>
      <c r="B2185" s="111" t="s">
        <v>2240</v>
      </c>
    </row>
    <row r="2186" spans="1:2">
      <c r="A2186" s="176">
        <v>40785</v>
      </c>
      <c r="B2186" s="111" t="s">
        <v>2240</v>
      </c>
    </row>
    <row r="2187" spans="1:2">
      <c r="A2187" s="176">
        <v>40786</v>
      </c>
      <c r="B2187" s="111" t="s">
        <v>2240</v>
      </c>
    </row>
    <row r="2188" spans="1:2">
      <c r="A2188" s="176">
        <v>40787</v>
      </c>
      <c r="B2188" s="111" t="s">
        <v>2240</v>
      </c>
    </row>
    <row r="2189" spans="1:2">
      <c r="A2189" s="176">
        <v>40788</v>
      </c>
      <c r="B2189" s="111" t="s">
        <v>2240</v>
      </c>
    </row>
    <row r="2190" spans="1:2">
      <c r="A2190" s="176">
        <v>40791</v>
      </c>
      <c r="B2190" s="111" t="s">
        <v>2240</v>
      </c>
    </row>
    <row r="2191" spans="1:2">
      <c r="A2191" s="176">
        <v>40792</v>
      </c>
      <c r="B2191" s="111" t="s">
        <v>2240</v>
      </c>
    </row>
    <row r="2192" spans="1:2">
      <c r="A2192" s="176">
        <v>40793</v>
      </c>
      <c r="B2192" s="111" t="s">
        <v>2240</v>
      </c>
    </row>
    <row r="2193" spans="1:2">
      <c r="A2193" s="176">
        <v>40794</v>
      </c>
      <c r="B2193" s="111" t="s">
        <v>2240</v>
      </c>
    </row>
    <row r="2194" spans="1:2">
      <c r="A2194" s="176">
        <v>40795</v>
      </c>
      <c r="B2194" s="111" t="s">
        <v>2240</v>
      </c>
    </row>
    <row r="2195" spans="1:2">
      <c r="A2195" s="176">
        <v>40799</v>
      </c>
      <c r="B2195" s="111" t="s">
        <v>2240</v>
      </c>
    </row>
    <row r="2196" spans="1:2">
      <c r="A2196" s="176">
        <v>40800</v>
      </c>
      <c r="B2196" s="111" t="s">
        <v>2240</v>
      </c>
    </row>
    <row r="2197" spans="1:2">
      <c r="A2197" s="176">
        <v>40801</v>
      </c>
      <c r="B2197" s="111" t="s">
        <v>2240</v>
      </c>
    </row>
    <row r="2198" spans="1:2">
      <c r="A2198" s="176">
        <v>40802</v>
      </c>
      <c r="B2198" s="111" t="s">
        <v>2240</v>
      </c>
    </row>
    <row r="2199" spans="1:2">
      <c r="A2199" s="176">
        <v>40805</v>
      </c>
      <c r="B2199" s="111" t="s">
        <v>2240</v>
      </c>
    </row>
    <row r="2200" spans="1:2">
      <c r="A2200" s="176">
        <v>40806</v>
      </c>
      <c r="B2200" s="111" t="s">
        <v>2240</v>
      </c>
    </row>
    <row r="2201" spans="1:2">
      <c r="A2201" s="176">
        <v>40807</v>
      </c>
      <c r="B2201" s="111" t="s">
        <v>2240</v>
      </c>
    </row>
    <row r="2202" spans="1:2">
      <c r="A2202" s="176">
        <v>40808</v>
      </c>
      <c r="B2202" s="111" t="s">
        <v>2240</v>
      </c>
    </row>
    <row r="2203" spans="1:2">
      <c r="A2203" s="176">
        <v>40809</v>
      </c>
      <c r="B2203" s="111" t="s">
        <v>2240</v>
      </c>
    </row>
    <row r="2204" spans="1:2">
      <c r="A2204" s="176">
        <v>40812</v>
      </c>
      <c r="B2204" s="111" t="s">
        <v>2240</v>
      </c>
    </row>
    <row r="2205" spans="1:2">
      <c r="A2205" s="176">
        <v>40813</v>
      </c>
      <c r="B2205" s="111" t="s">
        <v>2240</v>
      </c>
    </row>
    <row r="2206" spans="1:2">
      <c r="A2206" s="176">
        <v>40814</v>
      </c>
      <c r="B2206" s="111" t="s">
        <v>2240</v>
      </c>
    </row>
    <row r="2207" spans="1:2">
      <c r="A2207" s="176">
        <v>40815</v>
      </c>
      <c r="B2207" s="111" t="s">
        <v>2240</v>
      </c>
    </row>
    <row r="2208" spans="1:2">
      <c r="A2208" s="176">
        <v>40816</v>
      </c>
      <c r="B2208" s="111" t="s">
        <v>2240</v>
      </c>
    </row>
    <row r="2209" spans="1:2">
      <c r="A2209" s="176">
        <v>40824</v>
      </c>
      <c r="B2209" s="111" t="s">
        <v>2240</v>
      </c>
    </row>
    <row r="2210" spans="1:2">
      <c r="A2210" s="176">
        <v>40825</v>
      </c>
      <c r="B2210" s="111" t="s">
        <v>2240</v>
      </c>
    </row>
    <row r="2211" spans="1:2">
      <c r="A2211" s="176">
        <v>40826</v>
      </c>
      <c r="B2211" s="111" t="s">
        <v>2240</v>
      </c>
    </row>
    <row r="2212" spans="1:2">
      <c r="A2212" s="176">
        <v>40827</v>
      </c>
      <c r="B2212" s="111" t="s">
        <v>2240</v>
      </c>
    </row>
    <row r="2213" spans="1:2">
      <c r="A2213" s="176">
        <v>40828</v>
      </c>
      <c r="B2213" s="111" t="s">
        <v>2240</v>
      </c>
    </row>
    <row r="2214" spans="1:2">
      <c r="A2214" s="176">
        <v>40829</v>
      </c>
      <c r="B2214" s="111" t="s">
        <v>2240</v>
      </c>
    </row>
    <row r="2215" spans="1:2">
      <c r="A2215" s="176">
        <v>40830</v>
      </c>
      <c r="B2215" s="111" t="s">
        <v>2240</v>
      </c>
    </row>
    <row r="2216" spans="1:2">
      <c r="A2216" s="176">
        <v>40833</v>
      </c>
      <c r="B2216" s="111" t="s">
        <v>2240</v>
      </c>
    </row>
    <row r="2217" spans="1:2">
      <c r="A2217" s="176">
        <v>40834</v>
      </c>
      <c r="B2217" s="111" t="s">
        <v>2240</v>
      </c>
    </row>
    <row r="2218" spans="1:2">
      <c r="A2218" s="176">
        <v>40835</v>
      </c>
      <c r="B2218" s="111" t="s">
        <v>2240</v>
      </c>
    </row>
    <row r="2219" spans="1:2">
      <c r="A2219" s="176">
        <v>40836</v>
      </c>
      <c r="B2219" s="111" t="s">
        <v>2240</v>
      </c>
    </row>
    <row r="2220" spans="1:2">
      <c r="A2220" s="176">
        <v>40837</v>
      </c>
      <c r="B2220" s="111" t="s">
        <v>2240</v>
      </c>
    </row>
    <row r="2221" spans="1:2">
      <c r="A2221" s="176">
        <v>40840</v>
      </c>
      <c r="B2221" s="111" t="s">
        <v>2240</v>
      </c>
    </row>
    <row r="2222" spans="1:2">
      <c r="A2222" s="176">
        <v>40841</v>
      </c>
      <c r="B2222" s="111" t="s">
        <v>2240</v>
      </c>
    </row>
    <row r="2223" spans="1:2">
      <c r="A2223" s="176">
        <v>40842</v>
      </c>
      <c r="B2223" s="111" t="s">
        <v>2240</v>
      </c>
    </row>
    <row r="2224" spans="1:2">
      <c r="A2224" s="176">
        <v>40843</v>
      </c>
      <c r="B2224" s="111" t="s">
        <v>2240</v>
      </c>
    </row>
    <row r="2225" spans="1:2">
      <c r="A2225" s="176">
        <v>40844</v>
      </c>
      <c r="B2225" s="111" t="s">
        <v>2240</v>
      </c>
    </row>
    <row r="2226" spans="1:2">
      <c r="A2226" s="176">
        <v>40847</v>
      </c>
      <c r="B2226" s="111" t="s">
        <v>2240</v>
      </c>
    </row>
    <row r="2227" spans="1:2">
      <c r="A2227" s="176">
        <v>40848</v>
      </c>
      <c r="B2227" s="111" t="s">
        <v>2240</v>
      </c>
    </row>
    <row r="2228" spans="1:2">
      <c r="A2228" s="176">
        <v>40849</v>
      </c>
      <c r="B2228" s="111" t="s">
        <v>2240</v>
      </c>
    </row>
    <row r="2229" spans="1:2">
      <c r="A2229" s="176">
        <v>40850</v>
      </c>
      <c r="B2229" s="111" t="s">
        <v>2240</v>
      </c>
    </row>
    <row r="2230" spans="1:2">
      <c r="A2230" s="176">
        <v>40851</v>
      </c>
      <c r="B2230" s="111" t="s">
        <v>2240</v>
      </c>
    </row>
    <row r="2231" spans="1:2">
      <c r="A2231" s="176">
        <v>40854</v>
      </c>
      <c r="B2231" s="111" t="s">
        <v>2240</v>
      </c>
    </row>
    <row r="2232" spans="1:2">
      <c r="A2232" s="176">
        <v>40855</v>
      </c>
      <c r="B2232" s="111" t="s">
        <v>2240</v>
      </c>
    </row>
    <row r="2233" spans="1:2">
      <c r="A2233" s="176">
        <v>40856</v>
      </c>
      <c r="B2233" s="111" t="s">
        <v>2240</v>
      </c>
    </row>
    <row r="2234" spans="1:2">
      <c r="A2234" s="176">
        <v>40857</v>
      </c>
      <c r="B2234" s="111" t="s">
        <v>2240</v>
      </c>
    </row>
    <row r="2235" spans="1:2">
      <c r="A2235" s="176">
        <v>40858</v>
      </c>
      <c r="B2235" s="111" t="s">
        <v>2240</v>
      </c>
    </row>
    <row r="2236" spans="1:2">
      <c r="A2236" s="176">
        <v>40861</v>
      </c>
      <c r="B2236" s="111" t="s">
        <v>2240</v>
      </c>
    </row>
    <row r="2237" spans="1:2">
      <c r="A2237" s="176">
        <v>40862</v>
      </c>
      <c r="B2237" s="111" t="s">
        <v>2240</v>
      </c>
    </row>
    <row r="2238" spans="1:2">
      <c r="A2238" s="176">
        <v>40863</v>
      </c>
      <c r="B2238" s="111" t="s">
        <v>2240</v>
      </c>
    </row>
    <row r="2239" spans="1:2">
      <c r="A2239" s="176">
        <v>40864</v>
      </c>
      <c r="B2239" s="111" t="s">
        <v>2240</v>
      </c>
    </row>
    <row r="2240" spans="1:2">
      <c r="A2240" s="176">
        <v>40865</v>
      </c>
      <c r="B2240" s="111" t="s">
        <v>2240</v>
      </c>
    </row>
    <row r="2241" spans="1:2">
      <c r="A2241" s="176">
        <v>40868</v>
      </c>
      <c r="B2241" s="111" t="s">
        <v>2240</v>
      </c>
    </row>
    <row r="2242" spans="1:2">
      <c r="A2242" s="176">
        <v>40869</v>
      </c>
      <c r="B2242" s="111" t="s">
        <v>2240</v>
      </c>
    </row>
    <row r="2243" spans="1:2">
      <c r="A2243" s="176">
        <v>40870</v>
      </c>
      <c r="B2243" s="111" t="s">
        <v>2240</v>
      </c>
    </row>
    <row r="2244" spans="1:2">
      <c r="A2244" s="176">
        <v>40871</v>
      </c>
      <c r="B2244" s="111" t="s">
        <v>2240</v>
      </c>
    </row>
    <row r="2245" spans="1:2">
      <c r="A2245" s="176">
        <v>40872</v>
      </c>
      <c r="B2245" s="111" t="s">
        <v>2240</v>
      </c>
    </row>
    <row r="2246" spans="1:2">
      <c r="A2246" s="176">
        <v>40875</v>
      </c>
      <c r="B2246" s="111" t="s">
        <v>2240</v>
      </c>
    </row>
    <row r="2247" spans="1:2">
      <c r="A2247" s="176">
        <v>40876</v>
      </c>
      <c r="B2247" s="111" t="s">
        <v>2240</v>
      </c>
    </row>
    <row r="2248" spans="1:2">
      <c r="A2248" s="176">
        <v>40877</v>
      </c>
      <c r="B2248" s="111" t="s">
        <v>2240</v>
      </c>
    </row>
    <row r="2249" spans="1:2">
      <c r="A2249" s="176">
        <v>40878</v>
      </c>
      <c r="B2249" s="111" t="s">
        <v>2240</v>
      </c>
    </row>
    <row r="2250" spans="1:2">
      <c r="A2250" s="176">
        <v>40879</v>
      </c>
      <c r="B2250" s="111" t="s">
        <v>2240</v>
      </c>
    </row>
    <row r="2251" spans="1:2">
      <c r="A2251" s="176">
        <v>40882</v>
      </c>
      <c r="B2251" s="111" t="s">
        <v>2240</v>
      </c>
    </row>
    <row r="2252" spans="1:2">
      <c r="A2252" s="176">
        <v>40883</v>
      </c>
      <c r="B2252" s="111" t="s">
        <v>2240</v>
      </c>
    </row>
    <row r="2253" spans="1:2">
      <c r="A2253" s="176">
        <v>40884</v>
      </c>
      <c r="B2253" s="111" t="s">
        <v>2240</v>
      </c>
    </row>
    <row r="2254" spans="1:2">
      <c r="A2254" s="176">
        <v>40885</v>
      </c>
      <c r="B2254" s="111" t="s">
        <v>2240</v>
      </c>
    </row>
    <row r="2255" spans="1:2">
      <c r="A2255" s="176">
        <v>40886</v>
      </c>
      <c r="B2255" s="111" t="s">
        <v>2240</v>
      </c>
    </row>
    <row r="2256" spans="1:2">
      <c r="A2256" s="176">
        <v>40889</v>
      </c>
      <c r="B2256" s="111" t="s">
        <v>2240</v>
      </c>
    </row>
    <row r="2257" spans="1:2">
      <c r="A2257" s="176">
        <v>40890</v>
      </c>
      <c r="B2257" s="111" t="s">
        <v>2240</v>
      </c>
    </row>
    <row r="2258" spans="1:2">
      <c r="A2258" s="176">
        <v>40891</v>
      </c>
      <c r="B2258" s="111" t="s">
        <v>2240</v>
      </c>
    </row>
    <row r="2259" spans="1:2">
      <c r="A2259" s="176">
        <v>40892</v>
      </c>
      <c r="B2259" s="111" t="s">
        <v>2240</v>
      </c>
    </row>
    <row r="2260" spans="1:2">
      <c r="A2260" s="176">
        <v>40893</v>
      </c>
      <c r="B2260" s="111" t="s">
        <v>2240</v>
      </c>
    </row>
    <row r="2261" spans="1:2">
      <c r="A2261" s="176">
        <v>40896</v>
      </c>
      <c r="B2261" s="111" t="s">
        <v>2240</v>
      </c>
    </row>
    <row r="2262" spans="1:2">
      <c r="A2262" s="176">
        <v>40897</v>
      </c>
      <c r="B2262" s="111" t="s">
        <v>2240</v>
      </c>
    </row>
    <row r="2263" spans="1:2">
      <c r="A2263" s="176">
        <v>40898</v>
      </c>
      <c r="B2263" s="111" t="s">
        <v>2240</v>
      </c>
    </row>
    <row r="2264" spans="1:2">
      <c r="A2264" s="176">
        <v>40899</v>
      </c>
      <c r="B2264" s="111" t="s">
        <v>2240</v>
      </c>
    </row>
    <row r="2265" spans="1:2">
      <c r="A2265" s="176">
        <v>40900</v>
      </c>
      <c r="B2265" s="111" t="s">
        <v>2240</v>
      </c>
    </row>
    <row r="2266" spans="1:2">
      <c r="A2266" s="176">
        <v>40903</v>
      </c>
      <c r="B2266" s="111" t="s">
        <v>2240</v>
      </c>
    </row>
    <row r="2267" spans="1:2">
      <c r="A2267" s="176">
        <v>40904</v>
      </c>
      <c r="B2267" s="111" t="s">
        <v>2240</v>
      </c>
    </row>
    <row r="2268" spans="1:2">
      <c r="A2268" s="176">
        <v>40905</v>
      </c>
      <c r="B2268" s="111" t="s">
        <v>2240</v>
      </c>
    </row>
    <row r="2269" spans="1:2">
      <c r="A2269" s="176">
        <v>40906</v>
      </c>
      <c r="B2269" s="111" t="s">
        <v>2240</v>
      </c>
    </row>
    <row r="2270" spans="1:2">
      <c r="A2270" s="176">
        <v>40907</v>
      </c>
      <c r="B2270" s="111" t="s">
        <v>2240</v>
      </c>
    </row>
    <row r="2271" spans="1:2">
      <c r="A2271" s="176">
        <v>40908</v>
      </c>
      <c r="B2271" s="111" t="s">
        <v>2240</v>
      </c>
    </row>
    <row r="2272" spans="1:2">
      <c r="A2272" s="176">
        <v>40912</v>
      </c>
      <c r="B2272" s="111" t="s">
        <v>2240</v>
      </c>
    </row>
    <row r="2273" spans="1:2">
      <c r="A2273" s="176">
        <v>40913</v>
      </c>
      <c r="B2273" s="111" t="s">
        <v>2240</v>
      </c>
    </row>
    <row r="2274" spans="1:2">
      <c r="A2274" s="176">
        <v>40914</v>
      </c>
      <c r="B2274" s="111" t="s">
        <v>2240</v>
      </c>
    </row>
    <row r="2275" spans="1:2">
      <c r="A2275" s="176">
        <v>40917</v>
      </c>
      <c r="B2275" s="111" t="s">
        <v>2240</v>
      </c>
    </row>
    <row r="2276" spans="1:2">
      <c r="A2276" s="176">
        <v>40918</v>
      </c>
      <c r="B2276" s="111" t="s">
        <v>2240</v>
      </c>
    </row>
    <row r="2277" spans="1:2">
      <c r="A2277" s="176">
        <v>40919</v>
      </c>
      <c r="B2277" s="111" t="s">
        <v>2240</v>
      </c>
    </row>
    <row r="2278" spans="1:2">
      <c r="A2278" s="176">
        <v>40920</v>
      </c>
      <c r="B2278" s="111" t="s">
        <v>2240</v>
      </c>
    </row>
    <row r="2279" spans="1:2">
      <c r="A2279" s="176">
        <v>40921</v>
      </c>
      <c r="B2279" s="111" t="s">
        <v>2240</v>
      </c>
    </row>
    <row r="2280" spans="1:2">
      <c r="A2280" s="176">
        <v>40924</v>
      </c>
      <c r="B2280" s="111" t="s">
        <v>2240</v>
      </c>
    </row>
    <row r="2281" spans="1:2">
      <c r="A2281" s="176">
        <v>40925</v>
      </c>
      <c r="B2281" s="111" t="s">
        <v>2240</v>
      </c>
    </row>
    <row r="2282" spans="1:2">
      <c r="A2282" s="176">
        <v>40926</v>
      </c>
      <c r="B2282" s="111" t="s">
        <v>2240</v>
      </c>
    </row>
    <row r="2283" spans="1:2">
      <c r="A2283" s="176">
        <v>40927</v>
      </c>
      <c r="B2283" s="111" t="s">
        <v>2240</v>
      </c>
    </row>
    <row r="2284" spans="1:2">
      <c r="A2284" s="176">
        <v>40928</v>
      </c>
      <c r="B2284" s="111" t="s">
        <v>2240</v>
      </c>
    </row>
    <row r="2285" spans="1:2">
      <c r="A2285" s="176">
        <v>40929</v>
      </c>
      <c r="B2285" s="111" t="s">
        <v>2240</v>
      </c>
    </row>
    <row r="2286" spans="1:2">
      <c r="A2286" s="176">
        <v>40937</v>
      </c>
      <c r="B2286" s="111" t="s">
        <v>2240</v>
      </c>
    </row>
    <row r="2287" spans="1:2">
      <c r="A2287" s="176">
        <v>40938</v>
      </c>
      <c r="B2287" s="111" t="s">
        <v>2240</v>
      </c>
    </row>
    <row r="2288" spans="1:2">
      <c r="A2288" s="176">
        <v>40939</v>
      </c>
      <c r="B2288" s="111" t="s">
        <v>2240</v>
      </c>
    </row>
    <row r="2289" spans="1:2">
      <c r="A2289" s="176">
        <v>40940</v>
      </c>
      <c r="B2289" s="111" t="s">
        <v>2240</v>
      </c>
    </row>
    <row r="2290" spans="1:2">
      <c r="A2290" s="176">
        <v>40941</v>
      </c>
      <c r="B2290" s="111" t="s">
        <v>2240</v>
      </c>
    </row>
    <row r="2291" spans="1:2">
      <c r="A2291" s="176">
        <v>40942</v>
      </c>
      <c r="B2291" s="111" t="s">
        <v>2240</v>
      </c>
    </row>
    <row r="2292" spans="1:2">
      <c r="A2292" s="176">
        <v>40945</v>
      </c>
      <c r="B2292" s="111" t="s">
        <v>2240</v>
      </c>
    </row>
    <row r="2293" spans="1:2">
      <c r="A2293" s="176">
        <v>40946</v>
      </c>
      <c r="B2293" s="111" t="s">
        <v>2240</v>
      </c>
    </row>
    <row r="2294" spans="1:2">
      <c r="A2294" s="176">
        <v>40947</v>
      </c>
      <c r="B2294" s="111" t="s">
        <v>2240</v>
      </c>
    </row>
    <row r="2295" spans="1:2">
      <c r="A2295" s="176">
        <v>40948</v>
      </c>
      <c r="B2295" s="111" t="s">
        <v>2240</v>
      </c>
    </row>
    <row r="2296" spans="1:2">
      <c r="A2296" s="176">
        <v>40949</v>
      </c>
      <c r="B2296" s="111" t="s">
        <v>2240</v>
      </c>
    </row>
    <row r="2297" spans="1:2">
      <c r="A2297" s="176">
        <v>40952</v>
      </c>
      <c r="B2297" s="111" t="s">
        <v>2240</v>
      </c>
    </row>
    <row r="2298" spans="1:2">
      <c r="A2298" s="176">
        <v>40953</v>
      </c>
      <c r="B2298" s="111" t="s">
        <v>2240</v>
      </c>
    </row>
    <row r="2299" spans="1:2">
      <c r="A2299" s="176">
        <v>40954</v>
      </c>
      <c r="B2299" s="111" t="s">
        <v>2240</v>
      </c>
    </row>
    <row r="2300" spans="1:2">
      <c r="A2300" s="176">
        <v>40955</v>
      </c>
      <c r="B2300" s="111" t="s">
        <v>2240</v>
      </c>
    </row>
    <row r="2301" spans="1:2">
      <c r="A2301" s="176">
        <v>40956</v>
      </c>
      <c r="B2301" s="111" t="s">
        <v>2240</v>
      </c>
    </row>
    <row r="2302" spans="1:2">
      <c r="A2302" s="176">
        <v>40959</v>
      </c>
      <c r="B2302" s="111" t="s">
        <v>2240</v>
      </c>
    </row>
    <row r="2303" spans="1:2">
      <c r="A2303" s="176">
        <v>40960</v>
      </c>
      <c r="B2303" s="111" t="s">
        <v>2240</v>
      </c>
    </row>
    <row r="2304" spans="1:2">
      <c r="A2304" s="176">
        <v>40961</v>
      </c>
      <c r="B2304" s="111" t="s">
        <v>2240</v>
      </c>
    </row>
    <row r="2305" spans="1:2">
      <c r="A2305" s="176">
        <v>40962</v>
      </c>
      <c r="B2305" s="111" t="s">
        <v>2240</v>
      </c>
    </row>
    <row r="2306" spans="1:2">
      <c r="A2306" s="176">
        <v>40963</v>
      </c>
      <c r="B2306" s="111" t="s">
        <v>2240</v>
      </c>
    </row>
    <row r="2307" spans="1:2">
      <c r="A2307" s="176">
        <v>40966</v>
      </c>
      <c r="B2307" s="111" t="s">
        <v>2240</v>
      </c>
    </row>
    <row r="2308" spans="1:2">
      <c r="A2308" s="176">
        <v>40967</v>
      </c>
      <c r="B2308" s="111" t="s">
        <v>2240</v>
      </c>
    </row>
    <row r="2309" spans="1:2">
      <c r="A2309" s="176">
        <v>40968</v>
      </c>
      <c r="B2309" s="111" t="s">
        <v>2240</v>
      </c>
    </row>
    <row r="2310" spans="1:2">
      <c r="A2310" s="176">
        <v>40969</v>
      </c>
      <c r="B2310" s="111" t="s">
        <v>2240</v>
      </c>
    </row>
    <row r="2311" spans="1:2">
      <c r="A2311" s="176">
        <v>40970</v>
      </c>
      <c r="B2311" s="111" t="s">
        <v>2240</v>
      </c>
    </row>
    <row r="2312" spans="1:2">
      <c r="A2312" s="176">
        <v>40973</v>
      </c>
      <c r="B2312" s="111" t="s">
        <v>2240</v>
      </c>
    </row>
    <row r="2313" spans="1:2">
      <c r="A2313" s="176">
        <v>40974</v>
      </c>
      <c r="B2313" s="111" t="s">
        <v>2240</v>
      </c>
    </row>
    <row r="2314" spans="1:2">
      <c r="A2314" s="176">
        <v>40975</v>
      </c>
      <c r="B2314" s="111" t="s">
        <v>2240</v>
      </c>
    </row>
    <row r="2315" spans="1:2">
      <c r="A2315" s="176">
        <v>40976</v>
      </c>
      <c r="B2315" s="111" t="s">
        <v>2240</v>
      </c>
    </row>
    <row r="2316" spans="1:2">
      <c r="A2316" s="176">
        <v>40977</v>
      </c>
      <c r="B2316" s="111" t="s">
        <v>2240</v>
      </c>
    </row>
    <row r="2317" spans="1:2">
      <c r="A2317" s="176">
        <v>40980</v>
      </c>
      <c r="B2317" s="111" t="s">
        <v>2240</v>
      </c>
    </row>
    <row r="2318" spans="1:2">
      <c r="A2318" s="176">
        <v>40981</v>
      </c>
      <c r="B2318" s="111" t="s">
        <v>2240</v>
      </c>
    </row>
    <row r="2319" spans="1:2">
      <c r="A2319" s="176">
        <v>40982</v>
      </c>
      <c r="B2319" s="111" t="s">
        <v>2240</v>
      </c>
    </row>
    <row r="2320" spans="1:2">
      <c r="A2320" s="176">
        <v>40983</v>
      </c>
      <c r="B2320" s="111" t="s">
        <v>2240</v>
      </c>
    </row>
    <row r="2321" spans="1:2">
      <c r="A2321" s="176">
        <v>40984</v>
      </c>
      <c r="B2321" s="111" t="s">
        <v>2240</v>
      </c>
    </row>
    <row r="2322" spans="1:2">
      <c r="A2322" s="176">
        <v>40987</v>
      </c>
      <c r="B2322" s="111" t="s">
        <v>2240</v>
      </c>
    </row>
    <row r="2323" spans="1:2">
      <c r="A2323" s="176">
        <v>40988</v>
      </c>
      <c r="B2323" s="111" t="s">
        <v>2240</v>
      </c>
    </row>
    <row r="2324" spans="1:2">
      <c r="A2324" s="176">
        <v>40989</v>
      </c>
      <c r="B2324" s="111" t="s">
        <v>2240</v>
      </c>
    </row>
    <row r="2325" spans="1:2">
      <c r="A2325" s="176">
        <v>40990</v>
      </c>
      <c r="B2325" s="111" t="s">
        <v>2240</v>
      </c>
    </row>
    <row r="2326" spans="1:2">
      <c r="A2326" s="176">
        <v>40991</v>
      </c>
      <c r="B2326" s="111" t="s">
        <v>2240</v>
      </c>
    </row>
    <row r="2327" spans="1:2">
      <c r="A2327" s="176">
        <v>40994</v>
      </c>
      <c r="B2327" s="111" t="s">
        <v>2240</v>
      </c>
    </row>
    <row r="2328" spans="1:2">
      <c r="A2328" s="176">
        <v>40995</v>
      </c>
      <c r="B2328" s="111" t="s">
        <v>2240</v>
      </c>
    </row>
    <row r="2329" spans="1:2">
      <c r="A2329" s="176">
        <v>40996</v>
      </c>
      <c r="B2329" s="111" t="s">
        <v>2240</v>
      </c>
    </row>
    <row r="2330" spans="1:2">
      <c r="A2330" s="176">
        <v>40997</v>
      </c>
      <c r="B2330" s="111" t="s">
        <v>2240</v>
      </c>
    </row>
    <row r="2331" spans="1:2">
      <c r="A2331" s="176">
        <v>40998</v>
      </c>
      <c r="B2331" s="111" t="s">
        <v>2240</v>
      </c>
    </row>
    <row r="2332" spans="1:2">
      <c r="A2332" s="176">
        <v>40999</v>
      </c>
      <c r="B2332" s="111" t="s">
        <v>2240</v>
      </c>
    </row>
    <row r="2333" spans="1:2">
      <c r="A2333" s="176">
        <v>41000</v>
      </c>
      <c r="B2333" s="111" t="s">
        <v>2240</v>
      </c>
    </row>
    <row r="2334" spans="1:2">
      <c r="A2334" s="176">
        <v>41004</v>
      </c>
      <c r="B2334" s="111" t="s">
        <v>2240</v>
      </c>
    </row>
    <row r="2335" spans="1:2">
      <c r="A2335" s="176">
        <v>41005</v>
      </c>
      <c r="B2335" s="111" t="s">
        <v>2240</v>
      </c>
    </row>
    <row r="2336" spans="1:2">
      <c r="A2336" s="176">
        <v>41008</v>
      </c>
      <c r="B2336" s="111" t="s">
        <v>2240</v>
      </c>
    </row>
    <row r="2337" spans="1:2">
      <c r="A2337" s="176">
        <v>41009</v>
      </c>
      <c r="B2337" s="111" t="s">
        <v>2240</v>
      </c>
    </row>
    <row r="2338" spans="1:2">
      <c r="A2338" s="176">
        <v>41010</v>
      </c>
      <c r="B2338" s="111" t="s">
        <v>2240</v>
      </c>
    </row>
    <row r="2339" spans="1:2">
      <c r="A2339" s="176">
        <v>41011</v>
      </c>
      <c r="B2339" s="111" t="s">
        <v>2240</v>
      </c>
    </row>
    <row r="2340" spans="1:2">
      <c r="A2340" s="176">
        <v>41012</v>
      </c>
      <c r="B2340" s="111" t="s">
        <v>2240</v>
      </c>
    </row>
    <row r="2341" spans="1:2">
      <c r="A2341" s="176">
        <v>41015</v>
      </c>
      <c r="B2341" s="111" t="s">
        <v>2240</v>
      </c>
    </row>
    <row r="2342" spans="1:2">
      <c r="A2342" s="176">
        <v>41016</v>
      </c>
      <c r="B2342" s="111" t="s">
        <v>2240</v>
      </c>
    </row>
    <row r="2343" spans="1:2">
      <c r="A2343" s="176">
        <v>41017</v>
      </c>
      <c r="B2343" s="111" t="s">
        <v>2240</v>
      </c>
    </row>
    <row r="2344" spans="1:2">
      <c r="A2344" s="176">
        <v>41018</v>
      </c>
      <c r="B2344" s="111" t="s">
        <v>2240</v>
      </c>
    </row>
    <row r="2345" spans="1:2">
      <c r="A2345" s="176">
        <v>41019</v>
      </c>
      <c r="B2345" s="111" t="s">
        <v>2240</v>
      </c>
    </row>
    <row r="2346" spans="1:2">
      <c r="A2346" s="176">
        <v>41022</v>
      </c>
      <c r="B2346" s="111" t="s">
        <v>2240</v>
      </c>
    </row>
    <row r="2347" spans="1:2">
      <c r="A2347" s="176">
        <v>41023</v>
      </c>
      <c r="B2347" s="111" t="s">
        <v>2240</v>
      </c>
    </row>
    <row r="2348" spans="1:2">
      <c r="A2348" s="176">
        <v>41024</v>
      </c>
      <c r="B2348" s="111" t="s">
        <v>2240</v>
      </c>
    </row>
    <row r="2349" spans="1:2">
      <c r="A2349" s="176">
        <v>41025</v>
      </c>
      <c r="B2349" s="111" t="s">
        <v>2240</v>
      </c>
    </row>
    <row r="2350" spans="1:2">
      <c r="A2350" s="176">
        <v>41026</v>
      </c>
      <c r="B2350" s="111" t="s">
        <v>2240</v>
      </c>
    </row>
    <row r="2351" spans="1:2">
      <c r="A2351" s="176">
        <v>41027</v>
      </c>
      <c r="B2351" s="111" t="s">
        <v>2240</v>
      </c>
    </row>
    <row r="2352" spans="1:2">
      <c r="A2352" s="176">
        <v>41031</v>
      </c>
      <c r="B2352" s="111" t="s">
        <v>2240</v>
      </c>
    </row>
    <row r="2353" spans="1:2">
      <c r="A2353" s="176">
        <v>41032</v>
      </c>
      <c r="B2353" s="111" t="s">
        <v>2240</v>
      </c>
    </row>
    <row r="2354" spans="1:2">
      <c r="A2354" s="176">
        <v>41033</v>
      </c>
      <c r="B2354" s="111" t="s">
        <v>2240</v>
      </c>
    </row>
    <row r="2355" spans="1:2">
      <c r="A2355" s="176">
        <v>41036</v>
      </c>
      <c r="B2355" s="111" t="s">
        <v>2240</v>
      </c>
    </row>
    <row r="2356" spans="1:2">
      <c r="A2356" s="176">
        <v>41037</v>
      </c>
      <c r="B2356" s="111" t="s">
        <v>2240</v>
      </c>
    </row>
    <row r="2357" spans="1:2">
      <c r="A2357" s="176">
        <v>41038</v>
      </c>
      <c r="B2357" s="111" t="s">
        <v>2240</v>
      </c>
    </row>
    <row r="2358" spans="1:2">
      <c r="A2358" s="176">
        <v>41039</v>
      </c>
      <c r="B2358" s="111" t="s">
        <v>2240</v>
      </c>
    </row>
    <row r="2359" spans="1:2">
      <c r="A2359" s="176">
        <v>41040</v>
      </c>
      <c r="B2359" s="111" t="s">
        <v>2240</v>
      </c>
    </row>
    <row r="2360" spans="1:2">
      <c r="A2360" s="176">
        <v>41043</v>
      </c>
      <c r="B2360" s="111" t="s">
        <v>2240</v>
      </c>
    </row>
    <row r="2361" spans="1:2">
      <c r="A2361" s="176">
        <v>41044</v>
      </c>
      <c r="B2361" s="111" t="s">
        <v>2240</v>
      </c>
    </row>
    <row r="2362" spans="1:2">
      <c r="A2362" s="176">
        <v>41045</v>
      </c>
      <c r="B2362" s="111" t="s">
        <v>2240</v>
      </c>
    </row>
    <row r="2363" spans="1:2">
      <c r="A2363" s="176">
        <v>41046</v>
      </c>
      <c r="B2363" s="111" t="s">
        <v>2240</v>
      </c>
    </row>
    <row r="2364" spans="1:2">
      <c r="A2364" s="176">
        <v>41047</v>
      </c>
      <c r="B2364" s="111" t="s">
        <v>2240</v>
      </c>
    </row>
    <row r="2365" spans="1:2">
      <c r="A2365" s="176">
        <v>41050</v>
      </c>
      <c r="B2365" s="111" t="s">
        <v>2240</v>
      </c>
    </row>
    <row r="2366" spans="1:2">
      <c r="A2366" s="176">
        <v>41051</v>
      </c>
      <c r="B2366" s="111" t="s">
        <v>2240</v>
      </c>
    </row>
    <row r="2367" spans="1:2">
      <c r="A2367" s="176">
        <v>41052</v>
      </c>
      <c r="B2367" s="111" t="s">
        <v>2240</v>
      </c>
    </row>
    <row r="2368" spans="1:2">
      <c r="A2368" s="176">
        <v>41053</v>
      </c>
      <c r="B2368" s="111" t="s">
        <v>2240</v>
      </c>
    </row>
    <row r="2369" spans="1:2">
      <c r="A2369" s="176">
        <v>41054</v>
      </c>
      <c r="B2369" s="111" t="s">
        <v>2240</v>
      </c>
    </row>
    <row r="2370" spans="1:2">
      <c r="A2370" s="176">
        <v>41057</v>
      </c>
      <c r="B2370" s="111" t="s">
        <v>2240</v>
      </c>
    </row>
    <row r="2371" spans="1:2">
      <c r="A2371" s="176">
        <v>41058</v>
      </c>
      <c r="B2371" s="111" t="s">
        <v>2240</v>
      </c>
    </row>
    <row r="2372" spans="1:2">
      <c r="A2372" s="176">
        <v>41059</v>
      </c>
      <c r="B2372" s="111" t="s">
        <v>2240</v>
      </c>
    </row>
    <row r="2373" spans="1:2">
      <c r="A2373" s="176">
        <v>41060</v>
      </c>
      <c r="B2373" s="111" t="s">
        <v>2240</v>
      </c>
    </row>
    <row r="2374" spans="1:2">
      <c r="A2374" s="176">
        <v>41061</v>
      </c>
      <c r="B2374" s="111" t="s">
        <v>2240</v>
      </c>
    </row>
    <row r="2375" spans="1:2">
      <c r="A2375" s="176">
        <v>41064</v>
      </c>
      <c r="B2375" s="111" t="s">
        <v>2240</v>
      </c>
    </row>
    <row r="2376" spans="1:2">
      <c r="A2376" s="176">
        <v>41065</v>
      </c>
      <c r="B2376" s="111" t="s">
        <v>2240</v>
      </c>
    </row>
    <row r="2377" spans="1:2">
      <c r="A2377" s="176">
        <v>41066</v>
      </c>
      <c r="B2377" s="111" t="s">
        <v>2240</v>
      </c>
    </row>
    <row r="2378" spans="1:2">
      <c r="A2378" s="176">
        <v>41067</v>
      </c>
      <c r="B2378" s="111" t="s">
        <v>2240</v>
      </c>
    </row>
    <row r="2379" spans="1:2">
      <c r="A2379" s="176">
        <v>41068</v>
      </c>
      <c r="B2379" s="111" t="s">
        <v>2240</v>
      </c>
    </row>
    <row r="2380" spans="1:2">
      <c r="A2380" s="176">
        <v>41071</v>
      </c>
      <c r="B2380" s="111" t="s">
        <v>2240</v>
      </c>
    </row>
    <row r="2381" spans="1:2">
      <c r="A2381" s="176">
        <v>41072</v>
      </c>
      <c r="B2381" s="111" t="s">
        <v>2240</v>
      </c>
    </row>
    <row r="2382" spans="1:2">
      <c r="A2382" s="176">
        <v>41073</v>
      </c>
      <c r="B2382" s="111">
        <v>99.8035</v>
      </c>
    </row>
    <row r="2383" spans="1:2">
      <c r="A2383" s="176">
        <v>41074</v>
      </c>
      <c r="B2383" s="111">
        <v>97.866900000000001</v>
      </c>
    </row>
    <row r="2384" spans="1:2">
      <c r="A2384" s="176">
        <v>41075</v>
      </c>
      <c r="B2384" s="111" t="s">
        <v>2240</v>
      </c>
    </row>
    <row r="2385" spans="1:2">
      <c r="A2385" s="176">
        <v>41078</v>
      </c>
      <c r="B2385" s="111" t="s">
        <v>2240</v>
      </c>
    </row>
    <row r="2386" spans="1:2">
      <c r="A2386" s="176">
        <v>41079</v>
      </c>
      <c r="B2386" s="111">
        <v>99.349800000000002</v>
      </c>
    </row>
    <row r="2387" spans="1:2">
      <c r="A2387" s="176">
        <v>41080</v>
      </c>
      <c r="B2387" s="111">
        <v>99.500799999999998</v>
      </c>
    </row>
    <row r="2388" spans="1:2">
      <c r="A2388" s="176">
        <v>41081</v>
      </c>
      <c r="B2388" s="111">
        <v>99.509600000000006</v>
      </c>
    </row>
    <row r="2389" spans="1:2">
      <c r="A2389" s="176">
        <v>41085</v>
      </c>
      <c r="B2389" s="111">
        <v>99.632300000000001</v>
      </c>
    </row>
    <row r="2390" spans="1:2">
      <c r="A2390" s="176">
        <v>41086</v>
      </c>
      <c r="B2390" s="111">
        <v>99.711299999999994</v>
      </c>
    </row>
    <row r="2391" spans="1:2">
      <c r="A2391" s="176">
        <v>41087</v>
      </c>
      <c r="B2391" s="111">
        <v>99.885400000000004</v>
      </c>
    </row>
    <row r="2392" spans="1:2">
      <c r="A2392" s="176">
        <v>41088</v>
      </c>
      <c r="B2392" s="111">
        <v>100.1152</v>
      </c>
    </row>
    <row r="2393" spans="1:2">
      <c r="A2393" s="176">
        <v>41089</v>
      </c>
      <c r="B2393" s="111">
        <v>100.1103</v>
      </c>
    </row>
    <row r="2394" spans="1:2">
      <c r="A2394" s="176">
        <v>41092</v>
      </c>
      <c r="B2394" s="111">
        <v>100.2231</v>
      </c>
    </row>
    <row r="2395" spans="1:2">
      <c r="A2395" s="176">
        <v>41093</v>
      </c>
      <c r="B2395" s="111">
        <v>100.154</v>
      </c>
    </row>
    <row r="2396" spans="1:2">
      <c r="A2396" s="176">
        <v>41094</v>
      </c>
      <c r="B2396" s="111">
        <v>100.1781</v>
      </c>
    </row>
    <row r="2397" spans="1:2">
      <c r="A2397" s="177">
        <v>41095</v>
      </c>
      <c r="B2397" s="175">
        <v>100.22880000000001</v>
      </c>
    </row>
    <row r="2398" spans="1:2">
      <c r="A2398" s="176">
        <v>41096</v>
      </c>
      <c r="B2398" s="111">
        <v>100.26220000000001</v>
      </c>
    </row>
    <row r="2399" spans="1:2">
      <c r="A2399" s="176">
        <v>41099</v>
      </c>
      <c r="B2399" s="111">
        <v>100.4559</v>
      </c>
    </row>
    <row r="2400" spans="1:2">
      <c r="A2400" s="176">
        <v>41100</v>
      </c>
      <c r="B2400" s="111">
        <v>100.6481</v>
      </c>
    </row>
    <row r="2401" spans="1:2">
      <c r="A2401" s="176">
        <v>41101</v>
      </c>
      <c r="B2401" s="111">
        <f ca="1">AVERAGE(B2400,B2402)</f>
        <v>100.73635</v>
      </c>
    </row>
    <row r="2402" spans="1:2">
      <c r="A2402" s="176">
        <v>41102</v>
      </c>
      <c r="B2402" s="111">
        <v>100.8246</v>
      </c>
    </row>
    <row r="2403" spans="1:2">
      <c r="A2403" s="176">
        <v>41103</v>
      </c>
      <c r="B2403" s="111">
        <v>100.8408</v>
      </c>
    </row>
    <row r="2404" spans="1:2">
      <c r="A2404" s="176">
        <v>41106</v>
      </c>
      <c r="B2404" s="111">
        <v>100.6981</v>
      </c>
    </row>
    <row r="2405" spans="1:2">
      <c r="A2405" s="176">
        <v>41107</v>
      </c>
      <c r="B2405" s="111">
        <v>100.1919</v>
      </c>
    </row>
    <row r="2406" spans="1:2">
      <c r="A2406" s="176">
        <v>41108</v>
      </c>
      <c r="B2406" s="111">
        <v>100.48779999999999</v>
      </c>
    </row>
    <row r="2407" spans="1:2">
      <c r="A2407" s="176">
        <v>41109</v>
      </c>
      <c r="B2407" s="111">
        <v>99.466300000000004</v>
      </c>
    </row>
    <row r="2408" spans="1:2">
      <c r="A2408" s="176">
        <v>41110</v>
      </c>
      <c r="B2408" s="111">
        <v>100.2225</v>
      </c>
    </row>
    <row r="2409" spans="1:2">
      <c r="A2409" s="176">
        <v>41113</v>
      </c>
      <c r="B2409" s="111">
        <v>100.24939999999999</v>
      </c>
    </row>
    <row r="2410" spans="1:2">
      <c r="A2410" s="176">
        <v>41114</v>
      </c>
      <c r="B2410" s="111">
        <v>100.57380000000001</v>
      </c>
    </row>
    <row r="2411" spans="1:2">
      <c r="A2411" s="176">
        <v>41115</v>
      </c>
      <c r="B2411" s="111">
        <v>100.2163</v>
      </c>
    </row>
    <row r="2412" spans="1:2">
      <c r="A2412" s="176">
        <v>41116</v>
      </c>
      <c r="B2412" s="111">
        <v>100.2166</v>
      </c>
    </row>
    <row r="2413" spans="1:2">
      <c r="A2413" s="176">
        <v>41117</v>
      </c>
      <c r="B2413" s="111">
        <v>100.20659999999999</v>
      </c>
    </row>
    <row r="2414" spans="1:2">
      <c r="A2414" s="176">
        <v>41120</v>
      </c>
      <c r="B2414" s="111">
        <v>100.2161</v>
      </c>
    </row>
    <row r="2415" spans="1:2">
      <c r="A2415" s="176">
        <v>41121</v>
      </c>
      <c r="B2415" s="111">
        <v>100.20529999999999</v>
      </c>
    </row>
    <row r="2416" spans="1:2">
      <c r="A2416" s="176">
        <v>41122</v>
      </c>
      <c r="B2416" s="111">
        <v>100.161</v>
      </c>
    </row>
    <row r="2417" spans="1:2">
      <c r="A2417" s="176">
        <v>41123</v>
      </c>
      <c r="B2417" s="111">
        <v>100.15560000000001</v>
      </c>
    </row>
    <row r="2418" spans="1:2">
      <c r="A2418" s="176">
        <v>41124</v>
      </c>
      <c r="B2418" s="111">
        <v>100.1604</v>
      </c>
    </row>
    <row r="2419" spans="1:2">
      <c r="A2419" s="176">
        <v>41127</v>
      </c>
      <c r="B2419" s="111">
        <v>100.1621</v>
      </c>
    </row>
    <row r="2420" spans="1:2">
      <c r="A2420" s="176">
        <v>41128</v>
      </c>
      <c r="B2420" s="111">
        <v>100.13209999999999</v>
      </c>
    </row>
    <row r="2421" spans="1:2">
      <c r="A2421" s="176">
        <v>41129</v>
      </c>
      <c r="B2421" s="111">
        <f ca="1">AVERAGE(B2420,B2422)</f>
        <v>100.09455</v>
      </c>
    </row>
    <row r="2422" spans="1:2">
      <c r="A2422" s="176">
        <v>41130</v>
      </c>
      <c r="B2422" s="111">
        <v>100.057</v>
      </c>
    </row>
    <row r="2423" spans="1:2">
      <c r="A2423" s="176">
        <v>41131</v>
      </c>
      <c r="B2423" s="111">
        <v>100.0677</v>
      </c>
    </row>
    <row r="2424" spans="1:2">
      <c r="A2424" s="176">
        <v>41134</v>
      </c>
      <c r="B2424" s="111">
        <v>100.0775</v>
      </c>
    </row>
    <row r="2425" spans="1:2">
      <c r="A2425" s="176">
        <v>41135</v>
      </c>
      <c r="B2425" s="111">
        <v>100.0355</v>
      </c>
    </row>
    <row r="2426" spans="1:2">
      <c r="A2426" s="176">
        <v>41136</v>
      </c>
      <c r="B2426" s="111">
        <v>99.822000000000003</v>
      </c>
    </row>
    <row r="2427" spans="1:2">
      <c r="A2427" s="176">
        <v>41137</v>
      </c>
      <c r="B2427" s="111">
        <v>99.966999999999999</v>
      </c>
    </row>
    <row r="2428" spans="1:2">
      <c r="A2428" s="176">
        <v>41138</v>
      </c>
      <c r="B2428" s="111">
        <v>99.9178</v>
      </c>
    </row>
    <row r="2429" spans="1:2">
      <c r="A2429" s="176">
        <v>41141</v>
      </c>
      <c r="B2429" s="111">
        <v>99.897999999999996</v>
      </c>
    </row>
    <row r="2430" spans="1:2">
      <c r="A2430" s="176">
        <v>41142</v>
      </c>
      <c r="B2430" s="111">
        <v>99.906899999999993</v>
      </c>
    </row>
  </sheetData>
  <phoneticPr fontId="1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1</vt:i4>
      </vt:variant>
    </vt:vector>
  </HeadingPairs>
  <TitlesOfParts>
    <vt:vector size="9" baseType="lpstr">
      <vt:lpstr>中大 &amp; 中债</vt:lpstr>
      <vt:lpstr>历史收益率比较</vt:lpstr>
      <vt:lpstr>中债收益率曲线（银行间）</vt:lpstr>
      <vt:lpstr>Sheet1</vt:lpstr>
      <vt:lpstr>test</vt:lpstr>
      <vt:lpstr>Bumped Curves</vt:lpstr>
      <vt:lpstr>Bumped Curve Snap</vt:lpstr>
      <vt:lpstr>portfolio Analysis</vt:lpstr>
      <vt:lpstr>curveStart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2012-08-23T01:16:47Z</dcterms:modified>
</cp:coreProperties>
</file>