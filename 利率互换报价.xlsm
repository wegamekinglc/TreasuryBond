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5" windowWidth="27915" windowHeight="14970" activeTab="2"/>
  </bookViews>
  <sheets>
    <sheet name="透视图" sheetId="4" r:id="rId1"/>
    <sheet name="Wind资讯" sheetId="1" r:id="rId2"/>
    <sheet name="均值" sheetId="2" r:id="rId3"/>
    <sheet name="Sheet3" sheetId="3" r:id="rId4"/>
  </sheets>
  <functionGroups builtInGroupCount="17"/>
  <definedNames>
    <definedName name="curveDate">均值!$M$12</definedName>
    <definedName name="evaDate">均值!$N$12</definedName>
  </definedNames>
  <calcPr calcId="144525" calcMode="manual" calcCompleted="0" calcOnSave="0"/>
  <pivotCaches>
    <pivotCache cacheId="0" r:id="rId5"/>
  </pivotCaches>
</workbook>
</file>

<file path=xl/calcChain.xml><?xml version="1.0" encoding="utf-8"?>
<calcChain xmlns="http://schemas.openxmlformats.org/spreadsheetml/2006/main">
  <c r="N12" i="2" l="1"/>
  <c r="S27" i="2"/>
  <c r="Q54" i="2" l="1"/>
  <c r="N77" i="2"/>
  <c r="Q58" i="2"/>
  <c r="G57" i="2"/>
  <c r="J57" i="2"/>
  <c r="N45" i="2"/>
  <c r="J56" i="2" s="1"/>
  <c r="J54" i="2"/>
  <c r="J55" i="2"/>
  <c r="O18" i="2" l="1"/>
  <c r="P18" i="2"/>
  <c r="Q18" i="2"/>
  <c r="R18" i="2"/>
  <c r="S18" i="2"/>
  <c r="T18" i="2"/>
  <c r="U18" i="2"/>
  <c r="V18" i="2"/>
  <c r="N18" i="2"/>
  <c r="U16" i="2"/>
  <c r="V16" i="2"/>
  <c r="O16" i="2"/>
  <c r="P16" i="2"/>
  <c r="Q16" i="2"/>
  <c r="R16" i="2"/>
  <c r="S16" i="2"/>
  <c r="T16" i="2"/>
  <c r="N16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2" i="2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" i="1"/>
  <c r="S28" i="2"/>
  <c r="S29" i="2" s="1"/>
  <c r="N1" i="2"/>
  <c r="N81" i="2" l="1"/>
  <c r="S30" i="2"/>
  <c r="G55" i="2" l="1"/>
  <c r="Q17" i="2"/>
  <c r="S17" i="2"/>
  <c r="V17" i="2"/>
  <c r="P17" i="2"/>
  <c r="N29" i="2"/>
  <c r="U17" i="2"/>
  <c r="N17" i="2"/>
  <c r="G54" i="2"/>
  <c r="R17" i="2"/>
  <c r="T17" i="2"/>
  <c r="Q57" i="2" s="1"/>
  <c r="N76" i="2" s="1"/>
  <c r="O17" i="2"/>
  <c r="P12" i="2"/>
  <c r="S31" i="2"/>
  <c r="R15" i="2"/>
  <c r="Q15" i="2"/>
  <c r="N15" i="2"/>
  <c r="U15" i="2"/>
  <c r="P15" i="2"/>
  <c r="O15" i="2"/>
  <c r="V15" i="2"/>
  <c r="T15" i="2"/>
  <c r="S15" i="2"/>
  <c r="J59" i="2" l="1"/>
  <c r="G59" i="2" s="1"/>
  <c r="J58" i="2"/>
  <c r="G58" i="2" s="1"/>
  <c r="N54" i="2"/>
  <c r="N27" i="2"/>
  <c r="J51" i="2"/>
  <c r="S32" i="2"/>
  <c r="G51" i="2"/>
  <c r="G81" i="2" l="1"/>
  <c r="N46" i="2"/>
  <c r="Q56" i="2"/>
  <c r="N75" i="2"/>
  <c r="N56" i="2"/>
  <c r="N78" i="2"/>
  <c r="G78" i="2"/>
  <c r="N42" i="2"/>
  <c r="N70" i="2"/>
  <c r="N85" i="2" s="1"/>
  <c r="N87" i="2"/>
  <c r="S33" i="2"/>
  <c r="Q51" i="2"/>
  <c r="N86" i="2"/>
  <c r="N79" i="2" l="1"/>
  <c r="N62" i="2"/>
  <c r="J73" i="2"/>
  <c r="N51" i="2"/>
  <c r="S34" i="2"/>
  <c r="K73" i="2" l="1"/>
  <c r="S35" i="2"/>
  <c r="J70" i="2"/>
  <c r="J85" i="2"/>
  <c r="J86" i="2" s="1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T27" i="2" s="1" a="1"/>
  <c r="T39" i="2" l="1"/>
  <c r="T55" i="2"/>
  <c r="T42" i="2"/>
  <c r="T32" i="2"/>
  <c r="T48" i="2"/>
  <c r="T29" i="2"/>
  <c r="T45" i="2"/>
  <c r="T61" i="2"/>
  <c r="T38" i="2"/>
  <c r="T27" i="2"/>
  <c r="T43" i="2"/>
  <c r="T59" i="2"/>
  <c r="T50" i="2"/>
  <c r="T36" i="2"/>
  <c r="T52" i="2"/>
  <c r="T33" i="2"/>
  <c r="T49" i="2"/>
  <c r="T65" i="2"/>
  <c r="T46" i="2"/>
  <c r="T31" i="2"/>
  <c r="T47" i="2"/>
  <c r="T63" i="2"/>
  <c r="T58" i="2"/>
  <c r="T40" i="2"/>
  <c r="T56" i="2"/>
  <c r="T37" i="2"/>
  <c r="T53" i="2"/>
  <c r="T30" i="2"/>
  <c r="T54" i="2"/>
  <c r="T35" i="2"/>
  <c r="T51" i="2"/>
  <c r="T60" i="2"/>
  <c r="T28" i="2"/>
  <c r="T44" i="2"/>
  <c r="T64" i="2"/>
  <c r="T41" i="2"/>
  <c r="T57" i="2"/>
  <c r="T34" i="2"/>
  <c r="T62" i="2"/>
</calcChain>
</file>

<file path=xl/sharedStrings.xml><?xml version="1.0" encoding="utf-8"?>
<sst xmlns="http://schemas.openxmlformats.org/spreadsheetml/2006/main" count="9083" uniqueCount="158">
  <si>
    <t>序号</t>
  </si>
  <si>
    <t>日期</t>
  </si>
  <si>
    <t>期限</t>
  </si>
  <si>
    <t>报价方</t>
  </si>
  <si>
    <t>报价时间</t>
  </si>
  <si>
    <t>参考利率</t>
  </si>
  <si>
    <t>Bid</t>
  </si>
  <si>
    <t>Ask</t>
  </si>
  <si>
    <t>利差</t>
  </si>
  <si>
    <t>起息日</t>
  </si>
  <si>
    <t>终止日</t>
  </si>
  <si>
    <t>3Y</t>
  </si>
  <si>
    <t>瑞穗实业银行</t>
  </si>
  <si>
    <t>Shibor_3M</t>
  </si>
  <si>
    <t>1Y</t>
  </si>
  <si>
    <t>摩根大通银行</t>
  </si>
  <si>
    <t>4Y</t>
  </si>
  <si>
    <t>9Y</t>
  </si>
  <si>
    <t>2Y</t>
  </si>
  <si>
    <t>9M</t>
  </si>
  <si>
    <t>10Y</t>
  </si>
  <si>
    <t>7Y</t>
  </si>
  <si>
    <t>6M</t>
  </si>
  <si>
    <t>6Y</t>
  </si>
  <si>
    <t>8Y</t>
  </si>
  <si>
    <t>5Y</t>
  </si>
  <si>
    <t>星展银行</t>
  </si>
  <si>
    <t>法国兴业银行</t>
  </si>
  <si>
    <t>浦发银行</t>
  </si>
  <si>
    <t>中信银行</t>
  </si>
  <si>
    <t>法国巴黎(中国)</t>
  </si>
  <si>
    <t>光大银行</t>
  </si>
  <si>
    <t>农业银行</t>
  </si>
  <si>
    <t>兴业银行</t>
  </si>
  <si>
    <t>花旗银行</t>
  </si>
  <si>
    <t>建设银行</t>
  </si>
  <si>
    <t>苏格兰皇家银行(中国)</t>
  </si>
  <si>
    <t>华夏银行</t>
  </si>
  <si>
    <t>广发银行</t>
  </si>
  <si>
    <t>三菱东京日联银行</t>
  </si>
  <si>
    <t>交通银行</t>
  </si>
  <si>
    <t>北京银行</t>
  </si>
  <si>
    <t>数据来源：Wind资讯</t>
  </si>
  <si>
    <t>行标签</t>
  </si>
  <si>
    <t>总计</t>
  </si>
  <si>
    <t>列标签</t>
  </si>
  <si>
    <t>10Y 汇总</t>
  </si>
  <si>
    <t>1Y 汇总</t>
  </si>
  <si>
    <t>2Y 汇总</t>
  </si>
  <si>
    <t>3Y 汇总</t>
  </si>
  <si>
    <t>4Y 汇总</t>
  </si>
  <si>
    <t>5Y 汇总</t>
  </si>
  <si>
    <t>6M 汇总</t>
  </si>
  <si>
    <t>6Y 汇总</t>
  </si>
  <si>
    <t>7Y 汇总</t>
  </si>
  <si>
    <t>8Y 汇总</t>
  </si>
  <si>
    <t>9M 汇总</t>
  </si>
  <si>
    <t>9Y 汇总</t>
  </si>
  <si>
    <t>中间价</t>
    <phoneticPr fontId="1" type="noConversion"/>
  </si>
  <si>
    <t>平均值项:中间价</t>
  </si>
  <si>
    <t>10Y</t>
    <phoneticPr fontId="1" type="noConversion"/>
  </si>
  <si>
    <t>1Y</t>
    <phoneticPr fontId="1" type="noConversion"/>
  </si>
  <si>
    <t>2Y</t>
    <phoneticPr fontId="1" type="noConversion"/>
  </si>
  <si>
    <t>3Y</t>
    <phoneticPr fontId="1" type="noConversion"/>
  </si>
  <si>
    <t>4Y</t>
    <phoneticPr fontId="1" type="noConversion"/>
  </si>
  <si>
    <t>5Y</t>
    <phoneticPr fontId="1" type="noConversion"/>
  </si>
  <si>
    <t>6M</t>
    <phoneticPr fontId="1" type="noConversion"/>
  </si>
  <si>
    <t>7Y</t>
    <phoneticPr fontId="1" type="noConversion"/>
  </si>
  <si>
    <t>9M</t>
    <phoneticPr fontId="1" type="noConversion"/>
  </si>
  <si>
    <t>Euribor</t>
  </si>
  <si>
    <t>Error</t>
  </si>
  <si>
    <t/>
  </si>
  <si>
    <t>ObjectID</t>
  </si>
  <si>
    <t>Tenor</t>
  </si>
  <si>
    <t>YieldCurve</t>
  </si>
  <si>
    <t>Permanent</t>
  </si>
  <si>
    <t>Trigger</t>
  </si>
  <si>
    <t>shibor3MIndex</t>
    <phoneticPr fontId="1" type="noConversion"/>
  </si>
  <si>
    <t>3M</t>
    <phoneticPr fontId="1" type="noConversion"/>
  </si>
  <si>
    <t>Instrument</t>
    <phoneticPr fontId="1" type="noConversion"/>
  </si>
  <si>
    <t>ID</t>
    <phoneticPr fontId="1" type="noConversion"/>
  </si>
  <si>
    <t>Quote</t>
    <phoneticPr fontId="1" type="noConversion"/>
  </si>
  <si>
    <t>Tenor</t>
    <phoneticPr fontId="1" type="noConversion"/>
  </si>
  <si>
    <t>Fixed</t>
    <phoneticPr fontId="1" type="noConversion"/>
  </si>
  <si>
    <t>BDC</t>
    <phoneticPr fontId="1" type="noConversion"/>
  </si>
  <si>
    <t>DC</t>
    <phoneticPr fontId="1" type="noConversion"/>
  </si>
  <si>
    <t>Spread</t>
    <phoneticPr fontId="1" type="noConversion"/>
  </si>
  <si>
    <t>Forward Start</t>
    <phoneticPr fontId="1" type="noConversion"/>
  </si>
  <si>
    <t>Following</t>
    <phoneticPr fontId="1" type="noConversion"/>
  </si>
  <si>
    <t>0D</t>
  </si>
  <si>
    <t>PiecewiseYieldCurve</t>
  </si>
  <si>
    <t>NDays</t>
  </si>
  <si>
    <t>Calendar</t>
  </si>
  <si>
    <t>DayCounter</t>
  </si>
  <si>
    <t>TraitsID</t>
  </si>
  <si>
    <t>InterpolatorID</t>
  </si>
  <si>
    <t>Accuracy</t>
  </si>
  <si>
    <t>shibor3MIndex_New</t>
    <phoneticPr fontId="1" type="noConversion"/>
  </si>
  <si>
    <t>IborLeg</t>
  </si>
  <si>
    <t>PaymentBDC</t>
  </si>
  <si>
    <t>Nominals</t>
  </si>
  <si>
    <t>ScheduleID</t>
  </si>
  <si>
    <t>FixingDays</t>
  </si>
  <si>
    <t>IsInArrears</t>
  </si>
  <si>
    <t>Floors</t>
  </si>
  <si>
    <t>Gearings</t>
  </si>
  <si>
    <t>IborIndex</t>
  </si>
  <si>
    <t>Spreads</t>
  </si>
  <si>
    <t>Caps</t>
  </si>
  <si>
    <t>IborLeg</t>
    <phoneticPr fontId="1" type="noConversion"/>
  </si>
  <si>
    <t>Schedule</t>
  </si>
  <si>
    <t>EffectiveDate</t>
  </si>
  <si>
    <t>TerminationDate</t>
  </si>
  <si>
    <t>Convention</t>
  </si>
  <si>
    <t>TermDateConv</t>
  </si>
  <si>
    <t>GenRule</t>
  </si>
  <si>
    <t>EndOfMonth</t>
  </si>
  <si>
    <t>FirstDate</t>
  </si>
  <si>
    <t>NextToLastDate</t>
  </si>
  <si>
    <t>Ibor_Schedule</t>
    <phoneticPr fontId="1" type="noConversion"/>
  </si>
  <si>
    <t>FixedRateLeg</t>
  </si>
  <si>
    <t>Coupons</t>
  </si>
  <si>
    <t>FixedLeg</t>
    <phoneticPr fontId="1" type="noConversion"/>
  </si>
  <si>
    <t>Fixed_Schedul</t>
    <phoneticPr fontId="1" type="noConversion"/>
  </si>
  <si>
    <t>VanillaSwap</t>
  </si>
  <si>
    <t>PayerReceiver</t>
  </si>
  <si>
    <t>Payer</t>
  </si>
  <si>
    <t>Nominal</t>
  </si>
  <si>
    <t>FixedLegSchedule</t>
  </si>
  <si>
    <t>FixedRate</t>
  </si>
  <si>
    <t>FixedLegDayCounter</t>
  </si>
  <si>
    <t>FloatingLegSchedule</t>
  </si>
  <si>
    <t>FloatingLegSpread</t>
  </si>
  <si>
    <t>FloatingLegDayCounter</t>
  </si>
  <si>
    <t>Swap</t>
  </si>
  <si>
    <t>LegIDs</t>
  </si>
  <si>
    <t>swapByLegs</t>
    <phoneticPr fontId="1" type="noConversion"/>
  </si>
  <si>
    <t>DiscountingSwapEngine</t>
  </si>
  <si>
    <t>DiscountEngine</t>
    <phoneticPr fontId="1" type="noConversion"/>
  </si>
  <si>
    <t>SetPricingEngine</t>
  </si>
  <si>
    <t>NPV</t>
  </si>
  <si>
    <t>FairRate</t>
  </si>
  <si>
    <t>FairSpread</t>
  </si>
  <si>
    <r>
      <rPr>
        <sz val="11"/>
        <color theme="1"/>
        <rFont val="宋体"/>
        <family val="3"/>
        <charset val="134"/>
      </rPr>
      <t>日期</t>
    </r>
    <phoneticPr fontId="1" type="noConversion"/>
  </si>
  <si>
    <t>0D</t>
    <phoneticPr fontId="1" type="noConversion"/>
  </si>
  <si>
    <t>0D</t>
    <phoneticPr fontId="1" type="noConversion"/>
  </si>
  <si>
    <t>30/360 (Bond Basis)</t>
    <phoneticPr fontId="1" type="noConversion"/>
  </si>
  <si>
    <t>Actual/360</t>
    <phoneticPr fontId="1" type="noConversion"/>
  </si>
  <si>
    <t>NullCalendar</t>
    <phoneticPr fontId="1" type="noConversion"/>
  </si>
  <si>
    <t>ForwardRate</t>
    <phoneticPr fontId="1" type="noConversion"/>
  </si>
  <si>
    <t>BackwardFlat</t>
    <phoneticPr fontId="1" type="noConversion"/>
  </si>
  <si>
    <t>6M</t>
    <phoneticPr fontId="1" type="noConversion"/>
  </si>
  <si>
    <t>Semiannual</t>
    <phoneticPr fontId="1" type="noConversion"/>
  </si>
  <si>
    <t>Backward</t>
    <phoneticPr fontId="1" type="noConversion"/>
  </si>
  <si>
    <t>Rate</t>
    <phoneticPr fontId="1" type="noConversion"/>
  </si>
  <si>
    <t>Curve Shape</t>
    <phoneticPr fontId="1" type="noConversion"/>
  </si>
  <si>
    <t>Path</t>
    <phoneticPr fontId="1" type="noConversion"/>
  </si>
  <si>
    <t>F:\data\Curve\Standalone Curves\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</si>
</sst>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_);[Red]\(0.00\)"/>
    <numFmt numFmtId="177" formatCode="_(* #,##0.00_);_(* \(#,##0.00\);_(* &quot;-&quot;??_);_(@_)"/>
    <numFmt numFmtId="178" formatCode="0.0000%"/>
    <numFmt numFmtId="179" formatCode="ddd\,\ d\-mmm\-yyyy"/>
    <numFmt numFmtId="180" formatCode="0.000%"/>
    <numFmt numFmtId="181" formatCode="0.0"/>
    <numFmt numFmtId="182" formatCode="0.0000"/>
    <numFmt numFmtId="183" formatCode="0.0000000"/>
  </numFmts>
  <fonts count="10" x14ac:knownFonts="1"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indexed="10"/>
      <name val="宋体"/>
      <family val="3"/>
      <charset val="134"/>
      <scheme val="minor"/>
    </font>
    <font>
      <sz val="8"/>
      <name val="Arial"/>
      <family val="2"/>
    </font>
    <font>
      <sz val="11"/>
      <color theme="1"/>
      <name val="Times New Roman"/>
      <family val="1"/>
    </font>
    <font>
      <sz val="11"/>
      <color theme="1"/>
      <name val="宋体"/>
      <family val="3"/>
      <charset val="134"/>
    </font>
    <font>
      <b/>
      <sz val="11"/>
      <name val="Times New Roman"/>
      <family val="1"/>
    </font>
    <font>
      <sz val="11"/>
      <name val="Times New Roman"/>
      <family val="1"/>
    </font>
    <font>
      <sz val="11"/>
      <color indexed="10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65"/>
        <bgColor indexed="64"/>
      </patternFill>
    </fill>
  </fills>
  <borders count="11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9" fontId="4" fillId="0" borderId="0" applyFont="0" applyFill="0" applyBorder="0" applyAlignment="0" applyProtection="0"/>
  </cellStyleXfs>
  <cellXfs count="59">
    <xf numFmtId="0" fontId="0" fillId="0" borderId="0" xfId="0">
      <alignment vertical="center"/>
    </xf>
    <xf numFmtId="0" fontId="0" fillId="0" borderId="0" xfId="0" applyNumberFormat="1" applyAlignment="1">
      <alignment vertical="top"/>
    </xf>
    <xf numFmtId="0" fontId="0" fillId="0" borderId="0" xfId="0" applyNumberFormat="1" applyAlignment="1">
      <alignment horizontal="center" vertical="center"/>
    </xf>
    <xf numFmtId="0" fontId="3" fillId="0" borderId="0" xfId="0" applyNumberFormat="1" applyFont="1" applyAlignment="1">
      <alignment vertical="top"/>
    </xf>
    <xf numFmtId="14" fontId="0" fillId="0" borderId="0" xfId="0" applyNumberFormat="1" applyAlignment="1">
      <alignment vertical="top"/>
    </xf>
    <xf numFmtId="0" fontId="0" fillId="0" borderId="0" xfId="0" pivotButton="1">
      <alignment vertical="center"/>
    </xf>
    <xf numFmtId="14" fontId="0" fillId="0" borderId="0" xfId="0" applyNumberFormat="1" applyAlignment="1">
      <alignment horizontal="left" vertical="center"/>
    </xf>
    <xf numFmtId="176" fontId="0" fillId="0" borderId="0" xfId="0" applyNumberFormat="1">
      <alignment vertical="center"/>
    </xf>
    <xf numFmtId="0" fontId="8" fillId="4" borderId="4" xfId="2" applyFont="1" applyFill="1" applyBorder="1" applyAlignment="1">
      <alignment horizontal="center"/>
    </xf>
    <xf numFmtId="0" fontId="9" fillId="4" borderId="5" xfId="2" applyFont="1" applyFill="1" applyBorder="1" applyAlignment="1">
      <alignment horizontal="center"/>
    </xf>
    <xf numFmtId="0" fontId="8" fillId="5" borderId="4" xfId="2" applyFont="1" applyFill="1" applyBorder="1" applyAlignment="1">
      <alignment horizontal="center"/>
    </xf>
    <xf numFmtId="0" fontId="8" fillId="5" borderId="6" xfId="2" applyFont="1" applyFill="1" applyBorder="1" applyAlignment="1">
      <alignment horizontal="center"/>
    </xf>
    <xf numFmtId="0" fontId="8" fillId="5" borderId="5" xfId="2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7" fillId="3" borderId="4" xfId="2" applyFont="1" applyFill="1" applyBorder="1" applyAlignment="1">
      <alignment horizontal="center"/>
    </xf>
    <xf numFmtId="14" fontId="5" fillId="0" borderId="0" xfId="0" applyNumberFormat="1" applyFont="1" applyAlignment="1">
      <alignment horizontal="center" vertical="center"/>
    </xf>
    <xf numFmtId="176" fontId="5" fillId="2" borderId="0" xfId="0" applyNumberFormat="1" applyFont="1" applyFill="1" applyAlignment="1">
      <alignment horizontal="center" vertical="center"/>
    </xf>
    <xf numFmtId="0" fontId="7" fillId="3" borderId="5" xfId="2" applyFont="1" applyFill="1" applyBorder="1" applyAlignment="1">
      <alignment horizontal="center"/>
    </xf>
    <xf numFmtId="0" fontId="7" fillId="3" borderId="6" xfId="2" applyFont="1" applyFill="1" applyBorder="1" applyAlignment="1">
      <alignment horizontal="center"/>
    </xf>
    <xf numFmtId="10" fontId="5" fillId="0" borderId="0" xfId="1" applyNumberFormat="1" applyFont="1" applyAlignment="1">
      <alignment horizontal="center" vertical="center"/>
    </xf>
    <xf numFmtId="179" fontId="8" fillId="5" borderId="6" xfId="2" applyNumberFormat="1" applyFont="1" applyFill="1" applyBorder="1" applyAlignment="1">
      <alignment horizontal="center"/>
    </xf>
    <xf numFmtId="0" fontId="8" fillId="5" borderId="6" xfId="2" applyNumberFormat="1" applyFont="1" applyFill="1" applyBorder="1" applyAlignment="1">
      <alignment horizontal="center"/>
    </xf>
    <xf numFmtId="178" fontId="8" fillId="5" borderId="6" xfId="2" applyNumberFormat="1" applyFont="1" applyFill="1" applyBorder="1" applyAlignment="1">
      <alignment horizontal="center"/>
    </xf>
    <xf numFmtId="0" fontId="7" fillId="3" borderId="7" xfId="2" applyFont="1" applyFill="1" applyBorder="1" applyAlignment="1">
      <alignment horizontal="center"/>
    </xf>
    <xf numFmtId="0" fontId="8" fillId="5" borderId="1" xfId="2" applyFont="1" applyFill="1" applyBorder="1" applyAlignment="1">
      <alignment horizontal="center"/>
    </xf>
    <xf numFmtId="0" fontId="7" fillId="3" borderId="8" xfId="2" applyFont="1" applyFill="1" applyBorder="1" applyAlignment="1">
      <alignment horizontal="center"/>
    </xf>
    <xf numFmtId="0" fontId="8" fillId="5" borderId="0" xfId="2" applyFont="1" applyFill="1" applyBorder="1" applyAlignment="1">
      <alignment horizontal="center"/>
    </xf>
    <xf numFmtId="0" fontId="8" fillId="0" borderId="1" xfId="2" applyFont="1" applyBorder="1" applyAlignment="1">
      <alignment horizontal="center"/>
    </xf>
    <xf numFmtId="0" fontId="8" fillId="0" borderId="3" xfId="2" applyFont="1" applyBorder="1" applyAlignment="1">
      <alignment horizontal="center"/>
    </xf>
    <xf numFmtId="0" fontId="8" fillId="5" borderId="2" xfId="2" applyFont="1" applyFill="1" applyBorder="1" applyAlignment="1">
      <alignment horizontal="center"/>
    </xf>
    <xf numFmtId="0" fontId="7" fillId="3" borderId="9" xfId="2" applyFont="1" applyFill="1" applyBorder="1" applyAlignment="1">
      <alignment horizontal="center"/>
    </xf>
    <xf numFmtId="0" fontId="8" fillId="5" borderId="3" xfId="2" applyFont="1" applyFill="1" applyBorder="1" applyAlignment="1">
      <alignment horizontal="center"/>
    </xf>
    <xf numFmtId="0" fontId="8" fillId="0" borderId="0" xfId="2" applyFont="1" applyAlignment="1">
      <alignment horizontal="center"/>
    </xf>
    <xf numFmtId="177" fontId="8" fillId="0" borderId="0" xfId="2" applyNumberFormat="1" applyFont="1" applyAlignment="1">
      <alignment horizontal="center"/>
    </xf>
    <xf numFmtId="178" fontId="8" fillId="0" borderId="0" xfId="3" applyNumberFormat="1" applyFont="1" applyAlignment="1">
      <alignment horizontal="center"/>
    </xf>
    <xf numFmtId="176" fontId="8" fillId="0" borderId="0" xfId="2" applyNumberFormat="1" applyFont="1" applyAlignment="1">
      <alignment horizontal="center"/>
    </xf>
    <xf numFmtId="180" fontId="5" fillId="0" borderId="0" xfId="1" applyNumberFormat="1" applyFont="1" applyAlignment="1">
      <alignment horizontal="center" vertical="center"/>
    </xf>
    <xf numFmtId="10" fontId="8" fillId="5" borderId="6" xfId="1" applyNumberFormat="1" applyFont="1" applyFill="1" applyBorder="1" applyAlignment="1">
      <alignment horizontal="center"/>
    </xf>
    <xf numFmtId="182" fontId="8" fillId="0" borderId="0" xfId="2" applyNumberFormat="1" applyFont="1" applyAlignment="1">
      <alignment horizontal="center"/>
    </xf>
    <xf numFmtId="183" fontId="8" fillId="0" borderId="0" xfId="2" applyNumberFormat="1" applyFont="1" applyAlignment="1">
      <alignment horizontal="center"/>
    </xf>
    <xf numFmtId="178" fontId="8" fillId="5" borderId="6" xfId="1" applyNumberFormat="1" applyFont="1" applyFill="1" applyBorder="1" applyAlignment="1">
      <alignment horizontal="center"/>
    </xf>
    <xf numFmtId="14" fontId="8" fillId="0" borderId="0" xfId="2" applyNumberFormat="1" applyFont="1" applyAlignment="1">
      <alignment horizontal="center"/>
    </xf>
    <xf numFmtId="181" fontId="5" fillId="0" borderId="0" xfId="0" applyNumberFormat="1" applyFont="1" applyAlignment="1">
      <alignment horizontal="center" vertical="center"/>
    </xf>
    <xf numFmtId="178" fontId="5" fillId="0" borderId="0" xfId="1" applyNumberFormat="1" applyFont="1" applyAlignment="1">
      <alignment horizontal="center" vertical="center"/>
    </xf>
    <xf numFmtId="11" fontId="8" fillId="5" borderId="6" xfId="2" applyNumberFormat="1" applyFont="1" applyFill="1" applyBorder="1" applyAlignment="1">
      <alignment horizontal="center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7" fillId="0" borderId="0" xfId="2" applyFont="1" applyFill="1" applyBorder="1" applyAlignment="1">
      <alignment horizontal="center"/>
    </xf>
    <xf numFmtId="0" fontId="7" fillId="3" borderId="10" xfId="2" applyFont="1" applyFill="1" applyBorder="1" applyAlignment="1">
      <alignment horizontal="center"/>
    </xf>
    <xf numFmtId="0" fontId="8" fillId="4" borderId="10" xfId="2" applyFont="1" applyFill="1" applyBorder="1" applyAlignment="1">
      <alignment horizontal="center"/>
    </xf>
    <xf numFmtId="10" fontId="5" fillId="0" borderId="4" xfId="1" applyNumberFormat="1" applyFont="1" applyFill="1" applyBorder="1" applyAlignment="1">
      <alignment horizontal="center" vertical="center"/>
    </xf>
    <xf numFmtId="10" fontId="5" fillId="0" borderId="6" xfId="1" applyNumberFormat="1" applyFont="1" applyFill="1" applyBorder="1" applyAlignment="1">
      <alignment horizontal="center" vertical="center"/>
    </xf>
    <xf numFmtId="10" fontId="5" fillId="0" borderId="6" xfId="1" applyNumberFormat="1" applyFont="1" applyBorder="1" applyAlignment="1">
      <alignment horizontal="center" vertical="center"/>
    </xf>
    <xf numFmtId="10" fontId="5" fillId="0" borderId="5" xfId="1" applyNumberFormat="1" applyFont="1" applyBorder="1" applyAlignment="1">
      <alignment horizontal="center" vertical="center"/>
    </xf>
    <xf numFmtId="14" fontId="7" fillId="3" borderId="4" xfId="2" applyNumberFormat="1" applyFont="1" applyFill="1" applyBorder="1" applyAlignment="1">
      <alignment horizontal="center"/>
    </xf>
    <xf numFmtId="14" fontId="7" fillId="3" borderId="6" xfId="2" applyNumberFormat="1" applyFont="1" applyFill="1" applyBorder="1" applyAlignment="1">
      <alignment horizontal="center"/>
    </xf>
    <xf numFmtId="14" fontId="7" fillId="3" borderId="5" xfId="2" applyNumberFormat="1" applyFont="1" applyFill="1" applyBorder="1" applyAlignment="1">
      <alignment horizontal="center"/>
    </xf>
    <xf numFmtId="0" fontId="7" fillId="4" borderId="10" xfId="2" applyFont="1" applyFill="1" applyBorder="1" applyAlignment="1">
      <alignment horizontal="center"/>
    </xf>
    <xf numFmtId="0" fontId="5" fillId="0" borderId="6" xfId="0" applyFont="1" applyBorder="1" applyAlignment="1">
      <alignment horizontal="center" vertical="center"/>
    </xf>
  </cellXfs>
  <cellStyles count="4">
    <cellStyle name="百分比" xfId="1" builtinId="5"/>
    <cellStyle name="百分比 2" xfId="3"/>
    <cellStyle name="常规" xfId="0" builtinId="0"/>
    <cellStyle name="常规 2" xfId="2"/>
  </cellStyles>
  <dxfs count="1">
    <dxf>
      <numFmt numFmtId="176" formatCode="0.00_);[Red]\(0.00\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均值!$T$26</c:f>
              <c:strCache>
                <c:ptCount val="1"/>
                <c:pt idx="0">
                  <c:v>Rate</c:v>
                </c:pt>
              </c:strCache>
            </c:strRef>
          </c:tx>
          <c:marker>
            <c:symbol val="none"/>
          </c:marker>
          <c:cat>
            <c:numRef>
              <c:f>均值!$S$27:$S$65</c:f>
              <c:numCache>
                <c:formatCode>yyyy-m-d</c:formatCode>
                <c:ptCount val="39"/>
                <c:pt idx="0">
                  <c:v>41145</c:v>
                </c:pt>
                <c:pt idx="1">
                  <c:v>41237</c:v>
                </c:pt>
                <c:pt idx="2">
                  <c:v>41329</c:v>
                </c:pt>
                <c:pt idx="3">
                  <c:v>41418</c:v>
                </c:pt>
                <c:pt idx="4">
                  <c:v>41510</c:v>
                </c:pt>
                <c:pt idx="5">
                  <c:v>41602</c:v>
                </c:pt>
                <c:pt idx="6">
                  <c:v>41694</c:v>
                </c:pt>
                <c:pt idx="7">
                  <c:v>41783</c:v>
                </c:pt>
                <c:pt idx="8">
                  <c:v>41875</c:v>
                </c:pt>
                <c:pt idx="9">
                  <c:v>41967</c:v>
                </c:pt>
                <c:pt idx="10">
                  <c:v>42059</c:v>
                </c:pt>
                <c:pt idx="11">
                  <c:v>42148</c:v>
                </c:pt>
                <c:pt idx="12">
                  <c:v>42240</c:v>
                </c:pt>
                <c:pt idx="13">
                  <c:v>42332</c:v>
                </c:pt>
                <c:pt idx="14">
                  <c:v>42424</c:v>
                </c:pt>
                <c:pt idx="15">
                  <c:v>42514</c:v>
                </c:pt>
                <c:pt idx="16">
                  <c:v>42606</c:v>
                </c:pt>
                <c:pt idx="17">
                  <c:v>42698</c:v>
                </c:pt>
                <c:pt idx="18">
                  <c:v>42790</c:v>
                </c:pt>
                <c:pt idx="19">
                  <c:v>42879</c:v>
                </c:pt>
                <c:pt idx="20">
                  <c:v>42971</c:v>
                </c:pt>
                <c:pt idx="21">
                  <c:v>43063</c:v>
                </c:pt>
                <c:pt idx="22">
                  <c:v>43155</c:v>
                </c:pt>
                <c:pt idx="23">
                  <c:v>43244</c:v>
                </c:pt>
                <c:pt idx="24">
                  <c:v>43336</c:v>
                </c:pt>
                <c:pt idx="25">
                  <c:v>43428</c:v>
                </c:pt>
                <c:pt idx="26">
                  <c:v>43520</c:v>
                </c:pt>
                <c:pt idx="27">
                  <c:v>43609</c:v>
                </c:pt>
                <c:pt idx="28">
                  <c:v>43701</c:v>
                </c:pt>
                <c:pt idx="29">
                  <c:v>43793</c:v>
                </c:pt>
                <c:pt idx="30">
                  <c:v>43885</c:v>
                </c:pt>
                <c:pt idx="31">
                  <c:v>43975</c:v>
                </c:pt>
                <c:pt idx="32">
                  <c:v>44067</c:v>
                </c:pt>
                <c:pt idx="33">
                  <c:v>44159</c:v>
                </c:pt>
                <c:pt idx="34">
                  <c:v>44251</c:v>
                </c:pt>
                <c:pt idx="35">
                  <c:v>44340</c:v>
                </c:pt>
                <c:pt idx="36">
                  <c:v>44432</c:v>
                </c:pt>
                <c:pt idx="37">
                  <c:v>44524</c:v>
                </c:pt>
                <c:pt idx="38">
                  <c:v>44616</c:v>
                </c:pt>
              </c:numCache>
            </c:numRef>
          </c:cat>
          <c:val>
            <c:numRef>
              <c:f>均值!$T$27:$T$65</c:f>
              <c:numCache>
                <c:formatCode>0.00%</c:formatCode>
                <c:ptCount val="39"/>
                <c:pt idx="0">
                  <c:v>3.4743377469318826E-2</c:v>
                </c:pt>
                <c:pt idx="1">
                  <c:v>3.5028939475931734E-2</c:v>
                </c:pt>
                <c:pt idx="2">
                  <c:v>3.5028939475931241E-2</c:v>
                </c:pt>
                <c:pt idx="3">
                  <c:v>3.4341215615765579E-2</c:v>
                </c:pt>
                <c:pt idx="4">
                  <c:v>3.3405939443664892E-2</c:v>
                </c:pt>
                <c:pt idx="5">
                  <c:v>3.3174696771504031E-2</c:v>
                </c:pt>
                <c:pt idx="6">
                  <c:v>3.3034213914874773E-2</c:v>
                </c:pt>
                <c:pt idx="7">
                  <c:v>3.2783255043842718E-2</c:v>
                </c:pt>
                <c:pt idx="8">
                  <c:v>3.2726823117328316E-2</c:v>
                </c:pt>
                <c:pt idx="9">
                  <c:v>3.2615162081045007E-2</c:v>
                </c:pt>
                <c:pt idx="10">
                  <c:v>3.2523060861832181E-2</c:v>
                </c:pt>
                <c:pt idx="11">
                  <c:v>3.2353750329050551E-2</c:v>
                </c:pt>
                <c:pt idx="12">
                  <c:v>3.2298783625706096E-2</c:v>
                </c:pt>
                <c:pt idx="13">
                  <c:v>3.231071661078231E-2</c:v>
                </c:pt>
                <c:pt idx="14">
                  <c:v>3.2323411645207349E-2</c:v>
                </c:pt>
                <c:pt idx="15">
                  <c:v>3.2287329302444212E-2</c:v>
                </c:pt>
                <c:pt idx="16">
                  <c:v>3.229989916433728E-2</c:v>
                </c:pt>
                <c:pt idx="17">
                  <c:v>3.2319521851090938E-2</c:v>
                </c:pt>
                <c:pt idx="18">
                  <c:v>3.2337427322797943E-2</c:v>
                </c:pt>
                <c:pt idx="19">
                  <c:v>3.2297426577216848E-2</c:v>
                </c:pt>
                <c:pt idx="20">
                  <c:v>3.2314646265446847E-2</c:v>
                </c:pt>
                <c:pt idx="21">
                  <c:v>3.2398699797496454E-2</c:v>
                </c:pt>
                <c:pt idx="22">
                  <c:v>3.2478083070633795E-2</c:v>
                </c:pt>
                <c:pt idx="23">
                  <c:v>3.2502153528233914E-2</c:v>
                </c:pt>
                <c:pt idx="24">
                  <c:v>3.2570610956495771E-2</c:v>
                </c:pt>
                <c:pt idx="25">
                  <c:v>3.2633591790496665E-2</c:v>
                </c:pt>
                <c:pt idx="26">
                  <c:v>3.2691727944959031E-2</c:v>
                </c:pt>
                <c:pt idx="27">
                  <c:v>3.2704319635717481E-2</c:v>
                </c:pt>
                <c:pt idx="28">
                  <c:v>3.2755777213246066E-2</c:v>
                </c:pt>
                <c:pt idx="29">
                  <c:v>3.2855050861655216E-2</c:v>
                </c:pt>
                <c:pt idx="30">
                  <c:v>3.2949963208065244E-2</c:v>
                </c:pt>
                <c:pt idx="31">
                  <c:v>3.3013715416239847E-2</c:v>
                </c:pt>
                <c:pt idx="32">
                  <c:v>3.3097737473668495E-2</c:v>
                </c:pt>
                <c:pt idx="33">
                  <c:v>3.317666728519237E-2</c:v>
                </c:pt>
                <c:pt idx="34">
                  <c:v>3.3250954166626608E-2</c:v>
                </c:pt>
                <c:pt idx="35">
                  <c:v>3.3287732958015556E-2</c:v>
                </c:pt>
                <c:pt idx="36">
                  <c:v>3.33548076329028E-2</c:v>
                </c:pt>
                <c:pt idx="37">
                  <c:v>3.3418256649688005E-2</c:v>
                </c:pt>
                <c:pt idx="38">
                  <c:v>3.3478366244537185E-2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652544"/>
        <c:axId val="480453760"/>
      </c:lineChart>
      <c:dateAx>
        <c:axId val="380652544"/>
        <c:scaling>
          <c:orientation val="minMax"/>
        </c:scaling>
        <c:delete val="0"/>
        <c:axPos val="b"/>
        <c:numFmt formatCode="yyyy-m-d" sourceLinked="1"/>
        <c:majorTickMark val="none"/>
        <c:minorTickMark val="none"/>
        <c:tickLblPos val="nextTo"/>
        <c:crossAx val="480453760"/>
        <c:crosses val="autoZero"/>
        <c:auto val="1"/>
        <c:lblOffset val="100"/>
        <c:baseTimeUnit val="months"/>
      </c:dateAx>
      <c:valAx>
        <c:axId val="48045376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crossAx val="38065254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0102047923621196"/>
          <c:y val="0.62178225697001521"/>
          <c:w val="0.11014890129025134"/>
          <c:h val="6.3869000869930873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1533525</xdr:colOff>
      <xdr:row>30</xdr:row>
      <xdr:rowOff>14287</xdr:rowOff>
    </xdr:from>
    <xdr:to>
      <xdr:col>21</xdr:col>
      <xdr:colOff>514350</xdr:colOff>
      <xdr:row>48</xdr:row>
      <xdr:rowOff>142875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heng Li" refreshedDate="41145.541606712963" createdVersion="4" refreshedVersion="4" minRefreshableVersion="3" recordCount="2890">
  <cacheSource type="worksheet">
    <worksheetSource ref="A1:L2891" sheet="Wind资讯"/>
  </cacheSource>
  <cacheFields count="12">
    <cacheField name="序号" numFmtId="0">
      <sharedItems containsSemiMixedTypes="0" containsString="0" containsNumber="1" containsInteger="1" minValue="1" maxValue="2890"/>
    </cacheField>
    <cacheField name="日期" numFmtId="0">
      <sharedItems containsSemiMixedTypes="0" containsNonDate="0" containsDate="1" containsString="0" minDate="2012-07-02T00:00:00" maxDate="2012-08-25T00:00:00" count="40">
        <d v="2012-08-24T00:00:00"/>
        <d v="2012-08-23T00:00:00"/>
        <d v="2012-08-22T00:00:00"/>
        <d v="2012-08-21T00:00:00"/>
        <d v="2012-08-20T00:00:00"/>
        <d v="2012-08-17T00:00:00"/>
        <d v="2012-08-16T00:00:00"/>
        <d v="2012-08-15T00:00:00"/>
        <d v="2012-08-14T00:00:00"/>
        <d v="2012-08-13T00:00:00"/>
        <d v="2012-08-10T00:00:00"/>
        <d v="2012-08-09T00:00:00"/>
        <d v="2012-08-08T00:00:00"/>
        <d v="2012-08-07T00:00:00"/>
        <d v="2012-08-06T00:00:00"/>
        <d v="2012-08-03T00:00:00"/>
        <d v="2012-08-02T00:00:00"/>
        <d v="2012-08-01T00:00:00"/>
        <d v="2012-07-31T00:00:00"/>
        <d v="2012-07-30T00:00:00"/>
        <d v="2012-07-27T00:00:00"/>
        <d v="2012-07-26T00:00:00"/>
        <d v="2012-07-25T00:00:00"/>
        <d v="2012-07-24T00:00:00"/>
        <d v="2012-07-23T00:00:00"/>
        <d v="2012-07-20T00:00:00"/>
        <d v="2012-07-19T00:00:00"/>
        <d v="2012-07-18T00:00:00"/>
        <d v="2012-07-17T00:00:00"/>
        <d v="2012-07-16T00:00:00"/>
        <d v="2012-07-13T00:00:00"/>
        <d v="2012-07-12T00:00:00"/>
        <d v="2012-07-11T00:00:00"/>
        <d v="2012-07-10T00:00:00"/>
        <d v="2012-07-09T00:00:00"/>
        <d v="2012-07-06T00:00:00"/>
        <d v="2012-07-05T00:00:00"/>
        <d v="2012-07-04T00:00:00"/>
        <d v="2012-07-03T00:00:00"/>
        <d v="2012-07-02T00:00:00"/>
      </sharedItems>
    </cacheField>
    <cacheField name="期限" numFmtId="0">
      <sharedItems count="12">
        <s v="3Y"/>
        <s v="1Y"/>
        <s v="4Y"/>
        <s v="9Y"/>
        <s v="2Y"/>
        <s v="9M"/>
        <s v="10Y"/>
        <s v="7Y"/>
        <s v="6M"/>
        <s v="6Y"/>
        <s v="8Y"/>
        <s v="5Y"/>
      </sharedItems>
    </cacheField>
    <cacheField name="报价方" numFmtId="0">
      <sharedItems count="18">
        <s v="瑞穗实业银行"/>
        <s v="摩根大通银行"/>
        <s v="星展银行"/>
        <s v="法国兴业银行"/>
        <s v="浦发银行"/>
        <s v="中信银行"/>
        <s v="法国巴黎(中国)"/>
        <s v="光大银行"/>
        <s v="农业银行"/>
        <s v="兴业银行"/>
        <s v="花旗银行"/>
        <s v="建设银行"/>
        <s v="苏格兰皇家银行(中国)"/>
        <s v="华夏银行"/>
        <s v="广发银行"/>
        <s v="三菱东京日联银行"/>
        <s v="交通银行"/>
        <s v="北京银行"/>
      </sharedItems>
    </cacheField>
    <cacheField name="报价时间" numFmtId="0">
      <sharedItems containsSemiMixedTypes="0" containsString="0" containsNumber="1" minValue="0.38964120370370375" maxValue="0.68745370370370373"/>
    </cacheField>
    <cacheField name="参考利率" numFmtId="0">
      <sharedItems/>
    </cacheField>
    <cacheField name="Bid" numFmtId="0">
      <sharedItems containsSemiMixedTypes="0" containsString="0" containsNumber="1" minValue="2.4500000000000002" maxValue="3.77"/>
    </cacheField>
    <cacheField name="Ask" numFmtId="0">
      <sharedItems containsSemiMixedTypes="0" containsString="0" containsNumber="1" minValue="2.83" maxValue="3.85"/>
    </cacheField>
    <cacheField name="利差" numFmtId="0">
      <sharedItems containsSemiMixedTypes="0" containsString="0" containsNumber="1" containsInteger="1" minValue="0" maxValue="0"/>
    </cacheField>
    <cacheField name="起息日" numFmtId="0">
      <sharedItems containsSemiMixedTypes="0" containsNonDate="0" containsDate="1" containsString="0" minDate="2012-07-03T00:00:00" maxDate="2012-08-26T00:00:00"/>
    </cacheField>
    <cacheField name="终止日" numFmtId="0">
      <sharedItems containsSemiMixedTypes="0" containsNonDate="0" containsDate="1" containsString="0" minDate="2013-01-03T00:00:00" maxDate="2022-08-26T00:00:00"/>
    </cacheField>
    <cacheField name="中间价" numFmtId="0">
      <sharedItems containsSemiMixedTypes="0" containsString="0" containsNumber="1" minValue="2.79" maxValue="3.8" count="196">
        <n v="3.2199999999999998"/>
        <n v="3.3499999999999996"/>
        <n v="3.42"/>
        <n v="3.29"/>
        <n v="3.4699999999999998"/>
        <n v="3.34"/>
        <n v="3.3099999999999996"/>
        <n v="3.55"/>
        <n v="3.52"/>
        <n v="3.2800000000000002"/>
        <n v="3.24"/>
        <n v="3.41"/>
        <n v="3.4299999999999997"/>
        <n v="3.5"/>
        <n v="3.2250000000000001"/>
        <n v="3.5150000000000001"/>
        <n v="3.26"/>
        <n v="3.38"/>
        <n v="3.48"/>
        <n v="3.37"/>
        <n v="3.4000000000000004"/>
        <n v="3.25"/>
        <n v="3.5999999999999996"/>
        <n v="3.3"/>
        <n v="3.3200000000000003"/>
        <n v="3.27"/>
        <n v="3.5599999999999996"/>
        <n v="3.15"/>
        <n v="3.5700000000000003"/>
        <n v="3.3650000000000002"/>
        <n v="3.375"/>
        <n v="3.6"/>
        <n v="3.4"/>
        <n v="3.4550000000000001"/>
        <n v="3.3149999999999999"/>
        <n v="3.62"/>
        <n v="3.3449999999999998"/>
        <n v="3.2850000000000001"/>
        <n v="3.49"/>
        <n v="3.3250000000000002"/>
        <n v="3.23"/>
        <n v="3.33"/>
        <n v="3.59"/>
        <n v="3.45"/>
        <n v="3.51"/>
        <n v="3.3600000000000003"/>
        <n v="3.46"/>
        <n v="3.4649999999999999"/>
        <n v="3.5149999999999997"/>
        <n v="3.1799999999999997"/>
        <n v="3.1100000000000003"/>
        <n v="3.1500000000000004"/>
        <n v="3.1550000000000002"/>
        <n v="3.1349999999999998"/>
        <n v="3.3849999999999998"/>
        <n v="3.1900000000000004"/>
        <n v="3.17"/>
        <n v="3.2"/>
        <n v="3.1399999999999997"/>
        <n v="3.3899999999999997"/>
        <n v="3.6500000000000004"/>
        <n v="3.54"/>
        <n v="3.1950000000000003"/>
        <n v="3.1850000000000001"/>
        <n v="3.0999999999999996"/>
        <n v="3.4050000000000002"/>
        <n v="3.12"/>
        <n v="3.5049999999999999"/>
        <n v="3.2949999999999999"/>
        <n v="3.09"/>
        <n v="3.08"/>
        <n v="3.16"/>
        <n v="3.165"/>
        <n v="3.2050000000000001"/>
        <n v="3.0549999999999997"/>
        <n v="3.2450000000000001"/>
        <n v="3.0750000000000002"/>
        <n v="3.0949999999999998"/>
        <n v="3.13"/>
        <n v="3.0249999999999999"/>
        <n v="3.125"/>
        <n v="3.05"/>
        <n v="3.2549999999999999"/>
        <n v="3.105"/>
        <n v="3.1150000000000002"/>
        <n v="3.0649999999999999"/>
        <n v="3.0700000000000003"/>
        <n v="3.4400000000000004"/>
        <n v="3.21"/>
        <n v="3.2149999999999999"/>
        <n v="3.0300000000000002"/>
        <n v="3.04"/>
        <n v="3.145"/>
        <n v="3.1749999999999998"/>
        <n v="3.0449999999999999"/>
        <n v="3.0599999999999996"/>
        <n v="3.085"/>
        <n v="3.01"/>
        <n v="3.0150000000000001"/>
        <n v="3"/>
        <n v="3.11"/>
        <n v="2.9950000000000001"/>
        <n v="2.9749999999999996"/>
        <n v="2.9849999999999999"/>
        <n v="3.355"/>
        <n v="2.9699999999999998"/>
        <n v="3.0350000000000001"/>
        <n v="3.2349999999999999"/>
        <n v="3.4750000000000001"/>
        <n v="3.07"/>
        <n v="3.2249999999999996"/>
        <n v="3.4850000000000003"/>
        <n v="3.19"/>
        <n v="3.0049999999999999"/>
        <n v="2.99"/>
        <n v="3.5249999999999999"/>
        <n v="3.02"/>
        <n v="2.96"/>
        <n v="3.36"/>
        <n v="3.335"/>
        <n v="3.4249999999999998"/>
        <n v="3.3049999999999997"/>
        <n v="2.95"/>
        <n v="2.98"/>
        <n v="2.9850000000000003"/>
        <n v="2.9450000000000003"/>
        <n v="2.9550000000000001"/>
        <n v="3.18"/>
        <n v="2.9649999999999999"/>
        <n v="3.5350000000000001"/>
        <n v="2.9750000000000001"/>
        <n v="2.9400000000000004"/>
        <n v="3.4950000000000001"/>
        <n v="2.9350000000000001"/>
        <n v="3.5300000000000002"/>
        <n v="3.4849999999999999"/>
        <n v="3.0550000000000002"/>
        <n v="2.9299999999999997"/>
        <n v="2.915"/>
        <n v="3.58"/>
        <n v="2.9249999999999998"/>
        <n v="2.92"/>
        <n v="2.91"/>
        <n v="2.9050000000000002"/>
        <n v="2.88"/>
        <n v="2.9000000000000004"/>
        <n v="3.2649999999999997"/>
        <n v="2.895"/>
        <n v="3.32"/>
        <n v="2.94"/>
        <n v="3.14"/>
        <n v="3.31"/>
        <n v="3.79"/>
        <n v="2.79"/>
        <n v="2.8499999999999996"/>
        <n v="2.8149999999999999"/>
        <n v="3.2750000000000004"/>
        <n v="2.875"/>
        <n v="2.855"/>
        <n v="2.8650000000000002"/>
        <n v="2.87"/>
        <n v="2.8600000000000003"/>
        <n v="2.8899999999999997"/>
        <n v="2.9"/>
        <n v="2.8449999999999998"/>
        <n v="3.0149999999999997"/>
        <n v="3.22"/>
        <n v="3.64"/>
        <n v="3.44"/>
        <n v="3.66"/>
        <n v="3.63"/>
        <n v="3.625"/>
        <n v="3.6900000000000004"/>
        <n v="3.6799999999999997"/>
        <n v="3.67"/>
        <n v="3.69"/>
        <n v="3.4450000000000003"/>
        <n v="3.6749999999999998"/>
        <n v="3.7"/>
        <n v="3.68"/>
        <n v="3.73"/>
        <n v="3.71"/>
        <n v="3.2749999999999999"/>
        <n v="3.77"/>
        <n v="3.76"/>
        <n v="3.7749999999999999"/>
        <n v="3.2650000000000001"/>
        <n v="3.56"/>
        <n v="3.4749999999999996"/>
        <n v="3.7750000000000004"/>
        <n v="3.5750000000000002"/>
        <n v="3.35"/>
        <n v="3.8"/>
        <n v="3.6150000000000002"/>
        <n v="3.28"/>
        <n v="3.3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90">
  <r>
    <n v="1"/>
    <x v="0"/>
    <x v="0"/>
    <x v="0"/>
    <n v="0.47832175925925924"/>
    <s v="Shibor_3M"/>
    <n v="3.17"/>
    <n v="3.27"/>
    <n v="0"/>
    <d v="2012-08-25T00:00:00"/>
    <d v="2015-08-25T00:00:00"/>
    <x v="0"/>
  </r>
  <r>
    <n v="2"/>
    <x v="0"/>
    <x v="1"/>
    <x v="1"/>
    <n v="0.47939814814814818"/>
    <s v="Shibor_3M"/>
    <n v="3.32"/>
    <n v="3.38"/>
    <n v="0"/>
    <d v="2012-08-25T00:00:00"/>
    <d v="2013-08-25T00:00:00"/>
    <x v="1"/>
  </r>
  <r>
    <n v="3"/>
    <x v="0"/>
    <x v="2"/>
    <x v="0"/>
    <n v="0.47832175925925924"/>
    <s v="Shibor_3M"/>
    <n v="3.17"/>
    <n v="3.27"/>
    <n v="0"/>
    <d v="2012-08-25T00:00:00"/>
    <d v="2016-08-25T00:00:00"/>
    <x v="0"/>
  </r>
  <r>
    <n v="4"/>
    <x v="0"/>
    <x v="3"/>
    <x v="0"/>
    <n v="0.47832175925925924"/>
    <s v="Shibor_3M"/>
    <n v="3.22"/>
    <n v="3.62"/>
    <n v="0"/>
    <d v="2012-08-25T00:00:00"/>
    <d v="2021-08-25T00:00:00"/>
    <x v="2"/>
  </r>
  <r>
    <n v="5"/>
    <x v="0"/>
    <x v="4"/>
    <x v="1"/>
    <n v="0.47939814814814818"/>
    <s v="Shibor_3M"/>
    <n v="3.26"/>
    <n v="3.32"/>
    <n v="0"/>
    <d v="2012-08-25T00:00:00"/>
    <d v="2014-08-25T00:00:00"/>
    <x v="3"/>
  </r>
  <r>
    <n v="6"/>
    <x v="0"/>
    <x v="5"/>
    <x v="1"/>
    <n v="0.47940972222222222"/>
    <s v="Shibor_3M"/>
    <n v="3.44"/>
    <n v="3.5"/>
    <n v="0"/>
    <d v="2012-08-25T00:00:00"/>
    <d v="2013-05-25T00:00:00"/>
    <x v="4"/>
  </r>
  <r>
    <n v="7"/>
    <x v="0"/>
    <x v="6"/>
    <x v="1"/>
    <n v="0.47940972222222222"/>
    <s v="Shibor_3M"/>
    <n v="3.31"/>
    <n v="3.37"/>
    <n v="0"/>
    <d v="2012-08-25T00:00:00"/>
    <d v="2022-08-25T00:00:00"/>
    <x v="5"/>
  </r>
  <r>
    <n v="8"/>
    <x v="0"/>
    <x v="7"/>
    <x v="1"/>
    <n v="0.47939814814814818"/>
    <s v="Shibor_3M"/>
    <n v="3.28"/>
    <n v="3.34"/>
    <n v="0"/>
    <d v="2012-08-25T00:00:00"/>
    <d v="2019-08-25T00:00:00"/>
    <x v="6"/>
  </r>
  <r>
    <n v="9"/>
    <x v="0"/>
    <x v="8"/>
    <x v="1"/>
    <n v="0.47939814814814818"/>
    <s v="Shibor_3M"/>
    <n v="3.52"/>
    <n v="3.58"/>
    <n v="0"/>
    <d v="2012-08-25T00:00:00"/>
    <d v="2013-02-25T00:00:00"/>
    <x v="7"/>
  </r>
  <r>
    <n v="10"/>
    <x v="0"/>
    <x v="9"/>
    <x v="0"/>
    <n v="0.47828703703703707"/>
    <s v="Shibor_3M"/>
    <n v="3.17"/>
    <n v="3.27"/>
    <n v="0"/>
    <d v="2012-08-25T00:00:00"/>
    <d v="2018-08-25T00:00:00"/>
    <x v="0"/>
  </r>
  <r>
    <n v="11"/>
    <x v="0"/>
    <x v="8"/>
    <x v="0"/>
    <n v="0.47828703703703707"/>
    <s v="Shibor_3M"/>
    <n v="3.47"/>
    <n v="3.57"/>
    <n v="0"/>
    <d v="2012-08-25T00:00:00"/>
    <d v="2013-02-25T00:00:00"/>
    <x v="8"/>
  </r>
  <r>
    <n v="12"/>
    <x v="0"/>
    <x v="4"/>
    <x v="0"/>
    <n v="0.47828703703703707"/>
    <s v="Shibor_3M"/>
    <n v="3.23"/>
    <n v="3.33"/>
    <n v="0"/>
    <d v="2012-08-25T00:00:00"/>
    <d v="2014-08-25T00:00:00"/>
    <x v="9"/>
  </r>
  <r>
    <n v="13"/>
    <x v="0"/>
    <x v="7"/>
    <x v="0"/>
    <n v="0.47828703703703707"/>
    <s v="Shibor_3M"/>
    <n v="3.14"/>
    <n v="3.34"/>
    <n v="0"/>
    <d v="2012-08-25T00:00:00"/>
    <d v="2019-08-25T00:00:00"/>
    <x v="10"/>
  </r>
  <r>
    <n v="14"/>
    <x v="0"/>
    <x v="1"/>
    <x v="0"/>
    <n v="0.47828703703703707"/>
    <s v="Shibor_3M"/>
    <n v="3.29"/>
    <n v="3.39"/>
    <n v="0"/>
    <d v="2012-08-25T00:00:00"/>
    <d v="2013-08-25T00:00:00"/>
    <x v="5"/>
  </r>
  <r>
    <n v="15"/>
    <x v="0"/>
    <x v="10"/>
    <x v="0"/>
    <n v="0.4782986111111111"/>
    <s v="Shibor_3M"/>
    <n v="3.21"/>
    <n v="3.61"/>
    <n v="0"/>
    <d v="2012-08-25T00:00:00"/>
    <d v="2020-08-25T00:00:00"/>
    <x v="11"/>
  </r>
  <r>
    <n v="16"/>
    <x v="0"/>
    <x v="11"/>
    <x v="0"/>
    <n v="0.47832175925925924"/>
    <s v="Shibor_3M"/>
    <n v="3.17"/>
    <n v="3.27"/>
    <n v="0"/>
    <d v="2012-08-25T00:00:00"/>
    <d v="2017-08-25T00:00:00"/>
    <x v="0"/>
  </r>
  <r>
    <n v="17"/>
    <x v="0"/>
    <x v="5"/>
    <x v="0"/>
    <n v="0.4782986111111111"/>
    <s v="Shibor_3M"/>
    <n v="3.38"/>
    <n v="3.48"/>
    <n v="0"/>
    <d v="2012-08-25T00:00:00"/>
    <d v="2013-05-25T00:00:00"/>
    <x v="12"/>
  </r>
  <r>
    <n v="18"/>
    <x v="0"/>
    <x v="6"/>
    <x v="0"/>
    <n v="0.4782986111111111"/>
    <s v="Shibor_3M"/>
    <n v="3.23"/>
    <n v="3.63"/>
    <n v="0"/>
    <d v="2012-08-25T00:00:00"/>
    <d v="2022-08-25T00:00:00"/>
    <x v="12"/>
  </r>
  <r>
    <n v="19"/>
    <x v="0"/>
    <x v="11"/>
    <x v="1"/>
    <n v="0.47942129629629626"/>
    <s v="Shibor_3M"/>
    <n v="3.21"/>
    <n v="3.27"/>
    <n v="0"/>
    <d v="2012-08-25T00:00:00"/>
    <d v="2017-08-25T00:00:00"/>
    <x v="10"/>
  </r>
  <r>
    <n v="20"/>
    <x v="0"/>
    <x v="1"/>
    <x v="2"/>
    <n v="0.49554398148148149"/>
    <s v="Shibor_3M"/>
    <n v="3.38"/>
    <n v="3.48"/>
    <n v="0"/>
    <d v="2012-08-25T00:00:00"/>
    <d v="2013-08-25T00:00:00"/>
    <x v="12"/>
  </r>
  <r>
    <n v="21"/>
    <x v="0"/>
    <x v="6"/>
    <x v="2"/>
    <n v="0.49554398148148149"/>
    <s v="Shibor_3M"/>
    <n v="3.3"/>
    <n v="3.4"/>
    <n v="0"/>
    <d v="2012-08-25T00:00:00"/>
    <d v="2022-08-25T00:00:00"/>
    <x v="1"/>
  </r>
  <r>
    <n v="22"/>
    <x v="0"/>
    <x v="8"/>
    <x v="2"/>
    <n v="0.49553240740740739"/>
    <s v="Shibor_3M"/>
    <n v="3.5"/>
    <n v="3.6"/>
    <n v="0"/>
    <d v="2012-08-25T00:00:00"/>
    <d v="2013-02-25T00:00:00"/>
    <x v="7"/>
  </r>
  <r>
    <n v="23"/>
    <x v="0"/>
    <x v="7"/>
    <x v="2"/>
    <n v="0.49554398148148149"/>
    <s v="Shibor_3M"/>
    <n v="3.3"/>
    <n v="3.4"/>
    <n v="0"/>
    <d v="2012-08-25T00:00:00"/>
    <d v="2019-08-25T00:00:00"/>
    <x v="1"/>
  </r>
  <r>
    <n v="24"/>
    <x v="0"/>
    <x v="4"/>
    <x v="2"/>
    <n v="0.49554398148148149"/>
    <s v="Shibor_3M"/>
    <n v="3.3"/>
    <n v="3.4"/>
    <n v="0"/>
    <d v="2012-08-25T00:00:00"/>
    <d v="2014-08-25T00:00:00"/>
    <x v="1"/>
  </r>
  <r>
    <n v="25"/>
    <x v="0"/>
    <x v="11"/>
    <x v="2"/>
    <n v="0.49555555555555553"/>
    <s v="Shibor_3M"/>
    <n v="3.3"/>
    <n v="3.4"/>
    <n v="0"/>
    <d v="2012-08-25T00:00:00"/>
    <d v="2017-08-25T00:00:00"/>
    <x v="1"/>
  </r>
  <r>
    <n v="26"/>
    <x v="0"/>
    <x v="2"/>
    <x v="2"/>
    <n v="0.49555555555555553"/>
    <s v="Shibor_3M"/>
    <n v="3.3"/>
    <n v="3.4"/>
    <n v="0"/>
    <d v="2012-08-25T00:00:00"/>
    <d v="2016-08-25T00:00:00"/>
    <x v="1"/>
  </r>
  <r>
    <n v="27"/>
    <x v="0"/>
    <x v="0"/>
    <x v="2"/>
    <n v="0.49555555555555553"/>
    <s v="Shibor_3M"/>
    <n v="3.3"/>
    <n v="3.4"/>
    <n v="0"/>
    <d v="2012-08-25T00:00:00"/>
    <d v="2015-08-25T00:00:00"/>
    <x v="1"/>
  </r>
  <r>
    <n v="28"/>
    <x v="0"/>
    <x v="5"/>
    <x v="2"/>
    <n v="0.49555555555555553"/>
    <s v="Shibor_3M"/>
    <n v="3.45"/>
    <n v="3.55"/>
    <n v="0"/>
    <d v="2012-08-25T00:00:00"/>
    <d v="2013-05-25T00:00:00"/>
    <x v="13"/>
  </r>
  <r>
    <n v="29"/>
    <x v="0"/>
    <x v="11"/>
    <x v="3"/>
    <n v="0.4912731481481481"/>
    <s v="Shibor_3M"/>
    <n v="3.2"/>
    <n v="3.25"/>
    <n v="0"/>
    <d v="2012-08-25T00:00:00"/>
    <d v="2017-08-25T00:00:00"/>
    <x v="14"/>
  </r>
  <r>
    <n v="30"/>
    <x v="0"/>
    <x v="5"/>
    <x v="3"/>
    <n v="0.4912731481481481"/>
    <s v="Shibor_3M"/>
    <n v="3.38"/>
    <n v="3.48"/>
    <n v="0"/>
    <d v="2012-08-25T00:00:00"/>
    <d v="2013-05-25T00:00:00"/>
    <x v="12"/>
  </r>
  <r>
    <n v="31"/>
    <x v="0"/>
    <x v="2"/>
    <x v="1"/>
    <n v="0.47942129629629626"/>
    <s v="Shibor_3M"/>
    <n v="3.21"/>
    <n v="3.27"/>
    <n v="0"/>
    <d v="2012-08-25T00:00:00"/>
    <d v="2016-08-25T00:00:00"/>
    <x v="10"/>
  </r>
  <r>
    <n v="32"/>
    <x v="0"/>
    <x v="0"/>
    <x v="1"/>
    <n v="0.47942129629629626"/>
    <s v="Shibor_3M"/>
    <n v="3.21"/>
    <n v="3.27"/>
    <n v="0"/>
    <d v="2012-08-25T00:00:00"/>
    <d v="2015-08-25T00:00:00"/>
    <x v="10"/>
  </r>
  <r>
    <n v="33"/>
    <x v="0"/>
    <x v="2"/>
    <x v="3"/>
    <n v="0.4912731481481481"/>
    <s v="Shibor_3M"/>
    <n v="3.17"/>
    <n v="3.27"/>
    <n v="0"/>
    <d v="2012-08-25T00:00:00"/>
    <d v="2016-08-25T00:00:00"/>
    <x v="0"/>
  </r>
  <r>
    <n v="34"/>
    <x v="0"/>
    <x v="8"/>
    <x v="3"/>
    <n v="0.49128472222222225"/>
    <s v="Shibor_3M"/>
    <n v="3.47"/>
    <n v="3.56"/>
    <n v="0"/>
    <d v="2012-08-25T00:00:00"/>
    <d v="2013-02-25T00:00:00"/>
    <x v="15"/>
  </r>
  <r>
    <n v="35"/>
    <x v="0"/>
    <x v="0"/>
    <x v="3"/>
    <n v="0.49128472222222225"/>
    <s v="Shibor_3M"/>
    <n v="3.17"/>
    <n v="3.27"/>
    <n v="0"/>
    <d v="2012-08-25T00:00:00"/>
    <d v="2015-08-25T00:00:00"/>
    <x v="0"/>
  </r>
  <r>
    <n v="36"/>
    <x v="0"/>
    <x v="1"/>
    <x v="3"/>
    <n v="0.4912731481481481"/>
    <s v="Shibor_3M"/>
    <n v="3.3"/>
    <n v="3.38"/>
    <n v="0"/>
    <d v="2012-08-25T00:00:00"/>
    <d v="2013-08-25T00:00:00"/>
    <x v="5"/>
  </r>
  <r>
    <n v="37"/>
    <x v="0"/>
    <x v="4"/>
    <x v="3"/>
    <n v="0.49128472222222225"/>
    <s v="Shibor_3M"/>
    <n v="3.23"/>
    <n v="3.33"/>
    <n v="0"/>
    <d v="2012-08-25T00:00:00"/>
    <d v="2014-08-25T00:00:00"/>
    <x v="9"/>
  </r>
  <r>
    <n v="38"/>
    <x v="1"/>
    <x v="11"/>
    <x v="3"/>
    <n v="0.49034722222222221"/>
    <s v="Shibor_3M"/>
    <n v="3.21"/>
    <n v="3.31"/>
    <n v="0"/>
    <d v="2012-08-24T00:00:00"/>
    <d v="2017-08-24T00:00:00"/>
    <x v="16"/>
  </r>
  <r>
    <n v="39"/>
    <x v="1"/>
    <x v="1"/>
    <x v="3"/>
    <n v="0.49034722222222221"/>
    <s v="Shibor_3M"/>
    <n v="3.35"/>
    <n v="3.41"/>
    <n v="0"/>
    <d v="2012-08-24T00:00:00"/>
    <d v="2013-08-24T00:00:00"/>
    <x v="17"/>
  </r>
  <r>
    <n v="40"/>
    <x v="1"/>
    <x v="0"/>
    <x v="3"/>
    <n v="0.49035879629629631"/>
    <s v="Shibor_3M"/>
    <n v="3.21"/>
    <n v="3.31"/>
    <n v="0"/>
    <d v="2012-08-24T00:00:00"/>
    <d v="2015-08-24T00:00:00"/>
    <x v="16"/>
  </r>
  <r>
    <n v="41"/>
    <x v="1"/>
    <x v="5"/>
    <x v="3"/>
    <n v="0.49034722222222221"/>
    <s v="Shibor_3M"/>
    <n v="3.43"/>
    <n v="3.53"/>
    <n v="0"/>
    <d v="2012-08-24T00:00:00"/>
    <d v="2013-05-24T00:00:00"/>
    <x v="18"/>
  </r>
  <r>
    <n v="42"/>
    <x v="1"/>
    <x v="8"/>
    <x v="3"/>
    <n v="0.49034722222222221"/>
    <s v="Shibor_3M"/>
    <n v="3.5"/>
    <n v="3.6"/>
    <n v="0"/>
    <d v="2012-08-24T00:00:00"/>
    <d v="2013-02-24T00:00:00"/>
    <x v="7"/>
  </r>
  <r>
    <n v="43"/>
    <x v="1"/>
    <x v="11"/>
    <x v="1"/>
    <n v="0.48194444444444445"/>
    <s v="Shibor_3M"/>
    <n v="3.26"/>
    <n v="3.32"/>
    <n v="0"/>
    <d v="2012-08-24T00:00:00"/>
    <d v="2017-08-24T00:00:00"/>
    <x v="3"/>
  </r>
  <r>
    <n v="44"/>
    <x v="1"/>
    <x v="6"/>
    <x v="1"/>
    <n v="0.48194444444444445"/>
    <s v="Shibor_3M"/>
    <n v="3.34"/>
    <n v="3.4"/>
    <n v="0"/>
    <d v="2012-08-24T00:00:00"/>
    <d v="2022-08-24T00:00:00"/>
    <x v="19"/>
  </r>
  <r>
    <n v="45"/>
    <x v="1"/>
    <x v="4"/>
    <x v="3"/>
    <n v="0.49034722222222221"/>
    <s v="Shibor_3M"/>
    <n v="3.3"/>
    <n v="3.38"/>
    <n v="0"/>
    <d v="2012-08-24T00:00:00"/>
    <d v="2014-08-24T00:00:00"/>
    <x v="5"/>
  </r>
  <r>
    <n v="46"/>
    <x v="1"/>
    <x v="2"/>
    <x v="3"/>
    <n v="0.49034722222222221"/>
    <s v="Shibor_3M"/>
    <n v="3.21"/>
    <n v="3.31"/>
    <n v="0"/>
    <d v="2012-08-24T00:00:00"/>
    <d v="2016-08-24T00:00:00"/>
    <x v="16"/>
  </r>
  <r>
    <n v="47"/>
    <x v="1"/>
    <x v="1"/>
    <x v="2"/>
    <n v="0.49525462962962963"/>
    <s v="Shibor_3M"/>
    <n v="3.38"/>
    <n v="3.48"/>
    <n v="0"/>
    <d v="2012-08-24T00:00:00"/>
    <d v="2013-08-24T00:00:00"/>
    <x v="12"/>
  </r>
  <r>
    <n v="48"/>
    <x v="1"/>
    <x v="2"/>
    <x v="2"/>
    <n v="0.49526620370370367"/>
    <s v="Shibor_3M"/>
    <n v="3.3"/>
    <n v="3.4"/>
    <n v="0"/>
    <d v="2012-08-24T00:00:00"/>
    <d v="2016-08-24T00:00:00"/>
    <x v="1"/>
  </r>
  <r>
    <n v="49"/>
    <x v="1"/>
    <x v="11"/>
    <x v="2"/>
    <n v="0.49526620370370367"/>
    <s v="Shibor_3M"/>
    <n v="3.3"/>
    <n v="3.4"/>
    <n v="0"/>
    <d v="2012-08-24T00:00:00"/>
    <d v="2017-08-24T00:00:00"/>
    <x v="1"/>
  </r>
  <r>
    <n v="50"/>
    <x v="1"/>
    <x v="1"/>
    <x v="0"/>
    <n v="0.66809027777777785"/>
    <s v="Shibor_3M"/>
    <n v="3.35"/>
    <n v="3.45"/>
    <n v="0"/>
    <d v="2012-08-24T00:00:00"/>
    <d v="2013-08-24T00:00:00"/>
    <x v="20"/>
  </r>
  <r>
    <n v="51"/>
    <x v="1"/>
    <x v="0"/>
    <x v="2"/>
    <n v="0.49526620370370367"/>
    <s v="Shibor_3M"/>
    <n v="3.3"/>
    <n v="3.4"/>
    <n v="0"/>
    <d v="2012-08-24T00:00:00"/>
    <d v="2015-08-24T00:00:00"/>
    <x v="1"/>
  </r>
  <r>
    <n v="52"/>
    <x v="1"/>
    <x v="8"/>
    <x v="2"/>
    <n v="0.49525462962962963"/>
    <s v="Shibor_3M"/>
    <n v="3.5"/>
    <n v="3.6"/>
    <n v="0"/>
    <d v="2012-08-24T00:00:00"/>
    <d v="2013-02-24T00:00:00"/>
    <x v="7"/>
  </r>
  <r>
    <n v="53"/>
    <x v="1"/>
    <x v="4"/>
    <x v="2"/>
    <n v="0.49525462962962963"/>
    <s v="Shibor_3M"/>
    <n v="3.3"/>
    <n v="3.4"/>
    <n v="0"/>
    <d v="2012-08-24T00:00:00"/>
    <d v="2014-08-24T00:00:00"/>
    <x v="1"/>
  </r>
  <r>
    <n v="54"/>
    <x v="1"/>
    <x v="6"/>
    <x v="2"/>
    <n v="0.49525462962962963"/>
    <s v="Shibor_3M"/>
    <n v="3.3"/>
    <n v="3.4"/>
    <n v="0"/>
    <d v="2012-08-24T00:00:00"/>
    <d v="2022-08-24T00:00:00"/>
    <x v="1"/>
  </r>
  <r>
    <n v="55"/>
    <x v="1"/>
    <x v="5"/>
    <x v="2"/>
    <n v="0.49525462962962963"/>
    <s v="Shibor_3M"/>
    <n v="3.45"/>
    <n v="3.55"/>
    <n v="0"/>
    <d v="2012-08-24T00:00:00"/>
    <d v="2013-05-24T00:00:00"/>
    <x v="13"/>
  </r>
  <r>
    <n v="56"/>
    <x v="1"/>
    <x v="7"/>
    <x v="2"/>
    <n v="0.49525462962962963"/>
    <s v="Shibor_3M"/>
    <n v="3.3"/>
    <n v="3.4"/>
    <n v="0"/>
    <d v="2012-08-24T00:00:00"/>
    <d v="2019-08-24T00:00:00"/>
    <x v="1"/>
  </r>
  <r>
    <n v="57"/>
    <x v="1"/>
    <x v="11"/>
    <x v="0"/>
    <n v="0.47898148148148145"/>
    <s v="Shibor_3M"/>
    <n v="3.23"/>
    <n v="3.33"/>
    <n v="0"/>
    <d v="2012-08-24T00:00:00"/>
    <d v="2017-08-24T00:00:00"/>
    <x v="9"/>
  </r>
  <r>
    <n v="58"/>
    <x v="1"/>
    <x v="10"/>
    <x v="0"/>
    <n v="0.47898148148148145"/>
    <s v="Shibor_3M"/>
    <n v="3.21"/>
    <n v="3.61"/>
    <n v="0"/>
    <d v="2012-08-24T00:00:00"/>
    <d v="2020-08-24T00:00:00"/>
    <x v="11"/>
  </r>
  <r>
    <n v="59"/>
    <x v="1"/>
    <x v="5"/>
    <x v="0"/>
    <n v="0.47898148148148145"/>
    <s v="Shibor_3M"/>
    <n v="3.45"/>
    <n v="3.55"/>
    <n v="0"/>
    <d v="2012-08-24T00:00:00"/>
    <d v="2013-05-24T00:00:00"/>
    <x v="13"/>
  </r>
  <r>
    <n v="60"/>
    <x v="1"/>
    <x v="2"/>
    <x v="0"/>
    <n v="0.47898148148148145"/>
    <s v="Shibor_3M"/>
    <n v="3.2"/>
    <n v="3.3"/>
    <n v="0"/>
    <d v="2012-08-24T00:00:00"/>
    <d v="2016-08-24T00:00:00"/>
    <x v="21"/>
  </r>
  <r>
    <n v="61"/>
    <x v="1"/>
    <x v="9"/>
    <x v="0"/>
    <n v="0.47896990740740741"/>
    <s v="Shibor_3M"/>
    <n v="3.21"/>
    <n v="3.31"/>
    <n v="0"/>
    <d v="2012-08-24T00:00:00"/>
    <d v="2018-08-24T00:00:00"/>
    <x v="16"/>
  </r>
  <r>
    <n v="62"/>
    <x v="1"/>
    <x v="1"/>
    <x v="0"/>
    <n v="0.47896990740740741"/>
    <s v="Shibor_3M"/>
    <n v="3.35"/>
    <n v="3.45"/>
    <n v="0"/>
    <d v="2012-08-24T00:00:00"/>
    <d v="2013-08-24T00:00:00"/>
    <x v="20"/>
  </r>
  <r>
    <n v="63"/>
    <x v="1"/>
    <x v="8"/>
    <x v="0"/>
    <n v="0.47896990740740741"/>
    <s v="Shibor_3M"/>
    <n v="3.55"/>
    <n v="3.65"/>
    <n v="0"/>
    <d v="2012-08-24T00:00:00"/>
    <d v="2013-02-24T00:00:00"/>
    <x v="22"/>
  </r>
  <r>
    <n v="64"/>
    <x v="1"/>
    <x v="7"/>
    <x v="0"/>
    <n v="0.47896990740740741"/>
    <s v="Shibor_3M"/>
    <n v="3.2"/>
    <n v="3.6"/>
    <n v="0"/>
    <d v="2012-08-24T00:00:00"/>
    <d v="2019-08-24T00:00:00"/>
    <x v="20"/>
  </r>
  <r>
    <n v="65"/>
    <x v="1"/>
    <x v="4"/>
    <x v="0"/>
    <n v="0.47896990740740741"/>
    <s v="Shibor_3M"/>
    <n v="3.25"/>
    <n v="3.35"/>
    <n v="0"/>
    <d v="2012-08-24T00:00:00"/>
    <d v="2014-08-24T00:00:00"/>
    <x v="23"/>
  </r>
  <r>
    <n v="66"/>
    <x v="1"/>
    <x v="6"/>
    <x v="0"/>
    <n v="0.47898148148148145"/>
    <s v="Shibor_3M"/>
    <n v="3.23"/>
    <n v="3.63"/>
    <n v="0"/>
    <d v="2012-08-24T00:00:00"/>
    <d v="2022-08-24T00:00:00"/>
    <x v="12"/>
  </r>
  <r>
    <n v="67"/>
    <x v="1"/>
    <x v="4"/>
    <x v="1"/>
    <n v="0.48194444444444445"/>
    <s v="Shibor_3M"/>
    <n v="3.29"/>
    <n v="3.35"/>
    <n v="0"/>
    <d v="2012-08-24T00:00:00"/>
    <d v="2014-08-24T00:00:00"/>
    <x v="24"/>
  </r>
  <r>
    <n v="68"/>
    <x v="1"/>
    <x v="0"/>
    <x v="1"/>
    <n v="0.48194444444444445"/>
    <s v="Shibor_3M"/>
    <n v="3.25"/>
    <n v="3.31"/>
    <n v="0"/>
    <d v="2012-08-24T00:00:00"/>
    <d v="2015-08-24T00:00:00"/>
    <x v="9"/>
  </r>
  <r>
    <n v="69"/>
    <x v="1"/>
    <x v="5"/>
    <x v="1"/>
    <n v="0.48194444444444445"/>
    <s v="Shibor_3M"/>
    <n v="3.45"/>
    <n v="3.51"/>
    <n v="0"/>
    <d v="2012-08-24T00:00:00"/>
    <d v="2013-05-24T00:00:00"/>
    <x v="18"/>
  </r>
  <r>
    <n v="70"/>
    <x v="1"/>
    <x v="7"/>
    <x v="1"/>
    <n v="0.48194444444444445"/>
    <s v="Shibor_3M"/>
    <n v="3.31"/>
    <n v="3.37"/>
    <n v="0"/>
    <d v="2012-08-24T00:00:00"/>
    <d v="2019-08-24T00:00:00"/>
    <x v="5"/>
  </r>
  <r>
    <n v="71"/>
    <x v="1"/>
    <x v="2"/>
    <x v="1"/>
    <n v="0.48194444444444445"/>
    <s v="Shibor_3M"/>
    <n v="3.24"/>
    <n v="3.3"/>
    <n v="0"/>
    <d v="2012-08-24T00:00:00"/>
    <d v="2016-08-24T00:00:00"/>
    <x v="25"/>
  </r>
  <r>
    <n v="72"/>
    <x v="1"/>
    <x v="0"/>
    <x v="0"/>
    <n v="0.47899305555555555"/>
    <s v="Shibor_3M"/>
    <n v="3.2"/>
    <n v="3.3"/>
    <n v="0"/>
    <d v="2012-08-24T00:00:00"/>
    <d v="2015-08-24T00:00:00"/>
    <x v="21"/>
  </r>
  <r>
    <n v="73"/>
    <x v="1"/>
    <x v="3"/>
    <x v="0"/>
    <n v="0.47899305555555555"/>
    <s v="Shibor_3M"/>
    <n v="3.22"/>
    <n v="3.62"/>
    <n v="0"/>
    <d v="2012-08-24T00:00:00"/>
    <d v="2021-08-24T00:00:00"/>
    <x v="2"/>
  </r>
  <r>
    <n v="74"/>
    <x v="1"/>
    <x v="1"/>
    <x v="1"/>
    <n v="0.48193287037037041"/>
    <s v="Shibor_3M"/>
    <n v="3.37"/>
    <n v="3.43"/>
    <n v="0"/>
    <d v="2012-08-24T00:00:00"/>
    <d v="2013-08-24T00:00:00"/>
    <x v="20"/>
  </r>
  <r>
    <n v="75"/>
    <x v="1"/>
    <x v="8"/>
    <x v="1"/>
    <n v="0.48193287037037041"/>
    <s v="Shibor_3M"/>
    <n v="3.53"/>
    <n v="3.59"/>
    <n v="0"/>
    <d v="2012-08-24T00:00:00"/>
    <d v="2013-02-24T00:00:00"/>
    <x v="26"/>
  </r>
  <r>
    <n v="76"/>
    <x v="1"/>
    <x v="4"/>
    <x v="0"/>
    <n v="0.66809027777777785"/>
    <s v="Shibor_3M"/>
    <n v="3.25"/>
    <n v="3.35"/>
    <n v="0"/>
    <d v="2012-08-24T00:00:00"/>
    <d v="2014-08-24T00:00:00"/>
    <x v="23"/>
  </r>
  <r>
    <n v="77"/>
    <x v="1"/>
    <x v="2"/>
    <x v="1"/>
    <n v="0.67525462962962957"/>
    <s v="Shibor_3M"/>
    <n v="3.24"/>
    <n v="3.3"/>
    <n v="0"/>
    <d v="2012-08-24T00:00:00"/>
    <d v="2016-08-24T00:00:00"/>
    <x v="25"/>
  </r>
  <r>
    <n v="78"/>
    <x v="1"/>
    <x v="11"/>
    <x v="1"/>
    <n v="0.67525462962962957"/>
    <s v="Shibor_3M"/>
    <n v="3.26"/>
    <n v="3.32"/>
    <n v="0"/>
    <d v="2012-08-24T00:00:00"/>
    <d v="2017-08-24T00:00:00"/>
    <x v="3"/>
  </r>
  <r>
    <n v="79"/>
    <x v="1"/>
    <x v="4"/>
    <x v="1"/>
    <n v="0.67525462962962957"/>
    <s v="Shibor_3M"/>
    <n v="3.29"/>
    <n v="3.35"/>
    <n v="0"/>
    <d v="2012-08-24T00:00:00"/>
    <d v="2014-08-24T00:00:00"/>
    <x v="24"/>
  </r>
  <r>
    <n v="80"/>
    <x v="1"/>
    <x v="0"/>
    <x v="1"/>
    <n v="0.67525462962962957"/>
    <s v="Shibor_3M"/>
    <n v="3.25"/>
    <n v="3.31"/>
    <n v="0"/>
    <d v="2012-08-24T00:00:00"/>
    <d v="2015-08-24T00:00:00"/>
    <x v="9"/>
  </r>
  <r>
    <n v="81"/>
    <x v="1"/>
    <x v="1"/>
    <x v="1"/>
    <n v="0.67524305555555564"/>
    <s v="Shibor_3M"/>
    <n v="3.37"/>
    <n v="3.43"/>
    <n v="0"/>
    <d v="2012-08-24T00:00:00"/>
    <d v="2013-08-24T00:00:00"/>
    <x v="20"/>
  </r>
  <r>
    <n v="82"/>
    <x v="1"/>
    <x v="7"/>
    <x v="2"/>
    <n v="0.67393518518518514"/>
    <s v="Shibor_3M"/>
    <n v="3"/>
    <n v="3.3"/>
    <n v="0"/>
    <d v="2012-08-24T00:00:00"/>
    <d v="2019-08-24T00:00:00"/>
    <x v="27"/>
  </r>
  <r>
    <n v="83"/>
    <x v="1"/>
    <x v="3"/>
    <x v="2"/>
    <n v="0.67393518518518514"/>
    <s v="Shibor_3M"/>
    <n v="3"/>
    <n v="3.3"/>
    <n v="0"/>
    <d v="2012-08-24T00:00:00"/>
    <d v="2021-08-24T00:00:00"/>
    <x v="27"/>
  </r>
  <r>
    <n v="84"/>
    <x v="1"/>
    <x v="8"/>
    <x v="1"/>
    <n v="0.67524305555555564"/>
    <s v="Shibor_3M"/>
    <n v="3.53"/>
    <n v="3.59"/>
    <n v="0"/>
    <d v="2012-08-24T00:00:00"/>
    <d v="2013-02-24T00:00:00"/>
    <x v="26"/>
  </r>
  <r>
    <n v="85"/>
    <x v="1"/>
    <x v="0"/>
    <x v="2"/>
    <n v="0.67394675925925929"/>
    <s v="Shibor_3M"/>
    <n v="3.3"/>
    <n v="3.4"/>
    <n v="0"/>
    <d v="2012-08-24T00:00:00"/>
    <d v="2015-08-24T00:00:00"/>
    <x v="1"/>
  </r>
  <r>
    <n v="86"/>
    <x v="1"/>
    <x v="7"/>
    <x v="1"/>
    <n v="0.67525462962962957"/>
    <s v="Shibor_3M"/>
    <n v="3.31"/>
    <n v="3.37"/>
    <n v="0"/>
    <d v="2012-08-24T00:00:00"/>
    <d v="2019-08-24T00:00:00"/>
    <x v="5"/>
  </r>
  <r>
    <n v="87"/>
    <x v="1"/>
    <x v="4"/>
    <x v="3"/>
    <n v="0.67884259259259261"/>
    <s v="Shibor_3M"/>
    <n v="3.26"/>
    <n v="3.36"/>
    <n v="0"/>
    <d v="2012-08-24T00:00:00"/>
    <d v="2014-08-24T00:00:00"/>
    <x v="6"/>
  </r>
  <r>
    <n v="88"/>
    <x v="1"/>
    <x v="2"/>
    <x v="3"/>
    <n v="0.67883101851851846"/>
    <s v="Shibor_3M"/>
    <n v="3.22"/>
    <n v="3.32"/>
    <n v="0"/>
    <d v="2012-08-24T00:00:00"/>
    <d v="2016-08-24T00:00:00"/>
    <x v="25"/>
  </r>
  <r>
    <n v="89"/>
    <x v="1"/>
    <x v="0"/>
    <x v="3"/>
    <n v="0.67884259259259261"/>
    <s v="Shibor_3M"/>
    <n v="3.22"/>
    <n v="3.3"/>
    <n v="0"/>
    <d v="2012-08-24T00:00:00"/>
    <d v="2015-08-24T00:00:00"/>
    <x v="16"/>
  </r>
  <r>
    <n v="90"/>
    <x v="1"/>
    <x v="8"/>
    <x v="3"/>
    <n v="0.67884259259259261"/>
    <s v="Shibor_3M"/>
    <n v="3.52"/>
    <n v="3.62"/>
    <n v="0"/>
    <d v="2012-08-24T00:00:00"/>
    <d v="2013-02-24T00:00:00"/>
    <x v="28"/>
  </r>
  <r>
    <n v="91"/>
    <x v="1"/>
    <x v="5"/>
    <x v="3"/>
    <n v="0.67883101851851846"/>
    <s v="Shibor_3M"/>
    <n v="3.43"/>
    <n v="3.53"/>
    <n v="0"/>
    <d v="2012-08-24T00:00:00"/>
    <d v="2013-05-24T00:00:00"/>
    <x v="18"/>
  </r>
  <r>
    <n v="92"/>
    <x v="1"/>
    <x v="6"/>
    <x v="1"/>
    <n v="0.67525462962962957"/>
    <s v="Shibor_3M"/>
    <n v="3.34"/>
    <n v="3.4"/>
    <n v="0"/>
    <d v="2012-08-24T00:00:00"/>
    <d v="2022-08-24T00:00:00"/>
    <x v="19"/>
  </r>
  <r>
    <n v="93"/>
    <x v="1"/>
    <x v="5"/>
    <x v="1"/>
    <n v="0.67525462962962957"/>
    <s v="Shibor_3M"/>
    <n v="3.45"/>
    <n v="3.51"/>
    <n v="0"/>
    <d v="2012-08-24T00:00:00"/>
    <d v="2013-05-24T00:00:00"/>
    <x v="18"/>
  </r>
  <r>
    <n v="94"/>
    <x v="1"/>
    <x v="11"/>
    <x v="3"/>
    <n v="0.67883101851851846"/>
    <s v="Shibor_3M"/>
    <n v="3.22"/>
    <n v="3.3"/>
    <n v="0"/>
    <d v="2012-08-24T00:00:00"/>
    <d v="2017-08-24T00:00:00"/>
    <x v="16"/>
  </r>
  <r>
    <n v="95"/>
    <x v="1"/>
    <x v="1"/>
    <x v="3"/>
    <n v="0.67881944444444453"/>
    <s v="Shibor_3M"/>
    <n v="3.34"/>
    <n v="3.39"/>
    <n v="0"/>
    <d v="2012-08-24T00:00:00"/>
    <d v="2013-08-24T00:00:00"/>
    <x v="29"/>
  </r>
  <r>
    <n v="96"/>
    <x v="1"/>
    <x v="11"/>
    <x v="0"/>
    <n v="0.66811342592592593"/>
    <s v="Shibor_3M"/>
    <n v="3.23"/>
    <n v="3.33"/>
    <n v="0"/>
    <d v="2012-08-24T00:00:00"/>
    <d v="2017-08-24T00:00:00"/>
    <x v="9"/>
  </r>
  <r>
    <n v="97"/>
    <x v="1"/>
    <x v="10"/>
    <x v="0"/>
    <n v="0.66811342592592593"/>
    <s v="Shibor_3M"/>
    <n v="3.21"/>
    <n v="3.61"/>
    <n v="0"/>
    <d v="2012-08-24T00:00:00"/>
    <d v="2020-08-24T00:00:00"/>
    <x v="11"/>
  </r>
  <r>
    <n v="98"/>
    <x v="1"/>
    <x v="3"/>
    <x v="0"/>
    <n v="0.66811342592592593"/>
    <s v="Shibor_3M"/>
    <n v="3.22"/>
    <n v="3.62"/>
    <n v="0"/>
    <d v="2012-08-24T00:00:00"/>
    <d v="2021-08-24T00:00:00"/>
    <x v="2"/>
  </r>
  <r>
    <n v="99"/>
    <x v="1"/>
    <x v="2"/>
    <x v="0"/>
    <n v="0.66811342592592593"/>
    <s v="Shibor_3M"/>
    <n v="3.2"/>
    <n v="3.3"/>
    <n v="0"/>
    <d v="2012-08-24T00:00:00"/>
    <d v="2016-08-24T00:00:00"/>
    <x v="21"/>
  </r>
  <r>
    <n v="100"/>
    <x v="1"/>
    <x v="6"/>
    <x v="0"/>
    <n v="0.66811342592592593"/>
    <s v="Shibor_3M"/>
    <n v="3.23"/>
    <n v="3.63"/>
    <n v="0"/>
    <d v="2012-08-24T00:00:00"/>
    <d v="2022-08-24T00:00:00"/>
    <x v="12"/>
  </r>
  <r>
    <n v="101"/>
    <x v="1"/>
    <x v="8"/>
    <x v="0"/>
    <n v="0.66809027777777785"/>
    <s v="Shibor_3M"/>
    <n v="3.55"/>
    <n v="3.65"/>
    <n v="0"/>
    <d v="2012-08-24T00:00:00"/>
    <d v="2013-02-24T00:00:00"/>
    <x v="22"/>
  </r>
  <r>
    <n v="102"/>
    <x v="1"/>
    <x v="9"/>
    <x v="0"/>
    <n v="0.66809027777777785"/>
    <s v="Shibor_3M"/>
    <n v="3.21"/>
    <n v="3.31"/>
    <n v="0"/>
    <d v="2012-08-24T00:00:00"/>
    <d v="2018-08-24T00:00:00"/>
    <x v="16"/>
  </r>
  <r>
    <n v="103"/>
    <x v="1"/>
    <x v="5"/>
    <x v="0"/>
    <n v="0.66810185185185178"/>
    <s v="Shibor_3M"/>
    <n v="3.45"/>
    <n v="3.55"/>
    <n v="0"/>
    <d v="2012-08-24T00:00:00"/>
    <d v="2013-05-24T00:00:00"/>
    <x v="13"/>
  </r>
  <r>
    <n v="104"/>
    <x v="1"/>
    <x v="7"/>
    <x v="0"/>
    <n v="0.66810185185185178"/>
    <s v="Shibor_3M"/>
    <n v="3.2"/>
    <n v="3.6"/>
    <n v="0"/>
    <d v="2012-08-24T00:00:00"/>
    <d v="2019-08-24T00:00:00"/>
    <x v="20"/>
  </r>
  <r>
    <n v="105"/>
    <x v="1"/>
    <x v="0"/>
    <x v="0"/>
    <n v="0.66811342592592593"/>
    <s v="Shibor_3M"/>
    <n v="3.2"/>
    <n v="3.3"/>
    <n v="0"/>
    <d v="2012-08-24T00:00:00"/>
    <d v="2015-08-24T00:00:00"/>
    <x v="21"/>
  </r>
  <r>
    <n v="106"/>
    <x v="1"/>
    <x v="2"/>
    <x v="2"/>
    <n v="0.67393518518518514"/>
    <s v="Shibor_3M"/>
    <n v="3.25"/>
    <n v="3.35"/>
    <n v="0"/>
    <d v="2012-08-24T00:00:00"/>
    <d v="2016-08-24T00:00:00"/>
    <x v="23"/>
  </r>
  <r>
    <n v="107"/>
    <x v="1"/>
    <x v="11"/>
    <x v="2"/>
    <n v="0.67393518518518514"/>
    <s v="Shibor_3M"/>
    <n v="3.25"/>
    <n v="3.35"/>
    <n v="0"/>
    <d v="2012-08-24T00:00:00"/>
    <d v="2017-08-24T00:00:00"/>
    <x v="23"/>
  </r>
  <r>
    <n v="108"/>
    <x v="1"/>
    <x v="4"/>
    <x v="2"/>
    <n v="0.67393518518518514"/>
    <s v="Shibor_3M"/>
    <n v="3.3"/>
    <n v="3.45"/>
    <n v="0"/>
    <d v="2012-08-24T00:00:00"/>
    <d v="2014-08-24T00:00:00"/>
    <x v="30"/>
  </r>
  <r>
    <n v="109"/>
    <x v="1"/>
    <x v="6"/>
    <x v="2"/>
    <n v="0.67393518518518514"/>
    <s v="Shibor_3M"/>
    <n v="3"/>
    <n v="3.3"/>
    <n v="0"/>
    <d v="2012-08-24T00:00:00"/>
    <d v="2022-08-24T00:00:00"/>
    <x v="27"/>
  </r>
  <r>
    <n v="110"/>
    <x v="1"/>
    <x v="5"/>
    <x v="2"/>
    <n v="0.67393518518518514"/>
    <s v="Shibor_3M"/>
    <n v="3.5"/>
    <n v="3.7"/>
    <n v="0"/>
    <d v="2012-08-24T00:00:00"/>
    <d v="2013-05-24T00:00:00"/>
    <x v="31"/>
  </r>
  <r>
    <n v="111"/>
    <x v="1"/>
    <x v="8"/>
    <x v="2"/>
    <n v="0.67391203703703706"/>
    <s v="Shibor_3M"/>
    <n v="3.3"/>
    <n v="3.5"/>
    <n v="0"/>
    <d v="2012-08-24T00:00:00"/>
    <d v="2013-02-24T00:00:00"/>
    <x v="32"/>
  </r>
  <r>
    <n v="112"/>
    <x v="1"/>
    <x v="9"/>
    <x v="2"/>
    <n v="0.67391203703703706"/>
    <s v="Shibor_3M"/>
    <n v="3"/>
    <n v="3.3"/>
    <n v="0"/>
    <d v="2012-08-24T00:00:00"/>
    <d v="2018-08-24T00:00:00"/>
    <x v="27"/>
  </r>
  <r>
    <n v="113"/>
    <x v="1"/>
    <x v="10"/>
    <x v="2"/>
    <n v="0.67392361111111121"/>
    <s v="Shibor_3M"/>
    <n v="3"/>
    <n v="3.3"/>
    <n v="0"/>
    <d v="2012-08-24T00:00:00"/>
    <d v="2020-08-24T00:00:00"/>
    <x v="27"/>
  </r>
  <r>
    <n v="114"/>
    <x v="1"/>
    <x v="1"/>
    <x v="2"/>
    <n v="0.67392361111111121"/>
    <s v="Shibor_3M"/>
    <n v="3.3"/>
    <n v="3.5"/>
    <n v="0"/>
    <d v="2012-08-24T00:00:00"/>
    <d v="2013-08-24T00:00:00"/>
    <x v="32"/>
  </r>
  <r>
    <n v="115"/>
    <x v="2"/>
    <x v="11"/>
    <x v="3"/>
    <n v="0.48561342592592593"/>
    <s v="Shibor_3M"/>
    <n v="3.26"/>
    <n v="3.32"/>
    <n v="0"/>
    <d v="2012-08-23T00:00:00"/>
    <d v="2017-08-23T00:00:00"/>
    <x v="3"/>
  </r>
  <r>
    <n v="116"/>
    <x v="2"/>
    <x v="1"/>
    <x v="3"/>
    <n v="0.48561342592592593"/>
    <s v="Shibor_3M"/>
    <n v="3.41"/>
    <n v="3.5"/>
    <n v="0"/>
    <d v="2012-08-23T00:00:00"/>
    <d v="2013-08-23T00:00:00"/>
    <x v="33"/>
  </r>
  <r>
    <n v="117"/>
    <x v="2"/>
    <x v="0"/>
    <x v="3"/>
    <n v="0.48562499999999997"/>
    <s v="Shibor_3M"/>
    <n v="3.28"/>
    <n v="3.35"/>
    <n v="0"/>
    <d v="2012-08-23T00:00:00"/>
    <d v="2015-08-23T00:00:00"/>
    <x v="34"/>
  </r>
  <r>
    <n v="118"/>
    <x v="2"/>
    <x v="8"/>
    <x v="3"/>
    <n v="0.48562499999999997"/>
    <s v="Shibor_3M"/>
    <n v="3.59"/>
    <n v="3.65"/>
    <n v="0"/>
    <d v="2012-08-23T00:00:00"/>
    <d v="2013-02-23T00:00:00"/>
    <x v="35"/>
  </r>
  <r>
    <n v="119"/>
    <x v="2"/>
    <x v="4"/>
    <x v="3"/>
    <n v="0.48561342592592593"/>
    <s v="Shibor_3M"/>
    <n v="3.31"/>
    <n v="3.38"/>
    <n v="0"/>
    <d v="2012-08-23T00:00:00"/>
    <d v="2014-08-23T00:00:00"/>
    <x v="36"/>
  </r>
  <r>
    <n v="120"/>
    <x v="2"/>
    <x v="0"/>
    <x v="1"/>
    <n v="0.48555555555555557"/>
    <s v="Shibor_3M"/>
    <n v="3.24"/>
    <n v="3.3"/>
    <n v="0"/>
    <d v="2012-08-23T00:00:00"/>
    <d v="2015-08-23T00:00:00"/>
    <x v="25"/>
  </r>
  <r>
    <n v="121"/>
    <x v="2"/>
    <x v="2"/>
    <x v="1"/>
    <n v="0.48555555555555557"/>
    <s v="Shibor_3M"/>
    <n v="3.23"/>
    <n v="3.29"/>
    <n v="0"/>
    <d v="2012-08-23T00:00:00"/>
    <d v="2016-08-23T00:00:00"/>
    <x v="16"/>
  </r>
  <r>
    <n v="122"/>
    <x v="2"/>
    <x v="2"/>
    <x v="3"/>
    <n v="0.48561342592592593"/>
    <s v="Shibor_3M"/>
    <n v="3.24"/>
    <n v="3.33"/>
    <n v="0"/>
    <d v="2012-08-23T00:00:00"/>
    <d v="2016-08-23T00:00:00"/>
    <x v="37"/>
  </r>
  <r>
    <n v="123"/>
    <x v="2"/>
    <x v="5"/>
    <x v="3"/>
    <n v="0.48561342592592593"/>
    <s v="Shibor_3M"/>
    <n v="3.44"/>
    <n v="3.54"/>
    <n v="0"/>
    <d v="2012-08-23T00:00:00"/>
    <d v="2013-05-23T00:00:00"/>
    <x v="38"/>
  </r>
  <r>
    <n v="124"/>
    <x v="2"/>
    <x v="4"/>
    <x v="2"/>
    <n v="0.48920138888888887"/>
    <s v="Shibor_3M"/>
    <n v="3.3"/>
    <n v="3.4"/>
    <n v="0"/>
    <d v="2012-08-23T00:00:00"/>
    <d v="2014-08-23T00:00:00"/>
    <x v="1"/>
  </r>
  <r>
    <n v="125"/>
    <x v="2"/>
    <x v="2"/>
    <x v="2"/>
    <n v="0.48920138888888887"/>
    <s v="Shibor_3M"/>
    <n v="3.3"/>
    <n v="3.35"/>
    <n v="0"/>
    <d v="2012-08-23T00:00:00"/>
    <d v="2016-08-23T00:00:00"/>
    <x v="39"/>
  </r>
  <r>
    <n v="126"/>
    <x v="2"/>
    <x v="0"/>
    <x v="2"/>
    <n v="0.48921296296296296"/>
    <s v="Shibor_3M"/>
    <n v="3.3"/>
    <n v="3.4"/>
    <n v="0"/>
    <d v="2012-08-23T00:00:00"/>
    <d v="2015-08-23T00:00:00"/>
    <x v="1"/>
  </r>
  <r>
    <n v="127"/>
    <x v="2"/>
    <x v="7"/>
    <x v="2"/>
    <n v="0.48920138888888887"/>
    <s v="Shibor_3M"/>
    <n v="3.3"/>
    <n v="3.16"/>
    <n v="0"/>
    <d v="2012-08-23T00:00:00"/>
    <d v="2019-08-23T00:00:00"/>
    <x v="40"/>
  </r>
  <r>
    <n v="128"/>
    <x v="2"/>
    <x v="11"/>
    <x v="2"/>
    <n v="0.48920138888888887"/>
    <s v="Shibor_3M"/>
    <n v="3.3"/>
    <n v="3.35"/>
    <n v="0"/>
    <d v="2012-08-23T00:00:00"/>
    <d v="2017-08-23T00:00:00"/>
    <x v="39"/>
  </r>
  <r>
    <n v="129"/>
    <x v="2"/>
    <x v="1"/>
    <x v="2"/>
    <n v="0.48918981481481483"/>
    <s v="Shibor_3M"/>
    <n v="3.38"/>
    <n v="3.48"/>
    <n v="0"/>
    <d v="2012-08-23T00:00:00"/>
    <d v="2013-08-23T00:00:00"/>
    <x v="12"/>
  </r>
  <r>
    <n v="130"/>
    <x v="2"/>
    <x v="8"/>
    <x v="2"/>
    <n v="0.48917824074074073"/>
    <s v="Shibor_3M"/>
    <n v="3.5"/>
    <n v="3.6"/>
    <n v="0"/>
    <d v="2012-08-23T00:00:00"/>
    <d v="2013-02-23T00:00:00"/>
    <x v="7"/>
  </r>
  <r>
    <n v="131"/>
    <x v="2"/>
    <x v="5"/>
    <x v="2"/>
    <n v="0.48920138888888887"/>
    <s v="Shibor_3M"/>
    <n v="3.45"/>
    <n v="3.55"/>
    <n v="0"/>
    <d v="2012-08-23T00:00:00"/>
    <d v="2013-05-23T00:00:00"/>
    <x v="13"/>
  </r>
  <r>
    <n v="132"/>
    <x v="2"/>
    <x v="6"/>
    <x v="2"/>
    <n v="0.48918981481481483"/>
    <s v="Shibor_3M"/>
    <n v="3.3"/>
    <n v="3.16"/>
    <n v="0"/>
    <d v="2012-08-23T00:00:00"/>
    <d v="2022-08-23T00:00:00"/>
    <x v="40"/>
  </r>
  <r>
    <n v="133"/>
    <x v="2"/>
    <x v="11"/>
    <x v="1"/>
    <n v="0.48555555555555557"/>
    <s v="Shibor_3M"/>
    <n v="3.24"/>
    <n v="3.3"/>
    <n v="0"/>
    <d v="2012-08-23T00:00:00"/>
    <d v="2017-08-23T00:00:00"/>
    <x v="25"/>
  </r>
  <r>
    <n v="134"/>
    <x v="2"/>
    <x v="4"/>
    <x v="0"/>
    <n v="0.47917824074074072"/>
    <s v="Shibor_3M"/>
    <n v="3.25"/>
    <n v="3.35"/>
    <n v="0"/>
    <d v="2012-08-23T00:00:00"/>
    <d v="2014-08-23T00:00:00"/>
    <x v="23"/>
  </r>
  <r>
    <n v="135"/>
    <x v="2"/>
    <x v="0"/>
    <x v="0"/>
    <n v="0.47917824074074072"/>
    <s v="Shibor_3M"/>
    <n v="3.2"/>
    <n v="3.3"/>
    <n v="0"/>
    <d v="2012-08-23T00:00:00"/>
    <d v="2015-08-23T00:00:00"/>
    <x v="21"/>
  </r>
  <r>
    <n v="136"/>
    <x v="2"/>
    <x v="5"/>
    <x v="0"/>
    <n v="0.47917824074074072"/>
    <s v="Shibor_3M"/>
    <n v="3.45"/>
    <n v="3.55"/>
    <n v="0"/>
    <d v="2012-08-23T00:00:00"/>
    <d v="2013-05-23T00:00:00"/>
    <x v="13"/>
  </r>
  <r>
    <n v="137"/>
    <x v="2"/>
    <x v="7"/>
    <x v="0"/>
    <n v="0.47917824074074072"/>
    <s v="Shibor_3M"/>
    <n v="3.2"/>
    <n v="3.6"/>
    <n v="0"/>
    <d v="2012-08-23T00:00:00"/>
    <d v="2019-08-23T00:00:00"/>
    <x v="20"/>
  </r>
  <r>
    <n v="138"/>
    <x v="2"/>
    <x v="3"/>
    <x v="0"/>
    <n v="0.47917824074074072"/>
    <s v="Shibor_3M"/>
    <n v="3.2"/>
    <n v="3.6"/>
    <n v="0"/>
    <d v="2012-08-23T00:00:00"/>
    <d v="2021-08-23T00:00:00"/>
    <x v="20"/>
  </r>
  <r>
    <n v="139"/>
    <x v="2"/>
    <x v="8"/>
    <x v="0"/>
    <n v="0.47916666666666669"/>
    <s v="Shibor_3M"/>
    <n v="3.55"/>
    <n v="3.65"/>
    <n v="0"/>
    <d v="2012-08-23T00:00:00"/>
    <d v="2013-02-23T00:00:00"/>
    <x v="22"/>
  </r>
  <r>
    <n v="140"/>
    <x v="2"/>
    <x v="9"/>
    <x v="0"/>
    <n v="0.47916666666666669"/>
    <s v="Shibor_3M"/>
    <n v="3.22"/>
    <n v="3.32"/>
    <n v="0"/>
    <d v="2012-08-23T00:00:00"/>
    <d v="2018-08-23T00:00:00"/>
    <x v="25"/>
  </r>
  <r>
    <n v="141"/>
    <x v="2"/>
    <x v="2"/>
    <x v="0"/>
    <n v="0.47917824074074072"/>
    <s v="Shibor_3M"/>
    <n v="3.2"/>
    <n v="3.3"/>
    <n v="0"/>
    <d v="2012-08-23T00:00:00"/>
    <d v="2016-08-23T00:00:00"/>
    <x v="21"/>
  </r>
  <r>
    <n v="142"/>
    <x v="2"/>
    <x v="1"/>
    <x v="0"/>
    <n v="0.47916666666666669"/>
    <s v="Shibor_3M"/>
    <n v="3.35"/>
    <n v="3.45"/>
    <n v="0"/>
    <d v="2012-08-23T00:00:00"/>
    <d v="2013-08-23T00:00:00"/>
    <x v="20"/>
  </r>
  <r>
    <n v="143"/>
    <x v="2"/>
    <x v="7"/>
    <x v="1"/>
    <n v="0.48554398148148148"/>
    <s v="Shibor_3M"/>
    <n v="3.29"/>
    <n v="3.35"/>
    <n v="0"/>
    <d v="2012-08-23T00:00:00"/>
    <d v="2019-08-23T00:00:00"/>
    <x v="24"/>
  </r>
  <r>
    <n v="144"/>
    <x v="2"/>
    <x v="4"/>
    <x v="1"/>
    <n v="0.48554398148148148"/>
    <s v="Shibor_3M"/>
    <n v="3.31"/>
    <n v="3.37"/>
    <n v="0"/>
    <d v="2012-08-23T00:00:00"/>
    <d v="2014-08-23T00:00:00"/>
    <x v="5"/>
  </r>
  <r>
    <n v="145"/>
    <x v="2"/>
    <x v="6"/>
    <x v="1"/>
    <n v="0.48555555555555557"/>
    <s v="Shibor_3M"/>
    <n v="3.3"/>
    <n v="3.36"/>
    <n v="0"/>
    <d v="2012-08-23T00:00:00"/>
    <d v="2022-08-23T00:00:00"/>
    <x v="41"/>
  </r>
  <r>
    <n v="146"/>
    <x v="2"/>
    <x v="5"/>
    <x v="1"/>
    <n v="0.48554398148148148"/>
    <s v="Shibor_3M"/>
    <n v="3.44"/>
    <n v="3.5"/>
    <n v="0"/>
    <d v="2012-08-23T00:00:00"/>
    <d v="2013-05-23T00:00:00"/>
    <x v="4"/>
  </r>
  <r>
    <n v="147"/>
    <x v="2"/>
    <x v="1"/>
    <x v="1"/>
    <n v="0.48554398148148148"/>
    <s v="Shibor_3M"/>
    <n v="3.38"/>
    <n v="3.44"/>
    <n v="0"/>
    <d v="2012-08-23T00:00:00"/>
    <d v="2013-08-23T00:00:00"/>
    <x v="11"/>
  </r>
  <r>
    <n v="148"/>
    <x v="2"/>
    <x v="10"/>
    <x v="0"/>
    <n v="0.47917824074074072"/>
    <s v="Shibor_3M"/>
    <n v="3.2"/>
    <n v="3.6"/>
    <n v="0"/>
    <d v="2012-08-23T00:00:00"/>
    <d v="2020-08-23T00:00:00"/>
    <x v="20"/>
  </r>
  <r>
    <n v="149"/>
    <x v="2"/>
    <x v="6"/>
    <x v="0"/>
    <n v="0.47917824074074072"/>
    <s v="Shibor_3M"/>
    <n v="3.22"/>
    <n v="3.62"/>
    <n v="0"/>
    <d v="2012-08-23T00:00:00"/>
    <d v="2022-08-23T00:00:00"/>
    <x v="2"/>
  </r>
  <r>
    <n v="150"/>
    <x v="2"/>
    <x v="8"/>
    <x v="1"/>
    <n v="0.48553240740740744"/>
    <s v="Shibor_3M"/>
    <n v="3.54"/>
    <n v="3.6"/>
    <n v="0"/>
    <d v="2012-08-23T00:00:00"/>
    <d v="2013-02-23T00:00:00"/>
    <x v="28"/>
  </r>
  <r>
    <n v="151"/>
    <x v="2"/>
    <x v="11"/>
    <x v="0"/>
    <n v="0.47917824074074072"/>
    <s v="Shibor_3M"/>
    <n v="3.24"/>
    <n v="3.34"/>
    <n v="0"/>
    <d v="2012-08-23T00:00:00"/>
    <d v="2017-08-23T00:00:00"/>
    <x v="3"/>
  </r>
  <r>
    <n v="152"/>
    <x v="2"/>
    <x v="6"/>
    <x v="1"/>
    <n v="0.67633101851851851"/>
    <s v="Shibor_3M"/>
    <n v="3.38"/>
    <n v="3.44"/>
    <n v="0"/>
    <d v="2012-08-23T00:00:00"/>
    <d v="2022-08-23T00:00:00"/>
    <x v="11"/>
  </r>
  <r>
    <n v="153"/>
    <x v="2"/>
    <x v="0"/>
    <x v="1"/>
    <n v="0.67633101851851851"/>
    <s v="Shibor_3M"/>
    <n v="3.3"/>
    <n v="3.36"/>
    <n v="0"/>
    <d v="2012-08-23T00:00:00"/>
    <d v="2015-08-23T00:00:00"/>
    <x v="41"/>
  </r>
  <r>
    <n v="154"/>
    <x v="2"/>
    <x v="2"/>
    <x v="1"/>
    <n v="0.67633101851851851"/>
    <s v="Shibor_3M"/>
    <n v="3.28"/>
    <n v="3.34"/>
    <n v="0"/>
    <d v="2012-08-23T00:00:00"/>
    <d v="2016-08-23T00:00:00"/>
    <x v="6"/>
  </r>
  <r>
    <n v="155"/>
    <x v="2"/>
    <x v="11"/>
    <x v="1"/>
    <n v="0.67633101851851851"/>
    <s v="Shibor_3M"/>
    <n v="3.3"/>
    <n v="3.36"/>
    <n v="0"/>
    <d v="2012-08-23T00:00:00"/>
    <d v="2017-08-23T00:00:00"/>
    <x v="41"/>
  </r>
  <r>
    <n v="156"/>
    <x v="2"/>
    <x v="8"/>
    <x v="1"/>
    <n v="0.67631944444444436"/>
    <s v="Shibor_3M"/>
    <n v="3.56"/>
    <n v="3.62"/>
    <n v="0"/>
    <d v="2012-08-23T00:00:00"/>
    <d v="2013-02-23T00:00:00"/>
    <x v="42"/>
  </r>
  <r>
    <n v="157"/>
    <x v="2"/>
    <x v="4"/>
    <x v="1"/>
    <n v="0.67631944444444436"/>
    <s v="Shibor_3M"/>
    <n v="3.34"/>
    <n v="3.4"/>
    <n v="0"/>
    <d v="2012-08-23T00:00:00"/>
    <d v="2014-08-23T00:00:00"/>
    <x v="19"/>
  </r>
  <r>
    <n v="158"/>
    <x v="2"/>
    <x v="1"/>
    <x v="1"/>
    <n v="0.67631944444444436"/>
    <s v="Shibor_3M"/>
    <n v="3.42"/>
    <n v="3.48"/>
    <n v="0"/>
    <d v="2012-08-23T00:00:00"/>
    <d v="2013-08-23T00:00:00"/>
    <x v="43"/>
  </r>
  <r>
    <n v="159"/>
    <x v="2"/>
    <x v="5"/>
    <x v="1"/>
    <n v="0.67631944444444436"/>
    <s v="Shibor_3M"/>
    <n v="3.48"/>
    <n v="3.54"/>
    <n v="0"/>
    <d v="2012-08-23T00:00:00"/>
    <d v="2013-05-23T00:00:00"/>
    <x v="44"/>
  </r>
  <r>
    <n v="160"/>
    <x v="2"/>
    <x v="7"/>
    <x v="1"/>
    <n v="0.67631944444444436"/>
    <s v="Shibor_3M"/>
    <n v="3.33"/>
    <n v="3.39"/>
    <n v="0"/>
    <d v="2012-08-23T00:00:00"/>
    <d v="2019-08-23T00:00:00"/>
    <x v="45"/>
  </r>
  <r>
    <n v="161"/>
    <x v="2"/>
    <x v="11"/>
    <x v="2"/>
    <n v="0.67672453703703705"/>
    <s v="Shibor_3M"/>
    <n v="3.3"/>
    <n v="3.4"/>
    <n v="0"/>
    <d v="2012-08-23T00:00:00"/>
    <d v="2017-08-23T00:00:00"/>
    <x v="1"/>
  </r>
  <r>
    <n v="162"/>
    <x v="2"/>
    <x v="5"/>
    <x v="2"/>
    <n v="0.67671296296296291"/>
    <s v="Shibor_3M"/>
    <n v="3.45"/>
    <n v="3.55"/>
    <n v="0"/>
    <d v="2012-08-23T00:00:00"/>
    <d v="2013-05-23T00:00:00"/>
    <x v="13"/>
  </r>
  <r>
    <n v="163"/>
    <x v="2"/>
    <x v="0"/>
    <x v="2"/>
    <n v="0.67672453703703705"/>
    <s v="Shibor_3M"/>
    <n v="3.3"/>
    <n v="3.4"/>
    <n v="0"/>
    <d v="2012-08-23T00:00:00"/>
    <d v="2015-08-23T00:00:00"/>
    <x v="1"/>
  </r>
  <r>
    <n v="164"/>
    <x v="2"/>
    <x v="2"/>
    <x v="2"/>
    <n v="0.67672453703703705"/>
    <s v="Shibor_3M"/>
    <n v="3.3"/>
    <n v="3.4"/>
    <n v="0"/>
    <d v="2012-08-23T00:00:00"/>
    <d v="2016-08-23T00:00:00"/>
    <x v="1"/>
  </r>
  <r>
    <n v="165"/>
    <x v="2"/>
    <x v="7"/>
    <x v="2"/>
    <n v="0.67668981481481483"/>
    <s v="Shibor_3M"/>
    <n v="3.3"/>
    <n v="3.4"/>
    <n v="0"/>
    <d v="2012-08-23T00:00:00"/>
    <d v="2019-08-23T00:00:00"/>
    <x v="1"/>
  </r>
  <r>
    <n v="166"/>
    <x v="2"/>
    <x v="1"/>
    <x v="2"/>
    <n v="0.67668981481481483"/>
    <s v="Shibor_3M"/>
    <n v="3.38"/>
    <n v="3.48"/>
    <n v="0"/>
    <d v="2012-08-23T00:00:00"/>
    <d v="2013-08-23T00:00:00"/>
    <x v="12"/>
  </r>
  <r>
    <n v="167"/>
    <x v="2"/>
    <x v="8"/>
    <x v="2"/>
    <n v="0.67666666666666664"/>
    <s v="Shibor_3M"/>
    <n v="3.5"/>
    <n v="3.6"/>
    <n v="0"/>
    <d v="2012-08-23T00:00:00"/>
    <d v="2013-02-23T00:00:00"/>
    <x v="7"/>
  </r>
  <r>
    <n v="168"/>
    <x v="2"/>
    <x v="4"/>
    <x v="2"/>
    <n v="0.67668981481481483"/>
    <s v="Shibor_3M"/>
    <n v="3.3"/>
    <n v="3.4"/>
    <n v="0"/>
    <d v="2012-08-23T00:00:00"/>
    <d v="2014-08-23T00:00:00"/>
    <x v="1"/>
  </r>
  <r>
    <n v="169"/>
    <x v="2"/>
    <x v="6"/>
    <x v="2"/>
    <n v="0.67668981481481483"/>
    <s v="Shibor_3M"/>
    <n v="3.3"/>
    <n v="3.4"/>
    <n v="0"/>
    <d v="2012-08-23T00:00:00"/>
    <d v="2022-08-23T00:00:00"/>
    <x v="1"/>
  </r>
  <r>
    <n v="170"/>
    <x v="2"/>
    <x v="4"/>
    <x v="3"/>
    <n v="0.67590277777777785"/>
    <s v="Shibor_3M"/>
    <n v="3.33"/>
    <n v="3.43"/>
    <n v="0"/>
    <d v="2012-08-23T00:00:00"/>
    <d v="2014-08-23T00:00:00"/>
    <x v="17"/>
  </r>
  <r>
    <n v="171"/>
    <x v="2"/>
    <x v="3"/>
    <x v="0"/>
    <n v="0.66758101851851848"/>
    <s v="Shibor_3M"/>
    <n v="3.27"/>
    <n v="3.67"/>
    <n v="0"/>
    <d v="2012-08-23T00:00:00"/>
    <d v="2021-08-23T00:00:00"/>
    <x v="4"/>
  </r>
  <r>
    <n v="172"/>
    <x v="2"/>
    <x v="2"/>
    <x v="0"/>
    <n v="0.66758101851851848"/>
    <s v="Shibor_3M"/>
    <n v="3.25"/>
    <n v="3.35"/>
    <n v="0"/>
    <d v="2012-08-23T00:00:00"/>
    <d v="2016-08-23T00:00:00"/>
    <x v="23"/>
  </r>
  <r>
    <n v="173"/>
    <x v="2"/>
    <x v="1"/>
    <x v="0"/>
    <n v="0.66758101851851848"/>
    <s v="Shibor_3M"/>
    <n v="3.4"/>
    <n v="3.5"/>
    <n v="0"/>
    <d v="2012-08-23T00:00:00"/>
    <d v="2013-08-23T00:00:00"/>
    <x v="43"/>
  </r>
  <r>
    <n v="174"/>
    <x v="2"/>
    <x v="0"/>
    <x v="0"/>
    <n v="0.66758101851851848"/>
    <s v="Shibor_3M"/>
    <n v="3.25"/>
    <n v="3.35"/>
    <n v="0"/>
    <d v="2012-08-23T00:00:00"/>
    <d v="2015-08-23T00:00:00"/>
    <x v="23"/>
  </r>
  <r>
    <n v="175"/>
    <x v="2"/>
    <x v="11"/>
    <x v="0"/>
    <n v="0.66758101851851848"/>
    <s v="Shibor_3M"/>
    <n v="3.28"/>
    <n v="3.38"/>
    <n v="0"/>
    <d v="2012-08-23T00:00:00"/>
    <d v="2017-08-23T00:00:00"/>
    <x v="41"/>
  </r>
  <r>
    <n v="176"/>
    <x v="2"/>
    <x v="8"/>
    <x v="0"/>
    <n v="0.66756944444444455"/>
    <s v="Shibor_3M"/>
    <n v="3.55"/>
    <n v="3.65"/>
    <n v="0"/>
    <d v="2012-08-23T00:00:00"/>
    <d v="2013-02-23T00:00:00"/>
    <x v="22"/>
  </r>
  <r>
    <n v="177"/>
    <x v="2"/>
    <x v="9"/>
    <x v="0"/>
    <n v="0.66756944444444455"/>
    <s v="Shibor_3M"/>
    <n v="3.26"/>
    <n v="3.36"/>
    <n v="0"/>
    <d v="2012-08-23T00:00:00"/>
    <d v="2018-08-23T00:00:00"/>
    <x v="6"/>
  </r>
  <r>
    <n v="178"/>
    <x v="2"/>
    <x v="10"/>
    <x v="0"/>
    <n v="0.66758101851851848"/>
    <s v="Shibor_3M"/>
    <n v="3.26"/>
    <n v="3.66"/>
    <n v="0"/>
    <d v="2012-08-23T00:00:00"/>
    <d v="2020-08-23T00:00:00"/>
    <x v="46"/>
  </r>
  <r>
    <n v="179"/>
    <x v="2"/>
    <x v="6"/>
    <x v="0"/>
    <n v="0.66758101851851848"/>
    <s v="Shibor_3M"/>
    <n v="3.28"/>
    <n v="3.68"/>
    <n v="0"/>
    <d v="2012-08-23T00:00:00"/>
    <d v="2022-08-23T00:00:00"/>
    <x v="18"/>
  </r>
  <r>
    <n v="180"/>
    <x v="2"/>
    <x v="1"/>
    <x v="3"/>
    <n v="0.6758912037037037"/>
    <s v="Shibor_3M"/>
    <n v="3.43"/>
    <n v="3.5"/>
    <n v="0"/>
    <d v="2012-08-23T00:00:00"/>
    <d v="2013-08-23T00:00:00"/>
    <x v="47"/>
  </r>
  <r>
    <n v="181"/>
    <x v="2"/>
    <x v="2"/>
    <x v="3"/>
    <n v="0.6758912037037037"/>
    <s v="Shibor_3M"/>
    <n v="3.26"/>
    <n v="3.36"/>
    <n v="0"/>
    <d v="2012-08-23T00:00:00"/>
    <d v="2016-08-23T00:00:00"/>
    <x v="6"/>
  </r>
  <r>
    <n v="182"/>
    <x v="2"/>
    <x v="0"/>
    <x v="3"/>
    <n v="0.67590277777777785"/>
    <s v="Shibor_3M"/>
    <n v="3.26"/>
    <n v="3.36"/>
    <n v="0"/>
    <d v="2012-08-23T00:00:00"/>
    <d v="2015-08-23T00:00:00"/>
    <x v="6"/>
  </r>
  <r>
    <n v="183"/>
    <x v="2"/>
    <x v="8"/>
    <x v="3"/>
    <n v="0.67590277777777785"/>
    <s v="Shibor_3M"/>
    <n v="3.55"/>
    <n v="3.65"/>
    <n v="0"/>
    <d v="2012-08-23T00:00:00"/>
    <d v="2013-02-23T00:00:00"/>
    <x v="22"/>
  </r>
  <r>
    <n v="184"/>
    <x v="2"/>
    <x v="5"/>
    <x v="3"/>
    <n v="0.6758912037037037"/>
    <s v="Shibor_3M"/>
    <n v="3.48"/>
    <n v="3.55"/>
    <n v="0"/>
    <d v="2012-08-23T00:00:00"/>
    <d v="2013-05-23T00:00:00"/>
    <x v="48"/>
  </r>
  <r>
    <n v="185"/>
    <x v="2"/>
    <x v="7"/>
    <x v="0"/>
    <n v="0.66758101851851848"/>
    <s v="Shibor_3M"/>
    <n v="3.25"/>
    <n v="3.65"/>
    <n v="0"/>
    <d v="2012-08-23T00:00:00"/>
    <d v="2019-08-23T00:00:00"/>
    <x v="43"/>
  </r>
  <r>
    <n v="186"/>
    <x v="2"/>
    <x v="4"/>
    <x v="0"/>
    <n v="0.66758101851851848"/>
    <s v="Shibor_3M"/>
    <n v="3.3"/>
    <n v="3.4"/>
    <n v="0"/>
    <d v="2012-08-23T00:00:00"/>
    <d v="2014-08-23T00:00:00"/>
    <x v="1"/>
  </r>
  <r>
    <n v="187"/>
    <x v="2"/>
    <x v="11"/>
    <x v="3"/>
    <n v="0.6758912037037037"/>
    <s v="Shibor_3M"/>
    <n v="3.31"/>
    <n v="3.37"/>
    <n v="0"/>
    <d v="2012-08-23T00:00:00"/>
    <d v="2017-08-23T00:00:00"/>
    <x v="5"/>
  </r>
  <r>
    <n v="188"/>
    <x v="2"/>
    <x v="5"/>
    <x v="0"/>
    <n v="0.66758101851851848"/>
    <s v="Shibor_3M"/>
    <n v="3.45"/>
    <n v="3.55"/>
    <n v="0"/>
    <d v="2012-08-23T00:00:00"/>
    <d v="2013-05-23T00:00:00"/>
    <x v="13"/>
  </r>
  <r>
    <n v="189"/>
    <x v="3"/>
    <x v="4"/>
    <x v="2"/>
    <n v="0.48995370370370367"/>
    <s v="Shibor_3M"/>
    <n v="3.13"/>
    <n v="3.23"/>
    <n v="0"/>
    <d v="2012-08-22T00:00:00"/>
    <d v="2014-08-22T00:00:00"/>
    <x v="49"/>
  </r>
  <r>
    <n v="190"/>
    <x v="3"/>
    <x v="6"/>
    <x v="2"/>
    <n v="0.48995370370370367"/>
    <s v="Shibor_3M"/>
    <n v="3.06"/>
    <n v="3.16"/>
    <n v="0"/>
    <d v="2012-08-22T00:00:00"/>
    <d v="2022-08-22T00:00:00"/>
    <x v="50"/>
  </r>
  <r>
    <n v="191"/>
    <x v="3"/>
    <x v="2"/>
    <x v="2"/>
    <n v="0.48997685185185186"/>
    <s v="Shibor_3M"/>
    <n v="3.06"/>
    <n v="3.16"/>
    <n v="0"/>
    <d v="2012-08-22T00:00:00"/>
    <d v="2016-08-22T00:00:00"/>
    <x v="50"/>
  </r>
  <r>
    <n v="192"/>
    <x v="3"/>
    <x v="7"/>
    <x v="2"/>
    <n v="0.48997685185185186"/>
    <s v="Shibor_3M"/>
    <n v="3.06"/>
    <n v="3.16"/>
    <n v="0"/>
    <d v="2012-08-22T00:00:00"/>
    <d v="2019-08-22T00:00:00"/>
    <x v="50"/>
  </r>
  <r>
    <n v="193"/>
    <x v="3"/>
    <x v="0"/>
    <x v="2"/>
    <n v="0.48997685185185186"/>
    <s v="Shibor_3M"/>
    <n v="3.1"/>
    <n v="3.2"/>
    <n v="0"/>
    <d v="2012-08-22T00:00:00"/>
    <d v="2015-08-22T00:00:00"/>
    <x v="51"/>
  </r>
  <r>
    <n v="194"/>
    <x v="3"/>
    <x v="1"/>
    <x v="2"/>
    <n v="0.48995370370370367"/>
    <s v="Shibor_3M"/>
    <n v="3.25"/>
    <n v="3.35"/>
    <n v="0"/>
    <d v="2012-08-22T00:00:00"/>
    <d v="2013-08-22T00:00:00"/>
    <x v="23"/>
  </r>
  <r>
    <n v="195"/>
    <x v="3"/>
    <x v="11"/>
    <x v="3"/>
    <n v="0.4872569444444444"/>
    <s v="Shibor_3M"/>
    <n v="3.13"/>
    <n v="3.18"/>
    <n v="0"/>
    <d v="2012-08-22T00:00:00"/>
    <d v="2017-08-22T00:00:00"/>
    <x v="52"/>
  </r>
  <r>
    <n v="196"/>
    <x v="3"/>
    <x v="1"/>
    <x v="3"/>
    <n v="0.4872569444444444"/>
    <s v="Shibor_3M"/>
    <n v="3.3"/>
    <n v="3.35"/>
    <n v="0"/>
    <d v="2012-08-22T00:00:00"/>
    <d v="2013-08-22T00:00:00"/>
    <x v="39"/>
  </r>
  <r>
    <n v="197"/>
    <x v="3"/>
    <x v="8"/>
    <x v="3"/>
    <n v="0.48726851851851855"/>
    <s v="Shibor_3M"/>
    <n v="3.44"/>
    <n v="3.54"/>
    <n v="0"/>
    <d v="2012-08-22T00:00:00"/>
    <d v="2013-02-22T00:00:00"/>
    <x v="38"/>
  </r>
  <r>
    <n v="198"/>
    <x v="3"/>
    <x v="8"/>
    <x v="2"/>
    <n v="0.48995370370370367"/>
    <s v="Shibor_3M"/>
    <n v="3.48"/>
    <n v="3.55"/>
    <n v="0"/>
    <d v="2012-08-22T00:00:00"/>
    <d v="2013-02-22T00:00:00"/>
    <x v="48"/>
  </r>
  <r>
    <n v="199"/>
    <x v="3"/>
    <x v="0"/>
    <x v="3"/>
    <n v="0.48726851851851855"/>
    <s v="Shibor_3M"/>
    <n v="3.11"/>
    <n v="3.16"/>
    <n v="0"/>
    <d v="2012-08-22T00:00:00"/>
    <d v="2015-08-22T00:00:00"/>
    <x v="53"/>
  </r>
  <r>
    <n v="200"/>
    <x v="3"/>
    <x v="5"/>
    <x v="2"/>
    <n v="0.48997685185185186"/>
    <s v="Shibor_3M"/>
    <n v="3.35"/>
    <n v="3.42"/>
    <n v="0"/>
    <d v="2012-08-22T00:00:00"/>
    <d v="2013-05-22T00:00:00"/>
    <x v="54"/>
  </r>
  <r>
    <n v="201"/>
    <x v="3"/>
    <x v="4"/>
    <x v="2"/>
    <n v="0.49509259259259258"/>
    <s v="Shibor_3M"/>
    <n v="3.13"/>
    <n v="3.23"/>
    <n v="0"/>
    <d v="2012-08-22T00:00:00"/>
    <d v="2014-08-22T00:00:00"/>
    <x v="49"/>
  </r>
  <r>
    <n v="202"/>
    <x v="3"/>
    <x v="6"/>
    <x v="2"/>
    <n v="0.49509259259259258"/>
    <s v="Shibor_3M"/>
    <n v="3.06"/>
    <n v="3.16"/>
    <n v="0"/>
    <d v="2012-08-22T00:00:00"/>
    <d v="2022-08-22T00:00:00"/>
    <x v="50"/>
  </r>
  <r>
    <n v="203"/>
    <x v="3"/>
    <x v="7"/>
    <x v="2"/>
    <n v="0.49509259259259258"/>
    <s v="Shibor_3M"/>
    <n v="3.06"/>
    <n v="3.16"/>
    <n v="0"/>
    <d v="2012-08-22T00:00:00"/>
    <d v="2019-08-22T00:00:00"/>
    <x v="50"/>
  </r>
  <r>
    <n v="204"/>
    <x v="3"/>
    <x v="9"/>
    <x v="0"/>
    <n v="0.66686342592592596"/>
    <s v="Shibor_3M"/>
    <n v="3.17"/>
    <n v="3.27"/>
    <n v="0"/>
    <d v="2012-08-22T00:00:00"/>
    <d v="2018-08-22T00:00:00"/>
    <x v="0"/>
  </r>
  <r>
    <n v="205"/>
    <x v="3"/>
    <x v="5"/>
    <x v="2"/>
    <n v="0.49509259259259258"/>
    <s v="Shibor_3M"/>
    <n v="3.38"/>
    <n v="3.48"/>
    <n v="0"/>
    <d v="2012-08-22T00:00:00"/>
    <d v="2013-05-22T00:00:00"/>
    <x v="12"/>
  </r>
  <r>
    <n v="206"/>
    <x v="3"/>
    <x v="1"/>
    <x v="2"/>
    <n v="0.49509259259259258"/>
    <s v="Shibor_3M"/>
    <n v="3.3"/>
    <n v="3.4"/>
    <n v="0"/>
    <d v="2012-08-22T00:00:00"/>
    <d v="2013-08-22T00:00:00"/>
    <x v="1"/>
  </r>
  <r>
    <n v="207"/>
    <x v="3"/>
    <x v="8"/>
    <x v="2"/>
    <n v="0.49508101851851855"/>
    <s v="Shibor_3M"/>
    <n v="3.48"/>
    <n v="3.55"/>
    <n v="0"/>
    <d v="2012-08-22T00:00:00"/>
    <d v="2013-02-22T00:00:00"/>
    <x v="48"/>
  </r>
  <r>
    <n v="208"/>
    <x v="3"/>
    <x v="11"/>
    <x v="2"/>
    <n v="0.48997685185185186"/>
    <s v="Shibor_3M"/>
    <n v="3.06"/>
    <n v="3.16"/>
    <n v="0"/>
    <d v="2012-08-22T00:00:00"/>
    <d v="2017-08-22T00:00:00"/>
    <x v="50"/>
  </r>
  <r>
    <n v="209"/>
    <x v="3"/>
    <x v="11"/>
    <x v="2"/>
    <n v="0.49509259259259258"/>
    <s v="Shibor_3M"/>
    <n v="3.1"/>
    <n v="3.2"/>
    <n v="0"/>
    <d v="2012-08-22T00:00:00"/>
    <d v="2017-08-22T00:00:00"/>
    <x v="51"/>
  </r>
  <r>
    <n v="210"/>
    <x v="3"/>
    <x v="0"/>
    <x v="2"/>
    <n v="0.49509259259259258"/>
    <s v="Shibor_3M"/>
    <n v="3.1"/>
    <n v="3.2"/>
    <n v="0"/>
    <d v="2012-08-22T00:00:00"/>
    <d v="2015-08-22T00:00:00"/>
    <x v="51"/>
  </r>
  <r>
    <n v="211"/>
    <x v="3"/>
    <x v="2"/>
    <x v="2"/>
    <n v="0.49509259259259258"/>
    <s v="Shibor_3M"/>
    <n v="3.1"/>
    <n v="3.2"/>
    <n v="0"/>
    <d v="2012-08-22T00:00:00"/>
    <d v="2016-08-22T00:00:00"/>
    <x v="51"/>
  </r>
  <r>
    <n v="212"/>
    <x v="3"/>
    <x v="4"/>
    <x v="3"/>
    <n v="0.4872569444444444"/>
    <s v="Shibor_3M"/>
    <n v="3.14"/>
    <n v="3.24"/>
    <n v="0"/>
    <d v="2012-08-22T00:00:00"/>
    <d v="2014-08-22T00:00:00"/>
    <x v="55"/>
  </r>
  <r>
    <n v="213"/>
    <x v="3"/>
    <x v="10"/>
    <x v="0"/>
    <n v="0.47957175925925927"/>
    <s v="Shibor_3M"/>
    <n v="3.1"/>
    <n v="3.5"/>
    <n v="0"/>
    <d v="2012-08-22T00:00:00"/>
    <d v="2020-08-22T00:00:00"/>
    <x v="23"/>
  </r>
  <r>
    <n v="214"/>
    <x v="3"/>
    <x v="6"/>
    <x v="0"/>
    <n v="0.47957175925925927"/>
    <s v="Shibor_3M"/>
    <n v="3.12"/>
    <n v="3.52"/>
    <n v="0"/>
    <d v="2012-08-22T00:00:00"/>
    <d v="2022-08-22T00:00:00"/>
    <x v="24"/>
  </r>
  <r>
    <n v="215"/>
    <x v="3"/>
    <x v="11"/>
    <x v="0"/>
    <n v="0.47957175925925927"/>
    <s v="Shibor_3M"/>
    <n v="3.14"/>
    <n v="3.24"/>
    <n v="0"/>
    <d v="2012-08-22T00:00:00"/>
    <d v="2017-08-22T00:00:00"/>
    <x v="55"/>
  </r>
  <r>
    <n v="216"/>
    <x v="3"/>
    <x v="3"/>
    <x v="0"/>
    <n v="0.47957175925925927"/>
    <s v="Shibor_3M"/>
    <n v="3.1"/>
    <n v="3.5"/>
    <n v="0"/>
    <d v="2012-08-22T00:00:00"/>
    <d v="2021-08-22T00:00:00"/>
    <x v="23"/>
  </r>
  <r>
    <n v="217"/>
    <x v="3"/>
    <x v="2"/>
    <x v="0"/>
    <n v="0.47957175925925927"/>
    <s v="Shibor_3M"/>
    <n v="3.1"/>
    <n v="3.2"/>
    <n v="0"/>
    <d v="2012-08-22T00:00:00"/>
    <d v="2016-08-22T00:00:00"/>
    <x v="51"/>
  </r>
  <r>
    <n v="218"/>
    <x v="3"/>
    <x v="5"/>
    <x v="0"/>
    <n v="0.47957175925925927"/>
    <s v="Shibor_3M"/>
    <n v="3.35"/>
    <n v="3.45"/>
    <n v="0"/>
    <d v="2012-08-22T00:00:00"/>
    <d v="2013-05-22T00:00:00"/>
    <x v="20"/>
  </r>
  <r>
    <n v="219"/>
    <x v="3"/>
    <x v="8"/>
    <x v="0"/>
    <n v="0.47956018518518517"/>
    <s v="Shibor_3M"/>
    <n v="3.45"/>
    <n v="3.55"/>
    <n v="0"/>
    <d v="2012-08-22T00:00:00"/>
    <d v="2013-02-22T00:00:00"/>
    <x v="13"/>
  </r>
  <r>
    <n v="220"/>
    <x v="3"/>
    <x v="9"/>
    <x v="0"/>
    <n v="0.47956018518518517"/>
    <s v="Shibor_3M"/>
    <n v="3.12"/>
    <n v="3.22"/>
    <n v="0"/>
    <d v="2012-08-22T00:00:00"/>
    <d v="2018-08-22T00:00:00"/>
    <x v="56"/>
  </r>
  <r>
    <n v="221"/>
    <x v="3"/>
    <x v="1"/>
    <x v="0"/>
    <n v="0.47956018518518517"/>
    <s v="Shibor_3M"/>
    <n v="3.25"/>
    <n v="3.35"/>
    <n v="0"/>
    <d v="2012-08-22T00:00:00"/>
    <d v="2013-08-22T00:00:00"/>
    <x v="23"/>
  </r>
  <r>
    <n v="222"/>
    <x v="3"/>
    <x v="7"/>
    <x v="0"/>
    <n v="0.47956018518518517"/>
    <s v="Shibor_3M"/>
    <n v="3.1"/>
    <n v="3.5"/>
    <n v="0"/>
    <d v="2012-08-22T00:00:00"/>
    <d v="2019-08-22T00:00:00"/>
    <x v="23"/>
  </r>
  <r>
    <n v="223"/>
    <x v="3"/>
    <x v="4"/>
    <x v="0"/>
    <n v="0.47956018518518517"/>
    <s v="Shibor_3M"/>
    <n v="3.15"/>
    <n v="3.25"/>
    <n v="0"/>
    <d v="2012-08-22T00:00:00"/>
    <d v="2014-08-22T00:00:00"/>
    <x v="57"/>
  </r>
  <r>
    <n v="224"/>
    <x v="3"/>
    <x v="0"/>
    <x v="0"/>
    <n v="0.47957175925925927"/>
    <s v="Shibor_3M"/>
    <n v="3.1"/>
    <n v="3.2"/>
    <n v="0"/>
    <d v="2012-08-22T00:00:00"/>
    <d v="2015-08-22T00:00:00"/>
    <x v="51"/>
  </r>
  <r>
    <n v="225"/>
    <x v="3"/>
    <x v="2"/>
    <x v="1"/>
    <n v="0.48593749999999997"/>
    <s v="Shibor_3M"/>
    <n v="3.11"/>
    <n v="3.17"/>
    <n v="0"/>
    <d v="2012-08-22T00:00:00"/>
    <d v="2016-08-22T00:00:00"/>
    <x v="58"/>
  </r>
  <r>
    <n v="226"/>
    <x v="3"/>
    <x v="11"/>
    <x v="1"/>
    <n v="0.48593749999999997"/>
    <s v="Shibor_3M"/>
    <n v="3.11"/>
    <n v="3.17"/>
    <n v="0"/>
    <d v="2012-08-22T00:00:00"/>
    <d v="2017-08-22T00:00:00"/>
    <x v="58"/>
  </r>
  <r>
    <n v="227"/>
    <x v="3"/>
    <x v="0"/>
    <x v="1"/>
    <n v="0.48593749999999997"/>
    <s v="Shibor_3M"/>
    <n v="3.11"/>
    <n v="3.17"/>
    <n v="0"/>
    <d v="2012-08-22T00:00:00"/>
    <d v="2015-08-22T00:00:00"/>
    <x v="58"/>
  </r>
  <r>
    <n v="228"/>
    <x v="3"/>
    <x v="2"/>
    <x v="3"/>
    <n v="0.4872569444444444"/>
    <s v="Shibor_3M"/>
    <n v="3.1"/>
    <n v="3.2"/>
    <n v="0"/>
    <d v="2012-08-22T00:00:00"/>
    <d v="2016-08-22T00:00:00"/>
    <x v="51"/>
  </r>
  <r>
    <n v="229"/>
    <x v="3"/>
    <x v="5"/>
    <x v="3"/>
    <n v="0.4872569444444444"/>
    <s v="Shibor_3M"/>
    <n v="3.34"/>
    <n v="3.44"/>
    <n v="0"/>
    <d v="2012-08-22T00:00:00"/>
    <d v="2013-05-22T00:00:00"/>
    <x v="59"/>
  </r>
  <r>
    <n v="230"/>
    <x v="3"/>
    <x v="6"/>
    <x v="1"/>
    <n v="0.48593749999999997"/>
    <s v="Shibor_3M"/>
    <n v="3.22"/>
    <n v="3.28"/>
    <n v="0"/>
    <d v="2012-08-22T00:00:00"/>
    <d v="2022-08-22T00:00:00"/>
    <x v="21"/>
  </r>
  <r>
    <n v="231"/>
    <x v="3"/>
    <x v="4"/>
    <x v="1"/>
    <n v="0.48592592592592593"/>
    <s v="Shibor_3M"/>
    <n v="3.16"/>
    <n v="3.22"/>
    <n v="0"/>
    <d v="2012-08-22T00:00:00"/>
    <d v="2014-08-22T00:00:00"/>
    <x v="55"/>
  </r>
  <r>
    <n v="232"/>
    <x v="3"/>
    <x v="1"/>
    <x v="1"/>
    <n v="0.48592592592592593"/>
    <s v="Shibor_3M"/>
    <n v="3.27"/>
    <n v="3.33"/>
    <n v="0"/>
    <d v="2012-08-22T00:00:00"/>
    <d v="2013-08-22T00:00:00"/>
    <x v="23"/>
  </r>
  <r>
    <n v="233"/>
    <x v="3"/>
    <x v="7"/>
    <x v="1"/>
    <n v="0.48592592592592593"/>
    <s v="Shibor_3M"/>
    <n v="3.17"/>
    <n v="3.23"/>
    <n v="0"/>
    <d v="2012-08-22T00:00:00"/>
    <d v="2019-08-22T00:00:00"/>
    <x v="57"/>
  </r>
  <r>
    <n v="234"/>
    <x v="3"/>
    <x v="8"/>
    <x v="1"/>
    <n v="0.48592592592592593"/>
    <s v="Shibor_3M"/>
    <n v="3.47"/>
    <n v="3.53"/>
    <n v="0"/>
    <d v="2012-08-22T00:00:00"/>
    <d v="2013-02-22T00:00:00"/>
    <x v="13"/>
  </r>
  <r>
    <n v="235"/>
    <x v="3"/>
    <x v="5"/>
    <x v="1"/>
    <n v="0.48592592592592593"/>
    <s v="Shibor_3M"/>
    <n v="3.37"/>
    <n v="3.43"/>
    <n v="0"/>
    <d v="2012-08-22T00:00:00"/>
    <d v="2013-05-22T00:00:00"/>
    <x v="20"/>
  </r>
  <r>
    <n v="236"/>
    <x v="3"/>
    <x v="8"/>
    <x v="0"/>
    <n v="0.66686342592592596"/>
    <s v="Shibor_3M"/>
    <n v="3.5"/>
    <n v="3.6"/>
    <n v="0"/>
    <d v="2012-08-22T00:00:00"/>
    <d v="2013-02-22T00:00:00"/>
    <x v="7"/>
  </r>
  <r>
    <n v="237"/>
    <x v="3"/>
    <x v="9"/>
    <x v="2"/>
    <n v="0.68276620370370367"/>
    <s v="Shibor_3M"/>
    <n v="3"/>
    <n v="3.3"/>
    <n v="0"/>
    <d v="2012-08-22T00:00:00"/>
    <d v="2018-08-22T00:00:00"/>
    <x v="27"/>
  </r>
  <r>
    <n v="238"/>
    <x v="3"/>
    <x v="5"/>
    <x v="2"/>
    <n v="0.68276620370370367"/>
    <s v="Shibor_3M"/>
    <n v="3.6"/>
    <n v="3.7"/>
    <n v="0"/>
    <d v="2012-08-22T00:00:00"/>
    <d v="2013-05-22T00:00:00"/>
    <x v="60"/>
  </r>
  <r>
    <n v="239"/>
    <x v="3"/>
    <x v="8"/>
    <x v="2"/>
    <n v="0.68276620370370367"/>
    <s v="Shibor_3M"/>
    <n v="3.3"/>
    <n v="3.5"/>
    <n v="0"/>
    <d v="2012-08-22T00:00:00"/>
    <d v="2013-02-22T00:00:00"/>
    <x v="32"/>
  </r>
  <r>
    <n v="240"/>
    <x v="3"/>
    <x v="10"/>
    <x v="2"/>
    <n v="0.68276620370370367"/>
    <s v="Shibor_3M"/>
    <n v="3"/>
    <n v="3.3"/>
    <n v="0"/>
    <d v="2012-08-22T00:00:00"/>
    <d v="2020-08-22T00:00:00"/>
    <x v="27"/>
  </r>
  <r>
    <n v="241"/>
    <x v="3"/>
    <x v="1"/>
    <x v="2"/>
    <n v="0.68276620370370367"/>
    <s v="Shibor_3M"/>
    <n v="3.3"/>
    <n v="3.4"/>
    <n v="0"/>
    <d v="2012-08-22T00:00:00"/>
    <d v="2013-08-22T00:00:00"/>
    <x v="1"/>
  </r>
  <r>
    <n v="242"/>
    <x v="3"/>
    <x v="7"/>
    <x v="2"/>
    <n v="0.68276620370370367"/>
    <s v="Shibor_3M"/>
    <n v="3"/>
    <n v="3.3"/>
    <n v="0"/>
    <d v="2012-08-22T00:00:00"/>
    <d v="2019-08-22T00:00:00"/>
    <x v="27"/>
  </r>
  <r>
    <n v="243"/>
    <x v="3"/>
    <x v="0"/>
    <x v="1"/>
    <n v="0.67800925925925926"/>
    <s v="Shibor_3M"/>
    <n v="3.16"/>
    <n v="3.22"/>
    <n v="0"/>
    <d v="2012-08-22T00:00:00"/>
    <d v="2015-08-22T00:00:00"/>
    <x v="55"/>
  </r>
  <r>
    <n v="244"/>
    <x v="3"/>
    <x v="2"/>
    <x v="1"/>
    <n v="0.67800925925925926"/>
    <s v="Shibor_3M"/>
    <n v="3.15"/>
    <n v="3.21"/>
    <n v="0"/>
    <d v="2012-08-22T00:00:00"/>
    <d v="2016-08-22T00:00:00"/>
    <x v="49"/>
  </r>
  <r>
    <n v="245"/>
    <x v="3"/>
    <x v="6"/>
    <x v="2"/>
    <n v="0.68276620370370367"/>
    <s v="Shibor_3M"/>
    <n v="3"/>
    <n v="3.3"/>
    <n v="0"/>
    <d v="2012-08-22T00:00:00"/>
    <d v="2022-08-22T00:00:00"/>
    <x v="27"/>
  </r>
  <r>
    <n v="246"/>
    <x v="3"/>
    <x v="3"/>
    <x v="2"/>
    <n v="0.68276620370370367"/>
    <s v="Shibor_3M"/>
    <n v="3"/>
    <n v="3.3"/>
    <n v="0"/>
    <d v="2012-08-22T00:00:00"/>
    <d v="2021-08-22T00:00:00"/>
    <x v="27"/>
  </r>
  <r>
    <n v="247"/>
    <x v="3"/>
    <x v="4"/>
    <x v="2"/>
    <n v="0.68276620370370367"/>
    <s v="Shibor_3M"/>
    <n v="3.2"/>
    <n v="3.3"/>
    <n v="0"/>
    <d v="2012-08-22T00:00:00"/>
    <d v="2014-08-22T00:00:00"/>
    <x v="21"/>
  </r>
  <r>
    <n v="248"/>
    <x v="3"/>
    <x v="11"/>
    <x v="2"/>
    <n v="0.68277777777777782"/>
    <s v="Shibor_3M"/>
    <n v="3.2"/>
    <n v="3.3"/>
    <n v="0"/>
    <d v="2012-08-22T00:00:00"/>
    <d v="2017-08-22T00:00:00"/>
    <x v="21"/>
  </r>
  <r>
    <n v="249"/>
    <x v="3"/>
    <x v="6"/>
    <x v="2"/>
    <n v="0.68650462962962966"/>
    <s v="Shibor_3M"/>
    <n v="3.06"/>
    <n v="3.16"/>
    <n v="0"/>
    <d v="2012-08-22T00:00:00"/>
    <d v="2022-08-22T00:00:00"/>
    <x v="50"/>
  </r>
  <r>
    <n v="250"/>
    <x v="3"/>
    <x v="1"/>
    <x v="2"/>
    <n v="0.68650462962962966"/>
    <s v="Shibor_3M"/>
    <n v="3.3"/>
    <n v="3.4"/>
    <n v="0"/>
    <d v="2012-08-22T00:00:00"/>
    <d v="2013-08-22T00:00:00"/>
    <x v="1"/>
  </r>
  <r>
    <n v="251"/>
    <x v="3"/>
    <x v="4"/>
    <x v="2"/>
    <n v="0.68650462962962966"/>
    <s v="Shibor_3M"/>
    <n v="3.13"/>
    <n v="3.23"/>
    <n v="0"/>
    <d v="2012-08-22T00:00:00"/>
    <d v="2014-08-22T00:00:00"/>
    <x v="49"/>
  </r>
  <r>
    <n v="252"/>
    <x v="3"/>
    <x v="0"/>
    <x v="2"/>
    <n v="0.6865162037037037"/>
    <s v="Shibor_3M"/>
    <n v="3.1"/>
    <n v="3.2"/>
    <n v="0"/>
    <d v="2012-08-22T00:00:00"/>
    <d v="2015-08-22T00:00:00"/>
    <x v="51"/>
  </r>
  <r>
    <n v="253"/>
    <x v="3"/>
    <x v="7"/>
    <x v="2"/>
    <n v="0.68650462962962966"/>
    <s v="Shibor_3M"/>
    <n v="3.06"/>
    <n v="3.16"/>
    <n v="0"/>
    <d v="2012-08-22T00:00:00"/>
    <d v="2019-08-22T00:00:00"/>
    <x v="50"/>
  </r>
  <r>
    <n v="254"/>
    <x v="3"/>
    <x v="2"/>
    <x v="2"/>
    <n v="0.68650462962962966"/>
    <s v="Shibor_3M"/>
    <n v="3.1"/>
    <n v="3.2"/>
    <n v="0"/>
    <d v="2012-08-22T00:00:00"/>
    <d v="2016-08-22T00:00:00"/>
    <x v="51"/>
  </r>
  <r>
    <n v="255"/>
    <x v="3"/>
    <x v="0"/>
    <x v="2"/>
    <n v="0.68277777777777782"/>
    <s v="Shibor_3M"/>
    <n v="3.2"/>
    <n v="3.3"/>
    <n v="0"/>
    <d v="2012-08-22T00:00:00"/>
    <d v="2015-08-22T00:00:00"/>
    <x v="21"/>
  </r>
  <r>
    <n v="256"/>
    <x v="3"/>
    <x v="2"/>
    <x v="2"/>
    <n v="0.68277777777777782"/>
    <s v="Shibor_3M"/>
    <n v="3.2"/>
    <n v="3.3"/>
    <n v="0"/>
    <d v="2012-08-22T00:00:00"/>
    <d v="2016-08-22T00:00:00"/>
    <x v="21"/>
  </r>
  <r>
    <n v="257"/>
    <x v="3"/>
    <x v="8"/>
    <x v="2"/>
    <n v="0.68648148148148147"/>
    <s v="Shibor_3M"/>
    <n v="3.48"/>
    <n v="3.55"/>
    <n v="0"/>
    <d v="2012-08-22T00:00:00"/>
    <d v="2013-02-22T00:00:00"/>
    <x v="48"/>
  </r>
  <r>
    <n v="258"/>
    <x v="3"/>
    <x v="11"/>
    <x v="2"/>
    <n v="0.68650462962962966"/>
    <s v="Shibor_3M"/>
    <n v="3.1"/>
    <n v="3.2"/>
    <n v="0"/>
    <d v="2012-08-22T00:00:00"/>
    <d v="2017-08-22T00:00:00"/>
    <x v="51"/>
  </r>
  <r>
    <n v="259"/>
    <x v="3"/>
    <x v="5"/>
    <x v="2"/>
    <n v="0.68650462962962966"/>
    <s v="Shibor_3M"/>
    <n v="3.38"/>
    <n v="3.48"/>
    <n v="0"/>
    <d v="2012-08-22T00:00:00"/>
    <d v="2013-05-22T00:00:00"/>
    <x v="12"/>
  </r>
  <r>
    <n v="260"/>
    <x v="3"/>
    <x v="11"/>
    <x v="1"/>
    <n v="0.67800925925925926"/>
    <s v="Shibor_3M"/>
    <n v="3.16"/>
    <n v="3.22"/>
    <n v="0"/>
    <d v="2012-08-22T00:00:00"/>
    <d v="2017-08-22T00:00:00"/>
    <x v="55"/>
  </r>
  <r>
    <n v="261"/>
    <x v="3"/>
    <x v="6"/>
    <x v="0"/>
    <n v="0.666875"/>
    <s v="Shibor_3M"/>
    <n v="3.17"/>
    <n v="3.57"/>
    <n v="0"/>
    <d v="2012-08-22T00:00:00"/>
    <d v="2022-08-22T00:00:00"/>
    <x v="19"/>
  </r>
  <r>
    <n v="262"/>
    <x v="3"/>
    <x v="5"/>
    <x v="0"/>
    <n v="0.666875"/>
    <s v="Shibor_3M"/>
    <n v="3.4"/>
    <n v="3.5"/>
    <n v="0"/>
    <d v="2012-08-22T00:00:00"/>
    <d v="2013-05-22T00:00:00"/>
    <x v="43"/>
  </r>
  <r>
    <n v="263"/>
    <x v="3"/>
    <x v="10"/>
    <x v="0"/>
    <n v="0.666875"/>
    <s v="Shibor_3M"/>
    <n v="3.15"/>
    <n v="3.55"/>
    <n v="0"/>
    <d v="2012-08-22T00:00:00"/>
    <d v="2020-08-22T00:00:00"/>
    <x v="1"/>
  </r>
  <r>
    <n v="264"/>
    <x v="3"/>
    <x v="1"/>
    <x v="3"/>
    <n v="0.6723958333333333"/>
    <s v="Shibor_3M"/>
    <n v="3.33"/>
    <n v="3.4"/>
    <n v="0"/>
    <d v="2012-08-22T00:00:00"/>
    <d v="2013-08-22T00:00:00"/>
    <x v="29"/>
  </r>
  <r>
    <n v="265"/>
    <x v="3"/>
    <x v="11"/>
    <x v="0"/>
    <n v="0.666875"/>
    <s v="Shibor_3M"/>
    <n v="3.19"/>
    <n v="3.29"/>
    <n v="0"/>
    <d v="2012-08-22T00:00:00"/>
    <d v="2017-08-22T00:00:00"/>
    <x v="10"/>
  </r>
  <r>
    <n v="266"/>
    <x v="3"/>
    <x v="7"/>
    <x v="0"/>
    <n v="0.666875"/>
    <s v="Shibor_3M"/>
    <n v="3.15"/>
    <n v="3.55"/>
    <n v="0"/>
    <d v="2012-08-22T00:00:00"/>
    <d v="2019-08-22T00:00:00"/>
    <x v="1"/>
  </r>
  <r>
    <n v="267"/>
    <x v="3"/>
    <x v="4"/>
    <x v="0"/>
    <n v="0.66686342592592596"/>
    <s v="Shibor_3M"/>
    <n v="3.2"/>
    <n v="3.3"/>
    <n v="0"/>
    <d v="2012-08-22T00:00:00"/>
    <d v="2014-08-22T00:00:00"/>
    <x v="21"/>
  </r>
  <r>
    <n v="268"/>
    <x v="3"/>
    <x v="1"/>
    <x v="0"/>
    <n v="0.66686342592592596"/>
    <s v="Shibor_3M"/>
    <n v="3.3"/>
    <n v="3.4"/>
    <n v="0"/>
    <d v="2012-08-22T00:00:00"/>
    <d v="2013-08-22T00:00:00"/>
    <x v="1"/>
  </r>
  <r>
    <n v="269"/>
    <x v="3"/>
    <x v="2"/>
    <x v="0"/>
    <n v="0.666875"/>
    <s v="Shibor_3M"/>
    <n v="3.15"/>
    <n v="3.25"/>
    <n v="0"/>
    <d v="2012-08-22T00:00:00"/>
    <d v="2016-08-22T00:00:00"/>
    <x v="57"/>
  </r>
  <r>
    <n v="270"/>
    <x v="3"/>
    <x v="0"/>
    <x v="0"/>
    <n v="0.666875"/>
    <s v="Shibor_3M"/>
    <n v="3.15"/>
    <n v="3.25"/>
    <n v="0"/>
    <d v="2012-08-22T00:00:00"/>
    <d v="2015-08-22T00:00:00"/>
    <x v="57"/>
  </r>
  <r>
    <n v="271"/>
    <x v="3"/>
    <x v="3"/>
    <x v="0"/>
    <n v="0.666875"/>
    <s v="Shibor_3M"/>
    <n v="3.15"/>
    <n v="3.55"/>
    <n v="0"/>
    <d v="2012-08-22T00:00:00"/>
    <d v="2021-08-22T00:00:00"/>
    <x v="1"/>
  </r>
  <r>
    <n v="272"/>
    <x v="3"/>
    <x v="11"/>
    <x v="3"/>
    <n v="0.67243055555555553"/>
    <s v="Shibor_3M"/>
    <n v="3.17"/>
    <n v="3.23"/>
    <n v="0"/>
    <d v="2012-08-22T00:00:00"/>
    <d v="2017-08-22T00:00:00"/>
    <x v="57"/>
  </r>
  <r>
    <n v="273"/>
    <x v="3"/>
    <x v="5"/>
    <x v="1"/>
    <n v="0.67799768518518511"/>
    <s v="Shibor_3M"/>
    <n v="3.37"/>
    <n v="3.43"/>
    <n v="0"/>
    <d v="2012-08-22T00:00:00"/>
    <d v="2013-05-22T00:00:00"/>
    <x v="20"/>
  </r>
  <r>
    <n v="274"/>
    <x v="3"/>
    <x v="7"/>
    <x v="1"/>
    <n v="0.67799768518518511"/>
    <s v="Shibor_3M"/>
    <n v="3.17"/>
    <n v="3.23"/>
    <n v="0"/>
    <d v="2012-08-22T00:00:00"/>
    <d v="2019-08-22T00:00:00"/>
    <x v="57"/>
  </r>
  <r>
    <n v="275"/>
    <x v="3"/>
    <x v="6"/>
    <x v="1"/>
    <n v="0.67799768518518511"/>
    <s v="Shibor_3M"/>
    <n v="3.27"/>
    <n v="3.33"/>
    <n v="0"/>
    <d v="2012-08-22T00:00:00"/>
    <d v="2022-08-22T00:00:00"/>
    <x v="23"/>
  </r>
  <r>
    <n v="276"/>
    <x v="3"/>
    <x v="1"/>
    <x v="1"/>
    <n v="0.67799768518518511"/>
    <s v="Shibor_3M"/>
    <n v="3.34"/>
    <n v="3.4"/>
    <n v="0"/>
    <d v="2012-08-22T00:00:00"/>
    <d v="2013-08-22T00:00:00"/>
    <x v="19"/>
  </r>
  <r>
    <n v="277"/>
    <x v="3"/>
    <x v="8"/>
    <x v="1"/>
    <n v="0.67799768518518511"/>
    <s v="Shibor_3M"/>
    <n v="3.51"/>
    <n v="3.57"/>
    <n v="0"/>
    <d v="2012-08-22T00:00:00"/>
    <d v="2013-02-22T00:00:00"/>
    <x v="61"/>
  </r>
  <r>
    <n v="278"/>
    <x v="3"/>
    <x v="4"/>
    <x v="1"/>
    <n v="0.67799768518518511"/>
    <s v="Shibor_3M"/>
    <n v="3.21"/>
    <n v="3.27"/>
    <n v="0"/>
    <d v="2012-08-22T00:00:00"/>
    <d v="2014-08-22T00:00:00"/>
    <x v="10"/>
  </r>
  <r>
    <n v="279"/>
    <x v="3"/>
    <x v="2"/>
    <x v="3"/>
    <n v="0.67243055555555553"/>
    <s v="Shibor_3M"/>
    <n v="3.17"/>
    <n v="3.22"/>
    <n v="0"/>
    <d v="2012-08-22T00:00:00"/>
    <d v="2016-08-22T00:00:00"/>
    <x v="62"/>
  </r>
  <r>
    <n v="280"/>
    <x v="3"/>
    <x v="5"/>
    <x v="3"/>
    <n v="0.67243055555555553"/>
    <s v="Shibor_3M"/>
    <n v="3.41"/>
    <n v="3.51"/>
    <n v="0"/>
    <d v="2012-08-22T00:00:00"/>
    <d v="2013-05-22T00:00:00"/>
    <x v="46"/>
  </r>
  <r>
    <n v="281"/>
    <x v="3"/>
    <x v="4"/>
    <x v="3"/>
    <n v="0.67244212962962957"/>
    <s v="Shibor_3M"/>
    <n v="3.2"/>
    <n v="3.28"/>
    <n v="0"/>
    <d v="2012-08-22T00:00:00"/>
    <d v="2014-08-22T00:00:00"/>
    <x v="10"/>
  </r>
  <r>
    <n v="282"/>
    <x v="3"/>
    <x v="0"/>
    <x v="3"/>
    <n v="0.67245370370370372"/>
    <s v="Shibor_3M"/>
    <n v="3.16"/>
    <n v="3.21"/>
    <n v="0"/>
    <d v="2012-08-22T00:00:00"/>
    <d v="2015-08-22T00:00:00"/>
    <x v="63"/>
  </r>
  <r>
    <n v="283"/>
    <x v="3"/>
    <x v="8"/>
    <x v="3"/>
    <n v="0.67244212962962957"/>
    <s v="Shibor_3M"/>
    <n v="3.49"/>
    <n v="3.59"/>
    <n v="0"/>
    <d v="2012-08-22T00:00:00"/>
    <d v="2013-02-22T00:00:00"/>
    <x v="61"/>
  </r>
  <r>
    <n v="284"/>
    <x v="4"/>
    <x v="7"/>
    <x v="2"/>
    <n v="0.49168981481481483"/>
    <s v="Shibor_3M"/>
    <n v="3.06"/>
    <n v="3.16"/>
    <n v="0"/>
    <d v="2012-08-21T00:00:00"/>
    <d v="2019-08-21T00:00:00"/>
    <x v="50"/>
  </r>
  <r>
    <n v="285"/>
    <x v="4"/>
    <x v="4"/>
    <x v="2"/>
    <n v="0.49168981481481483"/>
    <s v="Shibor_3M"/>
    <n v="3.13"/>
    <n v="3.23"/>
    <n v="0"/>
    <d v="2012-08-21T00:00:00"/>
    <d v="2014-08-21T00:00:00"/>
    <x v="49"/>
  </r>
  <r>
    <n v="286"/>
    <x v="4"/>
    <x v="2"/>
    <x v="2"/>
    <n v="0.49171296296296302"/>
    <s v="Shibor_3M"/>
    <n v="3.06"/>
    <n v="3.16"/>
    <n v="0"/>
    <d v="2012-08-21T00:00:00"/>
    <d v="2016-08-21T00:00:00"/>
    <x v="50"/>
  </r>
  <r>
    <n v="287"/>
    <x v="4"/>
    <x v="11"/>
    <x v="2"/>
    <n v="0.49171296296296302"/>
    <s v="Shibor_3M"/>
    <n v="3.06"/>
    <n v="3.16"/>
    <n v="0"/>
    <d v="2012-08-21T00:00:00"/>
    <d v="2017-08-21T00:00:00"/>
    <x v="50"/>
  </r>
  <r>
    <n v="288"/>
    <x v="4"/>
    <x v="6"/>
    <x v="2"/>
    <n v="0.49167824074074074"/>
    <s v="Shibor_3M"/>
    <n v="3.06"/>
    <n v="3.16"/>
    <n v="0"/>
    <d v="2012-08-21T00:00:00"/>
    <d v="2022-08-21T00:00:00"/>
    <x v="50"/>
  </r>
  <r>
    <n v="289"/>
    <x v="4"/>
    <x v="2"/>
    <x v="1"/>
    <n v="0.48493055555555559"/>
    <s v="Shibor_3M"/>
    <n v="3.07"/>
    <n v="3.13"/>
    <n v="0"/>
    <d v="2012-08-21T00:00:00"/>
    <d v="2016-08-21T00:00:00"/>
    <x v="64"/>
  </r>
  <r>
    <n v="290"/>
    <x v="4"/>
    <x v="11"/>
    <x v="1"/>
    <n v="0.48493055555555559"/>
    <s v="Shibor_3M"/>
    <n v="3.07"/>
    <n v="3.13"/>
    <n v="0"/>
    <d v="2012-08-21T00:00:00"/>
    <d v="2017-08-21T00:00:00"/>
    <x v="64"/>
  </r>
  <r>
    <n v="291"/>
    <x v="4"/>
    <x v="1"/>
    <x v="2"/>
    <n v="0.49167824074074074"/>
    <s v="Shibor_3M"/>
    <n v="3.25"/>
    <n v="3.35"/>
    <n v="0"/>
    <d v="2012-08-21T00:00:00"/>
    <d v="2013-08-21T00:00:00"/>
    <x v="23"/>
  </r>
  <r>
    <n v="292"/>
    <x v="4"/>
    <x v="8"/>
    <x v="2"/>
    <n v="0.4916666666666667"/>
    <s v="Shibor_3M"/>
    <n v="3.48"/>
    <n v="3.55"/>
    <n v="0"/>
    <d v="2012-08-21T00:00:00"/>
    <d v="2013-02-21T00:00:00"/>
    <x v="48"/>
  </r>
  <r>
    <n v="293"/>
    <x v="4"/>
    <x v="5"/>
    <x v="3"/>
    <n v="0.4934027777777778"/>
    <s v="Shibor_3M"/>
    <n v="3.38"/>
    <n v="3.43"/>
    <n v="0"/>
    <d v="2012-08-21T00:00:00"/>
    <d v="2013-05-21T00:00:00"/>
    <x v="65"/>
  </r>
  <r>
    <n v="294"/>
    <x v="4"/>
    <x v="11"/>
    <x v="3"/>
    <n v="0.4934027777777778"/>
    <s v="Shibor_3M"/>
    <n v="3.09"/>
    <n v="3.15"/>
    <n v="0"/>
    <d v="2012-08-21T00:00:00"/>
    <d v="2017-08-21T00:00:00"/>
    <x v="66"/>
  </r>
  <r>
    <n v="295"/>
    <x v="4"/>
    <x v="0"/>
    <x v="3"/>
    <n v="0.49341435185185184"/>
    <s v="Shibor_3M"/>
    <n v="3.1"/>
    <n v="3.2"/>
    <n v="0"/>
    <d v="2012-08-21T00:00:00"/>
    <d v="2015-08-21T00:00:00"/>
    <x v="51"/>
  </r>
  <r>
    <n v="296"/>
    <x v="4"/>
    <x v="8"/>
    <x v="3"/>
    <n v="0.49341435185185184"/>
    <s v="Shibor_3M"/>
    <n v="3.46"/>
    <n v="3.55"/>
    <n v="0"/>
    <d v="2012-08-21T00:00:00"/>
    <d v="2013-02-21T00:00:00"/>
    <x v="67"/>
  </r>
  <r>
    <n v="297"/>
    <x v="4"/>
    <x v="1"/>
    <x v="3"/>
    <n v="0.4934027777777778"/>
    <s v="Shibor_3M"/>
    <n v="3.27"/>
    <n v="3.32"/>
    <n v="0"/>
    <d v="2012-08-21T00:00:00"/>
    <d v="2013-08-21T00:00:00"/>
    <x v="68"/>
  </r>
  <r>
    <n v="298"/>
    <x v="4"/>
    <x v="0"/>
    <x v="2"/>
    <n v="0.49172453703703706"/>
    <s v="Shibor_3M"/>
    <n v="3.1"/>
    <n v="3.2"/>
    <n v="0"/>
    <d v="2012-08-21T00:00:00"/>
    <d v="2015-08-21T00:00:00"/>
    <x v="51"/>
  </r>
  <r>
    <n v="299"/>
    <x v="4"/>
    <x v="5"/>
    <x v="2"/>
    <n v="0.49171296296296302"/>
    <s v="Shibor_3M"/>
    <n v="3.35"/>
    <n v="3.42"/>
    <n v="0"/>
    <d v="2012-08-21T00:00:00"/>
    <d v="2013-05-21T00:00:00"/>
    <x v="54"/>
  </r>
  <r>
    <n v="300"/>
    <x v="4"/>
    <x v="4"/>
    <x v="3"/>
    <n v="0.4934027777777778"/>
    <s v="Shibor_3M"/>
    <n v="3.12"/>
    <n v="3.22"/>
    <n v="0"/>
    <d v="2012-08-21T00:00:00"/>
    <d v="2014-08-21T00:00:00"/>
    <x v="56"/>
  </r>
  <r>
    <n v="301"/>
    <x v="4"/>
    <x v="2"/>
    <x v="3"/>
    <n v="0.4934027777777778"/>
    <s v="Shibor_3M"/>
    <n v="3.08"/>
    <n v="3.16"/>
    <n v="0"/>
    <d v="2012-08-21T00:00:00"/>
    <d v="2016-08-21T00:00:00"/>
    <x v="66"/>
  </r>
  <r>
    <n v="302"/>
    <x v="4"/>
    <x v="6"/>
    <x v="1"/>
    <n v="0.48493055555555559"/>
    <s v="Shibor_3M"/>
    <n v="3.22"/>
    <n v="3.28"/>
    <n v="0"/>
    <d v="2012-08-21T00:00:00"/>
    <d v="2022-08-21T00:00:00"/>
    <x v="21"/>
  </r>
  <r>
    <n v="303"/>
    <x v="4"/>
    <x v="0"/>
    <x v="0"/>
    <n v="0.47950231481481481"/>
    <s v="Shibor_3M"/>
    <n v="3.05"/>
    <n v="3.15"/>
    <n v="0"/>
    <d v="2012-08-21T00:00:00"/>
    <d v="2015-08-21T00:00:00"/>
    <x v="64"/>
  </r>
  <r>
    <n v="304"/>
    <x v="4"/>
    <x v="3"/>
    <x v="0"/>
    <n v="0.47950231481481481"/>
    <s v="Shibor_3M"/>
    <n v="3.02"/>
    <n v="3.42"/>
    <n v="0"/>
    <d v="2012-08-21T00:00:00"/>
    <d v="2021-08-21T00:00:00"/>
    <x v="0"/>
  </r>
  <r>
    <n v="305"/>
    <x v="4"/>
    <x v="4"/>
    <x v="0"/>
    <n v="0.47950231481481481"/>
    <s v="Shibor_3M"/>
    <n v="3.12"/>
    <n v="3.22"/>
    <n v="0"/>
    <d v="2012-08-21T00:00:00"/>
    <d v="2014-08-21T00:00:00"/>
    <x v="56"/>
  </r>
  <r>
    <n v="306"/>
    <x v="4"/>
    <x v="1"/>
    <x v="0"/>
    <n v="0.47950231481481481"/>
    <s v="Shibor_3M"/>
    <n v="3.25"/>
    <n v="3.35"/>
    <n v="0"/>
    <d v="2012-08-21T00:00:00"/>
    <d v="2013-08-21T00:00:00"/>
    <x v="23"/>
  </r>
  <r>
    <n v="307"/>
    <x v="4"/>
    <x v="2"/>
    <x v="0"/>
    <n v="0.47950231481481481"/>
    <s v="Shibor_3M"/>
    <n v="3.04"/>
    <n v="3.14"/>
    <n v="0"/>
    <d v="2012-08-21T00:00:00"/>
    <d v="2016-08-21T00:00:00"/>
    <x v="69"/>
  </r>
  <r>
    <n v="308"/>
    <x v="4"/>
    <x v="8"/>
    <x v="0"/>
    <n v="0.47949074074074072"/>
    <s v="Shibor_3M"/>
    <n v="3.45"/>
    <n v="3.55"/>
    <n v="0"/>
    <d v="2012-08-21T00:00:00"/>
    <d v="2013-02-21T00:00:00"/>
    <x v="13"/>
  </r>
  <r>
    <n v="309"/>
    <x v="4"/>
    <x v="9"/>
    <x v="0"/>
    <n v="0.47949074074074072"/>
    <s v="Shibor_3M"/>
    <n v="3.03"/>
    <n v="3.13"/>
    <n v="0"/>
    <d v="2012-08-21T00:00:00"/>
    <d v="2018-08-21T00:00:00"/>
    <x v="70"/>
  </r>
  <r>
    <n v="310"/>
    <x v="4"/>
    <x v="11"/>
    <x v="0"/>
    <n v="0.47950231481481481"/>
    <s v="Shibor_3M"/>
    <n v="3.04"/>
    <n v="3.14"/>
    <n v="0"/>
    <d v="2012-08-21T00:00:00"/>
    <d v="2017-08-21T00:00:00"/>
    <x v="69"/>
  </r>
  <r>
    <n v="311"/>
    <x v="4"/>
    <x v="10"/>
    <x v="0"/>
    <n v="0.47950231481481481"/>
    <s v="Shibor_3M"/>
    <n v="3"/>
    <n v="3.4"/>
    <n v="0"/>
    <d v="2012-08-21T00:00:00"/>
    <d v="2020-08-21T00:00:00"/>
    <x v="57"/>
  </r>
  <r>
    <n v="312"/>
    <x v="4"/>
    <x v="0"/>
    <x v="1"/>
    <n v="0.48493055555555559"/>
    <s v="Shibor_3M"/>
    <n v="3.11"/>
    <n v="3.17"/>
    <n v="0"/>
    <d v="2012-08-21T00:00:00"/>
    <d v="2015-08-21T00:00:00"/>
    <x v="58"/>
  </r>
  <r>
    <n v="313"/>
    <x v="4"/>
    <x v="8"/>
    <x v="1"/>
    <n v="0.4849074074074074"/>
    <s v="Shibor_3M"/>
    <n v="3.47"/>
    <n v="3.53"/>
    <n v="0"/>
    <d v="2012-08-21T00:00:00"/>
    <d v="2013-02-21T00:00:00"/>
    <x v="13"/>
  </r>
  <r>
    <n v="314"/>
    <x v="4"/>
    <x v="5"/>
    <x v="1"/>
    <n v="0.48493055555555559"/>
    <s v="Shibor_3M"/>
    <n v="3.35"/>
    <n v="3.41"/>
    <n v="0"/>
    <d v="2012-08-21T00:00:00"/>
    <d v="2013-05-21T00:00:00"/>
    <x v="17"/>
  </r>
  <r>
    <n v="315"/>
    <x v="4"/>
    <x v="7"/>
    <x v="1"/>
    <n v="0.48493055555555559"/>
    <s v="Shibor_3M"/>
    <n v="3.17"/>
    <n v="3.23"/>
    <n v="0"/>
    <d v="2012-08-21T00:00:00"/>
    <d v="2019-08-21T00:00:00"/>
    <x v="57"/>
  </r>
  <r>
    <n v="316"/>
    <x v="4"/>
    <x v="4"/>
    <x v="1"/>
    <n v="0.4849074074074074"/>
    <s v="Shibor_3M"/>
    <n v="3.12"/>
    <n v="3.18"/>
    <n v="0"/>
    <d v="2012-08-21T00:00:00"/>
    <d v="2014-08-21T00:00:00"/>
    <x v="51"/>
  </r>
  <r>
    <n v="317"/>
    <x v="4"/>
    <x v="5"/>
    <x v="0"/>
    <n v="0.47950231481481481"/>
    <s v="Shibor_3M"/>
    <n v="3.35"/>
    <n v="3.45"/>
    <n v="0"/>
    <d v="2012-08-21T00:00:00"/>
    <d v="2013-05-21T00:00:00"/>
    <x v="20"/>
  </r>
  <r>
    <n v="318"/>
    <x v="4"/>
    <x v="7"/>
    <x v="0"/>
    <n v="0.47950231481481481"/>
    <s v="Shibor_3M"/>
    <n v="3"/>
    <n v="3.4"/>
    <n v="0"/>
    <d v="2012-08-21T00:00:00"/>
    <d v="2019-08-21T00:00:00"/>
    <x v="57"/>
  </r>
  <r>
    <n v="319"/>
    <x v="4"/>
    <x v="1"/>
    <x v="1"/>
    <n v="0.4849074074074074"/>
    <s v="Shibor_3M"/>
    <n v="3.26"/>
    <n v="3.32"/>
    <n v="0"/>
    <d v="2012-08-21T00:00:00"/>
    <d v="2013-08-21T00:00:00"/>
    <x v="3"/>
  </r>
  <r>
    <n v="320"/>
    <x v="4"/>
    <x v="6"/>
    <x v="0"/>
    <n v="0.47950231481481481"/>
    <s v="Shibor_3M"/>
    <n v="3.04"/>
    <n v="3.44"/>
    <n v="0"/>
    <d v="2012-08-21T00:00:00"/>
    <d v="2022-08-21T00:00:00"/>
    <x v="10"/>
  </r>
  <r>
    <n v="321"/>
    <x v="4"/>
    <x v="5"/>
    <x v="3"/>
    <n v="0.67684027777777789"/>
    <s v="Shibor_3M"/>
    <n v="3.36"/>
    <n v="3.45"/>
    <n v="0"/>
    <d v="2012-08-21T00:00:00"/>
    <d v="2013-05-21T00:00:00"/>
    <x v="65"/>
  </r>
  <r>
    <n v="322"/>
    <x v="4"/>
    <x v="8"/>
    <x v="3"/>
    <n v="0.67684027777777789"/>
    <s v="Shibor_3M"/>
    <n v="3.46"/>
    <n v="3.56"/>
    <n v="0"/>
    <d v="2012-08-21T00:00:00"/>
    <d v="2013-02-21T00:00:00"/>
    <x v="44"/>
  </r>
  <r>
    <n v="323"/>
    <x v="4"/>
    <x v="0"/>
    <x v="3"/>
    <n v="0.67685185185185182"/>
    <s v="Shibor_3M"/>
    <n v="3.12"/>
    <n v="3.2"/>
    <n v="0"/>
    <d v="2012-08-21T00:00:00"/>
    <d v="2015-08-21T00:00:00"/>
    <x v="71"/>
  </r>
  <r>
    <n v="324"/>
    <x v="4"/>
    <x v="2"/>
    <x v="3"/>
    <n v="0.67684027777777789"/>
    <s v="Shibor_3M"/>
    <n v="3.13"/>
    <n v="3.2"/>
    <n v="0"/>
    <d v="2012-08-21T00:00:00"/>
    <d v="2016-08-21T00:00:00"/>
    <x v="72"/>
  </r>
  <r>
    <n v="325"/>
    <x v="4"/>
    <x v="4"/>
    <x v="3"/>
    <n v="0.67684027777777789"/>
    <s v="Shibor_3M"/>
    <n v="3.17"/>
    <n v="3.24"/>
    <n v="0"/>
    <d v="2012-08-21T00:00:00"/>
    <d v="2014-08-21T00:00:00"/>
    <x v="73"/>
  </r>
  <r>
    <n v="326"/>
    <x v="4"/>
    <x v="5"/>
    <x v="2"/>
    <n v="0.67413194444444446"/>
    <s v="Shibor_3M"/>
    <n v="3.35"/>
    <n v="3.42"/>
    <n v="0"/>
    <d v="2012-08-21T00:00:00"/>
    <d v="2013-05-21T00:00:00"/>
    <x v="54"/>
  </r>
  <r>
    <n v="327"/>
    <x v="4"/>
    <x v="7"/>
    <x v="2"/>
    <n v="0.67413194444444446"/>
    <s v="Shibor_3M"/>
    <n v="3.06"/>
    <n v="3.16"/>
    <n v="0"/>
    <d v="2012-08-21T00:00:00"/>
    <d v="2019-08-21T00:00:00"/>
    <x v="50"/>
  </r>
  <r>
    <n v="328"/>
    <x v="4"/>
    <x v="11"/>
    <x v="3"/>
    <n v="0.67682870370370374"/>
    <s v="Shibor_3M"/>
    <n v="3.14"/>
    <n v="3.19"/>
    <n v="0"/>
    <d v="2012-08-21T00:00:00"/>
    <d v="2017-08-21T00:00:00"/>
    <x v="72"/>
  </r>
  <r>
    <n v="329"/>
    <x v="4"/>
    <x v="1"/>
    <x v="3"/>
    <n v="0.67682870370370374"/>
    <s v="Shibor_3M"/>
    <n v="3.3"/>
    <n v="3.35"/>
    <n v="0"/>
    <d v="2012-08-21T00:00:00"/>
    <d v="2013-08-21T00:00:00"/>
    <x v="39"/>
  </r>
  <r>
    <n v="330"/>
    <x v="4"/>
    <x v="7"/>
    <x v="1"/>
    <n v="0.68160879629629623"/>
    <s v="Shibor_3M"/>
    <n v="3.17"/>
    <n v="3.23"/>
    <n v="0"/>
    <d v="2012-08-21T00:00:00"/>
    <d v="2019-08-21T00:00:00"/>
    <x v="57"/>
  </r>
  <r>
    <n v="331"/>
    <x v="4"/>
    <x v="4"/>
    <x v="1"/>
    <n v="0.68160879629629623"/>
    <s v="Shibor_3M"/>
    <n v="3.12"/>
    <n v="3.18"/>
    <n v="0"/>
    <d v="2012-08-21T00:00:00"/>
    <d v="2014-08-21T00:00:00"/>
    <x v="51"/>
  </r>
  <r>
    <n v="332"/>
    <x v="4"/>
    <x v="6"/>
    <x v="1"/>
    <n v="0.68160879629629623"/>
    <s v="Shibor_3M"/>
    <n v="3.22"/>
    <n v="3.28"/>
    <n v="0"/>
    <d v="2012-08-21T00:00:00"/>
    <d v="2022-08-21T00:00:00"/>
    <x v="21"/>
  </r>
  <r>
    <n v="333"/>
    <x v="4"/>
    <x v="5"/>
    <x v="1"/>
    <n v="0.68160879629629623"/>
    <s v="Shibor_3M"/>
    <n v="3.35"/>
    <n v="3.41"/>
    <n v="0"/>
    <d v="2012-08-21T00:00:00"/>
    <d v="2013-05-21T00:00:00"/>
    <x v="17"/>
  </r>
  <r>
    <n v="334"/>
    <x v="4"/>
    <x v="1"/>
    <x v="1"/>
    <n v="0.68160879629629623"/>
    <s v="Shibor_3M"/>
    <n v="3.26"/>
    <n v="3.32"/>
    <n v="0"/>
    <d v="2012-08-21T00:00:00"/>
    <d v="2013-08-21T00:00:00"/>
    <x v="3"/>
  </r>
  <r>
    <n v="335"/>
    <x v="4"/>
    <x v="11"/>
    <x v="1"/>
    <n v="0.68160879629629623"/>
    <s v="Shibor_3M"/>
    <n v="3.07"/>
    <n v="3.13"/>
    <n v="0"/>
    <d v="2012-08-21T00:00:00"/>
    <d v="2017-08-21T00:00:00"/>
    <x v="64"/>
  </r>
  <r>
    <n v="336"/>
    <x v="4"/>
    <x v="8"/>
    <x v="1"/>
    <n v="0.68158564814814815"/>
    <s v="Shibor_3M"/>
    <n v="3.47"/>
    <n v="3.53"/>
    <n v="0"/>
    <d v="2012-08-21T00:00:00"/>
    <d v="2013-02-21T00:00:00"/>
    <x v="13"/>
  </r>
  <r>
    <n v="337"/>
    <x v="4"/>
    <x v="0"/>
    <x v="1"/>
    <n v="0.68160879629629623"/>
    <s v="Shibor_3M"/>
    <n v="3.11"/>
    <n v="3.17"/>
    <n v="0"/>
    <d v="2012-08-21T00:00:00"/>
    <d v="2015-08-21T00:00:00"/>
    <x v="58"/>
  </r>
  <r>
    <n v="338"/>
    <x v="4"/>
    <x v="2"/>
    <x v="1"/>
    <n v="0.68160879629629623"/>
    <s v="Shibor_3M"/>
    <n v="3.07"/>
    <n v="3.13"/>
    <n v="0"/>
    <d v="2012-08-21T00:00:00"/>
    <d v="2016-08-21T00:00:00"/>
    <x v="64"/>
  </r>
  <r>
    <n v="339"/>
    <x v="4"/>
    <x v="0"/>
    <x v="2"/>
    <n v="0.67413194444444446"/>
    <s v="Shibor_3M"/>
    <n v="3.1"/>
    <n v="3.2"/>
    <n v="0"/>
    <d v="2012-08-21T00:00:00"/>
    <d v="2015-08-21T00:00:00"/>
    <x v="51"/>
  </r>
  <r>
    <n v="340"/>
    <x v="4"/>
    <x v="5"/>
    <x v="0"/>
    <n v="0.66684027777777777"/>
    <s v="Shibor_3M"/>
    <n v="3.35"/>
    <n v="3.45"/>
    <n v="0"/>
    <d v="2012-08-21T00:00:00"/>
    <d v="2013-05-21T00:00:00"/>
    <x v="20"/>
  </r>
  <r>
    <n v="341"/>
    <x v="4"/>
    <x v="0"/>
    <x v="0"/>
    <n v="0.66684027777777777"/>
    <s v="Shibor_3M"/>
    <n v="3.1"/>
    <n v="3.2"/>
    <n v="0"/>
    <d v="2012-08-21T00:00:00"/>
    <d v="2015-08-21T00:00:00"/>
    <x v="51"/>
  </r>
  <r>
    <n v="342"/>
    <x v="4"/>
    <x v="10"/>
    <x v="0"/>
    <n v="0.66684027777777777"/>
    <s v="Shibor_3M"/>
    <n v="3.1"/>
    <n v="3.5"/>
    <n v="0"/>
    <d v="2012-08-21T00:00:00"/>
    <d v="2020-08-21T00:00:00"/>
    <x v="23"/>
  </r>
  <r>
    <n v="343"/>
    <x v="4"/>
    <x v="6"/>
    <x v="0"/>
    <n v="0.66684027777777777"/>
    <s v="Shibor_3M"/>
    <n v="3.12"/>
    <n v="3.52"/>
    <n v="0"/>
    <d v="2012-08-21T00:00:00"/>
    <d v="2022-08-21T00:00:00"/>
    <x v="24"/>
  </r>
  <r>
    <n v="344"/>
    <x v="4"/>
    <x v="8"/>
    <x v="0"/>
    <n v="0.66682870370370362"/>
    <s v="Shibor_3M"/>
    <n v="3.45"/>
    <n v="3.55"/>
    <n v="0"/>
    <d v="2012-08-21T00:00:00"/>
    <d v="2013-02-21T00:00:00"/>
    <x v="13"/>
  </r>
  <r>
    <n v="345"/>
    <x v="4"/>
    <x v="4"/>
    <x v="0"/>
    <n v="0.66682870370370362"/>
    <s v="Shibor_3M"/>
    <n v="3.15"/>
    <n v="3.25"/>
    <n v="0"/>
    <d v="2012-08-21T00:00:00"/>
    <d v="2014-08-21T00:00:00"/>
    <x v="57"/>
  </r>
  <r>
    <n v="346"/>
    <x v="4"/>
    <x v="1"/>
    <x v="0"/>
    <n v="0.66682870370370362"/>
    <s v="Shibor_3M"/>
    <n v="3.25"/>
    <n v="3.35"/>
    <n v="0"/>
    <d v="2012-08-21T00:00:00"/>
    <d v="2013-08-21T00:00:00"/>
    <x v="23"/>
  </r>
  <r>
    <n v="347"/>
    <x v="4"/>
    <x v="9"/>
    <x v="0"/>
    <n v="0.66682870370370362"/>
    <s v="Shibor_3M"/>
    <n v="3.12"/>
    <n v="3.22"/>
    <n v="0"/>
    <d v="2012-08-21T00:00:00"/>
    <d v="2018-08-21T00:00:00"/>
    <x v="56"/>
  </r>
  <r>
    <n v="348"/>
    <x v="4"/>
    <x v="7"/>
    <x v="0"/>
    <n v="0.66682870370370362"/>
    <s v="Shibor_3M"/>
    <n v="3.1"/>
    <n v="3.5"/>
    <n v="0"/>
    <d v="2012-08-21T00:00:00"/>
    <d v="2019-08-21T00:00:00"/>
    <x v="23"/>
  </r>
  <r>
    <n v="349"/>
    <x v="4"/>
    <x v="8"/>
    <x v="2"/>
    <n v="0.67412037037037031"/>
    <s v="Shibor_3M"/>
    <n v="3.48"/>
    <n v="3.55"/>
    <n v="0"/>
    <d v="2012-08-21T00:00:00"/>
    <d v="2013-02-21T00:00:00"/>
    <x v="48"/>
  </r>
  <r>
    <n v="350"/>
    <x v="4"/>
    <x v="4"/>
    <x v="2"/>
    <n v="0.67412037037037031"/>
    <s v="Shibor_3M"/>
    <n v="3.13"/>
    <n v="3.23"/>
    <n v="0"/>
    <d v="2012-08-21T00:00:00"/>
    <d v="2014-08-21T00:00:00"/>
    <x v="49"/>
  </r>
  <r>
    <n v="351"/>
    <x v="4"/>
    <x v="2"/>
    <x v="2"/>
    <n v="0.67413194444444446"/>
    <s v="Shibor_3M"/>
    <n v="3.06"/>
    <n v="3.16"/>
    <n v="0"/>
    <d v="2012-08-21T00:00:00"/>
    <d v="2016-08-21T00:00:00"/>
    <x v="50"/>
  </r>
  <r>
    <n v="352"/>
    <x v="4"/>
    <x v="11"/>
    <x v="2"/>
    <n v="0.67413194444444446"/>
    <s v="Shibor_3M"/>
    <n v="3.06"/>
    <n v="3.16"/>
    <n v="0"/>
    <d v="2012-08-21T00:00:00"/>
    <d v="2017-08-21T00:00:00"/>
    <x v="50"/>
  </r>
  <r>
    <n v="353"/>
    <x v="4"/>
    <x v="6"/>
    <x v="2"/>
    <n v="0.67412037037037031"/>
    <s v="Shibor_3M"/>
    <n v="3.06"/>
    <n v="3.16"/>
    <n v="0"/>
    <d v="2012-08-21T00:00:00"/>
    <d v="2022-08-21T00:00:00"/>
    <x v="50"/>
  </r>
  <r>
    <n v="354"/>
    <x v="4"/>
    <x v="2"/>
    <x v="0"/>
    <n v="0.66684027777777777"/>
    <s v="Shibor_3M"/>
    <n v="3.1"/>
    <n v="3.2"/>
    <n v="0"/>
    <d v="2012-08-21T00:00:00"/>
    <d v="2016-08-21T00:00:00"/>
    <x v="51"/>
  </r>
  <r>
    <n v="355"/>
    <x v="4"/>
    <x v="11"/>
    <x v="0"/>
    <n v="0.66684027777777777"/>
    <s v="Shibor_3M"/>
    <n v="3.14"/>
    <n v="3.24"/>
    <n v="0"/>
    <d v="2012-08-21T00:00:00"/>
    <d v="2017-08-21T00:00:00"/>
    <x v="55"/>
  </r>
  <r>
    <n v="356"/>
    <x v="4"/>
    <x v="1"/>
    <x v="2"/>
    <n v="0.67412037037037031"/>
    <s v="Shibor_3M"/>
    <n v="3.25"/>
    <n v="3.35"/>
    <n v="0"/>
    <d v="2012-08-21T00:00:00"/>
    <d v="2013-08-21T00:00:00"/>
    <x v="23"/>
  </r>
  <r>
    <n v="357"/>
    <x v="4"/>
    <x v="3"/>
    <x v="0"/>
    <n v="0.66684027777777777"/>
    <s v="Shibor_3M"/>
    <n v="3.1"/>
    <n v="3.5"/>
    <n v="0"/>
    <d v="2012-08-21T00:00:00"/>
    <d v="2021-08-21T00:00:00"/>
    <x v="23"/>
  </r>
  <r>
    <n v="358"/>
    <x v="5"/>
    <x v="11"/>
    <x v="3"/>
    <n v="0.48600694444444442"/>
    <s v="Shibor_3M"/>
    <n v="3.03"/>
    <n v="3.08"/>
    <n v="0"/>
    <d v="2012-08-18T00:00:00"/>
    <d v="2017-08-18T00:00:00"/>
    <x v="74"/>
  </r>
  <r>
    <n v="359"/>
    <x v="5"/>
    <x v="1"/>
    <x v="3"/>
    <n v="0.48600694444444442"/>
    <s v="Shibor_3M"/>
    <n v="3.22"/>
    <n v="3.27"/>
    <n v="0"/>
    <d v="2012-08-18T00:00:00"/>
    <d v="2013-08-18T00:00:00"/>
    <x v="75"/>
  </r>
  <r>
    <n v="360"/>
    <x v="5"/>
    <x v="2"/>
    <x v="3"/>
    <n v="0.48601851851851857"/>
    <s v="Shibor_3M"/>
    <n v="3.03"/>
    <n v="3.12"/>
    <n v="0"/>
    <d v="2012-08-18T00:00:00"/>
    <d v="2016-08-18T00:00:00"/>
    <x v="76"/>
  </r>
  <r>
    <n v="361"/>
    <x v="5"/>
    <x v="5"/>
    <x v="3"/>
    <n v="0.48601851851851857"/>
    <s v="Shibor_3M"/>
    <n v="3.31"/>
    <n v="3.41"/>
    <n v="0"/>
    <d v="2012-08-18T00:00:00"/>
    <d v="2013-05-18T00:00:00"/>
    <x v="45"/>
  </r>
  <r>
    <n v="362"/>
    <x v="5"/>
    <x v="6"/>
    <x v="1"/>
    <n v="0.47922453703703699"/>
    <s v="Shibor_3M"/>
    <n v="3.2"/>
    <n v="3.26"/>
    <n v="0"/>
    <d v="2012-08-18T00:00:00"/>
    <d v="2022-08-18T00:00:00"/>
    <x v="40"/>
  </r>
  <r>
    <n v="363"/>
    <x v="5"/>
    <x v="5"/>
    <x v="1"/>
    <n v="0.47922453703703699"/>
    <s v="Shibor_3M"/>
    <n v="3.32"/>
    <n v="3.38"/>
    <n v="0"/>
    <d v="2012-08-18T00:00:00"/>
    <d v="2013-05-18T00:00:00"/>
    <x v="1"/>
  </r>
  <r>
    <n v="364"/>
    <x v="5"/>
    <x v="2"/>
    <x v="1"/>
    <n v="0.47922453703703699"/>
    <s v="Shibor_3M"/>
    <n v="3.08"/>
    <n v="3.14"/>
    <n v="0"/>
    <d v="2012-08-18T00:00:00"/>
    <d v="2016-08-18T00:00:00"/>
    <x v="50"/>
  </r>
  <r>
    <n v="365"/>
    <x v="5"/>
    <x v="11"/>
    <x v="1"/>
    <n v="0.47922453703703699"/>
    <s v="Shibor_3M"/>
    <n v="3.08"/>
    <n v="3.14"/>
    <n v="0"/>
    <d v="2012-08-18T00:00:00"/>
    <d v="2017-08-18T00:00:00"/>
    <x v="50"/>
  </r>
  <r>
    <n v="366"/>
    <x v="5"/>
    <x v="4"/>
    <x v="3"/>
    <n v="0.48604166666666665"/>
    <s v="Shibor_3M"/>
    <n v="3.05"/>
    <n v="3.14"/>
    <n v="0"/>
    <d v="2012-08-18T00:00:00"/>
    <d v="2014-08-18T00:00:00"/>
    <x v="77"/>
  </r>
  <r>
    <n v="367"/>
    <x v="5"/>
    <x v="4"/>
    <x v="0"/>
    <n v="0.66685185185185192"/>
    <s v="Shibor_3M"/>
    <n v="3.05"/>
    <n v="3.15"/>
    <n v="0"/>
    <d v="2012-08-18T00:00:00"/>
    <d v="2014-08-18T00:00:00"/>
    <x v="64"/>
  </r>
  <r>
    <n v="368"/>
    <x v="5"/>
    <x v="1"/>
    <x v="0"/>
    <n v="0.66684027777777777"/>
    <s v="Shibor_3M"/>
    <n v="3.2"/>
    <n v="3.3"/>
    <n v="0"/>
    <d v="2012-08-18T00:00:00"/>
    <d v="2013-08-18T00:00:00"/>
    <x v="21"/>
  </r>
  <r>
    <n v="369"/>
    <x v="5"/>
    <x v="5"/>
    <x v="0"/>
    <n v="0.66685185185185192"/>
    <s v="Shibor_3M"/>
    <n v="3.3"/>
    <n v="3.4"/>
    <n v="0"/>
    <d v="2012-08-18T00:00:00"/>
    <d v="2013-05-18T00:00:00"/>
    <x v="1"/>
  </r>
  <r>
    <n v="370"/>
    <x v="5"/>
    <x v="7"/>
    <x v="0"/>
    <n v="0.66685185185185192"/>
    <s v="Shibor_3M"/>
    <n v="3"/>
    <n v="3.4"/>
    <n v="0"/>
    <d v="2012-08-18T00:00:00"/>
    <d v="2019-08-18T00:00:00"/>
    <x v="57"/>
  </r>
  <r>
    <n v="371"/>
    <x v="5"/>
    <x v="0"/>
    <x v="3"/>
    <n v="0.48605324074074074"/>
    <s v="Shibor_3M"/>
    <n v="3.03"/>
    <n v="3.12"/>
    <n v="0"/>
    <d v="2012-08-18T00:00:00"/>
    <d v="2015-08-18T00:00:00"/>
    <x v="76"/>
  </r>
  <r>
    <n v="372"/>
    <x v="5"/>
    <x v="8"/>
    <x v="3"/>
    <n v="0.48604166666666665"/>
    <s v="Shibor_3M"/>
    <n v="3.43"/>
    <n v="3.53"/>
    <n v="0"/>
    <d v="2012-08-18T00:00:00"/>
    <d v="2013-02-18T00:00:00"/>
    <x v="18"/>
  </r>
  <r>
    <n v="373"/>
    <x v="5"/>
    <x v="8"/>
    <x v="0"/>
    <n v="0.66682870370370362"/>
    <s v="Shibor_3M"/>
    <n v="3.4"/>
    <n v="3.5"/>
    <n v="0"/>
    <d v="2012-08-18T00:00:00"/>
    <d v="2013-02-18T00:00:00"/>
    <x v="43"/>
  </r>
  <r>
    <n v="374"/>
    <x v="5"/>
    <x v="9"/>
    <x v="0"/>
    <n v="0.66682870370370362"/>
    <s v="Shibor_3M"/>
    <n v="3.03"/>
    <n v="3.13"/>
    <n v="0"/>
    <d v="2012-08-18T00:00:00"/>
    <d v="2018-08-18T00:00:00"/>
    <x v="70"/>
  </r>
  <r>
    <n v="375"/>
    <x v="5"/>
    <x v="8"/>
    <x v="0"/>
    <n v="0.47887731481481483"/>
    <s v="Shibor_3M"/>
    <n v="3.4"/>
    <n v="3.5"/>
    <n v="0"/>
    <d v="2012-08-18T00:00:00"/>
    <d v="2013-02-18T00:00:00"/>
    <x v="43"/>
  </r>
  <r>
    <n v="376"/>
    <x v="5"/>
    <x v="9"/>
    <x v="0"/>
    <n v="0.47887731481481483"/>
    <s v="Shibor_3M"/>
    <n v="3.03"/>
    <n v="3.13"/>
    <n v="0"/>
    <d v="2012-08-18T00:00:00"/>
    <d v="2018-08-18T00:00:00"/>
    <x v="70"/>
  </r>
  <r>
    <n v="377"/>
    <x v="5"/>
    <x v="10"/>
    <x v="0"/>
    <n v="0.47888888888888892"/>
    <s v="Shibor_3M"/>
    <n v="3"/>
    <n v="3.4"/>
    <n v="0"/>
    <d v="2012-08-18T00:00:00"/>
    <d v="2020-08-18T00:00:00"/>
    <x v="57"/>
  </r>
  <r>
    <n v="378"/>
    <x v="5"/>
    <x v="6"/>
    <x v="0"/>
    <n v="0.47888888888888892"/>
    <s v="Shibor_3M"/>
    <n v="3.04"/>
    <n v="3.44"/>
    <n v="0"/>
    <d v="2012-08-18T00:00:00"/>
    <d v="2022-08-18T00:00:00"/>
    <x v="10"/>
  </r>
  <r>
    <n v="379"/>
    <x v="5"/>
    <x v="4"/>
    <x v="0"/>
    <n v="0.47887731481481483"/>
    <s v="Shibor_3M"/>
    <n v="3.05"/>
    <n v="3.15"/>
    <n v="0"/>
    <d v="2012-08-18T00:00:00"/>
    <d v="2014-08-18T00:00:00"/>
    <x v="64"/>
  </r>
  <r>
    <n v="380"/>
    <x v="5"/>
    <x v="1"/>
    <x v="0"/>
    <n v="0.47887731481481483"/>
    <s v="Shibor_3M"/>
    <n v="3.2"/>
    <n v="3.3"/>
    <n v="0"/>
    <d v="2012-08-18T00:00:00"/>
    <d v="2013-08-18T00:00:00"/>
    <x v="21"/>
  </r>
  <r>
    <n v="381"/>
    <x v="5"/>
    <x v="5"/>
    <x v="0"/>
    <n v="0.47887731481481483"/>
    <s v="Shibor_3M"/>
    <n v="3.3"/>
    <n v="3.4"/>
    <n v="0"/>
    <d v="2012-08-18T00:00:00"/>
    <d v="2013-05-18T00:00:00"/>
    <x v="1"/>
  </r>
  <r>
    <n v="382"/>
    <x v="5"/>
    <x v="7"/>
    <x v="0"/>
    <n v="0.47887731481481483"/>
    <s v="Shibor_3M"/>
    <n v="3"/>
    <n v="3.4"/>
    <n v="0"/>
    <d v="2012-08-18T00:00:00"/>
    <d v="2019-08-18T00:00:00"/>
    <x v="57"/>
  </r>
  <r>
    <n v="383"/>
    <x v="5"/>
    <x v="11"/>
    <x v="0"/>
    <n v="0.47888888888888892"/>
    <s v="Shibor_3M"/>
    <n v="3.04"/>
    <n v="3.14"/>
    <n v="0"/>
    <d v="2012-08-18T00:00:00"/>
    <d v="2017-08-18T00:00:00"/>
    <x v="69"/>
  </r>
  <r>
    <n v="384"/>
    <x v="5"/>
    <x v="4"/>
    <x v="1"/>
    <n v="0.47921296296296295"/>
    <s v="Shibor_3M"/>
    <n v="3.1"/>
    <n v="3.16"/>
    <n v="0"/>
    <d v="2012-08-18T00:00:00"/>
    <d v="2014-08-18T00:00:00"/>
    <x v="78"/>
  </r>
  <r>
    <n v="385"/>
    <x v="5"/>
    <x v="1"/>
    <x v="1"/>
    <n v="0.47921296296296295"/>
    <s v="Shibor_3M"/>
    <n v="3.23"/>
    <n v="3.29"/>
    <n v="0"/>
    <d v="2012-08-18T00:00:00"/>
    <d v="2013-08-18T00:00:00"/>
    <x v="16"/>
  </r>
  <r>
    <n v="386"/>
    <x v="5"/>
    <x v="7"/>
    <x v="1"/>
    <n v="0.47922453703703699"/>
    <s v="Shibor_3M"/>
    <n v="3.15"/>
    <n v="3.21"/>
    <n v="0"/>
    <d v="2012-08-18T00:00:00"/>
    <d v="2019-08-18T00:00:00"/>
    <x v="49"/>
  </r>
  <r>
    <n v="387"/>
    <x v="5"/>
    <x v="0"/>
    <x v="1"/>
    <n v="0.47922453703703699"/>
    <s v="Shibor_3M"/>
    <n v="3.08"/>
    <n v="3.14"/>
    <n v="0"/>
    <d v="2012-08-18T00:00:00"/>
    <d v="2015-08-18T00:00:00"/>
    <x v="50"/>
  </r>
  <r>
    <n v="388"/>
    <x v="5"/>
    <x v="3"/>
    <x v="0"/>
    <n v="0.47888888888888892"/>
    <s v="Shibor_3M"/>
    <n v="3.02"/>
    <n v="3.42"/>
    <n v="0"/>
    <d v="2012-08-18T00:00:00"/>
    <d v="2021-08-18T00:00:00"/>
    <x v="0"/>
  </r>
  <r>
    <n v="389"/>
    <x v="5"/>
    <x v="2"/>
    <x v="0"/>
    <n v="0.47888888888888892"/>
    <s v="Shibor_3M"/>
    <n v="3.04"/>
    <n v="3.14"/>
    <n v="0"/>
    <d v="2012-08-18T00:00:00"/>
    <d v="2016-08-18T00:00:00"/>
    <x v="69"/>
  </r>
  <r>
    <n v="390"/>
    <x v="5"/>
    <x v="8"/>
    <x v="1"/>
    <n v="0.47921296296296295"/>
    <s v="Shibor_3M"/>
    <n v="3.46"/>
    <n v="3.52"/>
    <n v="0"/>
    <d v="2012-08-18T00:00:00"/>
    <d v="2013-02-18T00:00:00"/>
    <x v="38"/>
  </r>
  <r>
    <n v="391"/>
    <x v="5"/>
    <x v="0"/>
    <x v="0"/>
    <n v="0.47888888888888892"/>
    <s v="Shibor_3M"/>
    <n v="3.05"/>
    <n v="3.15"/>
    <n v="0"/>
    <d v="2012-08-18T00:00:00"/>
    <d v="2015-08-18T00:00:00"/>
    <x v="64"/>
  </r>
  <r>
    <n v="392"/>
    <x v="5"/>
    <x v="6"/>
    <x v="2"/>
    <n v="0.67984953703703699"/>
    <s v="Shibor_3M"/>
    <n v="3"/>
    <n v="3.3"/>
    <n v="0"/>
    <d v="2012-08-18T00:00:00"/>
    <d v="2022-08-18T00:00:00"/>
    <x v="27"/>
  </r>
  <r>
    <n v="393"/>
    <x v="5"/>
    <x v="10"/>
    <x v="2"/>
    <n v="0.67984953703703699"/>
    <s v="Shibor_3M"/>
    <n v="3"/>
    <n v="3.3"/>
    <n v="0"/>
    <d v="2012-08-18T00:00:00"/>
    <d v="2020-08-18T00:00:00"/>
    <x v="27"/>
  </r>
  <r>
    <n v="394"/>
    <x v="5"/>
    <x v="3"/>
    <x v="2"/>
    <n v="0.67984953703703699"/>
    <s v="Shibor_3M"/>
    <n v="3"/>
    <n v="3.3"/>
    <n v="0"/>
    <d v="2012-08-18T00:00:00"/>
    <d v="2021-08-18T00:00:00"/>
    <x v="27"/>
  </r>
  <r>
    <n v="395"/>
    <x v="5"/>
    <x v="4"/>
    <x v="2"/>
    <n v="0.67984953703703699"/>
    <s v="Shibor_3M"/>
    <n v="3"/>
    <n v="3.05"/>
    <n v="0"/>
    <d v="2012-08-18T00:00:00"/>
    <d v="2014-08-18T00:00:00"/>
    <x v="79"/>
  </r>
  <r>
    <n v="396"/>
    <x v="5"/>
    <x v="2"/>
    <x v="2"/>
    <n v="0.67984953703703699"/>
    <s v="Shibor_3M"/>
    <n v="3"/>
    <n v="3.05"/>
    <n v="0"/>
    <d v="2012-08-18T00:00:00"/>
    <d v="2016-08-18T00:00:00"/>
    <x v="79"/>
  </r>
  <r>
    <n v="397"/>
    <x v="5"/>
    <x v="11"/>
    <x v="2"/>
    <n v="0.67984953703703699"/>
    <s v="Shibor_3M"/>
    <n v="3.05"/>
    <n v="3.1"/>
    <n v="0"/>
    <d v="2012-08-18T00:00:00"/>
    <d v="2017-08-18T00:00:00"/>
    <x v="76"/>
  </r>
  <r>
    <n v="398"/>
    <x v="5"/>
    <x v="1"/>
    <x v="2"/>
    <n v="0.67984953703703699"/>
    <s v="Shibor_3M"/>
    <n v="3.1"/>
    <n v="3.15"/>
    <n v="0"/>
    <d v="2012-08-18T00:00:00"/>
    <d v="2013-08-18T00:00:00"/>
    <x v="80"/>
  </r>
  <r>
    <n v="399"/>
    <x v="5"/>
    <x v="8"/>
    <x v="2"/>
    <n v="0.67984953703703699"/>
    <s v="Shibor_3M"/>
    <n v="3.3"/>
    <n v="3.5"/>
    <n v="0"/>
    <d v="2012-08-18T00:00:00"/>
    <d v="2013-02-18T00:00:00"/>
    <x v="32"/>
  </r>
  <r>
    <n v="400"/>
    <x v="5"/>
    <x v="7"/>
    <x v="2"/>
    <n v="0.67984953703703699"/>
    <s v="Shibor_3M"/>
    <n v="3"/>
    <n v="3.3"/>
    <n v="0"/>
    <d v="2012-08-18T00:00:00"/>
    <d v="2019-08-18T00:00:00"/>
    <x v="27"/>
  </r>
  <r>
    <n v="401"/>
    <x v="5"/>
    <x v="4"/>
    <x v="3"/>
    <n v="0.68543981481481486"/>
    <s v="Shibor_3M"/>
    <n v="3.06"/>
    <n v="3.16"/>
    <n v="0"/>
    <d v="2012-08-18T00:00:00"/>
    <d v="2014-08-18T00:00:00"/>
    <x v="50"/>
  </r>
  <r>
    <n v="402"/>
    <x v="5"/>
    <x v="2"/>
    <x v="3"/>
    <n v="0.68542824074074071"/>
    <s v="Shibor_3M"/>
    <n v="3"/>
    <n v="3.1"/>
    <n v="0"/>
    <d v="2012-08-18T00:00:00"/>
    <d v="2016-08-18T00:00:00"/>
    <x v="81"/>
  </r>
  <r>
    <n v="403"/>
    <x v="5"/>
    <x v="0"/>
    <x v="3"/>
    <n v="0.68547453703703709"/>
    <s v="Shibor_3M"/>
    <n v="3"/>
    <n v="3.1"/>
    <n v="0"/>
    <d v="2012-08-18T00:00:00"/>
    <d v="2015-08-18T00:00:00"/>
    <x v="81"/>
  </r>
  <r>
    <n v="404"/>
    <x v="5"/>
    <x v="8"/>
    <x v="3"/>
    <n v="0.68547453703703709"/>
    <s v="Shibor_3M"/>
    <n v="3.41"/>
    <n v="3.51"/>
    <n v="0"/>
    <d v="2012-08-18T00:00:00"/>
    <d v="2013-02-18T00:00:00"/>
    <x v="46"/>
  </r>
  <r>
    <n v="405"/>
    <x v="5"/>
    <x v="1"/>
    <x v="3"/>
    <n v="0.68542824074074071"/>
    <s v="Shibor_3M"/>
    <n v="3.16"/>
    <n v="3.21"/>
    <n v="0"/>
    <d v="2012-08-18T00:00:00"/>
    <d v="2013-08-18T00:00:00"/>
    <x v="63"/>
  </r>
  <r>
    <n v="406"/>
    <x v="5"/>
    <x v="0"/>
    <x v="2"/>
    <n v="0.67986111111111114"/>
    <s v="Shibor_3M"/>
    <n v="3"/>
    <n v="3.05"/>
    <n v="0"/>
    <d v="2012-08-18T00:00:00"/>
    <d v="2015-08-18T00:00:00"/>
    <x v="79"/>
  </r>
  <r>
    <n v="407"/>
    <x v="5"/>
    <x v="5"/>
    <x v="3"/>
    <n v="0.68542824074074071"/>
    <s v="Shibor_3M"/>
    <n v="3.27"/>
    <n v="3.37"/>
    <n v="0"/>
    <d v="2012-08-18T00:00:00"/>
    <d v="2013-05-18T00:00:00"/>
    <x v="24"/>
  </r>
  <r>
    <n v="408"/>
    <x v="5"/>
    <x v="11"/>
    <x v="3"/>
    <n v="0.68542824074074071"/>
    <s v="Shibor_3M"/>
    <n v="3.27"/>
    <n v="3.37"/>
    <n v="0"/>
    <d v="2012-08-18T00:00:00"/>
    <d v="2017-08-18T00:00:00"/>
    <x v="24"/>
  </r>
  <r>
    <n v="409"/>
    <x v="5"/>
    <x v="2"/>
    <x v="0"/>
    <n v="0.66686342592592596"/>
    <s v="Shibor_3M"/>
    <n v="3.04"/>
    <n v="3.14"/>
    <n v="0"/>
    <d v="2012-08-18T00:00:00"/>
    <d v="2016-08-18T00:00:00"/>
    <x v="69"/>
  </r>
  <r>
    <n v="410"/>
    <x v="5"/>
    <x v="11"/>
    <x v="0"/>
    <n v="0.66686342592592596"/>
    <s v="Shibor_3M"/>
    <n v="3.04"/>
    <n v="3.14"/>
    <n v="0"/>
    <d v="2012-08-18T00:00:00"/>
    <d v="2017-08-18T00:00:00"/>
    <x v="69"/>
  </r>
  <r>
    <n v="411"/>
    <x v="5"/>
    <x v="1"/>
    <x v="1"/>
    <n v="0.67655092592592592"/>
    <s v="Shibor_3M"/>
    <n v="3.23"/>
    <n v="3.29"/>
    <n v="0"/>
    <d v="2012-08-18T00:00:00"/>
    <d v="2013-08-18T00:00:00"/>
    <x v="16"/>
  </r>
  <r>
    <n v="412"/>
    <x v="5"/>
    <x v="8"/>
    <x v="1"/>
    <n v="0.67655092592592592"/>
    <s v="Shibor_3M"/>
    <n v="3.46"/>
    <n v="3.52"/>
    <n v="0"/>
    <d v="2012-08-18T00:00:00"/>
    <d v="2013-02-18T00:00:00"/>
    <x v="38"/>
  </r>
  <r>
    <n v="413"/>
    <x v="5"/>
    <x v="3"/>
    <x v="0"/>
    <n v="0.66686342592592596"/>
    <s v="Shibor_3M"/>
    <n v="3.02"/>
    <n v="3.42"/>
    <n v="0"/>
    <d v="2012-08-18T00:00:00"/>
    <d v="2021-08-18T00:00:00"/>
    <x v="0"/>
  </r>
  <r>
    <n v="414"/>
    <x v="5"/>
    <x v="6"/>
    <x v="0"/>
    <n v="0.66685185185185192"/>
    <s v="Shibor_3M"/>
    <n v="3.04"/>
    <n v="3.44"/>
    <n v="0"/>
    <d v="2012-08-18T00:00:00"/>
    <d v="2022-08-18T00:00:00"/>
    <x v="10"/>
  </r>
  <r>
    <n v="415"/>
    <x v="5"/>
    <x v="10"/>
    <x v="0"/>
    <n v="0.66686342592592596"/>
    <s v="Shibor_3M"/>
    <n v="3"/>
    <n v="3.4"/>
    <n v="0"/>
    <d v="2012-08-18T00:00:00"/>
    <d v="2020-08-18T00:00:00"/>
    <x v="57"/>
  </r>
  <r>
    <n v="416"/>
    <x v="5"/>
    <x v="0"/>
    <x v="0"/>
    <n v="0.66686342592592596"/>
    <s v="Shibor_3M"/>
    <n v="3.05"/>
    <n v="3.15"/>
    <n v="0"/>
    <d v="2012-08-18T00:00:00"/>
    <d v="2015-08-18T00:00:00"/>
    <x v="64"/>
  </r>
  <r>
    <n v="417"/>
    <x v="5"/>
    <x v="4"/>
    <x v="1"/>
    <n v="0.67655092592592592"/>
    <s v="Shibor_3M"/>
    <n v="3.1"/>
    <n v="3.16"/>
    <n v="0"/>
    <d v="2012-08-18T00:00:00"/>
    <d v="2014-08-18T00:00:00"/>
    <x v="78"/>
  </r>
  <r>
    <n v="418"/>
    <x v="5"/>
    <x v="2"/>
    <x v="1"/>
    <n v="0.67656250000000007"/>
    <s v="Shibor_3M"/>
    <n v="3.08"/>
    <n v="3.14"/>
    <n v="0"/>
    <d v="2012-08-18T00:00:00"/>
    <d v="2016-08-18T00:00:00"/>
    <x v="50"/>
  </r>
  <r>
    <n v="419"/>
    <x v="5"/>
    <x v="11"/>
    <x v="1"/>
    <n v="0.67656250000000007"/>
    <s v="Shibor_3M"/>
    <n v="3.08"/>
    <n v="3.14"/>
    <n v="0"/>
    <d v="2012-08-18T00:00:00"/>
    <d v="2017-08-18T00:00:00"/>
    <x v="50"/>
  </r>
  <r>
    <n v="420"/>
    <x v="5"/>
    <x v="5"/>
    <x v="2"/>
    <n v="0.67984953703703699"/>
    <s v="Shibor_3M"/>
    <n v="3.6"/>
    <n v="3.7"/>
    <n v="0"/>
    <d v="2012-08-18T00:00:00"/>
    <d v="2013-05-18T00:00:00"/>
    <x v="60"/>
  </r>
  <r>
    <n v="421"/>
    <x v="5"/>
    <x v="9"/>
    <x v="2"/>
    <n v="0.67983796296296306"/>
    <s v="Shibor_3M"/>
    <n v="3"/>
    <n v="3.3"/>
    <n v="0"/>
    <d v="2012-08-18T00:00:00"/>
    <d v="2018-08-18T00:00:00"/>
    <x v="27"/>
  </r>
  <r>
    <n v="422"/>
    <x v="5"/>
    <x v="7"/>
    <x v="1"/>
    <n v="0.67656250000000007"/>
    <s v="Shibor_3M"/>
    <n v="3.15"/>
    <n v="3.21"/>
    <n v="0"/>
    <d v="2012-08-18T00:00:00"/>
    <d v="2019-08-18T00:00:00"/>
    <x v="49"/>
  </r>
  <r>
    <n v="423"/>
    <x v="5"/>
    <x v="0"/>
    <x v="1"/>
    <n v="0.67656250000000007"/>
    <s v="Shibor_3M"/>
    <n v="3.08"/>
    <n v="3.14"/>
    <n v="0"/>
    <d v="2012-08-18T00:00:00"/>
    <d v="2015-08-18T00:00:00"/>
    <x v="50"/>
  </r>
  <r>
    <n v="424"/>
    <x v="5"/>
    <x v="6"/>
    <x v="1"/>
    <n v="0.67656250000000007"/>
    <s v="Shibor_3M"/>
    <n v="3.2"/>
    <n v="3.26"/>
    <n v="0"/>
    <d v="2012-08-18T00:00:00"/>
    <d v="2022-08-18T00:00:00"/>
    <x v="40"/>
  </r>
  <r>
    <n v="425"/>
    <x v="5"/>
    <x v="5"/>
    <x v="1"/>
    <n v="0.67656250000000007"/>
    <s v="Shibor_3M"/>
    <n v="3.32"/>
    <n v="3.38"/>
    <n v="0"/>
    <d v="2012-08-18T00:00:00"/>
    <d v="2013-05-18T00:00:00"/>
    <x v="1"/>
  </r>
  <r>
    <n v="426"/>
    <x v="6"/>
    <x v="2"/>
    <x v="1"/>
    <n v="0.48925925925925928"/>
    <s v="Shibor_3M"/>
    <n v="3.06"/>
    <n v="3.12"/>
    <n v="0"/>
    <d v="2012-08-17T00:00:00"/>
    <d v="2016-08-17T00:00:00"/>
    <x v="69"/>
  </r>
  <r>
    <n v="427"/>
    <x v="6"/>
    <x v="0"/>
    <x v="1"/>
    <n v="0.48925925925925928"/>
    <s v="Shibor_3M"/>
    <n v="3.07"/>
    <n v="3.13"/>
    <n v="0"/>
    <d v="2012-08-17T00:00:00"/>
    <d v="2015-08-17T00:00:00"/>
    <x v="64"/>
  </r>
  <r>
    <n v="428"/>
    <x v="6"/>
    <x v="1"/>
    <x v="3"/>
    <n v="0.49204861111111109"/>
    <s v="Shibor_3M"/>
    <n v="3.21"/>
    <n v="3.3"/>
    <n v="0"/>
    <d v="2012-08-17T00:00:00"/>
    <d v="2013-08-17T00:00:00"/>
    <x v="82"/>
  </r>
  <r>
    <n v="429"/>
    <x v="6"/>
    <x v="11"/>
    <x v="1"/>
    <n v="0.48925925925925928"/>
    <s v="Shibor_3M"/>
    <n v="3.08"/>
    <n v="3.14"/>
    <n v="0"/>
    <d v="2012-08-17T00:00:00"/>
    <d v="2017-08-17T00:00:00"/>
    <x v="50"/>
  </r>
  <r>
    <n v="430"/>
    <x v="6"/>
    <x v="7"/>
    <x v="1"/>
    <n v="0.48924768518518519"/>
    <s v="Shibor_3M"/>
    <n v="3.15"/>
    <n v="3.21"/>
    <n v="0"/>
    <d v="2012-08-17T00:00:00"/>
    <d v="2019-08-17T00:00:00"/>
    <x v="49"/>
  </r>
  <r>
    <n v="431"/>
    <x v="6"/>
    <x v="5"/>
    <x v="1"/>
    <n v="0.48924768518518519"/>
    <s v="Shibor_3M"/>
    <n v="3.31"/>
    <n v="3.37"/>
    <n v="0"/>
    <d v="2012-08-17T00:00:00"/>
    <d v="2013-05-17T00:00:00"/>
    <x v="5"/>
  </r>
  <r>
    <n v="432"/>
    <x v="6"/>
    <x v="6"/>
    <x v="1"/>
    <n v="0.48925925925925928"/>
    <s v="Shibor_3M"/>
    <n v="3.21"/>
    <n v="3.27"/>
    <n v="0"/>
    <d v="2012-08-17T00:00:00"/>
    <d v="2022-08-17T00:00:00"/>
    <x v="10"/>
  </r>
  <r>
    <n v="433"/>
    <x v="6"/>
    <x v="2"/>
    <x v="3"/>
    <n v="0.49206018518518518"/>
    <s v="Shibor_3M"/>
    <n v="3.06"/>
    <n v="3.16"/>
    <n v="0"/>
    <d v="2012-08-17T00:00:00"/>
    <d v="2016-08-17T00:00:00"/>
    <x v="50"/>
  </r>
  <r>
    <n v="434"/>
    <x v="6"/>
    <x v="4"/>
    <x v="3"/>
    <n v="0.49206018518518518"/>
    <s v="Shibor_3M"/>
    <n v="3.08"/>
    <n v="3.18"/>
    <n v="0"/>
    <d v="2012-08-17T00:00:00"/>
    <d v="2014-08-17T00:00:00"/>
    <x v="78"/>
  </r>
  <r>
    <n v="435"/>
    <x v="6"/>
    <x v="1"/>
    <x v="0"/>
    <n v="0.67178240740740736"/>
    <s v="Shibor_3M"/>
    <n v="3.2"/>
    <n v="3.3"/>
    <n v="0"/>
    <d v="2012-08-17T00:00:00"/>
    <d v="2013-08-17T00:00:00"/>
    <x v="21"/>
  </r>
  <r>
    <n v="436"/>
    <x v="6"/>
    <x v="0"/>
    <x v="3"/>
    <n v="0.49206018518518518"/>
    <s v="Shibor_3M"/>
    <n v="3.08"/>
    <n v="3.13"/>
    <n v="0"/>
    <d v="2012-08-17T00:00:00"/>
    <d v="2015-08-17T00:00:00"/>
    <x v="83"/>
  </r>
  <r>
    <n v="437"/>
    <x v="6"/>
    <x v="11"/>
    <x v="3"/>
    <n v="0.49204861111111109"/>
    <s v="Shibor_3M"/>
    <n v="3.09"/>
    <n v="3.14"/>
    <n v="0"/>
    <d v="2012-08-17T00:00:00"/>
    <d v="2017-08-17T00:00:00"/>
    <x v="84"/>
  </r>
  <r>
    <n v="438"/>
    <x v="6"/>
    <x v="5"/>
    <x v="3"/>
    <n v="0.49204861111111109"/>
    <s v="Shibor_3M"/>
    <n v="3.32"/>
    <n v="3.42"/>
    <n v="0"/>
    <d v="2012-08-17T00:00:00"/>
    <d v="2013-05-17T00:00:00"/>
    <x v="19"/>
  </r>
  <r>
    <n v="439"/>
    <x v="6"/>
    <x v="8"/>
    <x v="3"/>
    <n v="0.49206018518518518"/>
    <s v="Shibor_3M"/>
    <n v="3.42"/>
    <n v="3.52"/>
    <n v="0"/>
    <d v="2012-08-17T00:00:00"/>
    <d v="2013-02-17T00:00:00"/>
    <x v="4"/>
  </r>
  <r>
    <n v="440"/>
    <x v="6"/>
    <x v="4"/>
    <x v="1"/>
    <n v="0.48923611111111115"/>
    <s v="Shibor_3M"/>
    <n v="3.09"/>
    <n v="3.15"/>
    <n v="0"/>
    <d v="2012-08-17T00:00:00"/>
    <d v="2014-08-17T00:00:00"/>
    <x v="66"/>
  </r>
  <r>
    <n v="441"/>
    <x v="6"/>
    <x v="7"/>
    <x v="0"/>
    <n v="0.47908564814814819"/>
    <s v="Shibor_3M"/>
    <n v="3"/>
    <n v="3.4"/>
    <n v="0"/>
    <d v="2012-08-17T00:00:00"/>
    <d v="2019-08-17T00:00:00"/>
    <x v="57"/>
  </r>
  <r>
    <n v="442"/>
    <x v="6"/>
    <x v="5"/>
    <x v="0"/>
    <n v="0.47908564814814819"/>
    <s v="Shibor_3M"/>
    <n v="3.3"/>
    <n v="3.4"/>
    <n v="0"/>
    <d v="2012-08-17T00:00:00"/>
    <d v="2013-05-17T00:00:00"/>
    <x v="1"/>
  </r>
  <r>
    <n v="443"/>
    <x v="6"/>
    <x v="6"/>
    <x v="0"/>
    <n v="0.47908564814814819"/>
    <s v="Shibor_3M"/>
    <n v="3.04"/>
    <n v="3.44"/>
    <n v="0"/>
    <d v="2012-08-17T00:00:00"/>
    <d v="2022-08-17T00:00:00"/>
    <x v="10"/>
  </r>
  <r>
    <n v="444"/>
    <x v="6"/>
    <x v="4"/>
    <x v="0"/>
    <n v="0.47907407407407404"/>
    <s v="Shibor_3M"/>
    <n v="3.05"/>
    <n v="3.15"/>
    <n v="0"/>
    <d v="2012-08-17T00:00:00"/>
    <d v="2014-08-17T00:00:00"/>
    <x v="64"/>
  </r>
  <r>
    <n v="445"/>
    <x v="6"/>
    <x v="9"/>
    <x v="0"/>
    <n v="0.47907407407407404"/>
    <s v="Shibor_3M"/>
    <n v="3.03"/>
    <n v="3.13"/>
    <n v="0"/>
    <d v="2012-08-17T00:00:00"/>
    <d v="2018-08-17T00:00:00"/>
    <x v="70"/>
  </r>
  <r>
    <n v="446"/>
    <x v="6"/>
    <x v="8"/>
    <x v="0"/>
    <n v="0.47907407407407404"/>
    <s v="Shibor_3M"/>
    <n v="3.4"/>
    <n v="3.5"/>
    <n v="0"/>
    <d v="2012-08-17T00:00:00"/>
    <d v="2013-02-17T00:00:00"/>
    <x v="43"/>
  </r>
  <r>
    <n v="447"/>
    <x v="6"/>
    <x v="1"/>
    <x v="0"/>
    <n v="0.47907407407407404"/>
    <s v="Shibor_3M"/>
    <n v="3.2"/>
    <n v="3.3"/>
    <n v="0"/>
    <d v="2012-08-17T00:00:00"/>
    <d v="2013-08-17T00:00:00"/>
    <x v="21"/>
  </r>
  <r>
    <n v="448"/>
    <x v="6"/>
    <x v="0"/>
    <x v="0"/>
    <n v="0.47908564814814819"/>
    <s v="Shibor_3M"/>
    <n v="3.05"/>
    <n v="3.15"/>
    <n v="0"/>
    <d v="2012-08-17T00:00:00"/>
    <d v="2015-08-17T00:00:00"/>
    <x v="64"/>
  </r>
  <r>
    <n v="449"/>
    <x v="6"/>
    <x v="8"/>
    <x v="1"/>
    <n v="0.48923611111111115"/>
    <s v="Shibor_3M"/>
    <n v="3.43"/>
    <n v="3.49"/>
    <n v="0"/>
    <d v="2012-08-17T00:00:00"/>
    <d v="2013-02-17T00:00:00"/>
    <x v="46"/>
  </r>
  <r>
    <n v="450"/>
    <x v="6"/>
    <x v="1"/>
    <x v="1"/>
    <n v="0.48923611111111115"/>
    <s v="Shibor_3M"/>
    <n v="3.2"/>
    <n v="3.26"/>
    <n v="0"/>
    <d v="2012-08-17T00:00:00"/>
    <d v="2013-08-17T00:00:00"/>
    <x v="40"/>
  </r>
  <r>
    <n v="451"/>
    <x v="6"/>
    <x v="3"/>
    <x v="0"/>
    <n v="0.47908564814814819"/>
    <s v="Shibor_3M"/>
    <n v="3.02"/>
    <n v="3.42"/>
    <n v="0"/>
    <d v="2012-08-17T00:00:00"/>
    <d v="2021-08-17T00:00:00"/>
    <x v="0"/>
  </r>
  <r>
    <n v="452"/>
    <x v="6"/>
    <x v="10"/>
    <x v="0"/>
    <n v="0.47908564814814819"/>
    <s v="Shibor_3M"/>
    <n v="3"/>
    <n v="3.4"/>
    <n v="0"/>
    <d v="2012-08-17T00:00:00"/>
    <d v="2020-08-17T00:00:00"/>
    <x v="57"/>
  </r>
  <r>
    <n v="453"/>
    <x v="6"/>
    <x v="11"/>
    <x v="0"/>
    <n v="0.47908564814814819"/>
    <s v="Shibor_3M"/>
    <n v="3.04"/>
    <n v="3.14"/>
    <n v="0"/>
    <d v="2012-08-17T00:00:00"/>
    <d v="2017-08-17T00:00:00"/>
    <x v="69"/>
  </r>
  <r>
    <n v="454"/>
    <x v="6"/>
    <x v="2"/>
    <x v="0"/>
    <n v="0.47908564814814819"/>
    <s v="Shibor_3M"/>
    <n v="3.04"/>
    <n v="3.14"/>
    <n v="0"/>
    <d v="2012-08-17T00:00:00"/>
    <d v="2016-08-17T00:00:00"/>
    <x v="69"/>
  </r>
  <r>
    <n v="455"/>
    <x v="6"/>
    <x v="4"/>
    <x v="0"/>
    <n v="0.67178240740740736"/>
    <s v="Shibor_3M"/>
    <n v="3.05"/>
    <n v="3.15"/>
    <n v="0"/>
    <d v="2012-08-17T00:00:00"/>
    <d v="2014-08-17T00:00:00"/>
    <x v="64"/>
  </r>
  <r>
    <n v="456"/>
    <x v="6"/>
    <x v="7"/>
    <x v="2"/>
    <n v="0.67447916666666663"/>
    <s v="Shibor_3M"/>
    <n v="3"/>
    <n v="3.3"/>
    <n v="0"/>
    <d v="2012-08-17T00:00:00"/>
    <d v="2019-08-17T00:00:00"/>
    <x v="27"/>
  </r>
  <r>
    <n v="457"/>
    <x v="6"/>
    <x v="2"/>
    <x v="2"/>
    <n v="0.67449074074074078"/>
    <s v="Shibor_3M"/>
    <n v="3"/>
    <n v="3.05"/>
    <n v="0"/>
    <d v="2012-08-17T00:00:00"/>
    <d v="2016-08-17T00:00:00"/>
    <x v="79"/>
  </r>
  <r>
    <n v="458"/>
    <x v="6"/>
    <x v="0"/>
    <x v="2"/>
    <n v="0.67450231481481471"/>
    <s v="Shibor_3M"/>
    <n v="3"/>
    <n v="3.05"/>
    <n v="0"/>
    <d v="2012-08-17T00:00:00"/>
    <d v="2015-08-17T00:00:00"/>
    <x v="79"/>
  </r>
  <r>
    <n v="459"/>
    <x v="6"/>
    <x v="3"/>
    <x v="2"/>
    <n v="0.67447916666666663"/>
    <s v="Shibor_3M"/>
    <n v="3"/>
    <n v="3.3"/>
    <n v="0"/>
    <d v="2012-08-17T00:00:00"/>
    <d v="2021-08-17T00:00:00"/>
    <x v="27"/>
  </r>
  <r>
    <n v="460"/>
    <x v="6"/>
    <x v="11"/>
    <x v="2"/>
    <n v="0.67447916666666663"/>
    <s v="Shibor_3M"/>
    <n v="3.05"/>
    <n v="3.1"/>
    <n v="0"/>
    <d v="2012-08-17T00:00:00"/>
    <d v="2017-08-17T00:00:00"/>
    <x v="76"/>
  </r>
  <r>
    <n v="461"/>
    <x v="6"/>
    <x v="6"/>
    <x v="2"/>
    <n v="0.67447916666666663"/>
    <s v="Shibor_3M"/>
    <n v="3"/>
    <n v="3.3"/>
    <n v="0"/>
    <d v="2012-08-17T00:00:00"/>
    <d v="2022-08-17T00:00:00"/>
    <x v="27"/>
  </r>
  <r>
    <n v="462"/>
    <x v="6"/>
    <x v="4"/>
    <x v="2"/>
    <n v="0.67447916666666663"/>
    <s v="Shibor_3M"/>
    <n v="3"/>
    <n v="3.05"/>
    <n v="0"/>
    <d v="2012-08-17T00:00:00"/>
    <d v="2014-08-17T00:00:00"/>
    <x v="79"/>
  </r>
  <r>
    <n v="463"/>
    <x v="6"/>
    <x v="5"/>
    <x v="3"/>
    <n v="0.67543981481481474"/>
    <s v="Shibor_3M"/>
    <n v="3.28"/>
    <n v="3.38"/>
    <n v="0"/>
    <d v="2012-08-17T00:00:00"/>
    <d v="2013-05-17T00:00:00"/>
    <x v="41"/>
  </r>
  <r>
    <n v="464"/>
    <x v="6"/>
    <x v="0"/>
    <x v="3"/>
    <n v="0.67545138888888889"/>
    <s v="Shibor_3M"/>
    <n v="3.04"/>
    <n v="3.12"/>
    <n v="0"/>
    <d v="2012-08-17T00:00:00"/>
    <d v="2015-08-17T00:00:00"/>
    <x v="70"/>
  </r>
  <r>
    <n v="465"/>
    <x v="6"/>
    <x v="8"/>
    <x v="3"/>
    <n v="0.67545138888888889"/>
    <s v="Shibor_3M"/>
    <n v="3.42"/>
    <n v="3.52"/>
    <n v="0"/>
    <d v="2012-08-17T00:00:00"/>
    <d v="2013-02-17T00:00:00"/>
    <x v="4"/>
  </r>
  <r>
    <n v="466"/>
    <x v="6"/>
    <x v="11"/>
    <x v="3"/>
    <n v="0.67543981481481474"/>
    <s v="Shibor_3M"/>
    <n v="3.04"/>
    <n v="3.09"/>
    <n v="0"/>
    <d v="2012-08-17T00:00:00"/>
    <d v="2017-08-17T00:00:00"/>
    <x v="85"/>
  </r>
  <r>
    <n v="467"/>
    <x v="6"/>
    <x v="2"/>
    <x v="3"/>
    <n v="0.67543981481481474"/>
    <s v="Shibor_3M"/>
    <n v="3.02"/>
    <n v="3.12"/>
    <n v="0"/>
    <d v="2012-08-17T00:00:00"/>
    <d v="2016-08-17T00:00:00"/>
    <x v="86"/>
  </r>
  <r>
    <n v="468"/>
    <x v="6"/>
    <x v="4"/>
    <x v="3"/>
    <n v="0.67543981481481474"/>
    <s v="Shibor_3M"/>
    <n v="3.04"/>
    <n v="3.14"/>
    <n v="0"/>
    <d v="2012-08-17T00:00:00"/>
    <d v="2014-08-17T00:00:00"/>
    <x v="69"/>
  </r>
  <r>
    <n v="469"/>
    <x v="6"/>
    <x v="1"/>
    <x v="3"/>
    <n v="0.67543981481481474"/>
    <s v="Shibor_3M"/>
    <n v="3.21"/>
    <n v="3.29"/>
    <n v="0"/>
    <d v="2012-08-17T00:00:00"/>
    <d v="2013-08-17T00:00:00"/>
    <x v="21"/>
  </r>
  <r>
    <n v="470"/>
    <x v="6"/>
    <x v="5"/>
    <x v="2"/>
    <n v="0.67447916666666663"/>
    <s v="Shibor_3M"/>
    <n v="3.6"/>
    <n v="3.7"/>
    <n v="0"/>
    <d v="2012-08-17T00:00:00"/>
    <d v="2013-05-17T00:00:00"/>
    <x v="60"/>
  </r>
  <r>
    <n v="471"/>
    <x v="6"/>
    <x v="8"/>
    <x v="0"/>
    <n v="0.67178240740740736"/>
    <s v="Shibor_3M"/>
    <n v="3.4"/>
    <n v="3.5"/>
    <n v="0"/>
    <d v="2012-08-17T00:00:00"/>
    <d v="2013-02-17T00:00:00"/>
    <x v="43"/>
  </r>
  <r>
    <n v="472"/>
    <x v="6"/>
    <x v="10"/>
    <x v="0"/>
    <n v="0.67179398148148151"/>
    <s v="Shibor_3M"/>
    <n v="3"/>
    <n v="3.4"/>
    <n v="0"/>
    <d v="2012-08-17T00:00:00"/>
    <d v="2020-08-17T00:00:00"/>
    <x v="57"/>
  </r>
  <r>
    <n v="473"/>
    <x v="6"/>
    <x v="11"/>
    <x v="0"/>
    <n v="0.67179398148148151"/>
    <s v="Shibor_3M"/>
    <n v="3.04"/>
    <n v="3.14"/>
    <n v="0"/>
    <d v="2012-08-17T00:00:00"/>
    <d v="2017-08-17T00:00:00"/>
    <x v="69"/>
  </r>
  <r>
    <n v="474"/>
    <x v="6"/>
    <x v="9"/>
    <x v="0"/>
    <n v="0.67178240740740736"/>
    <s v="Shibor_3M"/>
    <n v="3.03"/>
    <n v="3.13"/>
    <n v="0"/>
    <d v="2012-08-17T00:00:00"/>
    <d v="2018-08-17T00:00:00"/>
    <x v="70"/>
  </r>
  <r>
    <n v="475"/>
    <x v="6"/>
    <x v="7"/>
    <x v="0"/>
    <n v="0.67178240740740736"/>
    <s v="Shibor_3M"/>
    <n v="3"/>
    <n v="3.4"/>
    <n v="0"/>
    <d v="2012-08-17T00:00:00"/>
    <d v="2019-08-17T00:00:00"/>
    <x v="57"/>
  </r>
  <r>
    <n v="476"/>
    <x v="6"/>
    <x v="5"/>
    <x v="0"/>
    <n v="0.67178240740740736"/>
    <s v="Shibor_3M"/>
    <n v="3.3"/>
    <n v="3.4"/>
    <n v="0"/>
    <d v="2012-08-17T00:00:00"/>
    <d v="2013-05-17T00:00:00"/>
    <x v="1"/>
  </r>
  <r>
    <n v="477"/>
    <x v="6"/>
    <x v="6"/>
    <x v="0"/>
    <n v="0.67178240740740736"/>
    <s v="Shibor_3M"/>
    <n v="3.04"/>
    <n v="3.44"/>
    <n v="0"/>
    <d v="2012-08-17T00:00:00"/>
    <d v="2022-08-17T00:00:00"/>
    <x v="10"/>
  </r>
  <r>
    <n v="478"/>
    <x v="6"/>
    <x v="8"/>
    <x v="2"/>
    <n v="0.67444444444444451"/>
    <s v="Shibor_3M"/>
    <n v="3.3"/>
    <n v="3.5"/>
    <n v="0"/>
    <d v="2012-08-17T00:00:00"/>
    <d v="2013-02-17T00:00:00"/>
    <x v="32"/>
  </r>
  <r>
    <n v="479"/>
    <x v="6"/>
    <x v="1"/>
    <x v="2"/>
    <n v="0.67446759259259259"/>
    <s v="Shibor_3M"/>
    <n v="3.1"/>
    <n v="3.15"/>
    <n v="0"/>
    <d v="2012-08-17T00:00:00"/>
    <d v="2013-08-17T00:00:00"/>
    <x v="80"/>
  </r>
  <r>
    <n v="480"/>
    <x v="6"/>
    <x v="10"/>
    <x v="2"/>
    <n v="0.67446759259259259"/>
    <s v="Shibor_3M"/>
    <n v="3"/>
    <n v="3.3"/>
    <n v="0"/>
    <d v="2012-08-17T00:00:00"/>
    <d v="2020-08-17T00:00:00"/>
    <x v="27"/>
  </r>
  <r>
    <n v="481"/>
    <x v="6"/>
    <x v="9"/>
    <x v="2"/>
    <n v="0.67444444444444451"/>
    <s v="Shibor_3M"/>
    <n v="3"/>
    <n v="3.3"/>
    <n v="0"/>
    <d v="2012-08-17T00:00:00"/>
    <d v="2018-08-17T00:00:00"/>
    <x v="27"/>
  </r>
  <r>
    <n v="482"/>
    <x v="6"/>
    <x v="2"/>
    <x v="0"/>
    <n v="0.67179398148148151"/>
    <s v="Shibor_3M"/>
    <n v="3.04"/>
    <n v="3.14"/>
    <n v="0"/>
    <d v="2012-08-17T00:00:00"/>
    <d v="2016-08-17T00:00:00"/>
    <x v="69"/>
  </r>
  <r>
    <n v="483"/>
    <x v="6"/>
    <x v="3"/>
    <x v="0"/>
    <n v="0.67179398148148151"/>
    <s v="Shibor_3M"/>
    <n v="3.02"/>
    <n v="3.42"/>
    <n v="0"/>
    <d v="2012-08-17T00:00:00"/>
    <d v="2021-08-17T00:00:00"/>
    <x v="0"/>
  </r>
  <r>
    <n v="484"/>
    <x v="6"/>
    <x v="0"/>
    <x v="0"/>
    <n v="0.67179398148148151"/>
    <s v="Shibor_3M"/>
    <n v="3.05"/>
    <n v="3.15"/>
    <n v="0"/>
    <d v="2012-08-17T00:00:00"/>
    <d v="2015-08-17T00:00:00"/>
    <x v="64"/>
  </r>
  <r>
    <n v="485"/>
    <x v="7"/>
    <x v="11"/>
    <x v="2"/>
    <n v="0.48563657407407407"/>
    <s v="Shibor_3M"/>
    <n v="3.05"/>
    <n v="3.1"/>
    <n v="0"/>
    <d v="2012-08-16T00:00:00"/>
    <d v="2017-08-16T00:00:00"/>
    <x v="76"/>
  </r>
  <r>
    <n v="486"/>
    <x v="7"/>
    <x v="5"/>
    <x v="2"/>
    <n v="0.48563657407407407"/>
    <s v="Shibor_3M"/>
    <n v="3.6"/>
    <n v="3.7"/>
    <n v="0"/>
    <d v="2012-08-16T00:00:00"/>
    <d v="2013-05-16T00:00:00"/>
    <x v="60"/>
  </r>
  <r>
    <n v="487"/>
    <x v="7"/>
    <x v="4"/>
    <x v="3"/>
    <n v="0.48684027777777777"/>
    <s v="Shibor_3M"/>
    <n v="3.05"/>
    <n v="3.15"/>
    <n v="0"/>
    <d v="2012-08-16T00:00:00"/>
    <d v="2014-08-16T00:00:00"/>
    <x v="64"/>
  </r>
  <r>
    <n v="488"/>
    <x v="7"/>
    <x v="2"/>
    <x v="2"/>
    <n v="0.48563657407407407"/>
    <s v="Shibor_3M"/>
    <n v="3"/>
    <n v="3.05"/>
    <n v="0"/>
    <d v="2012-08-16T00:00:00"/>
    <d v="2016-08-16T00:00:00"/>
    <x v="79"/>
  </r>
  <r>
    <n v="489"/>
    <x v="7"/>
    <x v="9"/>
    <x v="2"/>
    <n v="0.48562499999999997"/>
    <s v="Shibor_3M"/>
    <n v="3"/>
    <n v="3.3"/>
    <n v="0"/>
    <d v="2012-08-16T00:00:00"/>
    <d v="2018-08-16T00:00:00"/>
    <x v="27"/>
  </r>
  <r>
    <n v="490"/>
    <x v="7"/>
    <x v="7"/>
    <x v="2"/>
    <n v="0.48562499999999997"/>
    <s v="Shibor_3M"/>
    <n v="3"/>
    <n v="3.3"/>
    <n v="0"/>
    <d v="2012-08-16T00:00:00"/>
    <d v="2019-08-16T00:00:00"/>
    <x v="27"/>
  </r>
  <r>
    <n v="491"/>
    <x v="7"/>
    <x v="0"/>
    <x v="2"/>
    <n v="0.48563657407407407"/>
    <s v="Shibor_3M"/>
    <n v="3"/>
    <n v="3.05"/>
    <n v="0"/>
    <d v="2012-08-16T00:00:00"/>
    <d v="2015-08-16T00:00:00"/>
    <x v="79"/>
  </r>
  <r>
    <n v="492"/>
    <x v="7"/>
    <x v="8"/>
    <x v="2"/>
    <n v="0.48562499999999997"/>
    <s v="Shibor_3M"/>
    <n v="3.3"/>
    <n v="3.5"/>
    <n v="0"/>
    <d v="2012-08-16T00:00:00"/>
    <d v="2013-02-16T00:00:00"/>
    <x v="32"/>
  </r>
  <r>
    <n v="493"/>
    <x v="7"/>
    <x v="8"/>
    <x v="3"/>
    <n v="0.48684027777777777"/>
    <s v="Shibor_3M"/>
    <n v="3.39"/>
    <n v="3.49"/>
    <n v="0"/>
    <d v="2012-08-16T00:00:00"/>
    <d v="2013-02-16T00:00:00"/>
    <x v="87"/>
  </r>
  <r>
    <n v="494"/>
    <x v="7"/>
    <x v="8"/>
    <x v="1"/>
    <n v="0.4944675925925926"/>
    <s v="Shibor_3M"/>
    <n v="3.39"/>
    <n v="3.45"/>
    <n v="0"/>
    <d v="2012-08-16T00:00:00"/>
    <d v="2013-02-16T00:00:00"/>
    <x v="2"/>
  </r>
  <r>
    <n v="495"/>
    <x v="7"/>
    <x v="2"/>
    <x v="3"/>
    <n v="0.48684027777777777"/>
    <s v="Shibor_3M"/>
    <n v="3.02"/>
    <n v="3.12"/>
    <n v="0"/>
    <d v="2012-08-16T00:00:00"/>
    <d v="2016-08-16T00:00:00"/>
    <x v="86"/>
  </r>
  <r>
    <n v="496"/>
    <x v="7"/>
    <x v="4"/>
    <x v="1"/>
    <n v="0.4944675925925926"/>
    <s v="Shibor_3M"/>
    <n v="3.08"/>
    <n v="3.14"/>
    <n v="0"/>
    <d v="2012-08-16T00:00:00"/>
    <d v="2014-08-16T00:00:00"/>
    <x v="50"/>
  </r>
  <r>
    <n v="497"/>
    <x v="7"/>
    <x v="1"/>
    <x v="1"/>
    <n v="0.4944675925925926"/>
    <s v="Shibor_3M"/>
    <n v="3.17"/>
    <n v="3.23"/>
    <n v="0"/>
    <d v="2012-08-16T00:00:00"/>
    <d v="2013-08-16T00:00:00"/>
    <x v="57"/>
  </r>
  <r>
    <n v="498"/>
    <x v="7"/>
    <x v="1"/>
    <x v="3"/>
    <n v="0.48684027777777777"/>
    <s v="Shibor_3M"/>
    <n v="3.17"/>
    <n v="3.25"/>
    <n v="0"/>
    <d v="2012-08-16T00:00:00"/>
    <d v="2013-08-16T00:00:00"/>
    <x v="88"/>
  </r>
  <r>
    <n v="499"/>
    <x v="7"/>
    <x v="0"/>
    <x v="3"/>
    <n v="0.48684027777777777"/>
    <s v="Shibor_3M"/>
    <n v="3.02"/>
    <n v="3.12"/>
    <n v="0"/>
    <d v="2012-08-16T00:00:00"/>
    <d v="2015-08-16T00:00:00"/>
    <x v="86"/>
  </r>
  <r>
    <n v="500"/>
    <x v="7"/>
    <x v="5"/>
    <x v="3"/>
    <n v="0.48684027777777777"/>
    <s v="Shibor_3M"/>
    <n v="3.27"/>
    <n v="3.37"/>
    <n v="0"/>
    <d v="2012-08-16T00:00:00"/>
    <d v="2013-05-16T00:00:00"/>
    <x v="24"/>
  </r>
  <r>
    <n v="501"/>
    <x v="7"/>
    <x v="11"/>
    <x v="3"/>
    <n v="0.48684027777777777"/>
    <s v="Shibor_3M"/>
    <n v="3.02"/>
    <n v="3.12"/>
    <n v="0"/>
    <d v="2012-08-16T00:00:00"/>
    <d v="2017-08-16T00:00:00"/>
    <x v="86"/>
  </r>
  <r>
    <n v="502"/>
    <x v="7"/>
    <x v="10"/>
    <x v="0"/>
    <n v="0.47951388888888885"/>
    <s v="Shibor_3M"/>
    <n v="2.98"/>
    <n v="3.38"/>
    <n v="0"/>
    <d v="2012-08-16T00:00:00"/>
    <d v="2020-08-16T00:00:00"/>
    <x v="49"/>
  </r>
  <r>
    <n v="503"/>
    <x v="7"/>
    <x v="6"/>
    <x v="0"/>
    <n v="0.47951388888888885"/>
    <s v="Shibor_3M"/>
    <n v="3.02"/>
    <n v="3.42"/>
    <n v="0"/>
    <d v="2012-08-16T00:00:00"/>
    <d v="2022-08-16T00:00:00"/>
    <x v="0"/>
  </r>
  <r>
    <n v="504"/>
    <x v="7"/>
    <x v="8"/>
    <x v="0"/>
    <n v="0.47951388888888885"/>
    <s v="Shibor_3M"/>
    <n v="3.4"/>
    <n v="3.5"/>
    <n v="0"/>
    <d v="2012-08-16T00:00:00"/>
    <d v="2013-02-16T00:00:00"/>
    <x v="43"/>
  </r>
  <r>
    <n v="505"/>
    <x v="7"/>
    <x v="9"/>
    <x v="0"/>
    <n v="0.47951388888888885"/>
    <s v="Shibor_3M"/>
    <n v="3"/>
    <n v="3.1"/>
    <n v="0"/>
    <d v="2012-08-16T00:00:00"/>
    <d v="2018-08-16T00:00:00"/>
    <x v="81"/>
  </r>
  <r>
    <n v="506"/>
    <x v="7"/>
    <x v="4"/>
    <x v="0"/>
    <n v="0.47951388888888885"/>
    <s v="Shibor_3M"/>
    <n v="3.05"/>
    <n v="3.15"/>
    <n v="0"/>
    <d v="2012-08-16T00:00:00"/>
    <d v="2014-08-16T00:00:00"/>
    <x v="64"/>
  </r>
  <r>
    <n v="507"/>
    <x v="7"/>
    <x v="1"/>
    <x v="0"/>
    <n v="0.47951388888888885"/>
    <s v="Shibor_3M"/>
    <n v="3.15"/>
    <n v="3.25"/>
    <n v="0"/>
    <d v="2012-08-16T00:00:00"/>
    <d v="2013-08-16T00:00:00"/>
    <x v="57"/>
  </r>
  <r>
    <n v="508"/>
    <x v="7"/>
    <x v="5"/>
    <x v="0"/>
    <n v="0.47951388888888885"/>
    <s v="Shibor_3M"/>
    <n v="3.25"/>
    <n v="3.35"/>
    <n v="0"/>
    <d v="2012-08-16T00:00:00"/>
    <d v="2013-05-16T00:00:00"/>
    <x v="23"/>
  </r>
  <r>
    <n v="509"/>
    <x v="7"/>
    <x v="7"/>
    <x v="0"/>
    <n v="0.47951388888888885"/>
    <s v="Shibor_3M"/>
    <n v="2.98"/>
    <n v="3.38"/>
    <n v="0"/>
    <d v="2012-08-16T00:00:00"/>
    <d v="2019-08-16T00:00:00"/>
    <x v="49"/>
  </r>
  <r>
    <n v="510"/>
    <x v="7"/>
    <x v="11"/>
    <x v="0"/>
    <n v="0.479525462962963"/>
    <s v="Shibor_3M"/>
    <n v="3.02"/>
    <n v="3.12"/>
    <n v="0"/>
    <d v="2012-08-16T00:00:00"/>
    <d v="2017-08-16T00:00:00"/>
    <x v="86"/>
  </r>
  <r>
    <n v="511"/>
    <x v="7"/>
    <x v="6"/>
    <x v="2"/>
    <n v="0.48562499999999997"/>
    <s v="Shibor_3M"/>
    <n v="3"/>
    <n v="3.3"/>
    <n v="0"/>
    <d v="2012-08-16T00:00:00"/>
    <d v="2022-08-16T00:00:00"/>
    <x v="27"/>
  </r>
  <r>
    <n v="512"/>
    <x v="7"/>
    <x v="10"/>
    <x v="2"/>
    <n v="0.48562499999999997"/>
    <s v="Shibor_3M"/>
    <n v="3"/>
    <n v="3.3"/>
    <n v="0"/>
    <d v="2012-08-16T00:00:00"/>
    <d v="2020-08-16T00:00:00"/>
    <x v="27"/>
  </r>
  <r>
    <n v="513"/>
    <x v="7"/>
    <x v="3"/>
    <x v="2"/>
    <n v="0.48562499999999997"/>
    <s v="Shibor_3M"/>
    <n v="3"/>
    <n v="3.3"/>
    <n v="0"/>
    <d v="2012-08-16T00:00:00"/>
    <d v="2021-08-16T00:00:00"/>
    <x v="27"/>
  </r>
  <r>
    <n v="514"/>
    <x v="7"/>
    <x v="4"/>
    <x v="2"/>
    <n v="0.48562499999999997"/>
    <s v="Shibor_3M"/>
    <n v="3"/>
    <n v="3.05"/>
    <n v="0"/>
    <d v="2012-08-16T00:00:00"/>
    <d v="2014-08-16T00:00:00"/>
    <x v="79"/>
  </r>
  <r>
    <n v="515"/>
    <x v="7"/>
    <x v="3"/>
    <x v="0"/>
    <n v="0.479525462962963"/>
    <s v="Shibor_3M"/>
    <n v="3"/>
    <n v="3.4"/>
    <n v="0"/>
    <d v="2012-08-16T00:00:00"/>
    <d v="2021-08-16T00:00:00"/>
    <x v="57"/>
  </r>
  <r>
    <n v="516"/>
    <x v="7"/>
    <x v="2"/>
    <x v="0"/>
    <n v="0.479525462962963"/>
    <s v="Shibor_3M"/>
    <n v="3.02"/>
    <n v="3.12"/>
    <n v="0"/>
    <d v="2012-08-16T00:00:00"/>
    <d v="2016-08-16T00:00:00"/>
    <x v="86"/>
  </r>
  <r>
    <n v="517"/>
    <x v="7"/>
    <x v="1"/>
    <x v="2"/>
    <n v="0.48562499999999997"/>
    <s v="Shibor_3M"/>
    <n v="3.1"/>
    <n v="3.15"/>
    <n v="0"/>
    <d v="2012-08-16T00:00:00"/>
    <d v="2013-08-16T00:00:00"/>
    <x v="80"/>
  </r>
  <r>
    <n v="518"/>
    <x v="7"/>
    <x v="0"/>
    <x v="0"/>
    <n v="0.479525462962963"/>
    <s v="Shibor_3M"/>
    <n v="3.02"/>
    <n v="3.12"/>
    <n v="0"/>
    <d v="2012-08-16T00:00:00"/>
    <d v="2015-08-16T00:00:00"/>
    <x v="86"/>
  </r>
  <r>
    <n v="519"/>
    <x v="7"/>
    <x v="2"/>
    <x v="3"/>
    <n v="0.67425925925925922"/>
    <s v="Shibor_3M"/>
    <n v="3.05"/>
    <n v="3.11"/>
    <n v="0"/>
    <d v="2012-08-16T00:00:00"/>
    <d v="2016-08-16T00:00:00"/>
    <x v="70"/>
  </r>
  <r>
    <n v="520"/>
    <x v="7"/>
    <x v="0"/>
    <x v="3"/>
    <n v="0.67425925925925922"/>
    <s v="Shibor_3M"/>
    <n v="3.07"/>
    <n v="3.12"/>
    <n v="0"/>
    <d v="2012-08-16T00:00:00"/>
    <d v="2015-08-16T00:00:00"/>
    <x v="77"/>
  </r>
  <r>
    <n v="521"/>
    <x v="7"/>
    <x v="8"/>
    <x v="3"/>
    <n v="0.67425925925925922"/>
    <s v="Shibor_3M"/>
    <n v="3.41"/>
    <n v="3.51"/>
    <n v="0"/>
    <d v="2012-08-16T00:00:00"/>
    <d v="2013-02-16T00:00:00"/>
    <x v="46"/>
  </r>
  <r>
    <n v="522"/>
    <x v="7"/>
    <x v="4"/>
    <x v="3"/>
    <n v="0.67425925925925922"/>
    <s v="Shibor_3M"/>
    <n v="3.05"/>
    <n v="3.15"/>
    <n v="0"/>
    <d v="2012-08-16T00:00:00"/>
    <d v="2014-08-16T00:00:00"/>
    <x v="64"/>
  </r>
  <r>
    <n v="523"/>
    <x v="7"/>
    <x v="1"/>
    <x v="3"/>
    <n v="0.67424768518518519"/>
    <s v="Shibor_3M"/>
    <n v="3.19"/>
    <n v="3.24"/>
    <n v="0"/>
    <d v="2012-08-16T00:00:00"/>
    <d v="2013-08-16T00:00:00"/>
    <x v="89"/>
  </r>
  <r>
    <n v="524"/>
    <x v="7"/>
    <x v="0"/>
    <x v="0"/>
    <n v="0.66615740740740736"/>
    <s v="Shibor_3M"/>
    <n v="3.02"/>
    <n v="3.12"/>
    <n v="0"/>
    <d v="2012-08-16T00:00:00"/>
    <d v="2015-08-16T00:00:00"/>
    <x v="86"/>
  </r>
  <r>
    <n v="525"/>
    <x v="7"/>
    <x v="5"/>
    <x v="3"/>
    <n v="0.67424768518518519"/>
    <s v="Shibor_3M"/>
    <n v="3.27"/>
    <n v="3.37"/>
    <n v="0"/>
    <d v="2012-08-16T00:00:00"/>
    <d v="2013-05-16T00:00:00"/>
    <x v="24"/>
  </r>
  <r>
    <n v="526"/>
    <x v="7"/>
    <x v="11"/>
    <x v="3"/>
    <n v="0.67424768518518519"/>
    <s v="Shibor_3M"/>
    <n v="3.04"/>
    <n v="3.14"/>
    <n v="0"/>
    <d v="2012-08-16T00:00:00"/>
    <d v="2017-08-16T00:00:00"/>
    <x v="69"/>
  </r>
  <r>
    <n v="527"/>
    <x v="7"/>
    <x v="7"/>
    <x v="1"/>
    <n v="0.6812731481481481"/>
    <s v="Shibor_3M"/>
    <n v="3.15"/>
    <n v="3.21"/>
    <n v="0"/>
    <d v="2012-08-16T00:00:00"/>
    <d v="2019-08-16T00:00:00"/>
    <x v="49"/>
  </r>
  <r>
    <n v="528"/>
    <x v="7"/>
    <x v="4"/>
    <x v="1"/>
    <n v="0.6812731481481481"/>
    <s v="Shibor_3M"/>
    <n v="3.08"/>
    <n v="3.14"/>
    <n v="0"/>
    <d v="2012-08-16T00:00:00"/>
    <d v="2014-08-16T00:00:00"/>
    <x v="50"/>
  </r>
  <r>
    <n v="529"/>
    <x v="7"/>
    <x v="1"/>
    <x v="1"/>
    <n v="0.6812731481481481"/>
    <s v="Shibor_3M"/>
    <n v="3.17"/>
    <n v="3.23"/>
    <n v="0"/>
    <d v="2012-08-16T00:00:00"/>
    <d v="2013-08-16T00:00:00"/>
    <x v="57"/>
  </r>
  <r>
    <n v="530"/>
    <x v="7"/>
    <x v="0"/>
    <x v="1"/>
    <n v="0.68128472222222225"/>
    <s v="Shibor_3M"/>
    <n v="3.05"/>
    <n v="3.11"/>
    <n v="0"/>
    <d v="2012-08-16T00:00:00"/>
    <d v="2015-08-16T00:00:00"/>
    <x v="70"/>
  </r>
  <r>
    <n v="531"/>
    <x v="7"/>
    <x v="2"/>
    <x v="1"/>
    <n v="0.68128472222222225"/>
    <s v="Shibor_3M"/>
    <n v="3.05"/>
    <n v="3.11"/>
    <n v="0"/>
    <d v="2012-08-16T00:00:00"/>
    <d v="2016-08-16T00:00:00"/>
    <x v="70"/>
  </r>
  <r>
    <n v="532"/>
    <x v="7"/>
    <x v="6"/>
    <x v="1"/>
    <n v="0.6812731481481481"/>
    <s v="Shibor_3M"/>
    <n v="3.2"/>
    <n v="3.26"/>
    <n v="0"/>
    <d v="2012-08-16T00:00:00"/>
    <d v="2022-08-16T00:00:00"/>
    <x v="40"/>
  </r>
  <r>
    <n v="533"/>
    <x v="7"/>
    <x v="5"/>
    <x v="1"/>
    <n v="0.6812731481481481"/>
    <s v="Shibor_3M"/>
    <n v="3.26"/>
    <n v="3.32"/>
    <n v="0"/>
    <d v="2012-08-16T00:00:00"/>
    <d v="2013-05-16T00:00:00"/>
    <x v="3"/>
  </r>
  <r>
    <n v="534"/>
    <x v="7"/>
    <x v="8"/>
    <x v="1"/>
    <n v="0.6812731481481481"/>
    <s v="Shibor_3M"/>
    <n v="3.39"/>
    <n v="3.45"/>
    <n v="0"/>
    <d v="2012-08-16T00:00:00"/>
    <d v="2013-02-16T00:00:00"/>
    <x v="2"/>
  </r>
  <r>
    <n v="535"/>
    <x v="7"/>
    <x v="11"/>
    <x v="1"/>
    <n v="0.6812731481481481"/>
    <s v="Shibor_3M"/>
    <n v="3.07"/>
    <n v="3.13"/>
    <n v="0"/>
    <d v="2012-08-16T00:00:00"/>
    <d v="2017-08-16T00:00:00"/>
    <x v="64"/>
  </r>
  <r>
    <n v="536"/>
    <x v="7"/>
    <x v="6"/>
    <x v="1"/>
    <n v="0.49447916666666664"/>
    <s v="Shibor_3M"/>
    <n v="3.2"/>
    <n v="3.26"/>
    <n v="0"/>
    <d v="2012-08-16T00:00:00"/>
    <d v="2022-08-16T00:00:00"/>
    <x v="40"/>
  </r>
  <r>
    <n v="537"/>
    <x v="7"/>
    <x v="5"/>
    <x v="1"/>
    <n v="0.49447916666666664"/>
    <s v="Shibor_3M"/>
    <n v="3.26"/>
    <n v="3.32"/>
    <n v="0"/>
    <d v="2012-08-16T00:00:00"/>
    <d v="2013-05-16T00:00:00"/>
    <x v="3"/>
  </r>
  <r>
    <n v="538"/>
    <x v="7"/>
    <x v="9"/>
    <x v="0"/>
    <n v="0.66612268518518525"/>
    <s v="Shibor_3M"/>
    <n v="3"/>
    <n v="3.1"/>
    <n v="0"/>
    <d v="2012-08-16T00:00:00"/>
    <d v="2018-08-16T00:00:00"/>
    <x v="81"/>
  </r>
  <r>
    <n v="539"/>
    <x v="7"/>
    <x v="1"/>
    <x v="0"/>
    <n v="0.66612268518518525"/>
    <s v="Shibor_3M"/>
    <n v="3.15"/>
    <n v="3.25"/>
    <n v="0"/>
    <d v="2012-08-16T00:00:00"/>
    <d v="2013-08-16T00:00:00"/>
    <x v="57"/>
  </r>
  <r>
    <n v="540"/>
    <x v="7"/>
    <x v="2"/>
    <x v="1"/>
    <n v="0.49447916666666664"/>
    <s v="Shibor_3M"/>
    <n v="3.05"/>
    <n v="3.11"/>
    <n v="0"/>
    <d v="2012-08-16T00:00:00"/>
    <d v="2016-08-16T00:00:00"/>
    <x v="70"/>
  </r>
  <r>
    <n v="541"/>
    <x v="7"/>
    <x v="11"/>
    <x v="1"/>
    <n v="0.49447916666666664"/>
    <s v="Shibor_3M"/>
    <n v="3.07"/>
    <n v="3.13"/>
    <n v="0"/>
    <d v="2012-08-16T00:00:00"/>
    <d v="2017-08-16T00:00:00"/>
    <x v="64"/>
  </r>
  <r>
    <n v="542"/>
    <x v="7"/>
    <x v="7"/>
    <x v="1"/>
    <n v="0.49447916666666664"/>
    <s v="Shibor_3M"/>
    <n v="3.15"/>
    <n v="3.21"/>
    <n v="0"/>
    <d v="2012-08-16T00:00:00"/>
    <d v="2019-08-16T00:00:00"/>
    <x v="49"/>
  </r>
  <r>
    <n v="543"/>
    <x v="7"/>
    <x v="0"/>
    <x v="1"/>
    <n v="0.49447916666666664"/>
    <s v="Shibor_3M"/>
    <n v="3.05"/>
    <n v="3.11"/>
    <n v="0"/>
    <d v="2012-08-16T00:00:00"/>
    <d v="2015-08-16T00:00:00"/>
    <x v="70"/>
  </r>
  <r>
    <n v="544"/>
    <x v="7"/>
    <x v="8"/>
    <x v="0"/>
    <n v="0.66612268518518525"/>
    <s v="Shibor_3M"/>
    <n v="3.4"/>
    <n v="3.5"/>
    <n v="0"/>
    <d v="2012-08-16T00:00:00"/>
    <d v="2013-02-16T00:00:00"/>
    <x v="43"/>
  </r>
  <r>
    <n v="545"/>
    <x v="7"/>
    <x v="11"/>
    <x v="0"/>
    <n v="0.66615740740740736"/>
    <s v="Shibor_3M"/>
    <n v="3.02"/>
    <n v="3.12"/>
    <n v="0"/>
    <d v="2012-08-16T00:00:00"/>
    <d v="2017-08-16T00:00:00"/>
    <x v="86"/>
  </r>
  <r>
    <n v="546"/>
    <x v="7"/>
    <x v="10"/>
    <x v="0"/>
    <n v="0.66615740740740736"/>
    <s v="Shibor_3M"/>
    <n v="2.98"/>
    <n v="3.38"/>
    <n v="0"/>
    <d v="2012-08-16T00:00:00"/>
    <d v="2020-08-16T00:00:00"/>
    <x v="49"/>
  </r>
  <r>
    <n v="547"/>
    <x v="7"/>
    <x v="3"/>
    <x v="0"/>
    <n v="0.66615740740740736"/>
    <s v="Shibor_3M"/>
    <n v="3"/>
    <n v="3.4"/>
    <n v="0"/>
    <d v="2012-08-16T00:00:00"/>
    <d v="2021-08-16T00:00:00"/>
    <x v="57"/>
  </r>
  <r>
    <n v="548"/>
    <x v="7"/>
    <x v="2"/>
    <x v="0"/>
    <n v="0.66615740740740736"/>
    <s v="Shibor_3M"/>
    <n v="3.02"/>
    <n v="3.12"/>
    <n v="0"/>
    <d v="2012-08-16T00:00:00"/>
    <d v="2016-08-16T00:00:00"/>
    <x v="86"/>
  </r>
  <r>
    <n v="549"/>
    <x v="7"/>
    <x v="7"/>
    <x v="0"/>
    <n v="0.66613425925925929"/>
    <s v="Shibor_3M"/>
    <n v="2.98"/>
    <n v="3.38"/>
    <n v="0"/>
    <d v="2012-08-16T00:00:00"/>
    <d v="2019-08-16T00:00:00"/>
    <x v="49"/>
  </r>
  <r>
    <n v="550"/>
    <x v="7"/>
    <x v="4"/>
    <x v="0"/>
    <n v="0.66613425925925929"/>
    <s v="Shibor_3M"/>
    <n v="3.05"/>
    <n v="3.15"/>
    <n v="0"/>
    <d v="2012-08-16T00:00:00"/>
    <d v="2014-08-16T00:00:00"/>
    <x v="64"/>
  </r>
  <r>
    <n v="551"/>
    <x v="7"/>
    <x v="6"/>
    <x v="0"/>
    <n v="0.66615740740740736"/>
    <s v="Shibor_3M"/>
    <n v="3.02"/>
    <n v="3.42"/>
    <n v="0"/>
    <d v="2012-08-16T00:00:00"/>
    <d v="2022-08-16T00:00:00"/>
    <x v="0"/>
  </r>
  <r>
    <n v="552"/>
    <x v="7"/>
    <x v="5"/>
    <x v="0"/>
    <n v="0.66614583333333333"/>
    <s v="Shibor_3M"/>
    <n v="3.25"/>
    <n v="3.35"/>
    <n v="0"/>
    <d v="2012-08-16T00:00:00"/>
    <d v="2013-05-16T00:00:00"/>
    <x v="23"/>
  </r>
  <r>
    <n v="553"/>
    <x v="8"/>
    <x v="8"/>
    <x v="2"/>
    <n v="0.48229166666666662"/>
    <s v="Shibor_3M"/>
    <n v="3.3"/>
    <n v="3.5"/>
    <n v="0"/>
    <d v="2012-08-15T00:00:00"/>
    <d v="2013-02-15T00:00:00"/>
    <x v="32"/>
  </r>
  <r>
    <n v="554"/>
    <x v="8"/>
    <x v="9"/>
    <x v="2"/>
    <n v="0.48229166666666662"/>
    <s v="Shibor_3M"/>
    <n v="3"/>
    <n v="3.3"/>
    <n v="0"/>
    <d v="2012-08-15T00:00:00"/>
    <d v="2018-08-15T00:00:00"/>
    <x v="27"/>
  </r>
  <r>
    <n v="555"/>
    <x v="8"/>
    <x v="10"/>
    <x v="2"/>
    <n v="0.48229166666666662"/>
    <s v="Shibor_3M"/>
    <n v="3"/>
    <n v="3.3"/>
    <n v="0"/>
    <d v="2012-08-15T00:00:00"/>
    <d v="2020-08-15T00:00:00"/>
    <x v="27"/>
  </r>
  <r>
    <n v="556"/>
    <x v="8"/>
    <x v="1"/>
    <x v="2"/>
    <n v="0.48229166666666662"/>
    <s v="Shibor_3M"/>
    <n v="3.1"/>
    <n v="3.15"/>
    <n v="0"/>
    <d v="2012-08-15T00:00:00"/>
    <d v="2013-08-15T00:00:00"/>
    <x v="80"/>
  </r>
  <r>
    <n v="557"/>
    <x v="8"/>
    <x v="11"/>
    <x v="2"/>
    <n v="0.48229166666666662"/>
    <s v="Shibor_3M"/>
    <n v="3.05"/>
    <n v="3.1"/>
    <n v="0"/>
    <d v="2012-08-15T00:00:00"/>
    <d v="2017-08-15T00:00:00"/>
    <x v="76"/>
  </r>
  <r>
    <n v="558"/>
    <x v="8"/>
    <x v="2"/>
    <x v="4"/>
    <n v="0.4791435185185185"/>
    <s v="Shibor_3M"/>
    <n v="3"/>
    <n v="3.1"/>
    <n v="0"/>
    <d v="2012-08-15T00:00:00"/>
    <d v="2016-08-15T00:00:00"/>
    <x v="81"/>
  </r>
  <r>
    <n v="559"/>
    <x v="8"/>
    <x v="11"/>
    <x v="4"/>
    <n v="0.4791435185185185"/>
    <s v="Shibor_3M"/>
    <n v="3"/>
    <n v="3.1"/>
    <n v="0"/>
    <d v="2012-08-15T00:00:00"/>
    <d v="2017-08-15T00:00:00"/>
    <x v="81"/>
  </r>
  <r>
    <n v="560"/>
    <x v="8"/>
    <x v="5"/>
    <x v="2"/>
    <n v="0.48229166666666662"/>
    <s v="Shibor_3M"/>
    <n v="3.6"/>
    <n v="3.7"/>
    <n v="0"/>
    <d v="2012-08-15T00:00:00"/>
    <d v="2013-05-15T00:00:00"/>
    <x v="60"/>
  </r>
  <r>
    <n v="561"/>
    <x v="8"/>
    <x v="7"/>
    <x v="2"/>
    <n v="0.48229166666666662"/>
    <s v="Shibor_3M"/>
    <n v="3"/>
    <n v="3.3"/>
    <n v="0"/>
    <d v="2012-08-15T00:00:00"/>
    <d v="2019-08-15T00:00:00"/>
    <x v="27"/>
  </r>
  <r>
    <n v="562"/>
    <x v="8"/>
    <x v="6"/>
    <x v="2"/>
    <n v="0.48229166666666662"/>
    <s v="Shibor_3M"/>
    <n v="3"/>
    <n v="3.3"/>
    <n v="0"/>
    <d v="2012-08-15T00:00:00"/>
    <d v="2022-08-15T00:00:00"/>
    <x v="27"/>
  </r>
  <r>
    <n v="563"/>
    <x v="8"/>
    <x v="4"/>
    <x v="1"/>
    <n v="0.48666666666666664"/>
    <s v="Shibor_3M"/>
    <n v="3.04"/>
    <n v="3.1"/>
    <n v="0"/>
    <d v="2012-08-15T00:00:00"/>
    <d v="2014-08-15T00:00:00"/>
    <x v="86"/>
  </r>
  <r>
    <n v="564"/>
    <x v="8"/>
    <x v="1"/>
    <x v="1"/>
    <n v="0.48666666666666664"/>
    <s v="Shibor_3M"/>
    <n v="3.13"/>
    <n v="3.2"/>
    <n v="0"/>
    <d v="2012-08-15T00:00:00"/>
    <d v="2013-08-15T00:00:00"/>
    <x v="72"/>
  </r>
  <r>
    <n v="565"/>
    <x v="8"/>
    <x v="7"/>
    <x v="1"/>
    <n v="0.48667824074074079"/>
    <s v="Shibor_3M"/>
    <n v="3.12"/>
    <n v="3.18"/>
    <n v="0"/>
    <d v="2012-08-15T00:00:00"/>
    <d v="2019-08-15T00:00:00"/>
    <x v="51"/>
  </r>
  <r>
    <n v="566"/>
    <x v="8"/>
    <x v="5"/>
    <x v="1"/>
    <n v="0.48667824074074079"/>
    <s v="Shibor_3M"/>
    <n v="3.23"/>
    <n v="3.29"/>
    <n v="0"/>
    <d v="2012-08-15T00:00:00"/>
    <d v="2013-05-15T00:00:00"/>
    <x v="16"/>
  </r>
  <r>
    <n v="567"/>
    <x v="8"/>
    <x v="8"/>
    <x v="1"/>
    <n v="0.48666666666666664"/>
    <s v="Shibor_3M"/>
    <n v="3.36"/>
    <n v="3.42"/>
    <n v="0"/>
    <d v="2012-08-15T00:00:00"/>
    <d v="2013-02-15T00:00:00"/>
    <x v="59"/>
  </r>
  <r>
    <n v="568"/>
    <x v="8"/>
    <x v="3"/>
    <x v="2"/>
    <n v="0.48229166666666662"/>
    <s v="Shibor_3M"/>
    <n v="3"/>
    <n v="3.3"/>
    <n v="0"/>
    <d v="2012-08-15T00:00:00"/>
    <d v="2021-08-15T00:00:00"/>
    <x v="27"/>
  </r>
  <r>
    <n v="569"/>
    <x v="8"/>
    <x v="4"/>
    <x v="2"/>
    <n v="0.48229166666666662"/>
    <s v="Shibor_3M"/>
    <n v="3"/>
    <n v="3.05"/>
    <n v="0"/>
    <d v="2012-08-15T00:00:00"/>
    <d v="2014-08-15T00:00:00"/>
    <x v="79"/>
  </r>
  <r>
    <n v="570"/>
    <x v="8"/>
    <x v="0"/>
    <x v="2"/>
    <n v="0.48230324074074077"/>
    <s v="Shibor_3M"/>
    <n v="3"/>
    <n v="3.05"/>
    <n v="0"/>
    <d v="2012-08-15T00:00:00"/>
    <d v="2015-08-15T00:00:00"/>
    <x v="79"/>
  </r>
  <r>
    <n v="571"/>
    <x v="8"/>
    <x v="2"/>
    <x v="2"/>
    <n v="0.48230324074074077"/>
    <s v="Shibor_3M"/>
    <n v="3"/>
    <n v="3.05"/>
    <n v="0"/>
    <d v="2012-08-15T00:00:00"/>
    <d v="2016-08-15T00:00:00"/>
    <x v="79"/>
  </r>
  <r>
    <n v="572"/>
    <x v="8"/>
    <x v="6"/>
    <x v="0"/>
    <n v="0.4788425925925926"/>
    <s v="Shibor_3M"/>
    <n v="2.99"/>
    <n v="3.39"/>
    <n v="0"/>
    <d v="2012-08-15T00:00:00"/>
    <d v="2022-08-15T00:00:00"/>
    <x v="55"/>
  </r>
  <r>
    <n v="573"/>
    <x v="8"/>
    <x v="7"/>
    <x v="0"/>
    <n v="0.47881944444444446"/>
    <s v="Shibor_3M"/>
    <n v="2.95"/>
    <n v="3.35"/>
    <n v="0"/>
    <d v="2012-08-15T00:00:00"/>
    <d v="2019-08-15T00:00:00"/>
    <x v="51"/>
  </r>
  <r>
    <n v="574"/>
    <x v="8"/>
    <x v="11"/>
    <x v="0"/>
    <n v="0.4788425925925926"/>
    <s v="Shibor_3M"/>
    <n v="3"/>
    <n v="3.1"/>
    <n v="0"/>
    <d v="2012-08-15T00:00:00"/>
    <d v="2017-08-15T00:00:00"/>
    <x v="81"/>
  </r>
  <r>
    <n v="575"/>
    <x v="8"/>
    <x v="10"/>
    <x v="0"/>
    <n v="0.4788425925925926"/>
    <s v="Shibor_3M"/>
    <n v="2.96"/>
    <n v="3.36"/>
    <n v="0"/>
    <d v="2012-08-15T00:00:00"/>
    <d v="2020-08-15T00:00:00"/>
    <x v="71"/>
  </r>
  <r>
    <n v="576"/>
    <x v="8"/>
    <x v="4"/>
    <x v="0"/>
    <n v="0.47881944444444446"/>
    <s v="Shibor_3M"/>
    <n v="2.98"/>
    <n v="3.08"/>
    <n v="0"/>
    <d v="2012-08-15T00:00:00"/>
    <d v="2014-08-15T00:00:00"/>
    <x v="90"/>
  </r>
  <r>
    <n v="577"/>
    <x v="8"/>
    <x v="5"/>
    <x v="0"/>
    <n v="0.47881944444444446"/>
    <s v="Shibor_3M"/>
    <n v="3.23"/>
    <n v="3.33"/>
    <n v="0"/>
    <d v="2012-08-15T00:00:00"/>
    <d v="2013-05-15T00:00:00"/>
    <x v="9"/>
  </r>
  <r>
    <n v="578"/>
    <x v="8"/>
    <x v="9"/>
    <x v="0"/>
    <n v="0.47880787037037037"/>
    <s v="Shibor_3M"/>
    <n v="3"/>
    <n v="3.1"/>
    <n v="0"/>
    <d v="2012-08-15T00:00:00"/>
    <d v="2018-08-15T00:00:00"/>
    <x v="81"/>
  </r>
  <r>
    <n v="579"/>
    <x v="8"/>
    <x v="1"/>
    <x v="0"/>
    <n v="0.47881944444444446"/>
    <s v="Shibor_3M"/>
    <n v="3.13"/>
    <n v="3.23"/>
    <n v="0"/>
    <d v="2012-08-15T00:00:00"/>
    <d v="2013-08-15T00:00:00"/>
    <x v="49"/>
  </r>
  <r>
    <n v="580"/>
    <x v="8"/>
    <x v="8"/>
    <x v="0"/>
    <n v="0.47881944444444446"/>
    <s v="Shibor_3M"/>
    <n v="3.34"/>
    <n v="3.44"/>
    <n v="0"/>
    <d v="2012-08-15T00:00:00"/>
    <d v="2013-02-15T00:00:00"/>
    <x v="59"/>
  </r>
  <r>
    <n v="581"/>
    <x v="8"/>
    <x v="2"/>
    <x v="0"/>
    <n v="0.4788425925925926"/>
    <s v="Shibor_3M"/>
    <n v="2.98"/>
    <n v="3.08"/>
    <n v="0"/>
    <d v="2012-08-15T00:00:00"/>
    <d v="2016-08-15T00:00:00"/>
    <x v="90"/>
  </r>
  <r>
    <n v="582"/>
    <x v="8"/>
    <x v="7"/>
    <x v="4"/>
    <n v="0.4791435185185185"/>
    <s v="Shibor_3M"/>
    <n v="3.1"/>
    <n v="3.2"/>
    <n v="0"/>
    <d v="2012-08-15T00:00:00"/>
    <d v="2019-08-15T00:00:00"/>
    <x v="51"/>
  </r>
  <r>
    <n v="583"/>
    <x v="8"/>
    <x v="0"/>
    <x v="4"/>
    <n v="0.4791435185185185"/>
    <s v="Shibor_3M"/>
    <n v="3"/>
    <n v="3.1"/>
    <n v="0"/>
    <d v="2012-08-15T00:00:00"/>
    <d v="2015-08-15T00:00:00"/>
    <x v="81"/>
  </r>
  <r>
    <n v="584"/>
    <x v="8"/>
    <x v="6"/>
    <x v="4"/>
    <n v="0.4791435185185185"/>
    <s v="Shibor_3M"/>
    <n v="3.15"/>
    <n v="3.25"/>
    <n v="0"/>
    <d v="2012-08-15T00:00:00"/>
    <d v="2022-08-15T00:00:00"/>
    <x v="57"/>
  </r>
  <r>
    <n v="585"/>
    <x v="8"/>
    <x v="5"/>
    <x v="4"/>
    <n v="0.4791435185185185"/>
    <s v="Shibor_3M"/>
    <n v="3.22"/>
    <n v="3.32"/>
    <n v="0"/>
    <d v="2012-08-15T00:00:00"/>
    <d v="2013-05-15T00:00:00"/>
    <x v="25"/>
  </r>
  <r>
    <n v="586"/>
    <x v="8"/>
    <x v="4"/>
    <x v="4"/>
    <n v="0.47913194444444446"/>
    <s v="Shibor_3M"/>
    <n v="3"/>
    <n v="3.1"/>
    <n v="0"/>
    <d v="2012-08-15T00:00:00"/>
    <d v="2014-08-15T00:00:00"/>
    <x v="81"/>
  </r>
  <r>
    <n v="587"/>
    <x v="8"/>
    <x v="0"/>
    <x v="0"/>
    <n v="0.47886574074074079"/>
    <s v="Shibor_3M"/>
    <n v="2.98"/>
    <n v="3.08"/>
    <n v="0"/>
    <d v="2012-08-15T00:00:00"/>
    <d v="2015-08-15T00:00:00"/>
    <x v="90"/>
  </r>
  <r>
    <n v="588"/>
    <x v="8"/>
    <x v="3"/>
    <x v="0"/>
    <n v="0.47886574074074079"/>
    <s v="Shibor_3M"/>
    <n v="2.98"/>
    <n v="3.38"/>
    <n v="0"/>
    <d v="2012-08-15T00:00:00"/>
    <d v="2021-08-15T00:00:00"/>
    <x v="49"/>
  </r>
  <r>
    <n v="589"/>
    <x v="8"/>
    <x v="1"/>
    <x v="4"/>
    <n v="0.47913194444444446"/>
    <s v="Shibor_3M"/>
    <n v="3.1"/>
    <n v="3.2"/>
    <n v="0"/>
    <d v="2012-08-15T00:00:00"/>
    <d v="2013-08-15T00:00:00"/>
    <x v="51"/>
  </r>
  <r>
    <n v="590"/>
    <x v="8"/>
    <x v="8"/>
    <x v="4"/>
    <n v="0.47913194444444446"/>
    <s v="Shibor_3M"/>
    <n v="3.35"/>
    <n v="3.45"/>
    <n v="0"/>
    <d v="2012-08-15T00:00:00"/>
    <d v="2013-02-15T00:00:00"/>
    <x v="20"/>
  </r>
  <r>
    <n v="591"/>
    <x v="8"/>
    <x v="6"/>
    <x v="1"/>
    <n v="0.48668981481481483"/>
    <s v="Shibor_3M"/>
    <n v="3.16"/>
    <n v="3.23"/>
    <n v="0"/>
    <d v="2012-08-15T00:00:00"/>
    <d v="2022-08-15T00:00:00"/>
    <x v="62"/>
  </r>
  <r>
    <n v="592"/>
    <x v="8"/>
    <x v="1"/>
    <x v="3"/>
    <n v="0.67540509259259263"/>
    <s v="Shibor_3M"/>
    <n v="3.15"/>
    <n v="3.25"/>
    <n v="0"/>
    <d v="2012-08-15T00:00:00"/>
    <d v="2013-08-15T00:00:00"/>
    <x v="57"/>
  </r>
  <r>
    <n v="593"/>
    <x v="8"/>
    <x v="4"/>
    <x v="3"/>
    <n v="0.67540509259259263"/>
    <s v="Shibor_3M"/>
    <n v="3.06"/>
    <n v="3.12"/>
    <n v="0"/>
    <d v="2012-08-15T00:00:00"/>
    <d v="2014-08-15T00:00:00"/>
    <x v="69"/>
  </r>
  <r>
    <n v="594"/>
    <x v="8"/>
    <x v="8"/>
    <x v="3"/>
    <n v="0.67541666666666667"/>
    <s v="Shibor_3M"/>
    <n v="3.39"/>
    <n v="3.45"/>
    <n v="0"/>
    <d v="2012-08-15T00:00:00"/>
    <d v="2013-02-15T00:00:00"/>
    <x v="2"/>
  </r>
  <r>
    <n v="595"/>
    <x v="8"/>
    <x v="11"/>
    <x v="3"/>
    <n v="0.67540509259259263"/>
    <s v="Shibor_3M"/>
    <n v="3.05"/>
    <n v="3.1"/>
    <n v="0"/>
    <d v="2012-08-15T00:00:00"/>
    <d v="2017-08-15T00:00:00"/>
    <x v="76"/>
  </r>
  <r>
    <n v="596"/>
    <x v="8"/>
    <x v="2"/>
    <x v="3"/>
    <n v="0.67540509259259263"/>
    <s v="Shibor_3M"/>
    <n v="3.02"/>
    <n v="3.11"/>
    <n v="0"/>
    <d v="2012-08-15T00:00:00"/>
    <d v="2016-08-15T00:00:00"/>
    <x v="85"/>
  </r>
  <r>
    <n v="597"/>
    <x v="8"/>
    <x v="0"/>
    <x v="2"/>
    <n v="0.67450231481481471"/>
    <s v="Shibor_3M"/>
    <n v="3"/>
    <n v="3.05"/>
    <n v="0"/>
    <d v="2012-08-15T00:00:00"/>
    <d v="2015-08-15T00:00:00"/>
    <x v="79"/>
  </r>
  <r>
    <n v="598"/>
    <x v="8"/>
    <x v="2"/>
    <x v="2"/>
    <n v="0.67450231481481471"/>
    <s v="Shibor_3M"/>
    <n v="3"/>
    <n v="3.05"/>
    <n v="0"/>
    <d v="2012-08-15T00:00:00"/>
    <d v="2016-08-15T00:00:00"/>
    <x v="79"/>
  </r>
  <r>
    <n v="599"/>
    <x v="8"/>
    <x v="5"/>
    <x v="3"/>
    <n v="0.67540509259259263"/>
    <s v="Shibor_3M"/>
    <n v="3.29"/>
    <n v="3.35"/>
    <n v="0"/>
    <d v="2012-08-15T00:00:00"/>
    <d v="2013-05-15T00:00:00"/>
    <x v="24"/>
  </r>
  <r>
    <n v="600"/>
    <x v="8"/>
    <x v="5"/>
    <x v="2"/>
    <n v="0.67450231481481471"/>
    <s v="Shibor_3M"/>
    <n v="3.6"/>
    <n v="3.7"/>
    <n v="0"/>
    <d v="2012-08-15T00:00:00"/>
    <d v="2013-05-15T00:00:00"/>
    <x v="60"/>
  </r>
  <r>
    <n v="601"/>
    <x v="8"/>
    <x v="0"/>
    <x v="3"/>
    <n v="0.67541666666666667"/>
    <s v="Shibor_3M"/>
    <n v="3.04"/>
    <n v="3.09"/>
    <n v="0"/>
    <d v="2012-08-15T00:00:00"/>
    <d v="2015-08-15T00:00:00"/>
    <x v="85"/>
  </r>
  <r>
    <n v="602"/>
    <x v="8"/>
    <x v="6"/>
    <x v="1"/>
    <n v="0.68299768518518522"/>
    <s v="Shibor_3M"/>
    <n v="3.16"/>
    <n v="3.23"/>
    <n v="0"/>
    <d v="2012-08-15T00:00:00"/>
    <d v="2022-08-15T00:00:00"/>
    <x v="62"/>
  </r>
  <r>
    <n v="603"/>
    <x v="8"/>
    <x v="0"/>
    <x v="1"/>
    <n v="0.68299768518518522"/>
    <s v="Shibor_3M"/>
    <n v="3.01"/>
    <n v="3.07"/>
    <n v="0"/>
    <d v="2012-08-15T00:00:00"/>
    <d v="2015-08-15T00:00:00"/>
    <x v="91"/>
  </r>
  <r>
    <n v="604"/>
    <x v="8"/>
    <x v="2"/>
    <x v="1"/>
    <n v="0.68299768518518522"/>
    <s v="Shibor_3M"/>
    <n v="3.02"/>
    <n v="3.08"/>
    <n v="0"/>
    <d v="2012-08-15T00:00:00"/>
    <d v="2016-08-15T00:00:00"/>
    <x v="81"/>
  </r>
  <r>
    <n v="605"/>
    <x v="8"/>
    <x v="11"/>
    <x v="1"/>
    <n v="0.68299768518518522"/>
    <s v="Shibor_3M"/>
    <n v="3.04"/>
    <n v="3.1"/>
    <n v="0"/>
    <d v="2012-08-15T00:00:00"/>
    <d v="2017-08-15T00:00:00"/>
    <x v="86"/>
  </r>
  <r>
    <n v="606"/>
    <x v="8"/>
    <x v="4"/>
    <x v="1"/>
    <n v="0.68298611111111107"/>
    <s v="Shibor_3M"/>
    <n v="3.04"/>
    <n v="3.1"/>
    <n v="0"/>
    <d v="2012-08-15T00:00:00"/>
    <d v="2014-08-15T00:00:00"/>
    <x v="86"/>
  </r>
  <r>
    <n v="607"/>
    <x v="8"/>
    <x v="5"/>
    <x v="1"/>
    <n v="0.68298611111111107"/>
    <s v="Shibor_3M"/>
    <n v="3.23"/>
    <n v="3.29"/>
    <n v="0"/>
    <d v="2012-08-15T00:00:00"/>
    <d v="2013-05-15T00:00:00"/>
    <x v="16"/>
  </r>
  <r>
    <n v="608"/>
    <x v="8"/>
    <x v="7"/>
    <x v="1"/>
    <n v="0.68298611111111107"/>
    <s v="Shibor_3M"/>
    <n v="3.13"/>
    <n v="3.16"/>
    <n v="0"/>
    <d v="2012-08-15T00:00:00"/>
    <d v="2019-08-15T00:00:00"/>
    <x v="92"/>
  </r>
  <r>
    <n v="609"/>
    <x v="8"/>
    <x v="1"/>
    <x v="1"/>
    <n v="0.68298611111111107"/>
    <s v="Shibor_3M"/>
    <n v="3.14"/>
    <n v="3.21"/>
    <n v="0"/>
    <d v="2012-08-15T00:00:00"/>
    <d v="2013-08-15T00:00:00"/>
    <x v="93"/>
  </r>
  <r>
    <n v="610"/>
    <x v="8"/>
    <x v="8"/>
    <x v="1"/>
    <n v="0.68298611111111107"/>
    <s v="Shibor_3M"/>
    <n v="3.36"/>
    <n v="3.42"/>
    <n v="0"/>
    <d v="2012-08-15T00:00:00"/>
    <d v="2013-02-15T00:00:00"/>
    <x v="59"/>
  </r>
  <r>
    <n v="611"/>
    <x v="8"/>
    <x v="1"/>
    <x v="3"/>
    <n v="0.49723379629629627"/>
    <s v="Shibor_3M"/>
    <n v="3.17"/>
    <n v="3.23"/>
    <n v="0"/>
    <d v="2012-08-15T00:00:00"/>
    <d v="2013-08-15T00:00:00"/>
    <x v="57"/>
  </r>
  <r>
    <n v="612"/>
    <x v="8"/>
    <x v="0"/>
    <x v="3"/>
    <n v="0.49723379629629627"/>
    <s v="Shibor_3M"/>
    <n v="3.01"/>
    <n v="3.08"/>
    <n v="0"/>
    <d v="2012-08-15T00:00:00"/>
    <d v="2015-08-15T00:00:00"/>
    <x v="94"/>
  </r>
  <r>
    <n v="613"/>
    <x v="8"/>
    <x v="5"/>
    <x v="3"/>
    <n v="0.49723379629629627"/>
    <s v="Shibor_3M"/>
    <n v="3.21"/>
    <n v="3.31"/>
    <n v="0"/>
    <d v="2012-08-15T00:00:00"/>
    <d v="2013-05-15T00:00:00"/>
    <x v="16"/>
  </r>
  <r>
    <n v="614"/>
    <x v="8"/>
    <x v="11"/>
    <x v="3"/>
    <n v="0.49723379629629627"/>
    <s v="Shibor_3M"/>
    <n v="3.04"/>
    <n v="3.09"/>
    <n v="0"/>
    <d v="2012-08-15T00:00:00"/>
    <d v="2017-08-15T00:00:00"/>
    <x v="85"/>
  </r>
  <r>
    <n v="615"/>
    <x v="8"/>
    <x v="8"/>
    <x v="3"/>
    <n v="0.49723379629629627"/>
    <s v="Shibor_3M"/>
    <n v="3.33"/>
    <n v="3.43"/>
    <n v="0"/>
    <d v="2012-08-15T00:00:00"/>
    <d v="2013-02-15T00:00:00"/>
    <x v="17"/>
  </r>
  <r>
    <n v="616"/>
    <x v="8"/>
    <x v="2"/>
    <x v="1"/>
    <n v="0.48668981481481483"/>
    <s v="Shibor_3M"/>
    <n v="3.03"/>
    <n v="3.09"/>
    <n v="0"/>
    <d v="2012-08-15T00:00:00"/>
    <d v="2016-08-15T00:00:00"/>
    <x v="95"/>
  </r>
  <r>
    <n v="617"/>
    <x v="8"/>
    <x v="11"/>
    <x v="1"/>
    <n v="0.48668981481481483"/>
    <s v="Shibor_3M"/>
    <n v="3.04"/>
    <n v="3.1"/>
    <n v="0"/>
    <d v="2012-08-15T00:00:00"/>
    <d v="2017-08-15T00:00:00"/>
    <x v="86"/>
  </r>
  <r>
    <n v="618"/>
    <x v="8"/>
    <x v="4"/>
    <x v="3"/>
    <n v="0.49723379629629627"/>
    <s v="Shibor_3M"/>
    <n v="3.04"/>
    <n v="3.13"/>
    <n v="0"/>
    <d v="2012-08-15T00:00:00"/>
    <d v="2014-08-15T00:00:00"/>
    <x v="96"/>
  </r>
  <r>
    <n v="619"/>
    <x v="8"/>
    <x v="0"/>
    <x v="1"/>
    <n v="0.48670138888888892"/>
    <s v="Shibor_3M"/>
    <n v="3.01"/>
    <n v="3.07"/>
    <n v="0"/>
    <d v="2012-08-15T00:00:00"/>
    <d v="2015-08-15T00:00:00"/>
    <x v="91"/>
  </r>
  <r>
    <n v="620"/>
    <x v="8"/>
    <x v="2"/>
    <x v="3"/>
    <n v="0.49723379629629627"/>
    <s v="Shibor_3M"/>
    <n v="3.03"/>
    <n v="3.1"/>
    <n v="0"/>
    <d v="2012-08-15T00:00:00"/>
    <d v="2016-08-15T00:00:00"/>
    <x v="85"/>
  </r>
  <r>
    <n v="621"/>
    <x v="8"/>
    <x v="9"/>
    <x v="2"/>
    <n v="0.67449074074074078"/>
    <s v="Shibor_3M"/>
    <n v="3"/>
    <n v="3.3"/>
    <n v="0"/>
    <d v="2012-08-15T00:00:00"/>
    <d v="2018-08-15T00:00:00"/>
    <x v="27"/>
  </r>
  <r>
    <n v="622"/>
    <x v="8"/>
    <x v="7"/>
    <x v="2"/>
    <n v="0.67449074074074078"/>
    <s v="Shibor_3M"/>
    <n v="3"/>
    <n v="3.3"/>
    <n v="0"/>
    <d v="2012-08-15T00:00:00"/>
    <d v="2019-08-15T00:00:00"/>
    <x v="27"/>
  </r>
  <r>
    <n v="623"/>
    <x v="8"/>
    <x v="11"/>
    <x v="2"/>
    <n v="0.67450231481481471"/>
    <s v="Shibor_3M"/>
    <n v="3.05"/>
    <n v="3.1"/>
    <n v="0"/>
    <d v="2012-08-15T00:00:00"/>
    <d v="2017-08-15T00:00:00"/>
    <x v="76"/>
  </r>
  <r>
    <n v="624"/>
    <x v="8"/>
    <x v="8"/>
    <x v="2"/>
    <n v="0.67449074074074078"/>
    <s v="Shibor_3M"/>
    <n v="3.3"/>
    <n v="3.5"/>
    <n v="0"/>
    <d v="2012-08-15T00:00:00"/>
    <d v="2013-02-15T00:00:00"/>
    <x v="32"/>
  </r>
  <r>
    <n v="625"/>
    <x v="8"/>
    <x v="3"/>
    <x v="2"/>
    <n v="0.67449074074074078"/>
    <s v="Shibor_3M"/>
    <n v="3"/>
    <n v="3.3"/>
    <n v="0"/>
    <d v="2012-08-15T00:00:00"/>
    <d v="2021-08-15T00:00:00"/>
    <x v="27"/>
  </r>
  <r>
    <n v="626"/>
    <x v="8"/>
    <x v="10"/>
    <x v="2"/>
    <n v="0.67449074074074078"/>
    <s v="Shibor_3M"/>
    <n v="3"/>
    <n v="3.3"/>
    <n v="0"/>
    <d v="2012-08-15T00:00:00"/>
    <d v="2020-08-15T00:00:00"/>
    <x v="27"/>
  </r>
  <r>
    <n v="627"/>
    <x v="8"/>
    <x v="1"/>
    <x v="2"/>
    <n v="0.67449074074074078"/>
    <s v="Shibor_3M"/>
    <n v="3.1"/>
    <n v="3.15"/>
    <n v="0"/>
    <d v="2012-08-15T00:00:00"/>
    <d v="2013-08-15T00:00:00"/>
    <x v="80"/>
  </r>
  <r>
    <n v="628"/>
    <x v="8"/>
    <x v="4"/>
    <x v="2"/>
    <n v="0.67449074074074078"/>
    <s v="Shibor_3M"/>
    <n v="3"/>
    <n v="3.05"/>
    <n v="0"/>
    <d v="2012-08-15T00:00:00"/>
    <d v="2014-08-15T00:00:00"/>
    <x v="79"/>
  </r>
  <r>
    <n v="629"/>
    <x v="8"/>
    <x v="6"/>
    <x v="2"/>
    <n v="0.67449074074074078"/>
    <s v="Shibor_3M"/>
    <n v="3"/>
    <n v="3.3"/>
    <n v="0"/>
    <d v="2012-08-15T00:00:00"/>
    <d v="2022-08-15T00:00:00"/>
    <x v="27"/>
  </r>
  <r>
    <n v="630"/>
    <x v="9"/>
    <x v="6"/>
    <x v="0"/>
    <n v="0.48857638888888894"/>
    <s v="Shibor_3M"/>
    <n v="2.99"/>
    <n v="3.39"/>
    <n v="0"/>
    <d v="2012-08-14T00:00:00"/>
    <d v="2022-08-14T00:00:00"/>
    <x v="55"/>
  </r>
  <r>
    <n v="631"/>
    <x v="9"/>
    <x v="5"/>
    <x v="0"/>
    <n v="0.48857638888888894"/>
    <s v="Shibor_3M"/>
    <n v="3.23"/>
    <n v="3.33"/>
    <n v="0"/>
    <d v="2012-08-14T00:00:00"/>
    <d v="2013-05-14T00:00:00"/>
    <x v="9"/>
  </r>
  <r>
    <n v="632"/>
    <x v="9"/>
    <x v="10"/>
    <x v="0"/>
    <n v="0.48857638888888894"/>
    <s v="Shibor_3M"/>
    <n v="2.96"/>
    <n v="3.36"/>
    <n v="0"/>
    <d v="2012-08-14T00:00:00"/>
    <d v="2020-08-14T00:00:00"/>
    <x v="71"/>
  </r>
  <r>
    <n v="633"/>
    <x v="9"/>
    <x v="2"/>
    <x v="0"/>
    <n v="0.48857638888888894"/>
    <s v="Shibor_3M"/>
    <n v="2.98"/>
    <n v="3.08"/>
    <n v="0"/>
    <d v="2012-08-14T00:00:00"/>
    <d v="2016-08-14T00:00:00"/>
    <x v="90"/>
  </r>
  <r>
    <n v="634"/>
    <x v="9"/>
    <x v="11"/>
    <x v="0"/>
    <n v="0.48857638888888894"/>
    <s v="Shibor_3M"/>
    <n v="3"/>
    <n v="3.1"/>
    <n v="0"/>
    <d v="2012-08-14T00:00:00"/>
    <d v="2017-08-14T00:00:00"/>
    <x v="81"/>
  </r>
  <r>
    <n v="635"/>
    <x v="9"/>
    <x v="1"/>
    <x v="0"/>
    <n v="0.48856481481481479"/>
    <s v="Shibor_3M"/>
    <n v="3.13"/>
    <n v="3.23"/>
    <n v="0"/>
    <d v="2012-08-14T00:00:00"/>
    <d v="2013-08-14T00:00:00"/>
    <x v="49"/>
  </r>
  <r>
    <n v="636"/>
    <x v="9"/>
    <x v="8"/>
    <x v="0"/>
    <n v="0.48856481481481479"/>
    <s v="Shibor_3M"/>
    <n v="3.34"/>
    <n v="3.44"/>
    <n v="0"/>
    <d v="2012-08-14T00:00:00"/>
    <d v="2013-02-14T00:00:00"/>
    <x v="59"/>
  </r>
  <r>
    <n v="637"/>
    <x v="9"/>
    <x v="4"/>
    <x v="0"/>
    <n v="0.48856481481481479"/>
    <s v="Shibor_3M"/>
    <n v="2.98"/>
    <n v="3.08"/>
    <n v="0"/>
    <d v="2012-08-14T00:00:00"/>
    <d v="2014-08-14T00:00:00"/>
    <x v="90"/>
  </r>
  <r>
    <n v="638"/>
    <x v="9"/>
    <x v="7"/>
    <x v="0"/>
    <n v="0.48857638888888894"/>
    <s v="Shibor_3M"/>
    <n v="2.95"/>
    <n v="3.35"/>
    <n v="0"/>
    <d v="2012-08-14T00:00:00"/>
    <d v="2019-08-14T00:00:00"/>
    <x v="51"/>
  </r>
  <r>
    <n v="639"/>
    <x v="9"/>
    <x v="0"/>
    <x v="0"/>
    <n v="0.48857638888888894"/>
    <s v="Shibor_3M"/>
    <n v="2.98"/>
    <n v="3.08"/>
    <n v="0"/>
    <d v="2012-08-14T00:00:00"/>
    <d v="2015-08-14T00:00:00"/>
    <x v="90"/>
  </r>
  <r>
    <n v="640"/>
    <x v="9"/>
    <x v="11"/>
    <x v="1"/>
    <n v="0.49019675925925926"/>
    <s v="Shibor_3M"/>
    <n v="3.06"/>
    <n v="3.12"/>
    <n v="0"/>
    <d v="2012-08-14T00:00:00"/>
    <d v="2017-08-14T00:00:00"/>
    <x v="69"/>
  </r>
  <r>
    <n v="641"/>
    <x v="9"/>
    <x v="6"/>
    <x v="1"/>
    <n v="0.49019675925925926"/>
    <s v="Shibor_3M"/>
    <n v="3.17"/>
    <n v="3.23"/>
    <n v="0"/>
    <d v="2012-08-14T00:00:00"/>
    <d v="2022-08-14T00:00:00"/>
    <x v="57"/>
  </r>
  <r>
    <n v="642"/>
    <x v="9"/>
    <x v="1"/>
    <x v="1"/>
    <n v="0.49019675925925926"/>
    <s v="Shibor_3M"/>
    <n v="3.17"/>
    <n v="3.23"/>
    <n v="0"/>
    <d v="2012-08-14T00:00:00"/>
    <d v="2013-08-14T00:00:00"/>
    <x v="57"/>
  </r>
  <r>
    <n v="643"/>
    <x v="9"/>
    <x v="0"/>
    <x v="1"/>
    <n v="0.49020833333333336"/>
    <s v="Shibor_3M"/>
    <n v="3.04"/>
    <n v="3.1"/>
    <n v="0"/>
    <d v="2012-08-14T00:00:00"/>
    <d v="2015-08-14T00:00:00"/>
    <x v="86"/>
  </r>
  <r>
    <n v="644"/>
    <x v="9"/>
    <x v="2"/>
    <x v="1"/>
    <n v="0.49020833333333336"/>
    <s v="Shibor_3M"/>
    <n v="3.03"/>
    <n v="3.09"/>
    <n v="0"/>
    <d v="2012-08-14T00:00:00"/>
    <d v="2016-08-14T00:00:00"/>
    <x v="95"/>
  </r>
  <r>
    <n v="645"/>
    <x v="9"/>
    <x v="8"/>
    <x v="1"/>
    <n v="0.49018518518518522"/>
    <s v="Shibor_3M"/>
    <n v="3.42"/>
    <n v="3.48"/>
    <n v="0"/>
    <d v="2012-08-14T00:00:00"/>
    <d v="2013-02-14T00:00:00"/>
    <x v="43"/>
  </r>
  <r>
    <n v="646"/>
    <x v="9"/>
    <x v="3"/>
    <x v="0"/>
    <n v="0.48857638888888894"/>
    <s v="Shibor_3M"/>
    <n v="2.98"/>
    <n v="3.38"/>
    <n v="0"/>
    <d v="2012-08-14T00:00:00"/>
    <d v="2021-08-14T00:00:00"/>
    <x v="49"/>
  </r>
  <r>
    <n v="647"/>
    <x v="9"/>
    <x v="4"/>
    <x v="1"/>
    <n v="0.49019675925925926"/>
    <s v="Shibor_3M"/>
    <n v="3.07"/>
    <n v="3.13"/>
    <n v="0"/>
    <d v="2012-08-14T00:00:00"/>
    <d v="2014-08-14T00:00:00"/>
    <x v="64"/>
  </r>
  <r>
    <n v="648"/>
    <x v="9"/>
    <x v="5"/>
    <x v="1"/>
    <n v="0.49019675925925926"/>
    <s v="Shibor_3M"/>
    <n v="3.27"/>
    <n v="3.33"/>
    <n v="0"/>
    <d v="2012-08-14T00:00:00"/>
    <d v="2013-05-14T00:00:00"/>
    <x v="23"/>
  </r>
  <r>
    <n v="649"/>
    <x v="9"/>
    <x v="7"/>
    <x v="1"/>
    <n v="0.49019675925925926"/>
    <s v="Shibor_3M"/>
    <n v="3.12"/>
    <n v="3.18"/>
    <n v="0"/>
    <d v="2012-08-14T00:00:00"/>
    <d v="2019-08-14T00:00:00"/>
    <x v="51"/>
  </r>
  <r>
    <n v="650"/>
    <x v="9"/>
    <x v="1"/>
    <x v="2"/>
    <n v="0.48106481481481483"/>
    <s v="Shibor_3M"/>
    <n v="3.1"/>
    <n v="3.15"/>
    <n v="0"/>
    <d v="2012-08-14T00:00:00"/>
    <d v="2013-08-14T00:00:00"/>
    <x v="80"/>
  </r>
  <r>
    <n v="651"/>
    <x v="9"/>
    <x v="0"/>
    <x v="2"/>
    <n v="0.48106481481481483"/>
    <s v="Shibor_3M"/>
    <n v="3"/>
    <n v="3.05"/>
    <n v="0"/>
    <d v="2012-08-14T00:00:00"/>
    <d v="2015-08-14T00:00:00"/>
    <x v="79"/>
  </r>
  <r>
    <n v="652"/>
    <x v="9"/>
    <x v="10"/>
    <x v="2"/>
    <n v="0.48106481481481483"/>
    <s v="Shibor_3M"/>
    <n v="3"/>
    <n v="3.3"/>
    <n v="0"/>
    <d v="2012-08-14T00:00:00"/>
    <d v="2020-08-14T00:00:00"/>
    <x v="27"/>
  </r>
  <r>
    <n v="653"/>
    <x v="9"/>
    <x v="4"/>
    <x v="2"/>
    <n v="0.48106481481481483"/>
    <s v="Shibor_3M"/>
    <n v="3"/>
    <n v="3.05"/>
    <n v="0"/>
    <d v="2012-08-14T00:00:00"/>
    <d v="2014-08-14T00:00:00"/>
    <x v="79"/>
  </r>
  <r>
    <n v="654"/>
    <x v="9"/>
    <x v="6"/>
    <x v="2"/>
    <n v="0.48106481481481483"/>
    <s v="Shibor_3M"/>
    <n v="3"/>
    <n v="3.3"/>
    <n v="0"/>
    <d v="2012-08-14T00:00:00"/>
    <d v="2022-08-14T00:00:00"/>
    <x v="27"/>
  </r>
  <r>
    <n v="655"/>
    <x v="9"/>
    <x v="8"/>
    <x v="2"/>
    <n v="0.4810532407407408"/>
    <s v="Shibor_3M"/>
    <n v="3.3"/>
    <n v="3.5"/>
    <n v="0"/>
    <d v="2012-08-14T00:00:00"/>
    <d v="2013-02-14T00:00:00"/>
    <x v="32"/>
  </r>
  <r>
    <n v="656"/>
    <x v="9"/>
    <x v="9"/>
    <x v="2"/>
    <n v="0.4810532407407408"/>
    <s v="Shibor_3M"/>
    <n v="3"/>
    <n v="3.3"/>
    <n v="0"/>
    <d v="2012-08-14T00:00:00"/>
    <d v="2018-08-14T00:00:00"/>
    <x v="27"/>
  </r>
  <r>
    <n v="657"/>
    <x v="9"/>
    <x v="5"/>
    <x v="2"/>
    <n v="0.48106481481481483"/>
    <s v="Shibor_3M"/>
    <n v="3.6"/>
    <n v="3.7"/>
    <n v="0"/>
    <d v="2012-08-14T00:00:00"/>
    <d v="2013-05-14T00:00:00"/>
    <x v="60"/>
  </r>
  <r>
    <n v="658"/>
    <x v="9"/>
    <x v="2"/>
    <x v="2"/>
    <n v="0.48106481481481483"/>
    <s v="Shibor_3M"/>
    <n v="3"/>
    <n v="3.05"/>
    <n v="0"/>
    <d v="2012-08-14T00:00:00"/>
    <d v="2016-08-14T00:00:00"/>
    <x v="79"/>
  </r>
  <r>
    <n v="659"/>
    <x v="9"/>
    <x v="11"/>
    <x v="2"/>
    <n v="0.48106481481481483"/>
    <s v="Shibor_3M"/>
    <n v="3.05"/>
    <n v="3.1"/>
    <n v="0"/>
    <d v="2012-08-14T00:00:00"/>
    <d v="2017-08-14T00:00:00"/>
    <x v="76"/>
  </r>
  <r>
    <n v="660"/>
    <x v="9"/>
    <x v="8"/>
    <x v="3"/>
    <n v="0.486875"/>
    <s v="Shibor_3M"/>
    <n v="3.34"/>
    <n v="3.44"/>
    <n v="0"/>
    <d v="2012-08-14T00:00:00"/>
    <d v="2013-02-14T00:00:00"/>
    <x v="59"/>
  </r>
  <r>
    <n v="661"/>
    <x v="9"/>
    <x v="1"/>
    <x v="3"/>
    <n v="0.48686342592592591"/>
    <s v="Shibor_3M"/>
    <n v="3.15"/>
    <n v="3.2"/>
    <n v="0"/>
    <d v="2012-08-14T00:00:00"/>
    <d v="2013-08-14T00:00:00"/>
    <x v="93"/>
  </r>
  <r>
    <n v="662"/>
    <x v="9"/>
    <x v="0"/>
    <x v="3"/>
    <n v="0.486875"/>
    <s v="Shibor_3M"/>
    <n v="2.98"/>
    <n v="3.08"/>
    <n v="0"/>
    <d v="2012-08-14T00:00:00"/>
    <d v="2015-08-14T00:00:00"/>
    <x v="90"/>
  </r>
  <r>
    <n v="663"/>
    <x v="9"/>
    <x v="9"/>
    <x v="0"/>
    <n v="0.48856481481481479"/>
    <s v="Shibor_3M"/>
    <n v="3"/>
    <n v="3.1"/>
    <n v="0"/>
    <d v="2012-08-14T00:00:00"/>
    <d v="2018-08-14T00:00:00"/>
    <x v="81"/>
  </r>
  <r>
    <n v="664"/>
    <x v="9"/>
    <x v="4"/>
    <x v="3"/>
    <n v="0.486875"/>
    <s v="Shibor_3M"/>
    <n v="3"/>
    <n v="3.08"/>
    <n v="0"/>
    <d v="2012-08-14T00:00:00"/>
    <d v="2014-08-14T00:00:00"/>
    <x v="91"/>
  </r>
  <r>
    <n v="665"/>
    <x v="9"/>
    <x v="7"/>
    <x v="2"/>
    <n v="0.48106481481481483"/>
    <s v="Shibor_3M"/>
    <n v="3"/>
    <n v="3.3"/>
    <n v="0"/>
    <d v="2012-08-14T00:00:00"/>
    <d v="2019-08-14T00:00:00"/>
    <x v="27"/>
  </r>
  <r>
    <n v="666"/>
    <x v="9"/>
    <x v="3"/>
    <x v="2"/>
    <n v="0.48106481481481483"/>
    <s v="Shibor_3M"/>
    <n v="3"/>
    <n v="3.3"/>
    <n v="0"/>
    <d v="2012-08-14T00:00:00"/>
    <d v="2021-08-14T00:00:00"/>
    <x v="27"/>
  </r>
  <r>
    <n v="667"/>
    <x v="9"/>
    <x v="11"/>
    <x v="3"/>
    <n v="0.48686342592592591"/>
    <s v="Shibor_3M"/>
    <n v="3.03"/>
    <n v="3.08"/>
    <n v="0"/>
    <d v="2012-08-14T00:00:00"/>
    <d v="2017-08-14T00:00:00"/>
    <x v="74"/>
  </r>
  <r>
    <n v="668"/>
    <x v="9"/>
    <x v="2"/>
    <x v="3"/>
    <n v="0.48686342592592591"/>
    <s v="Shibor_3M"/>
    <n v="3"/>
    <n v="3.08"/>
    <n v="0"/>
    <d v="2012-08-14T00:00:00"/>
    <d v="2016-08-14T00:00:00"/>
    <x v="91"/>
  </r>
  <r>
    <n v="669"/>
    <x v="9"/>
    <x v="5"/>
    <x v="3"/>
    <n v="0.48686342592592591"/>
    <s v="Shibor_3M"/>
    <n v="3.23"/>
    <n v="3.33"/>
    <n v="0"/>
    <d v="2012-08-14T00:00:00"/>
    <d v="2013-05-14T00:00:00"/>
    <x v="9"/>
  </r>
  <r>
    <n v="670"/>
    <x v="9"/>
    <x v="1"/>
    <x v="0"/>
    <n v="0.68277777777777782"/>
    <s v="Shibor_3M"/>
    <n v="3.13"/>
    <n v="3.23"/>
    <n v="0"/>
    <d v="2012-08-14T00:00:00"/>
    <d v="2013-08-14T00:00:00"/>
    <x v="49"/>
  </r>
  <r>
    <n v="671"/>
    <x v="9"/>
    <x v="8"/>
    <x v="0"/>
    <n v="0.68277777777777782"/>
    <s v="Shibor_3M"/>
    <n v="3.34"/>
    <n v="3.44"/>
    <n v="0"/>
    <d v="2012-08-14T00:00:00"/>
    <d v="2013-02-14T00:00:00"/>
    <x v="59"/>
  </r>
  <r>
    <n v="672"/>
    <x v="9"/>
    <x v="6"/>
    <x v="1"/>
    <n v="0.68277777777777782"/>
    <s v="Shibor_3M"/>
    <n v="3.17"/>
    <n v="3.23"/>
    <n v="0"/>
    <d v="2012-08-14T00:00:00"/>
    <d v="2022-08-14T00:00:00"/>
    <x v="57"/>
  </r>
  <r>
    <n v="673"/>
    <x v="9"/>
    <x v="2"/>
    <x v="1"/>
    <n v="0.68277777777777782"/>
    <s v="Shibor_3M"/>
    <n v="3.03"/>
    <n v="3.09"/>
    <n v="0"/>
    <d v="2012-08-14T00:00:00"/>
    <d v="2016-08-14T00:00:00"/>
    <x v="95"/>
  </r>
  <r>
    <n v="674"/>
    <x v="9"/>
    <x v="11"/>
    <x v="1"/>
    <n v="0.68277777777777782"/>
    <s v="Shibor_3M"/>
    <n v="3.06"/>
    <n v="3.12"/>
    <n v="0"/>
    <d v="2012-08-14T00:00:00"/>
    <d v="2017-08-14T00:00:00"/>
    <x v="69"/>
  </r>
  <r>
    <n v="675"/>
    <x v="9"/>
    <x v="7"/>
    <x v="1"/>
    <n v="0.68276620370370367"/>
    <s v="Shibor_3M"/>
    <n v="3.12"/>
    <n v="3.18"/>
    <n v="0"/>
    <d v="2012-08-14T00:00:00"/>
    <d v="2019-08-14T00:00:00"/>
    <x v="51"/>
  </r>
  <r>
    <n v="676"/>
    <x v="9"/>
    <x v="4"/>
    <x v="1"/>
    <n v="0.68276620370370367"/>
    <s v="Shibor_3M"/>
    <n v="3.07"/>
    <n v="3.13"/>
    <n v="0"/>
    <d v="2012-08-14T00:00:00"/>
    <d v="2014-08-14T00:00:00"/>
    <x v="64"/>
  </r>
  <r>
    <n v="677"/>
    <x v="9"/>
    <x v="5"/>
    <x v="1"/>
    <n v="0.68276620370370367"/>
    <s v="Shibor_3M"/>
    <n v="3.27"/>
    <n v="3.33"/>
    <n v="0"/>
    <d v="2012-08-14T00:00:00"/>
    <d v="2013-05-14T00:00:00"/>
    <x v="23"/>
  </r>
  <r>
    <n v="678"/>
    <x v="9"/>
    <x v="9"/>
    <x v="0"/>
    <n v="0.68277777777777782"/>
    <s v="Shibor_3M"/>
    <n v="3"/>
    <n v="3.1"/>
    <n v="0"/>
    <d v="2012-08-14T00:00:00"/>
    <d v="2018-08-14T00:00:00"/>
    <x v="81"/>
  </r>
  <r>
    <n v="679"/>
    <x v="9"/>
    <x v="8"/>
    <x v="1"/>
    <n v="0.68276620370370367"/>
    <s v="Shibor_3M"/>
    <n v="3.42"/>
    <n v="3.48"/>
    <n v="0"/>
    <d v="2012-08-14T00:00:00"/>
    <d v="2013-02-14T00:00:00"/>
    <x v="43"/>
  </r>
  <r>
    <n v="680"/>
    <x v="9"/>
    <x v="4"/>
    <x v="0"/>
    <n v="0.68278935185185186"/>
    <s v="Shibor_3M"/>
    <n v="2.98"/>
    <n v="3.08"/>
    <n v="0"/>
    <d v="2012-08-14T00:00:00"/>
    <d v="2014-08-14T00:00:00"/>
    <x v="90"/>
  </r>
  <r>
    <n v="681"/>
    <x v="9"/>
    <x v="0"/>
    <x v="0"/>
    <n v="0.68278935185185186"/>
    <s v="Shibor_3M"/>
    <n v="2.98"/>
    <n v="3.08"/>
    <n v="0"/>
    <d v="2012-08-14T00:00:00"/>
    <d v="2015-08-14T00:00:00"/>
    <x v="90"/>
  </r>
  <r>
    <n v="682"/>
    <x v="9"/>
    <x v="7"/>
    <x v="0"/>
    <n v="0.68278935185185186"/>
    <s v="Shibor_3M"/>
    <n v="2.95"/>
    <n v="3.35"/>
    <n v="0"/>
    <d v="2012-08-14T00:00:00"/>
    <d v="2019-08-14T00:00:00"/>
    <x v="51"/>
  </r>
  <r>
    <n v="683"/>
    <x v="9"/>
    <x v="6"/>
    <x v="0"/>
    <n v="0.68278935185185186"/>
    <s v="Shibor_3M"/>
    <n v="2.99"/>
    <n v="3.39"/>
    <n v="0"/>
    <d v="2012-08-14T00:00:00"/>
    <d v="2022-08-14T00:00:00"/>
    <x v="55"/>
  </r>
  <r>
    <n v="684"/>
    <x v="9"/>
    <x v="5"/>
    <x v="0"/>
    <n v="0.68278935185185186"/>
    <s v="Shibor_3M"/>
    <n v="3.23"/>
    <n v="3.33"/>
    <n v="0"/>
    <d v="2012-08-14T00:00:00"/>
    <d v="2013-05-14T00:00:00"/>
    <x v="9"/>
  </r>
  <r>
    <n v="685"/>
    <x v="9"/>
    <x v="10"/>
    <x v="0"/>
    <n v="0.68278935185185186"/>
    <s v="Shibor_3M"/>
    <n v="2.96"/>
    <n v="3.36"/>
    <n v="0"/>
    <d v="2012-08-14T00:00:00"/>
    <d v="2020-08-14T00:00:00"/>
    <x v="71"/>
  </r>
  <r>
    <n v="686"/>
    <x v="9"/>
    <x v="0"/>
    <x v="1"/>
    <n v="0.68277777777777782"/>
    <s v="Shibor_3M"/>
    <n v="3.04"/>
    <n v="3.1"/>
    <n v="0"/>
    <d v="2012-08-14T00:00:00"/>
    <d v="2015-08-14T00:00:00"/>
    <x v="86"/>
  </r>
  <r>
    <n v="687"/>
    <x v="9"/>
    <x v="11"/>
    <x v="0"/>
    <n v="0.68278935185185186"/>
    <s v="Shibor_3M"/>
    <n v="3"/>
    <n v="3.1"/>
    <n v="0"/>
    <d v="2012-08-14T00:00:00"/>
    <d v="2017-08-14T00:00:00"/>
    <x v="81"/>
  </r>
  <r>
    <n v="688"/>
    <x v="9"/>
    <x v="3"/>
    <x v="0"/>
    <n v="0.68278935185185186"/>
    <s v="Shibor_3M"/>
    <n v="2.98"/>
    <n v="3.38"/>
    <n v="0"/>
    <d v="2012-08-14T00:00:00"/>
    <d v="2021-08-14T00:00:00"/>
    <x v="49"/>
  </r>
  <r>
    <n v="689"/>
    <x v="9"/>
    <x v="2"/>
    <x v="0"/>
    <n v="0.68278935185185186"/>
    <s v="Shibor_3M"/>
    <n v="2.98"/>
    <n v="3.08"/>
    <n v="0"/>
    <d v="2012-08-14T00:00:00"/>
    <d v="2016-08-14T00:00:00"/>
    <x v="90"/>
  </r>
  <r>
    <n v="690"/>
    <x v="9"/>
    <x v="6"/>
    <x v="2"/>
    <n v="0.67053240740740738"/>
    <s v="Shibor_3M"/>
    <n v="3"/>
    <n v="3.3"/>
    <n v="0"/>
    <d v="2012-08-14T00:00:00"/>
    <d v="2022-08-14T00:00:00"/>
    <x v="27"/>
  </r>
  <r>
    <n v="691"/>
    <x v="9"/>
    <x v="10"/>
    <x v="2"/>
    <n v="0.67053240740740738"/>
    <s v="Shibor_3M"/>
    <n v="3"/>
    <n v="3.3"/>
    <n v="0"/>
    <d v="2012-08-14T00:00:00"/>
    <d v="2020-08-14T00:00:00"/>
    <x v="27"/>
  </r>
  <r>
    <n v="692"/>
    <x v="9"/>
    <x v="4"/>
    <x v="2"/>
    <n v="0.67053240740740738"/>
    <s v="Shibor_3M"/>
    <n v="3"/>
    <n v="3.05"/>
    <n v="0"/>
    <d v="2012-08-14T00:00:00"/>
    <d v="2014-08-14T00:00:00"/>
    <x v="79"/>
  </r>
  <r>
    <n v="693"/>
    <x v="9"/>
    <x v="7"/>
    <x v="2"/>
    <n v="0.67053240740740738"/>
    <s v="Shibor_3M"/>
    <n v="3"/>
    <n v="3.3"/>
    <n v="0"/>
    <d v="2012-08-14T00:00:00"/>
    <d v="2019-08-14T00:00:00"/>
    <x v="27"/>
  </r>
  <r>
    <n v="694"/>
    <x v="9"/>
    <x v="3"/>
    <x v="2"/>
    <n v="0.67053240740740738"/>
    <s v="Shibor_3M"/>
    <n v="3"/>
    <n v="3.3"/>
    <n v="0"/>
    <d v="2012-08-14T00:00:00"/>
    <d v="2021-08-14T00:00:00"/>
    <x v="27"/>
  </r>
  <r>
    <n v="695"/>
    <x v="9"/>
    <x v="8"/>
    <x v="2"/>
    <n v="0.67052083333333334"/>
    <s v="Shibor_3M"/>
    <n v="3.3"/>
    <n v="3.5"/>
    <n v="0"/>
    <d v="2012-08-14T00:00:00"/>
    <d v="2013-02-14T00:00:00"/>
    <x v="32"/>
  </r>
  <r>
    <n v="696"/>
    <x v="9"/>
    <x v="9"/>
    <x v="2"/>
    <n v="0.67052083333333334"/>
    <s v="Shibor_3M"/>
    <n v="3"/>
    <n v="3.3"/>
    <n v="0"/>
    <d v="2012-08-14T00:00:00"/>
    <d v="2018-08-14T00:00:00"/>
    <x v="27"/>
  </r>
  <r>
    <n v="697"/>
    <x v="9"/>
    <x v="5"/>
    <x v="2"/>
    <n v="0.67053240740740738"/>
    <s v="Shibor_3M"/>
    <n v="3.6"/>
    <n v="3.7"/>
    <n v="0"/>
    <d v="2012-08-14T00:00:00"/>
    <d v="2013-05-14T00:00:00"/>
    <x v="60"/>
  </r>
  <r>
    <n v="698"/>
    <x v="9"/>
    <x v="1"/>
    <x v="2"/>
    <n v="0.67053240740740738"/>
    <s v="Shibor_3M"/>
    <n v="3.1"/>
    <n v="3.15"/>
    <n v="0"/>
    <d v="2012-08-14T00:00:00"/>
    <d v="2013-08-14T00:00:00"/>
    <x v="80"/>
  </r>
  <r>
    <n v="699"/>
    <x v="9"/>
    <x v="11"/>
    <x v="2"/>
    <n v="0.67053240740740738"/>
    <s v="Shibor_3M"/>
    <n v="3.05"/>
    <n v="3.1"/>
    <n v="0"/>
    <d v="2012-08-14T00:00:00"/>
    <d v="2017-08-14T00:00:00"/>
    <x v="76"/>
  </r>
  <r>
    <n v="700"/>
    <x v="9"/>
    <x v="4"/>
    <x v="3"/>
    <n v="0.67240740740740745"/>
    <s v="Shibor_3M"/>
    <n v="2.98"/>
    <n v="3.08"/>
    <n v="0"/>
    <d v="2012-08-14T00:00:00"/>
    <d v="2014-08-14T00:00:00"/>
    <x v="90"/>
  </r>
  <r>
    <n v="701"/>
    <x v="9"/>
    <x v="11"/>
    <x v="3"/>
    <n v="0.6723958333333333"/>
    <s v="Shibor_3M"/>
    <n v="3"/>
    <n v="3.05"/>
    <n v="0"/>
    <d v="2012-08-14T00:00:00"/>
    <d v="2017-08-14T00:00:00"/>
    <x v="79"/>
  </r>
  <r>
    <n v="702"/>
    <x v="9"/>
    <x v="8"/>
    <x v="3"/>
    <n v="0.67240740740740745"/>
    <s v="Shibor_3M"/>
    <n v="3.35"/>
    <n v="3.4"/>
    <n v="0"/>
    <d v="2012-08-14T00:00:00"/>
    <d v="2013-02-14T00:00:00"/>
    <x v="30"/>
  </r>
  <r>
    <n v="703"/>
    <x v="9"/>
    <x v="1"/>
    <x v="1"/>
    <n v="0.68276620370370367"/>
    <s v="Shibor_3M"/>
    <n v="3.17"/>
    <n v="3.23"/>
    <n v="0"/>
    <d v="2012-08-14T00:00:00"/>
    <d v="2013-08-14T00:00:00"/>
    <x v="57"/>
  </r>
  <r>
    <n v="704"/>
    <x v="9"/>
    <x v="0"/>
    <x v="3"/>
    <n v="0.67241898148148149"/>
    <s v="Shibor_3M"/>
    <n v="2.96"/>
    <n v="3.06"/>
    <n v="0"/>
    <d v="2012-08-14T00:00:00"/>
    <d v="2015-08-14T00:00:00"/>
    <x v="97"/>
  </r>
  <r>
    <n v="705"/>
    <x v="9"/>
    <x v="0"/>
    <x v="2"/>
    <n v="0.67054398148148142"/>
    <s v="Shibor_3M"/>
    <n v="3"/>
    <n v="3.05"/>
    <n v="0"/>
    <d v="2012-08-14T00:00:00"/>
    <d v="2015-08-14T00:00:00"/>
    <x v="79"/>
  </r>
  <r>
    <n v="706"/>
    <x v="9"/>
    <x v="2"/>
    <x v="2"/>
    <n v="0.67054398148148142"/>
    <s v="Shibor_3M"/>
    <n v="3"/>
    <n v="3.05"/>
    <n v="0"/>
    <d v="2012-08-14T00:00:00"/>
    <d v="2016-08-14T00:00:00"/>
    <x v="79"/>
  </r>
  <r>
    <n v="707"/>
    <x v="9"/>
    <x v="5"/>
    <x v="3"/>
    <n v="0.6723958333333333"/>
    <s v="Shibor_3M"/>
    <n v="3.21"/>
    <n v="3.31"/>
    <n v="0"/>
    <d v="2012-08-14T00:00:00"/>
    <d v="2013-05-14T00:00:00"/>
    <x v="16"/>
  </r>
  <r>
    <n v="708"/>
    <x v="9"/>
    <x v="1"/>
    <x v="3"/>
    <n v="0.6723958333333333"/>
    <s v="Shibor_3M"/>
    <n v="3.13"/>
    <n v="3.18"/>
    <n v="0"/>
    <d v="2012-08-14T00:00:00"/>
    <d v="2013-08-14T00:00:00"/>
    <x v="52"/>
  </r>
  <r>
    <n v="709"/>
    <x v="9"/>
    <x v="2"/>
    <x v="3"/>
    <n v="0.6723958333333333"/>
    <s v="Shibor_3M"/>
    <n v="2.99"/>
    <n v="3.04"/>
    <n v="0"/>
    <d v="2012-08-14T00:00:00"/>
    <d v="2016-08-14T00:00:00"/>
    <x v="98"/>
  </r>
  <r>
    <n v="710"/>
    <x v="10"/>
    <x v="0"/>
    <x v="2"/>
    <n v="0.48091435185185188"/>
    <s v="Shibor_3M"/>
    <n v="3"/>
    <n v="3.05"/>
    <n v="0"/>
    <d v="2012-08-11T00:00:00"/>
    <d v="2015-08-11T00:00:00"/>
    <x v="79"/>
  </r>
  <r>
    <n v="711"/>
    <x v="10"/>
    <x v="7"/>
    <x v="2"/>
    <n v="0.48090277777777773"/>
    <s v="Shibor_3M"/>
    <n v="3"/>
    <n v="3.3"/>
    <n v="0"/>
    <d v="2012-08-11T00:00:00"/>
    <d v="2019-08-11T00:00:00"/>
    <x v="27"/>
  </r>
  <r>
    <n v="712"/>
    <x v="10"/>
    <x v="4"/>
    <x v="3"/>
    <n v="0.4838425925925926"/>
    <s v="Shibor_3M"/>
    <n v="2.96"/>
    <n v="3.06"/>
    <n v="0"/>
    <d v="2012-08-11T00:00:00"/>
    <d v="2014-08-11T00:00:00"/>
    <x v="97"/>
  </r>
  <r>
    <n v="713"/>
    <x v="10"/>
    <x v="1"/>
    <x v="3"/>
    <n v="0.48383101851851856"/>
    <s v="Shibor_3M"/>
    <n v="3.05"/>
    <n v="3.15"/>
    <n v="0"/>
    <d v="2012-08-11T00:00:00"/>
    <d v="2013-08-11T00:00:00"/>
    <x v="64"/>
  </r>
  <r>
    <n v="714"/>
    <x v="10"/>
    <x v="6"/>
    <x v="2"/>
    <n v="0.48090277777777773"/>
    <s v="Shibor_3M"/>
    <n v="3"/>
    <n v="3.3"/>
    <n v="0"/>
    <d v="2012-08-11T00:00:00"/>
    <d v="2022-08-11T00:00:00"/>
    <x v="27"/>
  </r>
  <r>
    <n v="715"/>
    <x v="10"/>
    <x v="10"/>
    <x v="2"/>
    <n v="0.48090277777777773"/>
    <s v="Shibor_3M"/>
    <n v="3"/>
    <n v="3.3"/>
    <n v="0"/>
    <d v="2012-08-11T00:00:00"/>
    <d v="2020-08-11T00:00:00"/>
    <x v="27"/>
  </r>
  <r>
    <n v="716"/>
    <x v="10"/>
    <x v="3"/>
    <x v="2"/>
    <n v="0.48090277777777773"/>
    <s v="Shibor_3M"/>
    <n v="3"/>
    <n v="3.3"/>
    <n v="0"/>
    <d v="2012-08-11T00:00:00"/>
    <d v="2021-08-11T00:00:00"/>
    <x v="27"/>
  </r>
  <r>
    <n v="717"/>
    <x v="10"/>
    <x v="4"/>
    <x v="2"/>
    <n v="0.48090277777777773"/>
    <s v="Shibor_3M"/>
    <n v="3.05"/>
    <n v="3.1"/>
    <n v="0"/>
    <d v="2012-08-11T00:00:00"/>
    <d v="2014-08-11T00:00:00"/>
    <x v="76"/>
  </r>
  <r>
    <n v="718"/>
    <x v="10"/>
    <x v="11"/>
    <x v="3"/>
    <n v="0.4838425925925926"/>
    <s v="Shibor_3M"/>
    <n v="3.01"/>
    <n v="3.08"/>
    <n v="0"/>
    <d v="2012-08-11T00:00:00"/>
    <d v="2017-08-11T00:00:00"/>
    <x v="94"/>
  </r>
  <r>
    <n v="719"/>
    <x v="10"/>
    <x v="3"/>
    <x v="2"/>
    <n v="0.67333333333333334"/>
    <s v="Shibor_3M"/>
    <n v="3"/>
    <n v="3.3"/>
    <n v="0"/>
    <d v="2012-08-11T00:00:00"/>
    <d v="2021-08-11T00:00:00"/>
    <x v="27"/>
  </r>
  <r>
    <n v="720"/>
    <x v="10"/>
    <x v="9"/>
    <x v="2"/>
    <n v="0.67332175925925919"/>
    <s v="Shibor_3M"/>
    <n v="3"/>
    <n v="3.3"/>
    <n v="0"/>
    <d v="2012-08-11T00:00:00"/>
    <d v="2018-08-11T00:00:00"/>
    <x v="27"/>
  </r>
  <r>
    <n v="721"/>
    <x v="10"/>
    <x v="5"/>
    <x v="2"/>
    <n v="0.67333333333333334"/>
    <s v="Shibor_3M"/>
    <n v="3.6"/>
    <n v="3.7"/>
    <n v="0"/>
    <d v="2012-08-11T00:00:00"/>
    <d v="2013-05-11T00:00:00"/>
    <x v="60"/>
  </r>
  <r>
    <n v="722"/>
    <x v="10"/>
    <x v="7"/>
    <x v="2"/>
    <n v="0.67333333333333334"/>
    <s v="Shibor_3M"/>
    <n v="3"/>
    <n v="3.3"/>
    <n v="0"/>
    <d v="2012-08-11T00:00:00"/>
    <d v="2019-08-11T00:00:00"/>
    <x v="27"/>
  </r>
  <r>
    <n v="723"/>
    <x v="10"/>
    <x v="2"/>
    <x v="3"/>
    <n v="0.4838425925925926"/>
    <s v="Shibor_3M"/>
    <n v="2.98"/>
    <n v="3.08"/>
    <n v="0"/>
    <d v="2012-08-11T00:00:00"/>
    <d v="2016-08-11T00:00:00"/>
    <x v="90"/>
  </r>
  <r>
    <n v="724"/>
    <x v="10"/>
    <x v="5"/>
    <x v="3"/>
    <n v="0.4838425925925926"/>
    <s v="Shibor_3M"/>
    <n v="3.16"/>
    <n v="3.26"/>
    <n v="0"/>
    <d v="2012-08-11T00:00:00"/>
    <d v="2013-05-11T00:00:00"/>
    <x v="88"/>
  </r>
  <r>
    <n v="725"/>
    <x v="10"/>
    <x v="0"/>
    <x v="3"/>
    <n v="0.4838541666666667"/>
    <s v="Shibor_3M"/>
    <n v="2.96"/>
    <n v="3.06"/>
    <n v="0"/>
    <d v="2012-08-11T00:00:00"/>
    <d v="2015-08-11T00:00:00"/>
    <x v="97"/>
  </r>
  <r>
    <n v="726"/>
    <x v="10"/>
    <x v="8"/>
    <x v="3"/>
    <n v="0.4838541666666667"/>
    <s v="Shibor_3M"/>
    <n v="3.3"/>
    <n v="3.4"/>
    <n v="0"/>
    <d v="2012-08-11T00:00:00"/>
    <d v="2013-02-11T00:00:00"/>
    <x v="1"/>
  </r>
  <r>
    <n v="727"/>
    <x v="10"/>
    <x v="1"/>
    <x v="2"/>
    <n v="0.48090277777777773"/>
    <s v="Shibor_3M"/>
    <n v="3.15"/>
    <n v="3.25"/>
    <n v="0"/>
    <d v="2012-08-11T00:00:00"/>
    <d v="2013-08-11T00:00:00"/>
    <x v="57"/>
  </r>
  <r>
    <n v="728"/>
    <x v="10"/>
    <x v="9"/>
    <x v="0"/>
    <n v="0.48011574074074076"/>
    <s v="Shibor_3M"/>
    <n v="3"/>
    <n v="3.1"/>
    <n v="0"/>
    <d v="2012-08-11T00:00:00"/>
    <d v="2018-08-11T00:00:00"/>
    <x v="81"/>
  </r>
  <r>
    <n v="729"/>
    <x v="10"/>
    <x v="10"/>
    <x v="0"/>
    <n v="0.48011574074074076"/>
    <s v="Shibor_3M"/>
    <n v="2.96"/>
    <n v="3.36"/>
    <n v="0"/>
    <d v="2012-08-11T00:00:00"/>
    <d v="2020-08-11T00:00:00"/>
    <x v="71"/>
  </r>
  <r>
    <n v="730"/>
    <x v="10"/>
    <x v="1"/>
    <x v="0"/>
    <n v="0.48011574074074076"/>
    <s v="Shibor_3M"/>
    <n v="3.07"/>
    <n v="3.17"/>
    <n v="0"/>
    <d v="2012-08-11T00:00:00"/>
    <d v="2013-08-11T00:00:00"/>
    <x v="66"/>
  </r>
  <r>
    <n v="731"/>
    <x v="10"/>
    <x v="8"/>
    <x v="0"/>
    <n v="0.48011574074074076"/>
    <s v="Shibor_3M"/>
    <n v="3.3"/>
    <n v="3.4"/>
    <n v="0"/>
    <d v="2012-08-11T00:00:00"/>
    <d v="2013-02-11T00:00:00"/>
    <x v="1"/>
  </r>
  <r>
    <n v="732"/>
    <x v="10"/>
    <x v="7"/>
    <x v="0"/>
    <n v="0.48011574074074076"/>
    <s v="Shibor_3M"/>
    <n v="2.95"/>
    <n v="3.35"/>
    <n v="0"/>
    <d v="2012-08-11T00:00:00"/>
    <d v="2019-08-11T00:00:00"/>
    <x v="51"/>
  </r>
  <r>
    <n v="733"/>
    <x v="10"/>
    <x v="4"/>
    <x v="0"/>
    <n v="0.48011574074074076"/>
    <s v="Shibor_3M"/>
    <n v="2.98"/>
    <n v="3.08"/>
    <n v="0"/>
    <d v="2012-08-11T00:00:00"/>
    <d v="2014-08-11T00:00:00"/>
    <x v="90"/>
  </r>
  <r>
    <n v="734"/>
    <x v="10"/>
    <x v="6"/>
    <x v="0"/>
    <n v="0.48011574074074076"/>
    <s v="Shibor_3M"/>
    <n v="2.99"/>
    <n v="3.39"/>
    <n v="0"/>
    <d v="2012-08-11T00:00:00"/>
    <d v="2022-08-11T00:00:00"/>
    <x v="55"/>
  </r>
  <r>
    <n v="735"/>
    <x v="10"/>
    <x v="5"/>
    <x v="0"/>
    <n v="0.48011574074074076"/>
    <s v="Shibor_3M"/>
    <n v="3.2"/>
    <n v="3.3"/>
    <n v="0"/>
    <d v="2012-08-11T00:00:00"/>
    <d v="2013-05-11T00:00:00"/>
    <x v="21"/>
  </r>
  <r>
    <n v="736"/>
    <x v="10"/>
    <x v="11"/>
    <x v="0"/>
    <n v="0.4801273148148148"/>
    <s v="Shibor_3M"/>
    <n v="3"/>
    <n v="3.1"/>
    <n v="0"/>
    <d v="2012-08-11T00:00:00"/>
    <d v="2017-08-11T00:00:00"/>
    <x v="81"/>
  </r>
  <r>
    <n v="737"/>
    <x v="10"/>
    <x v="11"/>
    <x v="2"/>
    <n v="0.48090277777777773"/>
    <s v="Shibor_3M"/>
    <n v="3"/>
    <n v="3.1"/>
    <n v="0"/>
    <d v="2012-08-11T00:00:00"/>
    <d v="2017-08-11T00:00:00"/>
    <x v="81"/>
  </r>
  <r>
    <n v="738"/>
    <x v="10"/>
    <x v="5"/>
    <x v="2"/>
    <n v="0.48090277777777773"/>
    <s v="Shibor_3M"/>
    <n v="3.6"/>
    <n v="3.7"/>
    <n v="0"/>
    <d v="2012-08-11T00:00:00"/>
    <d v="2013-05-11T00:00:00"/>
    <x v="60"/>
  </r>
  <r>
    <n v="739"/>
    <x v="10"/>
    <x v="8"/>
    <x v="2"/>
    <n v="0.48090277777777773"/>
    <s v="Shibor_3M"/>
    <n v="3.3"/>
    <n v="3.5"/>
    <n v="0"/>
    <d v="2012-08-11T00:00:00"/>
    <d v="2013-02-11T00:00:00"/>
    <x v="32"/>
  </r>
  <r>
    <n v="740"/>
    <x v="10"/>
    <x v="2"/>
    <x v="2"/>
    <n v="0.48090277777777773"/>
    <s v="Shibor_3M"/>
    <n v="3"/>
    <n v="3.05"/>
    <n v="0"/>
    <d v="2012-08-11T00:00:00"/>
    <d v="2016-08-11T00:00:00"/>
    <x v="79"/>
  </r>
  <r>
    <n v="741"/>
    <x v="10"/>
    <x v="3"/>
    <x v="0"/>
    <n v="0.4801273148148148"/>
    <s v="Shibor_3M"/>
    <n v="2.98"/>
    <n v="3.38"/>
    <n v="0"/>
    <d v="2012-08-11T00:00:00"/>
    <d v="2021-08-11T00:00:00"/>
    <x v="49"/>
  </r>
  <r>
    <n v="742"/>
    <x v="10"/>
    <x v="2"/>
    <x v="0"/>
    <n v="0.4801273148148148"/>
    <s v="Shibor_3M"/>
    <n v="2.98"/>
    <n v="3.08"/>
    <n v="0"/>
    <d v="2012-08-11T00:00:00"/>
    <d v="2016-08-11T00:00:00"/>
    <x v="90"/>
  </r>
  <r>
    <n v="743"/>
    <x v="10"/>
    <x v="9"/>
    <x v="2"/>
    <n v="0.4808912037037037"/>
    <s v="Shibor_3M"/>
    <n v="3"/>
    <n v="3.3"/>
    <n v="0"/>
    <d v="2012-08-11T00:00:00"/>
    <d v="2018-08-11T00:00:00"/>
    <x v="27"/>
  </r>
  <r>
    <n v="744"/>
    <x v="10"/>
    <x v="0"/>
    <x v="0"/>
    <n v="0.4801273148148148"/>
    <s v="Shibor_3M"/>
    <n v="2.98"/>
    <n v="3.08"/>
    <n v="0"/>
    <d v="2012-08-11T00:00:00"/>
    <d v="2015-08-11T00:00:00"/>
    <x v="90"/>
  </r>
  <r>
    <n v="745"/>
    <x v="10"/>
    <x v="8"/>
    <x v="2"/>
    <n v="0.67333333333333334"/>
    <s v="Shibor_3M"/>
    <n v="3.3"/>
    <n v="3.5"/>
    <n v="0"/>
    <d v="2012-08-11T00:00:00"/>
    <d v="2013-02-11T00:00:00"/>
    <x v="32"/>
  </r>
  <r>
    <n v="746"/>
    <x v="10"/>
    <x v="2"/>
    <x v="0"/>
    <n v="0.68615740740740738"/>
    <s v="Shibor_3M"/>
    <n v="2.98"/>
    <n v="3.08"/>
    <n v="0"/>
    <d v="2012-08-11T00:00:00"/>
    <d v="2016-08-11T00:00:00"/>
    <x v="90"/>
  </r>
  <r>
    <n v="747"/>
    <x v="10"/>
    <x v="11"/>
    <x v="0"/>
    <n v="0.68615740740740738"/>
    <s v="Shibor_3M"/>
    <n v="3"/>
    <n v="3.1"/>
    <n v="0"/>
    <d v="2012-08-11T00:00:00"/>
    <d v="2017-08-11T00:00:00"/>
    <x v="81"/>
  </r>
  <r>
    <n v="748"/>
    <x v="10"/>
    <x v="0"/>
    <x v="0"/>
    <n v="0.68615740740740738"/>
    <s v="Shibor_3M"/>
    <n v="2.98"/>
    <n v="3.08"/>
    <n v="0"/>
    <d v="2012-08-11T00:00:00"/>
    <d v="2015-08-11T00:00:00"/>
    <x v="90"/>
  </r>
  <r>
    <n v="749"/>
    <x v="10"/>
    <x v="3"/>
    <x v="0"/>
    <n v="0.68615740740740738"/>
    <s v="Shibor_3M"/>
    <n v="2.98"/>
    <n v="3.38"/>
    <n v="0"/>
    <d v="2012-08-11T00:00:00"/>
    <d v="2021-08-11T00:00:00"/>
    <x v="49"/>
  </r>
  <r>
    <n v="750"/>
    <x v="10"/>
    <x v="5"/>
    <x v="0"/>
    <n v="0.68615740740740738"/>
    <s v="Shibor_3M"/>
    <n v="3.2"/>
    <n v="3.3"/>
    <n v="0"/>
    <d v="2012-08-11T00:00:00"/>
    <d v="2013-05-11T00:00:00"/>
    <x v="21"/>
  </r>
  <r>
    <n v="751"/>
    <x v="10"/>
    <x v="8"/>
    <x v="0"/>
    <n v="0.68614583333333334"/>
    <s v="Shibor_3M"/>
    <n v="3.3"/>
    <n v="3.4"/>
    <n v="0"/>
    <d v="2012-08-11T00:00:00"/>
    <d v="2013-02-11T00:00:00"/>
    <x v="1"/>
  </r>
  <r>
    <n v="752"/>
    <x v="10"/>
    <x v="10"/>
    <x v="0"/>
    <n v="0.68615740740740738"/>
    <s v="Shibor_3M"/>
    <n v="2.96"/>
    <n v="3.36"/>
    <n v="0"/>
    <d v="2012-08-11T00:00:00"/>
    <d v="2020-08-11T00:00:00"/>
    <x v="71"/>
  </r>
  <r>
    <n v="753"/>
    <x v="10"/>
    <x v="6"/>
    <x v="0"/>
    <n v="0.68615740740740738"/>
    <s v="Shibor_3M"/>
    <n v="2.99"/>
    <n v="3.39"/>
    <n v="0"/>
    <d v="2012-08-11T00:00:00"/>
    <d v="2022-08-11T00:00:00"/>
    <x v="55"/>
  </r>
  <r>
    <n v="754"/>
    <x v="10"/>
    <x v="8"/>
    <x v="1"/>
    <n v="0.68744212962962958"/>
    <s v="Shibor_3M"/>
    <n v="3.42"/>
    <n v="3.48"/>
    <n v="0"/>
    <d v="2012-08-11T00:00:00"/>
    <d v="2013-02-11T00:00:00"/>
    <x v="43"/>
  </r>
  <r>
    <n v="755"/>
    <x v="10"/>
    <x v="7"/>
    <x v="1"/>
    <n v="0.68745370370370373"/>
    <s v="Shibor_3M"/>
    <n v="3.12"/>
    <n v="3.18"/>
    <n v="0"/>
    <d v="2012-08-11T00:00:00"/>
    <d v="2019-08-11T00:00:00"/>
    <x v="51"/>
  </r>
  <r>
    <n v="756"/>
    <x v="10"/>
    <x v="4"/>
    <x v="1"/>
    <n v="0.68745370370370373"/>
    <s v="Shibor_3M"/>
    <n v="3.07"/>
    <n v="3.13"/>
    <n v="0"/>
    <d v="2012-08-11T00:00:00"/>
    <d v="2014-08-11T00:00:00"/>
    <x v="64"/>
  </r>
  <r>
    <n v="757"/>
    <x v="10"/>
    <x v="6"/>
    <x v="1"/>
    <n v="0.68745370370370373"/>
    <s v="Shibor_3M"/>
    <n v="3.17"/>
    <n v="3.23"/>
    <n v="0"/>
    <d v="2012-08-11T00:00:00"/>
    <d v="2022-08-11T00:00:00"/>
    <x v="57"/>
  </r>
  <r>
    <n v="758"/>
    <x v="10"/>
    <x v="5"/>
    <x v="1"/>
    <n v="0.68745370370370373"/>
    <s v="Shibor_3M"/>
    <n v="3.27"/>
    <n v="3.33"/>
    <n v="0"/>
    <d v="2012-08-11T00:00:00"/>
    <d v="2013-05-11T00:00:00"/>
    <x v="23"/>
  </r>
  <r>
    <n v="759"/>
    <x v="10"/>
    <x v="2"/>
    <x v="1"/>
    <n v="0.68745370370370373"/>
    <s v="Shibor_3M"/>
    <n v="3.03"/>
    <n v="3.09"/>
    <n v="0"/>
    <d v="2012-08-11T00:00:00"/>
    <d v="2016-08-11T00:00:00"/>
    <x v="95"/>
  </r>
  <r>
    <n v="760"/>
    <x v="10"/>
    <x v="11"/>
    <x v="1"/>
    <n v="0.68745370370370373"/>
    <s v="Shibor_3M"/>
    <n v="3.06"/>
    <n v="3.12"/>
    <n v="0"/>
    <d v="2012-08-11T00:00:00"/>
    <d v="2017-08-11T00:00:00"/>
    <x v="69"/>
  </r>
  <r>
    <n v="761"/>
    <x v="10"/>
    <x v="1"/>
    <x v="1"/>
    <n v="0.68745370370370373"/>
    <s v="Shibor_3M"/>
    <n v="3.17"/>
    <n v="3.23"/>
    <n v="0"/>
    <d v="2012-08-11T00:00:00"/>
    <d v="2013-08-11T00:00:00"/>
    <x v="57"/>
  </r>
  <r>
    <n v="762"/>
    <x v="10"/>
    <x v="0"/>
    <x v="1"/>
    <n v="0.68745370370370373"/>
    <s v="Shibor_3M"/>
    <n v="3.04"/>
    <n v="3.1"/>
    <n v="0"/>
    <d v="2012-08-11T00:00:00"/>
    <d v="2015-08-11T00:00:00"/>
    <x v="86"/>
  </r>
  <r>
    <n v="763"/>
    <x v="10"/>
    <x v="9"/>
    <x v="0"/>
    <n v="0.68614583333333334"/>
    <s v="Shibor_3M"/>
    <n v="3"/>
    <n v="3.1"/>
    <n v="0"/>
    <d v="2012-08-11T00:00:00"/>
    <d v="2018-08-11T00:00:00"/>
    <x v="81"/>
  </r>
  <r>
    <n v="764"/>
    <x v="10"/>
    <x v="2"/>
    <x v="2"/>
    <n v="0.67334490740740749"/>
    <s v="Shibor_3M"/>
    <n v="2.95"/>
    <n v="3.05"/>
    <n v="0"/>
    <d v="2012-08-11T00:00:00"/>
    <d v="2016-08-11T00:00:00"/>
    <x v="99"/>
  </r>
  <r>
    <n v="765"/>
    <x v="10"/>
    <x v="11"/>
    <x v="2"/>
    <n v="0.67334490740740749"/>
    <s v="Shibor_3M"/>
    <n v="2.95"/>
    <n v="3.05"/>
    <n v="0"/>
    <d v="2012-08-11T00:00:00"/>
    <d v="2017-08-11T00:00:00"/>
    <x v="99"/>
  </r>
  <r>
    <n v="766"/>
    <x v="10"/>
    <x v="1"/>
    <x v="3"/>
    <n v="0.68255787037037041"/>
    <s v="Shibor_3M"/>
    <n v="3.07"/>
    <n v="3.15"/>
    <n v="0"/>
    <d v="2012-08-11T00:00:00"/>
    <d v="2013-08-11T00:00:00"/>
    <x v="100"/>
  </r>
  <r>
    <n v="767"/>
    <x v="10"/>
    <x v="0"/>
    <x v="2"/>
    <n v="0.67334490740740749"/>
    <s v="Shibor_3M"/>
    <n v="2.95"/>
    <n v="3.05"/>
    <n v="0"/>
    <d v="2012-08-11T00:00:00"/>
    <d v="2015-08-11T00:00:00"/>
    <x v="99"/>
  </r>
  <r>
    <n v="768"/>
    <x v="10"/>
    <x v="10"/>
    <x v="2"/>
    <n v="0.67333333333333334"/>
    <s v="Shibor_3M"/>
    <n v="3"/>
    <n v="3.3"/>
    <n v="0"/>
    <d v="2012-08-11T00:00:00"/>
    <d v="2020-08-11T00:00:00"/>
    <x v="27"/>
  </r>
  <r>
    <n v="769"/>
    <x v="10"/>
    <x v="1"/>
    <x v="2"/>
    <n v="0.67333333333333334"/>
    <s v="Shibor_3M"/>
    <n v="3.1"/>
    <n v="3.15"/>
    <n v="0"/>
    <d v="2012-08-11T00:00:00"/>
    <d v="2013-08-11T00:00:00"/>
    <x v="80"/>
  </r>
  <r>
    <n v="770"/>
    <x v="10"/>
    <x v="4"/>
    <x v="2"/>
    <n v="0.67333333333333334"/>
    <s v="Shibor_3M"/>
    <n v="2.95"/>
    <n v="3.05"/>
    <n v="0"/>
    <d v="2012-08-11T00:00:00"/>
    <d v="2014-08-11T00:00:00"/>
    <x v="99"/>
  </r>
  <r>
    <n v="771"/>
    <x v="10"/>
    <x v="6"/>
    <x v="2"/>
    <n v="0.67333333333333334"/>
    <s v="Shibor_3M"/>
    <n v="3"/>
    <n v="3.3"/>
    <n v="0"/>
    <d v="2012-08-11T00:00:00"/>
    <d v="2022-08-11T00:00:00"/>
    <x v="27"/>
  </r>
  <r>
    <n v="772"/>
    <x v="10"/>
    <x v="4"/>
    <x v="3"/>
    <n v="0.68256944444444445"/>
    <s v="Shibor_3M"/>
    <n v="2.95"/>
    <n v="3.04"/>
    <n v="0"/>
    <d v="2012-08-11T00:00:00"/>
    <d v="2014-08-11T00:00:00"/>
    <x v="101"/>
  </r>
  <r>
    <n v="773"/>
    <x v="10"/>
    <x v="1"/>
    <x v="0"/>
    <n v="0.68614583333333334"/>
    <s v="Shibor_3M"/>
    <n v="3.07"/>
    <n v="3.17"/>
    <n v="0"/>
    <d v="2012-08-11T00:00:00"/>
    <d v="2013-08-11T00:00:00"/>
    <x v="66"/>
  </r>
  <r>
    <n v="774"/>
    <x v="10"/>
    <x v="0"/>
    <x v="3"/>
    <n v="0.68258101851851849"/>
    <s v="Shibor_3M"/>
    <n v="2.94"/>
    <n v="3.01"/>
    <n v="0"/>
    <d v="2012-08-11T00:00:00"/>
    <d v="2015-08-11T00:00:00"/>
    <x v="102"/>
  </r>
  <r>
    <n v="775"/>
    <x v="10"/>
    <x v="7"/>
    <x v="0"/>
    <n v="0.68614583333333334"/>
    <s v="Shibor_3M"/>
    <n v="2.95"/>
    <n v="3.35"/>
    <n v="0"/>
    <d v="2012-08-11T00:00:00"/>
    <d v="2019-08-11T00:00:00"/>
    <x v="51"/>
  </r>
  <r>
    <n v="776"/>
    <x v="10"/>
    <x v="4"/>
    <x v="0"/>
    <n v="0.68614583333333334"/>
    <s v="Shibor_3M"/>
    <n v="2.98"/>
    <n v="3.08"/>
    <n v="0"/>
    <d v="2012-08-11T00:00:00"/>
    <d v="2014-08-11T00:00:00"/>
    <x v="90"/>
  </r>
  <r>
    <n v="777"/>
    <x v="10"/>
    <x v="5"/>
    <x v="3"/>
    <n v="0.68256944444444445"/>
    <s v="Shibor_3M"/>
    <n v="3.16"/>
    <n v="3.26"/>
    <n v="0"/>
    <d v="2012-08-11T00:00:00"/>
    <d v="2013-05-11T00:00:00"/>
    <x v="88"/>
  </r>
  <r>
    <n v="778"/>
    <x v="10"/>
    <x v="11"/>
    <x v="3"/>
    <n v="0.68256944444444445"/>
    <s v="Shibor_3M"/>
    <n v="2.96"/>
    <n v="3.01"/>
    <n v="0"/>
    <d v="2012-08-11T00:00:00"/>
    <d v="2017-08-11T00:00:00"/>
    <x v="103"/>
  </r>
  <r>
    <n v="779"/>
    <x v="10"/>
    <x v="8"/>
    <x v="3"/>
    <n v="0.68258101851851849"/>
    <s v="Shibor_3M"/>
    <n v="3.33"/>
    <n v="3.38"/>
    <n v="0"/>
    <d v="2012-08-11T00:00:00"/>
    <d v="2013-02-11T00:00:00"/>
    <x v="104"/>
  </r>
  <r>
    <n v="780"/>
    <x v="10"/>
    <x v="2"/>
    <x v="3"/>
    <n v="0.68256944444444445"/>
    <s v="Shibor_3M"/>
    <n v="2.93"/>
    <n v="3.01"/>
    <n v="0"/>
    <d v="2012-08-11T00:00:00"/>
    <d v="2016-08-11T00:00:00"/>
    <x v="105"/>
  </r>
  <r>
    <n v="781"/>
    <x v="11"/>
    <x v="6"/>
    <x v="2"/>
    <n v="0.48013888888888889"/>
    <s v="Shibor_3M"/>
    <n v="3"/>
    <n v="3.3"/>
    <n v="0"/>
    <d v="2012-08-10T00:00:00"/>
    <d v="2022-08-10T00:00:00"/>
    <x v="27"/>
  </r>
  <r>
    <n v="782"/>
    <x v="11"/>
    <x v="4"/>
    <x v="2"/>
    <n v="0.48013888888888889"/>
    <s v="Shibor_3M"/>
    <n v="3.05"/>
    <n v="3.1"/>
    <n v="0"/>
    <d v="2012-08-10T00:00:00"/>
    <d v="2014-08-10T00:00:00"/>
    <x v="76"/>
  </r>
  <r>
    <n v="783"/>
    <x v="11"/>
    <x v="3"/>
    <x v="2"/>
    <n v="0.48013888888888889"/>
    <s v="Shibor_3M"/>
    <n v="3"/>
    <n v="3.3"/>
    <n v="0"/>
    <d v="2012-08-10T00:00:00"/>
    <d v="2021-08-10T00:00:00"/>
    <x v="27"/>
  </r>
  <r>
    <n v="784"/>
    <x v="11"/>
    <x v="10"/>
    <x v="2"/>
    <n v="0.48013888888888889"/>
    <s v="Shibor_3M"/>
    <n v="3"/>
    <n v="3.3"/>
    <n v="0"/>
    <d v="2012-08-10T00:00:00"/>
    <d v="2020-08-10T00:00:00"/>
    <x v="27"/>
  </r>
  <r>
    <n v="785"/>
    <x v="11"/>
    <x v="11"/>
    <x v="2"/>
    <n v="0.48013888888888889"/>
    <s v="Shibor_3M"/>
    <n v="3"/>
    <n v="3.1"/>
    <n v="0"/>
    <d v="2012-08-10T00:00:00"/>
    <d v="2017-08-10T00:00:00"/>
    <x v="81"/>
  </r>
  <r>
    <n v="786"/>
    <x v="11"/>
    <x v="2"/>
    <x v="2"/>
    <n v="0.48013888888888889"/>
    <s v="Shibor_3M"/>
    <n v="3"/>
    <n v="3.05"/>
    <n v="0"/>
    <d v="2012-08-10T00:00:00"/>
    <d v="2016-08-10T00:00:00"/>
    <x v="79"/>
  </r>
  <r>
    <n v="787"/>
    <x v="11"/>
    <x v="1"/>
    <x v="2"/>
    <n v="0.48013888888888889"/>
    <s v="Shibor_3M"/>
    <n v="3.15"/>
    <n v="3.25"/>
    <n v="0"/>
    <d v="2012-08-10T00:00:00"/>
    <d v="2013-08-10T00:00:00"/>
    <x v="57"/>
  </r>
  <r>
    <n v="788"/>
    <x v="11"/>
    <x v="11"/>
    <x v="3"/>
    <n v="0.48994212962962963"/>
    <s v="Shibor_3M"/>
    <n v="3.08"/>
    <n v="3.13"/>
    <n v="0"/>
    <d v="2012-08-10T00:00:00"/>
    <d v="2017-08-10T00:00:00"/>
    <x v="83"/>
  </r>
  <r>
    <n v="789"/>
    <x v="11"/>
    <x v="5"/>
    <x v="3"/>
    <n v="0.48994212962962963"/>
    <s v="Shibor_3M"/>
    <n v="3.22"/>
    <n v="3.29"/>
    <n v="0"/>
    <d v="2012-08-10T00:00:00"/>
    <d v="2013-05-10T00:00:00"/>
    <x v="82"/>
  </r>
  <r>
    <n v="790"/>
    <x v="11"/>
    <x v="4"/>
    <x v="3"/>
    <n v="0.48995370370370367"/>
    <s v="Shibor_3M"/>
    <n v="3.05"/>
    <n v="3.1"/>
    <n v="0"/>
    <d v="2012-08-10T00:00:00"/>
    <d v="2014-08-10T00:00:00"/>
    <x v="76"/>
  </r>
  <r>
    <n v="791"/>
    <x v="11"/>
    <x v="1"/>
    <x v="3"/>
    <n v="0.48994212962962963"/>
    <s v="Shibor_3M"/>
    <n v="3.12"/>
    <n v="3.17"/>
    <n v="0"/>
    <d v="2012-08-10T00:00:00"/>
    <d v="2013-08-10T00:00:00"/>
    <x v="92"/>
  </r>
  <r>
    <n v="792"/>
    <x v="11"/>
    <x v="7"/>
    <x v="2"/>
    <n v="0.48013888888888889"/>
    <s v="Shibor_3M"/>
    <n v="3"/>
    <n v="3.3"/>
    <n v="0"/>
    <d v="2012-08-10T00:00:00"/>
    <d v="2019-08-10T00:00:00"/>
    <x v="27"/>
  </r>
  <r>
    <n v="793"/>
    <x v="11"/>
    <x v="0"/>
    <x v="2"/>
    <n v="0.48015046296296293"/>
    <s v="Shibor_3M"/>
    <n v="3"/>
    <n v="3.05"/>
    <n v="0"/>
    <d v="2012-08-10T00:00:00"/>
    <d v="2015-08-10T00:00:00"/>
    <x v="79"/>
  </r>
  <r>
    <n v="794"/>
    <x v="11"/>
    <x v="2"/>
    <x v="3"/>
    <n v="0.48994212962962963"/>
    <s v="Shibor_3M"/>
    <n v="3.06"/>
    <n v="3.12"/>
    <n v="0"/>
    <d v="2012-08-10T00:00:00"/>
    <d v="2016-08-10T00:00:00"/>
    <x v="69"/>
  </r>
  <r>
    <n v="795"/>
    <x v="11"/>
    <x v="5"/>
    <x v="2"/>
    <n v="0.48013888888888889"/>
    <s v="Shibor_3M"/>
    <n v="3.6"/>
    <n v="3.7"/>
    <n v="0"/>
    <d v="2012-08-10T00:00:00"/>
    <d v="2013-05-10T00:00:00"/>
    <x v="60"/>
  </r>
  <r>
    <n v="796"/>
    <x v="11"/>
    <x v="2"/>
    <x v="0"/>
    <n v="0.48001157407407408"/>
    <s v="Shibor_3M"/>
    <n v="3.02"/>
    <n v="3.12"/>
    <n v="0"/>
    <d v="2012-08-10T00:00:00"/>
    <d v="2016-08-10T00:00:00"/>
    <x v="86"/>
  </r>
  <r>
    <n v="797"/>
    <x v="11"/>
    <x v="3"/>
    <x v="0"/>
    <n v="0.48001157407407408"/>
    <s v="Shibor_3M"/>
    <n v="2.98"/>
    <n v="3.38"/>
    <n v="0"/>
    <d v="2012-08-10T00:00:00"/>
    <d v="2021-08-10T00:00:00"/>
    <x v="49"/>
  </r>
  <r>
    <n v="798"/>
    <x v="11"/>
    <x v="0"/>
    <x v="0"/>
    <n v="0.48001157407407408"/>
    <s v="Shibor_3M"/>
    <n v="3.04"/>
    <n v="3.14"/>
    <n v="0"/>
    <d v="2012-08-10T00:00:00"/>
    <d v="2015-08-10T00:00:00"/>
    <x v="69"/>
  </r>
  <r>
    <n v="799"/>
    <x v="11"/>
    <x v="11"/>
    <x v="0"/>
    <n v="0.48001157407407408"/>
    <s v="Shibor_3M"/>
    <n v="3.04"/>
    <n v="3.14"/>
    <n v="0"/>
    <d v="2012-08-10T00:00:00"/>
    <d v="2017-08-10T00:00:00"/>
    <x v="69"/>
  </r>
  <r>
    <n v="800"/>
    <x v="11"/>
    <x v="9"/>
    <x v="0"/>
    <n v="0.48"/>
    <s v="Shibor_3M"/>
    <n v="3.02"/>
    <n v="3.22"/>
    <n v="0"/>
    <d v="2012-08-10T00:00:00"/>
    <d v="2018-08-10T00:00:00"/>
    <x v="66"/>
  </r>
  <r>
    <n v="801"/>
    <x v="11"/>
    <x v="8"/>
    <x v="0"/>
    <n v="0.48"/>
    <s v="Shibor_3M"/>
    <n v="3.4"/>
    <n v="3.5"/>
    <n v="0"/>
    <d v="2012-08-10T00:00:00"/>
    <d v="2013-02-10T00:00:00"/>
    <x v="43"/>
  </r>
  <r>
    <n v="802"/>
    <x v="11"/>
    <x v="10"/>
    <x v="0"/>
    <n v="0.48001157407407408"/>
    <s v="Shibor_3M"/>
    <n v="2.96"/>
    <n v="3.36"/>
    <n v="0"/>
    <d v="2012-08-10T00:00:00"/>
    <d v="2020-08-10T00:00:00"/>
    <x v="71"/>
  </r>
  <r>
    <n v="803"/>
    <x v="11"/>
    <x v="6"/>
    <x v="0"/>
    <n v="0.48001157407407408"/>
    <s v="Shibor_3M"/>
    <n v="2.99"/>
    <n v="3.39"/>
    <n v="0"/>
    <d v="2012-08-10T00:00:00"/>
    <d v="2022-08-10T00:00:00"/>
    <x v="55"/>
  </r>
  <r>
    <n v="804"/>
    <x v="11"/>
    <x v="9"/>
    <x v="2"/>
    <n v="0.4801273148148148"/>
    <s v="Shibor_3M"/>
    <n v="3"/>
    <n v="3.3"/>
    <n v="0"/>
    <d v="2012-08-10T00:00:00"/>
    <d v="2018-08-10T00:00:00"/>
    <x v="27"/>
  </r>
  <r>
    <n v="805"/>
    <x v="11"/>
    <x v="8"/>
    <x v="2"/>
    <n v="0.4801273148148148"/>
    <s v="Shibor_3M"/>
    <n v="3.3"/>
    <n v="3.5"/>
    <n v="0"/>
    <d v="2012-08-10T00:00:00"/>
    <d v="2013-02-10T00:00:00"/>
    <x v="32"/>
  </r>
  <r>
    <n v="806"/>
    <x v="11"/>
    <x v="5"/>
    <x v="0"/>
    <n v="0.48001157407407408"/>
    <s v="Shibor_3M"/>
    <n v="3.25"/>
    <n v="3.35"/>
    <n v="0"/>
    <d v="2012-08-10T00:00:00"/>
    <d v="2013-05-10T00:00:00"/>
    <x v="23"/>
  </r>
  <r>
    <n v="807"/>
    <x v="11"/>
    <x v="1"/>
    <x v="0"/>
    <n v="0.48001157407407408"/>
    <s v="Shibor_3M"/>
    <n v="3.15"/>
    <n v="3.25"/>
    <n v="0"/>
    <d v="2012-08-10T00:00:00"/>
    <d v="2013-08-10T00:00:00"/>
    <x v="57"/>
  </r>
  <r>
    <n v="808"/>
    <x v="11"/>
    <x v="4"/>
    <x v="0"/>
    <n v="0.48001157407407408"/>
    <s v="Shibor_3M"/>
    <n v="3.04"/>
    <n v="3.14"/>
    <n v="0"/>
    <d v="2012-08-10T00:00:00"/>
    <d v="2014-08-10T00:00:00"/>
    <x v="69"/>
  </r>
  <r>
    <n v="809"/>
    <x v="11"/>
    <x v="7"/>
    <x v="0"/>
    <n v="0.48001157407407408"/>
    <s v="Shibor_3M"/>
    <n v="2.95"/>
    <n v="3.35"/>
    <n v="0"/>
    <d v="2012-08-10T00:00:00"/>
    <d v="2019-08-10T00:00:00"/>
    <x v="51"/>
  </r>
  <r>
    <n v="810"/>
    <x v="11"/>
    <x v="8"/>
    <x v="3"/>
    <n v="0.48995370370370367"/>
    <s v="Shibor_3M"/>
    <n v="3.36"/>
    <n v="3.44"/>
    <n v="0"/>
    <d v="2012-08-10T00:00:00"/>
    <d v="2013-02-10T00:00:00"/>
    <x v="32"/>
  </r>
  <r>
    <n v="811"/>
    <x v="11"/>
    <x v="0"/>
    <x v="3"/>
    <n v="0.67650462962962965"/>
    <s v="Shibor_3M"/>
    <n v="3.02"/>
    <n v="3.08"/>
    <n v="0"/>
    <d v="2012-08-10T00:00:00"/>
    <d v="2015-08-10T00:00:00"/>
    <x v="81"/>
  </r>
  <r>
    <n v="812"/>
    <x v="11"/>
    <x v="8"/>
    <x v="1"/>
    <n v="0.68737268518518524"/>
    <s v="Shibor_3M"/>
    <n v="3.42"/>
    <n v="3.48"/>
    <n v="0"/>
    <d v="2012-08-10T00:00:00"/>
    <d v="2013-02-10T00:00:00"/>
    <x v="43"/>
  </r>
  <r>
    <n v="813"/>
    <x v="11"/>
    <x v="11"/>
    <x v="1"/>
    <n v="0.68738425925925928"/>
    <s v="Shibor_3M"/>
    <n v="3.06"/>
    <n v="3.12"/>
    <n v="0"/>
    <d v="2012-08-10T00:00:00"/>
    <d v="2017-08-10T00:00:00"/>
    <x v="69"/>
  </r>
  <r>
    <n v="814"/>
    <x v="11"/>
    <x v="8"/>
    <x v="3"/>
    <n v="0.67650462962962965"/>
    <s v="Shibor_3M"/>
    <n v="3.35"/>
    <n v="3.41"/>
    <n v="0"/>
    <d v="2012-08-10T00:00:00"/>
    <d v="2013-02-10T00:00:00"/>
    <x v="17"/>
  </r>
  <r>
    <n v="815"/>
    <x v="11"/>
    <x v="5"/>
    <x v="3"/>
    <n v="0.6764930555555555"/>
    <s v="Shibor_3M"/>
    <n v="3.19"/>
    <n v="3.29"/>
    <n v="0"/>
    <d v="2012-08-10T00:00:00"/>
    <d v="2013-05-10T00:00:00"/>
    <x v="10"/>
  </r>
  <r>
    <n v="816"/>
    <x v="11"/>
    <x v="2"/>
    <x v="3"/>
    <n v="0.6764930555555555"/>
    <s v="Shibor_3M"/>
    <n v="3.02"/>
    <n v="3.07"/>
    <n v="0"/>
    <d v="2012-08-10T00:00:00"/>
    <d v="2016-08-10T00:00:00"/>
    <x v="94"/>
  </r>
  <r>
    <n v="817"/>
    <x v="11"/>
    <x v="4"/>
    <x v="3"/>
    <n v="0.67650462962962965"/>
    <s v="Shibor_3M"/>
    <n v="3.01"/>
    <n v="3.06"/>
    <n v="0"/>
    <d v="2012-08-10T00:00:00"/>
    <d v="2014-08-10T00:00:00"/>
    <x v="106"/>
  </r>
  <r>
    <n v="818"/>
    <x v="11"/>
    <x v="7"/>
    <x v="1"/>
    <n v="0.68738425925925928"/>
    <s v="Shibor_3M"/>
    <n v="3.12"/>
    <n v="3.18"/>
    <n v="0"/>
    <d v="2012-08-10T00:00:00"/>
    <d v="2019-08-10T00:00:00"/>
    <x v="51"/>
  </r>
  <r>
    <n v="819"/>
    <x v="11"/>
    <x v="5"/>
    <x v="1"/>
    <n v="0.68738425925925928"/>
    <s v="Shibor_3M"/>
    <n v="3.27"/>
    <n v="3.33"/>
    <n v="0"/>
    <d v="2012-08-10T00:00:00"/>
    <d v="2013-05-10T00:00:00"/>
    <x v="23"/>
  </r>
  <r>
    <n v="820"/>
    <x v="11"/>
    <x v="6"/>
    <x v="1"/>
    <n v="0.68738425925925928"/>
    <s v="Shibor_3M"/>
    <n v="3.17"/>
    <n v="3.23"/>
    <n v="0"/>
    <d v="2012-08-10T00:00:00"/>
    <d v="2022-08-10T00:00:00"/>
    <x v="57"/>
  </r>
  <r>
    <n v="821"/>
    <x v="11"/>
    <x v="4"/>
    <x v="1"/>
    <n v="0.68738425925925928"/>
    <s v="Shibor_3M"/>
    <n v="3.07"/>
    <n v="3.13"/>
    <n v="0"/>
    <d v="2012-08-10T00:00:00"/>
    <d v="2014-08-10T00:00:00"/>
    <x v="64"/>
  </r>
  <r>
    <n v="822"/>
    <x v="11"/>
    <x v="2"/>
    <x v="1"/>
    <n v="0.68738425925925928"/>
    <s v="Shibor_3M"/>
    <n v="3.03"/>
    <n v="3.09"/>
    <n v="0"/>
    <d v="2012-08-10T00:00:00"/>
    <d v="2016-08-10T00:00:00"/>
    <x v="95"/>
  </r>
  <r>
    <n v="823"/>
    <x v="11"/>
    <x v="0"/>
    <x v="1"/>
    <n v="0.68738425925925928"/>
    <s v="Shibor_3M"/>
    <n v="3.04"/>
    <n v="3.1"/>
    <n v="0"/>
    <d v="2012-08-10T00:00:00"/>
    <d v="2015-08-10T00:00:00"/>
    <x v="86"/>
  </r>
  <r>
    <n v="824"/>
    <x v="11"/>
    <x v="1"/>
    <x v="1"/>
    <n v="0.68738425925925928"/>
    <s v="Shibor_3M"/>
    <n v="3.17"/>
    <n v="3.23"/>
    <n v="0"/>
    <d v="2012-08-10T00:00:00"/>
    <d v="2013-08-10T00:00:00"/>
    <x v="57"/>
  </r>
  <r>
    <n v="825"/>
    <x v="11"/>
    <x v="11"/>
    <x v="3"/>
    <n v="0.6764930555555555"/>
    <s v="Shibor_3M"/>
    <n v="3.04"/>
    <n v="3.11"/>
    <n v="0"/>
    <d v="2012-08-10T00:00:00"/>
    <d v="2017-08-10T00:00:00"/>
    <x v="76"/>
  </r>
  <r>
    <n v="826"/>
    <x v="11"/>
    <x v="10"/>
    <x v="0"/>
    <n v="0.66834490740740737"/>
    <s v="Shibor_3M"/>
    <n v="2.96"/>
    <n v="3.36"/>
    <n v="0"/>
    <d v="2012-08-10T00:00:00"/>
    <d v="2020-08-10T00:00:00"/>
    <x v="71"/>
  </r>
  <r>
    <n v="827"/>
    <x v="11"/>
    <x v="11"/>
    <x v="0"/>
    <n v="0.66834490740740737"/>
    <s v="Shibor_3M"/>
    <n v="3.04"/>
    <n v="3.14"/>
    <n v="0"/>
    <d v="2012-08-10T00:00:00"/>
    <d v="2017-08-10T00:00:00"/>
    <x v="69"/>
  </r>
  <r>
    <n v="828"/>
    <x v="11"/>
    <x v="2"/>
    <x v="0"/>
    <n v="0.66834490740740737"/>
    <s v="Shibor_3M"/>
    <n v="3.02"/>
    <n v="3.12"/>
    <n v="0"/>
    <d v="2012-08-10T00:00:00"/>
    <d v="2016-08-10T00:00:00"/>
    <x v="86"/>
  </r>
  <r>
    <n v="829"/>
    <x v="11"/>
    <x v="6"/>
    <x v="0"/>
    <n v="0.66834490740740737"/>
    <s v="Shibor_3M"/>
    <n v="2.99"/>
    <n v="3.39"/>
    <n v="0"/>
    <d v="2012-08-10T00:00:00"/>
    <d v="2022-08-10T00:00:00"/>
    <x v="55"/>
  </r>
  <r>
    <n v="830"/>
    <x v="11"/>
    <x v="0"/>
    <x v="3"/>
    <n v="0.48995370370370367"/>
    <s v="Shibor_3M"/>
    <n v="3.03"/>
    <n v="3.13"/>
    <n v="0"/>
    <d v="2012-08-10T00:00:00"/>
    <d v="2015-08-10T00:00:00"/>
    <x v="70"/>
  </r>
  <r>
    <n v="831"/>
    <x v="11"/>
    <x v="9"/>
    <x v="0"/>
    <n v="0.66833333333333333"/>
    <s v="Shibor_3M"/>
    <n v="3.02"/>
    <n v="3.22"/>
    <n v="0"/>
    <d v="2012-08-10T00:00:00"/>
    <d v="2018-08-10T00:00:00"/>
    <x v="66"/>
  </r>
  <r>
    <n v="832"/>
    <x v="11"/>
    <x v="5"/>
    <x v="0"/>
    <n v="0.66834490740740737"/>
    <s v="Shibor_3M"/>
    <n v="3.25"/>
    <n v="3.35"/>
    <n v="0"/>
    <d v="2012-08-10T00:00:00"/>
    <d v="2013-05-10T00:00:00"/>
    <x v="23"/>
  </r>
  <r>
    <n v="833"/>
    <x v="11"/>
    <x v="3"/>
    <x v="0"/>
    <n v="0.66835648148148152"/>
    <s v="Shibor_3M"/>
    <n v="2.98"/>
    <n v="3.38"/>
    <n v="0"/>
    <d v="2012-08-10T00:00:00"/>
    <d v="2021-08-10T00:00:00"/>
    <x v="49"/>
  </r>
  <r>
    <n v="834"/>
    <x v="11"/>
    <x v="0"/>
    <x v="0"/>
    <n v="0.66835648148148152"/>
    <s v="Shibor_3M"/>
    <n v="3.04"/>
    <n v="3.14"/>
    <n v="0"/>
    <d v="2012-08-10T00:00:00"/>
    <d v="2015-08-10T00:00:00"/>
    <x v="69"/>
  </r>
  <r>
    <n v="835"/>
    <x v="11"/>
    <x v="1"/>
    <x v="3"/>
    <n v="0.6764930555555555"/>
    <s v="Shibor_3M"/>
    <n v="3.12"/>
    <n v="3.17"/>
    <n v="0"/>
    <d v="2012-08-10T00:00:00"/>
    <d v="2013-08-10T00:00:00"/>
    <x v="92"/>
  </r>
  <r>
    <n v="836"/>
    <x v="11"/>
    <x v="7"/>
    <x v="0"/>
    <n v="0.66834490740740737"/>
    <s v="Shibor_3M"/>
    <n v="2.95"/>
    <n v="3.35"/>
    <n v="0"/>
    <d v="2012-08-10T00:00:00"/>
    <d v="2019-08-10T00:00:00"/>
    <x v="51"/>
  </r>
  <r>
    <n v="837"/>
    <x v="11"/>
    <x v="8"/>
    <x v="0"/>
    <n v="0.66834490740740737"/>
    <s v="Shibor_3M"/>
    <n v="3.4"/>
    <n v="3.5"/>
    <n v="0"/>
    <d v="2012-08-10T00:00:00"/>
    <d v="2013-02-10T00:00:00"/>
    <x v="43"/>
  </r>
  <r>
    <n v="838"/>
    <x v="11"/>
    <x v="1"/>
    <x v="0"/>
    <n v="0.66834490740740737"/>
    <s v="Shibor_3M"/>
    <n v="3.1"/>
    <n v="3.2"/>
    <n v="0"/>
    <d v="2012-08-10T00:00:00"/>
    <d v="2013-08-10T00:00:00"/>
    <x v="51"/>
  </r>
  <r>
    <n v="839"/>
    <x v="11"/>
    <x v="4"/>
    <x v="0"/>
    <n v="0.66834490740740737"/>
    <s v="Shibor_3M"/>
    <n v="3.04"/>
    <n v="3.14"/>
    <n v="0"/>
    <d v="2012-08-10T00:00:00"/>
    <d v="2014-08-10T00:00:00"/>
    <x v="69"/>
  </r>
  <r>
    <n v="840"/>
    <x v="12"/>
    <x v="8"/>
    <x v="1"/>
    <n v="0.49035879629629631"/>
    <s v="Shibor_3M"/>
    <n v="3.43"/>
    <n v="3.49"/>
    <n v="0"/>
    <d v="2012-08-09T00:00:00"/>
    <d v="2013-02-09T00:00:00"/>
    <x v="46"/>
  </r>
  <r>
    <n v="841"/>
    <x v="12"/>
    <x v="1"/>
    <x v="1"/>
    <n v="0.49037037037037035"/>
    <s v="Shibor_3M"/>
    <n v="3.18"/>
    <n v="3.24"/>
    <n v="0"/>
    <d v="2012-08-09T00:00:00"/>
    <d v="2013-08-09T00:00:00"/>
    <x v="88"/>
  </r>
  <r>
    <n v="842"/>
    <x v="12"/>
    <x v="4"/>
    <x v="1"/>
    <n v="0.49037037037037035"/>
    <s v="Shibor_3M"/>
    <n v="3.08"/>
    <n v="3.14"/>
    <n v="0"/>
    <d v="2012-08-09T00:00:00"/>
    <d v="2014-08-09T00:00:00"/>
    <x v="50"/>
  </r>
  <r>
    <n v="843"/>
    <x v="12"/>
    <x v="4"/>
    <x v="3"/>
    <n v="0.48517361111111112"/>
    <s v="Shibor_3M"/>
    <n v="3.05"/>
    <n v="3.15"/>
    <n v="0"/>
    <d v="2012-08-09T00:00:00"/>
    <d v="2014-08-09T00:00:00"/>
    <x v="64"/>
  </r>
  <r>
    <n v="844"/>
    <x v="12"/>
    <x v="2"/>
    <x v="3"/>
    <n v="0.48516203703703703"/>
    <s v="Shibor_3M"/>
    <n v="3.01"/>
    <n v="3.11"/>
    <n v="0"/>
    <d v="2012-08-09T00:00:00"/>
    <d v="2016-08-09T00:00:00"/>
    <x v="95"/>
  </r>
  <r>
    <n v="845"/>
    <x v="12"/>
    <x v="8"/>
    <x v="3"/>
    <n v="0.48516203703703703"/>
    <s v="Shibor_3M"/>
    <n v="3.4"/>
    <n v="3.5"/>
    <n v="0"/>
    <d v="2012-08-09T00:00:00"/>
    <d v="2013-02-09T00:00:00"/>
    <x v="43"/>
  </r>
  <r>
    <n v="846"/>
    <x v="12"/>
    <x v="0"/>
    <x v="3"/>
    <n v="0.48516203703703703"/>
    <s v="Shibor_3M"/>
    <n v="3.02"/>
    <n v="3.12"/>
    <n v="0"/>
    <d v="2012-08-09T00:00:00"/>
    <d v="2015-08-09T00:00:00"/>
    <x v="86"/>
  </r>
  <r>
    <n v="847"/>
    <x v="12"/>
    <x v="5"/>
    <x v="1"/>
    <n v="0.49038194444444444"/>
    <s v="Shibor_3M"/>
    <n v="3.28"/>
    <n v="3.34"/>
    <n v="0"/>
    <d v="2012-08-09T00:00:00"/>
    <d v="2013-05-09T00:00:00"/>
    <x v="6"/>
  </r>
  <r>
    <n v="848"/>
    <x v="12"/>
    <x v="0"/>
    <x v="1"/>
    <n v="0.49040509259259263"/>
    <s v="Shibor_3M"/>
    <n v="3.05"/>
    <n v="3.11"/>
    <n v="0"/>
    <d v="2012-08-09T00:00:00"/>
    <d v="2015-08-09T00:00:00"/>
    <x v="70"/>
  </r>
  <r>
    <n v="849"/>
    <x v="12"/>
    <x v="9"/>
    <x v="0"/>
    <n v="0.66621527777777778"/>
    <s v="Shibor_3M"/>
    <n v="2.97"/>
    <n v="3.17"/>
    <n v="0"/>
    <d v="2012-08-09T00:00:00"/>
    <d v="2018-08-09T00:00:00"/>
    <x v="86"/>
  </r>
  <r>
    <n v="850"/>
    <x v="12"/>
    <x v="8"/>
    <x v="0"/>
    <n v="0.66621527777777778"/>
    <s v="Shibor_3M"/>
    <n v="3.45"/>
    <n v="3.55"/>
    <n v="0"/>
    <d v="2012-08-09T00:00:00"/>
    <d v="2013-02-09T00:00:00"/>
    <x v="13"/>
  </r>
  <r>
    <n v="851"/>
    <x v="12"/>
    <x v="2"/>
    <x v="1"/>
    <n v="0.49040509259259263"/>
    <s v="Shibor_3M"/>
    <n v="3.04"/>
    <n v="3.1"/>
    <n v="0"/>
    <d v="2012-08-09T00:00:00"/>
    <d v="2016-08-09T00:00:00"/>
    <x v="86"/>
  </r>
  <r>
    <n v="852"/>
    <x v="12"/>
    <x v="7"/>
    <x v="1"/>
    <n v="0.49038194444444444"/>
    <s v="Shibor_3M"/>
    <n v="3.11"/>
    <n v="3.17"/>
    <n v="0"/>
    <d v="2012-08-09T00:00:00"/>
    <d v="2019-08-09T00:00:00"/>
    <x v="58"/>
  </r>
  <r>
    <n v="853"/>
    <x v="12"/>
    <x v="6"/>
    <x v="1"/>
    <n v="0.49039351851851848"/>
    <s v="Shibor_3M"/>
    <n v="3.15"/>
    <n v="3.21"/>
    <n v="0"/>
    <d v="2012-08-09T00:00:00"/>
    <d v="2022-08-09T00:00:00"/>
    <x v="49"/>
  </r>
  <r>
    <n v="854"/>
    <x v="12"/>
    <x v="11"/>
    <x v="1"/>
    <n v="0.49040509259259263"/>
    <s v="Shibor_3M"/>
    <n v="3.06"/>
    <n v="3.12"/>
    <n v="0"/>
    <d v="2012-08-09T00:00:00"/>
    <d v="2017-08-09T00:00:00"/>
    <x v="69"/>
  </r>
  <r>
    <n v="855"/>
    <x v="12"/>
    <x v="1"/>
    <x v="0"/>
    <n v="0.4811111111111111"/>
    <s v="Shibor_3M"/>
    <n v="3.15"/>
    <n v="3.25"/>
    <n v="0"/>
    <d v="2012-08-09T00:00:00"/>
    <d v="2013-08-09T00:00:00"/>
    <x v="57"/>
  </r>
  <r>
    <n v="856"/>
    <x v="12"/>
    <x v="4"/>
    <x v="0"/>
    <n v="0.4811111111111111"/>
    <s v="Shibor_3M"/>
    <n v="3.04"/>
    <n v="3.14"/>
    <n v="0"/>
    <d v="2012-08-09T00:00:00"/>
    <d v="2014-08-09T00:00:00"/>
    <x v="69"/>
  </r>
  <r>
    <n v="857"/>
    <x v="12"/>
    <x v="7"/>
    <x v="0"/>
    <n v="0.4811111111111111"/>
    <s v="Shibor_3M"/>
    <n v="2.95"/>
    <n v="3.35"/>
    <n v="0"/>
    <d v="2012-08-09T00:00:00"/>
    <d v="2019-08-09T00:00:00"/>
    <x v="51"/>
  </r>
  <r>
    <n v="858"/>
    <x v="12"/>
    <x v="10"/>
    <x v="0"/>
    <n v="0.4811111111111111"/>
    <s v="Shibor_3M"/>
    <n v="2.96"/>
    <n v="3.36"/>
    <n v="0"/>
    <d v="2012-08-09T00:00:00"/>
    <d v="2020-08-09T00:00:00"/>
    <x v="71"/>
  </r>
  <r>
    <n v="859"/>
    <x v="12"/>
    <x v="9"/>
    <x v="0"/>
    <n v="0.48108796296296297"/>
    <s v="Shibor_3M"/>
    <n v="2.97"/>
    <n v="3.17"/>
    <n v="0"/>
    <d v="2012-08-09T00:00:00"/>
    <d v="2018-08-09T00:00:00"/>
    <x v="86"/>
  </r>
  <r>
    <n v="860"/>
    <x v="12"/>
    <x v="8"/>
    <x v="0"/>
    <n v="0.48108796296296297"/>
    <s v="Shibor_3M"/>
    <n v="3.45"/>
    <n v="3.55"/>
    <n v="0"/>
    <d v="2012-08-09T00:00:00"/>
    <d v="2013-02-09T00:00:00"/>
    <x v="13"/>
  </r>
  <r>
    <n v="861"/>
    <x v="12"/>
    <x v="6"/>
    <x v="0"/>
    <n v="0.4811111111111111"/>
    <s v="Shibor_3M"/>
    <n v="2.99"/>
    <n v="3.39"/>
    <n v="0"/>
    <d v="2012-08-09T00:00:00"/>
    <d v="2022-08-09T00:00:00"/>
    <x v="55"/>
  </r>
  <r>
    <n v="862"/>
    <x v="12"/>
    <x v="5"/>
    <x v="0"/>
    <n v="0.4811111111111111"/>
    <s v="Shibor_3M"/>
    <n v="3.25"/>
    <n v="3.35"/>
    <n v="0"/>
    <d v="2012-08-09T00:00:00"/>
    <d v="2013-05-09T00:00:00"/>
    <x v="23"/>
  </r>
  <r>
    <n v="863"/>
    <x v="12"/>
    <x v="1"/>
    <x v="3"/>
    <n v="0.48515046296296299"/>
    <s v="Shibor_3M"/>
    <n v="3.16"/>
    <n v="3.26"/>
    <n v="0"/>
    <d v="2012-08-09T00:00:00"/>
    <d v="2013-08-09T00:00:00"/>
    <x v="88"/>
  </r>
  <r>
    <n v="864"/>
    <x v="12"/>
    <x v="11"/>
    <x v="3"/>
    <n v="0.48515046296296299"/>
    <s v="Shibor_3M"/>
    <n v="3.06"/>
    <n v="3.16"/>
    <n v="0"/>
    <d v="2012-08-09T00:00:00"/>
    <d v="2017-08-09T00:00:00"/>
    <x v="50"/>
  </r>
  <r>
    <n v="865"/>
    <x v="12"/>
    <x v="5"/>
    <x v="3"/>
    <n v="0.48515046296296299"/>
    <s v="Shibor_3M"/>
    <n v="3.25"/>
    <n v="3.35"/>
    <n v="0"/>
    <d v="2012-08-09T00:00:00"/>
    <d v="2013-05-09T00:00:00"/>
    <x v="23"/>
  </r>
  <r>
    <n v="866"/>
    <x v="12"/>
    <x v="0"/>
    <x v="0"/>
    <n v="0.48112268518518514"/>
    <s v="Shibor_3M"/>
    <n v="3"/>
    <n v="3.1"/>
    <n v="0"/>
    <d v="2012-08-09T00:00:00"/>
    <d v="2015-08-09T00:00:00"/>
    <x v="81"/>
  </r>
  <r>
    <n v="867"/>
    <x v="12"/>
    <x v="11"/>
    <x v="0"/>
    <n v="0.48112268518518514"/>
    <s v="Shibor_3M"/>
    <n v="3"/>
    <n v="3.1"/>
    <n v="0"/>
    <d v="2012-08-09T00:00:00"/>
    <d v="2017-08-09T00:00:00"/>
    <x v="81"/>
  </r>
  <r>
    <n v="868"/>
    <x v="12"/>
    <x v="2"/>
    <x v="0"/>
    <n v="0.48112268518518514"/>
    <s v="Shibor_3M"/>
    <n v="3"/>
    <n v="3.1"/>
    <n v="0"/>
    <d v="2012-08-09T00:00:00"/>
    <d v="2016-08-09T00:00:00"/>
    <x v="81"/>
  </r>
  <r>
    <n v="869"/>
    <x v="12"/>
    <x v="3"/>
    <x v="0"/>
    <n v="0.48112268518518514"/>
    <s v="Shibor_3M"/>
    <n v="2.98"/>
    <n v="3.38"/>
    <n v="0"/>
    <d v="2012-08-09T00:00:00"/>
    <d v="2021-08-09T00:00:00"/>
    <x v="49"/>
  </r>
  <r>
    <n v="870"/>
    <x v="12"/>
    <x v="1"/>
    <x v="0"/>
    <n v="0.66621527777777778"/>
    <s v="Shibor_3M"/>
    <n v="3.15"/>
    <n v="3.25"/>
    <n v="0"/>
    <d v="2012-08-09T00:00:00"/>
    <d v="2013-08-09T00:00:00"/>
    <x v="57"/>
  </r>
  <r>
    <n v="871"/>
    <x v="12"/>
    <x v="0"/>
    <x v="2"/>
    <n v="0.67236111111111108"/>
    <s v="Shibor_3M"/>
    <n v="3"/>
    <n v="3.05"/>
    <n v="0"/>
    <d v="2012-08-09T00:00:00"/>
    <d v="2015-08-09T00:00:00"/>
    <x v="79"/>
  </r>
  <r>
    <n v="872"/>
    <x v="12"/>
    <x v="5"/>
    <x v="2"/>
    <n v="0.67236111111111108"/>
    <s v="Shibor_3M"/>
    <n v="3.6"/>
    <n v="3.7"/>
    <n v="0"/>
    <d v="2012-08-09T00:00:00"/>
    <d v="2013-05-09T00:00:00"/>
    <x v="60"/>
  </r>
  <r>
    <n v="873"/>
    <x v="12"/>
    <x v="8"/>
    <x v="1"/>
    <n v="0.68040509259259263"/>
    <s v="Shibor_3M"/>
    <n v="3.42"/>
    <n v="3.48"/>
    <n v="0"/>
    <d v="2012-08-09T00:00:00"/>
    <d v="2013-02-09T00:00:00"/>
    <x v="43"/>
  </r>
  <r>
    <n v="874"/>
    <x v="12"/>
    <x v="2"/>
    <x v="2"/>
    <n v="0.67236111111111108"/>
    <s v="Shibor_3M"/>
    <n v="3"/>
    <n v="3.05"/>
    <n v="0"/>
    <d v="2012-08-09T00:00:00"/>
    <d v="2016-08-09T00:00:00"/>
    <x v="79"/>
  </r>
  <r>
    <n v="875"/>
    <x v="12"/>
    <x v="9"/>
    <x v="2"/>
    <n v="0.67234953703703704"/>
    <s v="Shibor_3M"/>
    <n v="3"/>
    <n v="3.3"/>
    <n v="0"/>
    <d v="2012-08-09T00:00:00"/>
    <d v="2018-08-09T00:00:00"/>
    <x v="27"/>
  </r>
  <r>
    <n v="876"/>
    <x v="12"/>
    <x v="8"/>
    <x v="2"/>
    <n v="0.67234953703703704"/>
    <s v="Shibor_3M"/>
    <n v="3.3"/>
    <n v="3.5"/>
    <n v="0"/>
    <d v="2012-08-09T00:00:00"/>
    <d v="2013-02-09T00:00:00"/>
    <x v="32"/>
  </r>
  <r>
    <n v="877"/>
    <x v="12"/>
    <x v="11"/>
    <x v="2"/>
    <n v="0.67236111111111108"/>
    <s v="Shibor_3M"/>
    <n v="3"/>
    <n v="3.1"/>
    <n v="0"/>
    <d v="2012-08-09T00:00:00"/>
    <d v="2017-08-09T00:00:00"/>
    <x v="81"/>
  </r>
  <r>
    <n v="878"/>
    <x v="12"/>
    <x v="4"/>
    <x v="1"/>
    <n v="0.68041666666666656"/>
    <s v="Shibor_3M"/>
    <n v="3.07"/>
    <n v="3.13"/>
    <n v="0"/>
    <d v="2012-08-09T00:00:00"/>
    <d v="2014-08-09T00:00:00"/>
    <x v="64"/>
  </r>
  <r>
    <n v="879"/>
    <x v="12"/>
    <x v="6"/>
    <x v="1"/>
    <n v="0.68042824074074071"/>
    <s v="Shibor_3M"/>
    <n v="3.17"/>
    <n v="3.23"/>
    <n v="0"/>
    <d v="2012-08-09T00:00:00"/>
    <d v="2022-08-09T00:00:00"/>
    <x v="57"/>
  </r>
  <r>
    <n v="880"/>
    <x v="12"/>
    <x v="11"/>
    <x v="1"/>
    <n v="0.68042824074074071"/>
    <s v="Shibor_3M"/>
    <n v="3.06"/>
    <n v="3.12"/>
    <n v="0"/>
    <d v="2012-08-09T00:00:00"/>
    <d v="2017-08-09T00:00:00"/>
    <x v="69"/>
  </r>
  <r>
    <n v="881"/>
    <x v="12"/>
    <x v="2"/>
    <x v="1"/>
    <n v="0.68042824074074071"/>
    <s v="Shibor_3M"/>
    <n v="3.03"/>
    <n v="3.09"/>
    <n v="0"/>
    <d v="2012-08-09T00:00:00"/>
    <d v="2016-08-09T00:00:00"/>
    <x v="95"/>
  </r>
  <r>
    <n v="882"/>
    <x v="12"/>
    <x v="5"/>
    <x v="1"/>
    <n v="0.68042824074074071"/>
    <s v="Shibor_3M"/>
    <n v="3.27"/>
    <n v="3.33"/>
    <n v="0"/>
    <d v="2012-08-09T00:00:00"/>
    <d v="2013-05-09T00:00:00"/>
    <x v="23"/>
  </r>
  <r>
    <n v="883"/>
    <x v="12"/>
    <x v="7"/>
    <x v="1"/>
    <n v="0.68041666666666656"/>
    <s v="Shibor_3M"/>
    <n v="3.12"/>
    <n v="3.18"/>
    <n v="0"/>
    <d v="2012-08-09T00:00:00"/>
    <d v="2019-08-09T00:00:00"/>
    <x v="51"/>
  </r>
  <r>
    <n v="884"/>
    <x v="12"/>
    <x v="1"/>
    <x v="1"/>
    <n v="0.68041666666666656"/>
    <s v="Shibor_3M"/>
    <n v="3.17"/>
    <n v="3.23"/>
    <n v="0"/>
    <d v="2012-08-09T00:00:00"/>
    <d v="2013-08-09T00:00:00"/>
    <x v="57"/>
  </r>
  <r>
    <n v="885"/>
    <x v="12"/>
    <x v="0"/>
    <x v="1"/>
    <n v="0.68042824074074071"/>
    <s v="Shibor_3M"/>
    <n v="3.04"/>
    <n v="3.1"/>
    <n v="0"/>
    <d v="2012-08-09T00:00:00"/>
    <d v="2015-08-09T00:00:00"/>
    <x v="86"/>
  </r>
  <r>
    <n v="886"/>
    <x v="12"/>
    <x v="10"/>
    <x v="0"/>
    <n v="0.66623842592592586"/>
    <s v="Shibor_3M"/>
    <n v="2.96"/>
    <n v="3.36"/>
    <n v="0"/>
    <d v="2012-08-09T00:00:00"/>
    <d v="2020-08-09T00:00:00"/>
    <x v="71"/>
  </r>
  <r>
    <n v="887"/>
    <x v="12"/>
    <x v="11"/>
    <x v="0"/>
    <n v="0.66623842592592586"/>
    <s v="Shibor_3M"/>
    <n v="3"/>
    <n v="3.1"/>
    <n v="0"/>
    <d v="2012-08-09T00:00:00"/>
    <d v="2017-08-09T00:00:00"/>
    <x v="81"/>
  </r>
  <r>
    <n v="888"/>
    <x v="12"/>
    <x v="2"/>
    <x v="0"/>
    <n v="0.66623842592592586"/>
    <s v="Shibor_3M"/>
    <n v="3"/>
    <n v="3.1"/>
    <n v="0"/>
    <d v="2012-08-09T00:00:00"/>
    <d v="2016-08-09T00:00:00"/>
    <x v="81"/>
  </r>
  <r>
    <n v="889"/>
    <x v="12"/>
    <x v="6"/>
    <x v="0"/>
    <n v="0.66622685185185182"/>
    <s v="Shibor_3M"/>
    <n v="2.99"/>
    <n v="3.39"/>
    <n v="0"/>
    <d v="2012-08-09T00:00:00"/>
    <d v="2022-08-09T00:00:00"/>
    <x v="55"/>
  </r>
  <r>
    <n v="890"/>
    <x v="12"/>
    <x v="4"/>
    <x v="0"/>
    <n v="0.66621527777777778"/>
    <s v="Shibor_3M"/>
    <n v="3.04"/>
    <n v="3.14"/>
    <n v="0"/>
    <d v="2012-08-09T00:00:00"/>
    <d v="2014-08-09T00:00:00"/>
    <x v="69"/>
  </r>
  <r>
    <n v="891"/>
    <x v="12"/>
    <x v="7"/>
    <x v="0"/>
    <n v="0.66621527777777778"/>
    <s v="Shibor_3M"/>
    <n v="2.95"/>
    <n v="3.35"/>
    <n v="0"/>
    <d v="2012-08-09T00:00:00"/>
    <d v="2019-08-09T00:00:00"/>
    <x v="51"/>
  </r>
  <r>
    <n v="892"/>
    <x v="12"/>
    <x v="5"/>
    <x v="0"/>
    <n v="0.66622685185185182"/>
    <s v="Shibor_3M"/>
    <n v="3.25"/>
    <n v="3.35"/>
    <n v="0"/>
    <d v="2012-08-09T00:00:00"/>
    <d v="2013-05-09T00:00:00"/>
    <x v="23"/>
  </r>
  <r>
    <n v="893"/>
    <x v="12"/>
    <x v="3"/>
    <x v="0"/>
    <n v="0.66623842592592586"/>
    <s v="Shibor_3M"/>
    <n v="2.98"/>
    <n v="3.38"/>
    <n v="0"/>
    <d v="2012-08-09T00:00:00"/>
    <d v="2021-08-09T00:00:00"/>
    <x v="49"/>
  </r>
  <r>
    <n v="894"/>
    <x v="12"/>
    <x v="4"/>
    <x v="2"/>
    <n v="0.67234953703703704"/>
    <s v="Shibor_3M"/>
    <n v="3.05"/>
    <n v="3.1"/>
    <n v="0"/>
    <d v="2012-08-09T00:00:00"/>
    <d v="2014-08-09T00:00:00"/>
    <x v="76"/>
  </r>
  <r>
    <n v="895"/>
    <x v="12"/>
    <x v="3"/>
    <x v="2"/>
    <n v="0.67234953703703704"/>
    <s v="Shibor_3M"/>
    <n v="3"/>
    <n v="3.3"/>
    <n v="0"/>
    <d v="2012-08-09T00:00:00"/>
    <d v="2021-08-09T00:00:00"/>
    <x v="27"/>
  </r>
  <r>
    <n v="896"/>
    <x v="12"/>
    <x v="7"/>
    <x v="2"/>
    <n v="0.67234953703703704"/>
    <s v="Shibor_3M"/>
    <n v="3"/>
    <n v="3.3"/>
    <n v="0"/>
    <d v="2012-08-09T00:00:00"/>
    <d v="2019-08-09T00:00:00"/>
    <x v="27"/>
  </r>
  <r>
    <n v="897"/>
    <x v="12"/>
    <x v="6"/>
    <x v="2"/>
    <n v="0.67234953703703704"/>
    <s v="Shibor_3M"/>
    <n v="3"/>
    <n v="3.3"/>
    <n v="0"/>
    <d v="2012-08-09T00:00:00"/>
    <d v="2022-08-09T00:00:00"/>
    <x v="27"/>
  </r>
  <r>
    <n v="898"/>
    <x v="12"/>
    <x v="0"/>
    <x v="0"/>
    <n v="0.66623842592592586"/>
    <s v="Shibor_3M"/>
    <n v="3"/>
    <n v="3.1"/>
    <n v="0"/>
    <d v="2012-08-09T00:00:00"/>
    <d v="2015-08-09T00:00:00"/>
    <x v="81"/>
  </r>
  <r>
    <n v="899"/>
    <x v="12"/>
    <x v="1"/>
    <x v="2"/>
    <n v="0.67234953703703704"/>
    <s v="Shibor_3M"/>
    <n v="3.15"/>
    <n v="3.25"/>
    <n v="0"/>
    <d v="2012-08-09T00:00:00"/>
    <d v="2013-08-09T00:00:00"/>
    <x v="57"/>
  </r>
  <r>
    <n v="900"/>
    <x v="12"/>
    <x v="10"/>
    <x v="2"/>
    <n v="0.67234953703703704"/>
    <s v="Shibor_3M"/>
    <n v="3"/>
    <n v="3.3"/>
    <n v="0"/>
    <d v="2012-08-09T00:00:00"/>
    <d v="2020-08-09T00:00:00"/>
    <x v="27"/>
  </r>
  <r>
    <n v="901"/>
    <x v="13"/>
    <x v="0"/>
    <x v="3"/>
    <n v="0.49040509259259263"/>
    <s v="Shibor_3M"/>
    <n v="3.08"/>
    <n v="3.18"/>
    <n v="0"/>
    <d v="2012-08-08T00:00:00"/>
    <d v="2015-08-08T00:00:00"/>
    <x v="78"/>
  </r>
  <r>
    <n v="902"/>
    <x v="13"/>
    <x v="8"/>
    <x v="3"/>
    <n v="0.49040509259259263"/>
    <s v="Shibor_3M"/>
    <n v="3.42"/>
    <n v="3.5"/>
    <n v="0"/>
    <d v="2012-08-08T00:00:00"/>
    <d v="2013-02-08T00:00:00"/>
    <x v="46"/>
  </r>
  <r>
    <n v="903"/>
    <x v="13"/>
    <x v="11"/>
    <x v="3"/>
    <n v="0.49039351851851848"/>
    <s v="Shibor_3M"/>
    <n v="3.05"/>
    <n v="3.1"/>
    <n v="0"/>
    <d v="2012-08-08T00:00:00"/>
    <d v="2017-08-08T00:00:00"/>
    <x v="76"/>
  </r>
  <r>
    <n v="904"/>
    <x v="13"/>
    <x v="4"/>
    <x v="3"/>
    <n v="0.49040509259259263"/>
    <s v="Shibor_3M"/>
    <n v="3.07"/>
    <n v="3.14"/>
    <n v="0"/>
    <d v="2012-08-08T00:00:00"/>
    <d v="2014-08-08T00:00:00"/>
    <x v="83"/>
  </r>
  <r>
    <n v="905"/>
    <x v="13"/>
    <x v="2"/>
    <x v="3"/>
    <n v="0.49040509259259263"/>
    <s v="Shibor_3M"/>
    <n v="3"/>
    <n v="3.1"/>
    <n v="0"/>
    <d v="2012-08-08T00:00:00"/>
    <d v="2016-08-08T00:00:00"/>
    <x v="81"/>
  </r>
  <r>
    <n v="906"/>
    <x v="13"/>
    <x v="5"/>
    <x v="3"/>
    <n v="0.49040509259259263"/>
    <s v="Shibor_3M"/>
    <n v="3.27"/>
    <n v="3.37"/>
    <n v="0"/>
    <d v="2012-08-08T00:00:00"/>
    <d v="2013-05-08T00:00:00"/>
    <x v="24"/>
  </r>
  <r>
    <n v="907"/>
    <x v="13"/>
    <x v="1"/>
    <x v="3"/>
    <n v="0.49039351851851848"/>
    <s v="Shibor_3M"/>
    <n v="3.19"/>
    <n v="3.28"/>
    <n v="0"/>
    <d v="2012-08-08T00:00:00"/>
    <d v="2013-08-08T00:00:00"/>
    <x v="107"/>
  </r>
  <r>
    <n v="908"/>
    <x v="13"/>
    <x v="5"/>
    <x v="1"/>
    <n v="0.48915509259259254"/>
    <s v="Shibor_3M"/>
    <n v="3.3"/>
    <n v="3.36"/>
    <n v="0"/>
    <d v="2012-08-08T00:00:00"/>
    <d v="2013-05-08T00:00:00"/>
    <x v="41"/>
  </r>
  <r>
    <n v="909"/>
    <x v="13"/>
    <x v="7"/>
    <x v="1"/>
    <n v="0.48915509259259254"/>
    <s v="Shibor_3M"/>
    <n v="3.11"/>
    <n v="3.17"/>
    <n v="0"/>
    <d v="2012-08-08T00:00:00"/>
    <d v="2019-08-08T00:00:00"/>
    <x v="58"/>
  </r>
  <r>
    <n v="910"/>
    <x v="13"/>
    <x v="0"/>
    <x v="1"/>
    <n v="0.48915509259259254"/>
    <s v="Shibor_3M"/>
    <n v="3.06"/>
    <n v="3.12"/>
    <n v="0"/>
    <d v="2012-08-08T00:00:00"/>
    <d v="2015-08-08T00:00:00"/>
    <x v="69"/>
  </r>
  <r>
    <n v="911"/>
    <x v="13"/>
    <x v="2"/>
    <x v="1"/>
    <n v="0.48915509259259254"/>
    <s v="Shibor_3M"/>
    <n v="3.06"/>
    <n v="3.12"/>
    <n v="0"/>
    <d v="2012-08-08T00:00:00"/>
    <d v="2016-08-08T00:00:00"/>
    <x v="69"/>
  </r>
  <r>
    <n v="912"/>
    <x v="13"/>
    <x v="11"/>
    <x v="1"/>
    <n v="0.48915509259259254"/>
    <s v="Shibor_3M"/>
    <n v="3.07"/>
    <n v="3.13"/>
    <n v="0"/>
    <d v="2012-08-08T00:00:00"/>
    <d v="2017-08-08T00:00:00"/>
    <x v="64"/>
  </r>
  <r>
    <n v="913"/>
    <x v="13"/>
    <x v="6"/>
    <x v="1"/>
    <n v="0.48915509259259254"/>
    <s v="Shibor_3M"/>
    <n v="3.16"/>
    <n v="3.22"/>
    <n v="0"/>
    <d v="2012-08-08T00:00:00"/>
    <d v="2022-08-08T00:00:00"/>
    <x v="55"/>
  </r>
  <r>
    <n v="914"/>
    <x v="13"/>
    <x v="8"/>
    <x v="5"/>
    <n v="0.64682870370370371"/>
    <s v="Shibor_3M"/>
    <n v="3.45"/>
    <n v="3.5"/>
    <n v="0"/>
    <d v="2012-08-08T00:00:00"/>
    <d v="2013-02-08T00:00:00"/>
    <x v="108"/>
  </r>
  <r>
    <n v="915"/>
    <x v="13"/>
    <x v="7"/>
    <x v="6"/>
    <n v="0.49815972222222221"/>
    <s v="Shibor_3M"/>
    <n v="3.09"/>
    <n v="3.05"/>
    <n v="0"/>
    <d v="2012-08-08T00:00:00"/>
    <d v="2019-08-08T00:00:00"/>
    <x v="109"/>
  </r>
  <r>
    <n v="916"/>
    <x v="13"/>
    <x v="5"/>
    <x v="6"/>
    <n v="0.49815972222222221"/>
    <s v="Shibor_3M"/>
    <n v="3.27"/>
    <n v="3.31"/>
    <n v="0"/>
    <d v="2012-08-08T00:00:00"/>
    <d v="2013-05-08T00:00:00"/>
    <x v="3"/>
  </r>
  <r>
    <n v="917"/>
    <x v="13"/>
    <x v="11"/>
    <x v="5"/>
    <n v="0.64684027777777775"/>
    <s v="Shibor_3M"/>
    <n v="3.05"/>
    <n v="3.1"/>
    <n v="0"/>
    <d v="2012-08-08T00:00:00"/>
    <d v="2017-08-08T00:00:00"/>
    <x v="76"/>
  </r>
  <r>
    <n v="918"/>
    <x v="13"/>
    <x v="6"/>
    <x v="5"/>
    <n v="0.64684027777777775"/>
    <s v="Shibor_3M"/>
    <n v="3.15"/>
    <n v="3.3"/>
    <n v="0"/>
    <d v="2012-08-08T00:00:00"/>
    <d v="2022-08-08T00:00:00"/>
    <x v="110"/>
  </r>
  <r>
    <n v="919"/>
    <x v="13"/>
    <x v="5"/>
    <x v="5"/>
    <n v="0.64684027777777775"/>
    <s v="Shibor_3M"/>
    <n v="3.3"/>
    <n v="3.35"/>
    <n v="0"/>
    <d v="2012-08-08T00:00:00"/>
    <d v="2013-05-08T00:00:00"/>
    <x v="39"/>
  </r>
  <r>
    <n v="920"/>
    <x v="13"/>
    <x v="6"/>
    <x v="6"/>
    <n v="0.49815972222222221"/>
    <s v="Shibor_3M"/>
    <n v="3.14"/>
    <n v="3.1"/>
    <n v="0"/>
    <d v="2012-08-08T00:00:00"/>
    <d v="2022-08-08T00:00:00"/>
    <x v="66"/>
  </r>
  <r>
    <n v="921"/>
    <x v="13"/>
    <x v="2"/>
    <x v="6"/>
    <n v="0.49815972222222221"/>
    <s v="Shibor_3M"/>
    <n v="3.04"/>
    <n v="2.96"/>
    <n v="0"/>
    <d v="2012-08-08T00:00:00"/>
    <d v="2016-08-08T00:00:00"/>
    <x v="99"/>
  </r>
  <r>
    <n v="922"/>
    <x v="13"/>
    <x v="11"/>
    <x v="6"/>
    <n v="0.49815972222222221"/>
    <s v="Shibor_3M"/>
    <n v="3.04"/>
    <n v="2.96"/>
    <n v="0"/>
    <d v="2012-08-08T00:00:00"/>
    <d v="2017-08-08T00:00:00"/>
    <x v="99"/>
  </r>
  <r>
    <n v="923"/>
    <x v="13"/>
    <x v="8"/>
    <x v="6"/>
    <n v="0.49815972222222221"/>
    <s v="Shibor_3M"/>
    <n v="3.45"/>
    <n v="3.52"/>
    <n v="0"/>
    <d v="2012-08-08T00:00:00"/>
    <d v="2013-02-08T00:00:00"/>
    <x v="111"/>
  </r>
  <r>
    <n v="924"/>
    <x v="13"/>
    <x v="1"/>
    <x v="6"/>
    <n v="0.49815972222222221"/>
    <s v="Shibor_3M"/>
    <n v="3.19"/>
    <n v="3.19"/>
    <n v="0"/>
    <d v="2012-08-08T00:00:00"/>
    <d v="2013-08-08T00:00:00"/>
    <x v="112"/>
  </r>
  <r>
    <n v="925"/>
    <x v="13"/>
    <x v="4"/>
    <x v="6"/>
    <n v="0.49815972222222221"/>
    <s v="Shibor_3M"/>
    <n v="3.07"/>
    <n v="3.02"/>
    <n v="0"/>
    <d v="2012-08-08T00:00:00"/>
    <d v="2014-08-08T00:00:00"/>
    <x v="94"/>
  </r>
  <r>
    <n v="926"/>
    <x v="13"/>
    <x v="0"/>
    <x v="6"/>
    <n v="0.49815972222222221"/>
    <s v="Shibor_3M"/>
    <n v="3.04"/>
    <n v="2.97"/>
    <n v="0"/>
    <d v="2012-08-08T00:00:00"/>
    <d v="2015-08-08T00:00:00"/>
    <x v="113"/>
  </r>
  <r>
    <n v="927"/>
    <x v="13"/>
    <x v="4"/>
    <x v="1"/>
    <n v="0.48914351851851851"/>
    <s v="Shibor_3M"/>
    <n v="3.09"/>
    <n v="3.15"/>
    <n v="0"/>
    <d v="2012-08-08T00:00:00"/>
    <d v="2014-08-08T00:00:00"/>
    <x v="66"/>
  </r>
  <r>
    <n v="928"/>
    <x v="13"/>
    <x v="11"/>
    <x v="2"/>
    <n v="0.48129629629629633"/>
    <s v="Shibor_3M"/>
    <n v="3"/>
    <n v="3.1"/>
    <n v="0"/>
    <d v="2012-08-08T00:00:00"/>
    <d v="2017-08-08T00:00:00"/>
    <x v="81"/>
  </r>
  <r>
    <n v="929"/>
    <x v="13"/>
    <x v="1"/>
    <x v="2"/>
    <n v="0.48128472222222224"/>
    <s v="Shibor_3M"/>
    <n v="3.15"/>
    <n v="3.25"/>
    <n v="0"/>
    <d v="2012-08-08T00:00:00"/>
    <d v="2013-08-08T00:00:00"/>
    <x v="57"/>
  </r>
  <r>
    <n v="930"/>
    <x v="13"/>
    <x v="8"/>
    <x v="2"/>
    <n v="0.48128472222222224"/>
    <s v="Shibor_3M"/>
    <n v="3.3"/>
    <n v="3.5"/>
    <n v="0"/>
    <d v="2012-08-08T00:00:00"/>
    <d v="2013-02-08T00:00:00"/>
    <x v="32"/>
  </r>
  <r>
    <n v="931"/>
    <x v="13"/>
    <x v="1"/>
    <x v="0"/>
    <n v="0.48201388888888891"/>
    <s v="Shibor_3M"/>
    <n v="3.15"/>
    <n v="3.25"/>
    <n v="0"/>
    <d v="2012-08-08T00:00:00"/>
    <d v="2013-08-08T00:00:00"/>
    <x v="57"/>
  </r>
  <r>
    <n v="932"/>
    <x v="13"/>
    <x v="0"/>
    <x v="2"/>
    <n v="0.48129629629629633"/>
    <s v="Shibor_3M"/>
    <n v="3"/>
    <n v="3.05"/>
    <n v="0"/>
    <d v="2012-08-08T00:00:00"/>
    <d v="2015-08-08T00:00:00"/>
    <x v="79"/>
  </r>
  <r>
    <n v="933"/>
    <x v="13"/>
    <x v="2"/>
    <x v="2"/>
    <n v="0.48129629629629633"/>
    <s v="Shibor_3M"/>
    <n v="3"/>
    <n v="3.05"/>
    <n v="0"/>
    <d v="2012-08-08T00:00:00"/>
    <d v="2016-08-08T00:00:00"/>
    <x v="79"/>
  </r>
  <r>
    <n v="934"/>
    <x v="13"/>
    <x v="9"/>
    <x v="2"/>
    <n v="0.48128472222222224"/>
    <s v="Shibor_3M"/>
    <n v="3"/>
    <n v="3.3"/>
    <n v="0"/>
    <d v="2012-08-08T00:00:00"/>
    <d v="2018-08-08T00:00:00"/>
    <x v="27"/>
  </r>
  <r>
    <n v="935"/>
    <x v="13"/>
    <x v="4"/>
    <x v="2"/>
    <n v="0.48128472222222224"/>
    <s v="Shibor_3M"/>
    <n v="3.05"/>
    <n v="3.1"/>
    <n v="0"/>
    <d v="2012-08-08T00:00:00"/>
    <d v="2014-08-08T00:00:00"/>
    <x v="76"/>
  </r>
  <r>
    <n v="936"/>
    <x v="13"/>
    <x v="6"/>
    <x v="2"/>
    <n v="0.48128472222222224"/>
    <s v="Shibor_3M"/>
    <n v="3"/>
    <n v="3.3"/>
    <n v="0"/>
    <d v="2012-08-08T00:00:00"/>
    <d v="2022-08-08T00:00:00"/>
    <x v="27"/>
  </r>
  <r>
    <n v="937"/>
    <x v="13"/>
    <x v="10"/>
    <x v="2"/>
    <n v="0.48128472222222224"/>
    <s v="Shibor_3M"/>
    <n v="3"/>
    <n v="3.3"/>
    <n v="0"/>
    <d v="2012-08-08T00:00:00"/>
    <d v="2020-08-08T00:00:00"/>
    <x v="27"/>
  </r>
  <r>
    <n v="938"/>
    <x v="13"/>
    <x v="5"/>
    <x v="2"/>
    <n v="0.48128472222222224"/>
    <s v="Shibor_3M"/>
    <n v="3.6"/>
    <n v="3.7"/>
    <n v="0"/>
    <d v="2012-08-08T00:00:00"/>
    <d v="2013-05-08T00:00:00"/>
    <x v="60"/>
  </r>
  <r>
    <n v="939"/>
    <x v="13"/>
    <x v="7"/>
    <x v="2"/>
    <n v="0.48128472222222224"/>
    <s v="Shibor_3M"/>
    <n v="3"/>
    <n v="3.3"/>
    <n v="0"/>
    <d v="2012-08-08T00:00:00"/>
    <d v="2019-08-08T00:00:00"/>
    <x v="27"/>
  </r>
  <r>
    <n v="940"/>
    <x v="13"/>
    <x v="3"/>
    <x v="2"/>
    <n v="0.48128472222222224"/>
    <s v="Shibor_3M"/>
    <n v="3"/>
    <n v="3.3"/>
    <n v="0"/>
    <d v="2012-08-08T00:00:00"/>
    <d v="2021-08-08T00:00:00"/>
    <x v="27"/>
  </r>
  <r>
    <n v="941"/>
    <x v="13"/>
    <x v="3"/>
    <x v="0"/>
    <n v="0.48204861111111108"/>
    <s v="Shibor_3M"/>
    <n v="2.98"/>
    <n v="3.38"/>
    <n v="0"/>
    <d v="2012-08-08T00:00:00"/>
    <d v="2021-08-08T00:00:00"/>
    <x v="49"/>
  </r>
  <r>
    <n v="942"/>
    <x v="13"/>
    <x v="2"/>
    <x v="0"/>
    <n v="0.48204861111111108"/>
    <s v="Shibor_3M"/>
    <n v="3"/>
    <n v="3.1"/>
    <n v="0"/>
    <d v="2012-08-08T00:00:00"/>
    <d v="2016-08-08T00:00:00"/>
    <x v="81"/>
  </r>
  <r>
    <n v="943"/>
    <x v="13"/>
    <x v="11"/>
    <x v="0"/>
    <n v="0.48204861111111108"/>
    <s v="Shibor_3M"/>
    <n v="3"/>
    <n v="3.1"/>
    <n v="0"/>
    <d v="2012-08-08T00:00:00"/>
    <d v="2017-08-08T00:00:00"/>
    <x v="81"/>
  </r>
  <r>
    <n v="944"/>
    <x v="13"/>
    <x v="1"/>
    <x v="1"/>
    <n v="0.48914351851851851"/>
    <s v="Shibor_3M"/>
    <n v="3.21"/>
    <n v="3.27"/>
    <n v="0"/>
    <d v="2012-08-08T00:00:00"/>
    <d v="2013-08-08T00:00:00"/>
    <x v="10"/>
  </r>
  <r>
    <n v="945"/>
    <x v="13"/>
    <x v="8"/>
    <x v="1"/>
    <n v="0.48914351851851851"/>
    <s v="Shibor_3M"/>
    <n v="3.46"/>
    <n v="3.52"/>
    <n v="0"/>
    <d v="2012-08-08T00:00:00"/>
    <d v="2013-02-08T00:00:00"/>
    <x v="38"/>
  </r>
  <r>
    <n v="946"/>
    <x v="13"/>
    <x v="0"/>
    <x v="0"/>
    <n v="0.48204861111111108"/>
    <s v="Shibor_3M"/>
    <n v="3"/>
    <n v="3.1"/>
    <n v="0"/>
    <d v="2012-08-08T00:00:00"/>
    <d v="2015-08-08T00:00:00"/>
    <x v="81"/>
  </r>
  <r>
    <n v="947"/>
    <x v="13"/>
    <x v="10"/>
    <x v="0"/>
    <n v="0.48204861111111108"/>
    <s v="Shibor_3M"/>
    <n v="2.96"/>
    <n v="3.36"/>
    <n v="0"/>
    <d v="2012-08-08T00:00:00"/>
    <d v="2020-08-08T00:00:00"/>
    <x v="71"/>
  </r>
  <r>
    <n v="948"/>
    <x v="13"/>
    <x v="8"/>
    <x v="0"/>
    <n v="0.48201388888888891"/>
    <s v="Shibor_3M"/>
    <n v="3.45"/>
    <n v="3.55"/>
    <n v="0"/>
    <d v="2012-08-08T00:00:00"/>
    <d v="2013-02-08T00:00:00"/>
    <x v="13"/>
  </r>
  <r>
    <n v="949"/>
    <x v="13"/>
    <x v="9"/>
    <x v="0"/>
    <n v="0.48201388888888891"/>
    <s v="Shibor_3M"/>
    <n v="2.97"/>
    <n v="3.17"/>
    <n v="0"/>
    <d v="2012-08-08T00:00:00"/>
    <d v="2018-08-08T00:00:00"/>
    <x v="86"/>
  </r>
  <r>
    <n v="950"/>
    <x v="13"/>
    <x v="4"/>
    <x v="0"/>
    <n v="0.48201388888888891"/>
    <s v="Shibor_3M"/>
    <n v="3.04"/>
    <n v="3.14"/>
    <n v="0"/>
    <d v="2012-08-08T00:00:00"/>
    <d v="2014-08-08T00:00:00"/>
    <x v="69"/>
  </r>
  <r>
    <n v="951"/>
    <x v="13"/>
    <x v="6"/>
    <x v="0"/>
    <n v="0.48203703703703704"/>
    <s v="Shibor_3M"/>
    <n v="2.99"/>
    <n v="3.39"/>
    <n v="0"/>
    <d v="2012-08-08T00:00:00"/>
    <d v="2022-08-08T00:00:00"/>
    <x v="55"/>
  </r>
  <r>
    <n v="952"/>
    <x v="13"/>
    <x v="5"/>
    <x v="0"/>
    <n v="0.48203703703703704"/>
    <s v="Shibor_3M"/>
    <n v="3.25"/>
    <n v="3.35"/>
    <n v="0"/>
    <d v="2012-08-08T00:00:00"/>
    <d v="2013-05-08T00:00:00"/>
    <x v="23"/>
  </r>
  <r>
    <n v="953"/>
    <x v="13"/>
    <x v="7"/>
    <x v="0"/>
    <n v="0.48202546296296295"/>
    <s v="Shibor_3M"/>
    <n v="2.95"/>
    <n v="3.35"/>
    <n v="0"/>
    <d v="2012-08-08T00:00:00"/>
    <d v="2019-08-08T00:00:00"/>
    <x v="51"/>
  </r>
  <r>
    <n v="954"/>
    <x v="13"/>
    <x v="2"/>
    <x v="5"/>
    <n v="0.64684027777777775"/>
    <s v="Shibor_3M"/>
    <n v="3"/>
    <n v="3.1"/>
    <n v="0"/>
    <d v="2012-08-08T00:00:00"/>
    <d v="2016-08-08T00:00:00"/>
    <x v="81"/>
  </r>
  <r>
    <n v="955"/>
    <x v="13"/>
    <x v="5"/>
    <x v="3"/>
    <n v="0.68233796296296301"/>
    <s v="Shibor_3M"/>
    <n v="3.25"/>
    <n v="3.35"/>
    <n v="0"/>
    <d v="2012-08-08T00:00:00"/>
    <d v="2013-05-08T00:00:00"/>
    <x v="23"/>
  </r>
  <r>
    <n v="956"/>
    <x v="13"/>
    <x v="11"/>
    <x v="3"/>
    <n v="0.68233796296296301"/>
    <s v="Shibor_3M"/>
    <n v="3.03"/>
    <n v="3.13"/>
    <n v="0"/>
    <d v="2012-08-08T00:00:00"/>
    <d v="2017-08-08T00:00:00"/>
    <x v="70"/>
  </r>
  <r>
    <n v="957"/>
    <x v="13"/>
    <x v="1"/>
    <x v="3"/>
    <n v="0.68233796296296301"/>
    <s v="Shibor_3M"/>
    <n v="3.15"/>
    <n v="3.25"/>
    <n v="0"/>
    <d v="2012-08-08T00:00:00"/>
    <d v="2013-08-08T00:00:00"/>
    <x v="57"/>
  </r>
  <r>
    <n v="958"/>
    <x v="13"/>
    <x v="8"/>
    <x v="3"/>
    <n v="0.68234953703703705"/>
    <s v="Shibor_3M"/>
    <n v="3.4"/>
    <n v="3.5"/>
    <n v="0"/>
    <d v="2012-08-08T00:00:00"/>
    <d v="2013-02-08T00:00:00"/>
    <x v="43"/>
  </r>
  <r>
    <n v="959"/>
    <x v="13"/>
    <x v="4"/>
    <x v="3"/>
    <n v="0.68234953703703705"/>
    <s v="Shibor_3M"/>
    <n v="3.05"/>
    <n v="3.15"/>
    <n v="0"/>
    <d v="2012-08-08T00:00:00"/>
    <d v="2014-08-08T00:00:00"/>
    <x v="64"/>
  </r>
  <r>
    <n v="960"/>
    <x v="13"/>
    <x v="2"/>
    <x v="3"/>
    <n v="0.68233796296296301"/>
    <s v="Shibor_3M"/>
    <n v="2.99"/>
    <n v="3.09"/>
    <n v="0"/>
    <d v="2012-08-08T00:00:00"/>
    <d v="2016-08-08T00:00:00"/>
    <x v="91"/>
  </r>
  <r>
    <n v="961"/>
    <x v="13"/>
    <x v="6"/>
    <x v="6"/>
    <n v="0.67503472222222216"/>
    <s v="Shibor_3M"/>
    <n v="3.12"/>
    <n v="3.1"/>
    <n v="0"/>
    <d v="2012-08-08T00:00:00"/>
    <d v="2022-08-08T00:00:00"/>
    <x v="50"/>
  </r>
  <r>
    <n v="962"/>
    <x v="13"/>
    <x v="2"/>
    <x v="6"/>
    <n v="0.67503472222222216"/>
    <s v="Shibor_3M"/>
    <n v="3.02"/>
    <n v="2.96"/>
    <n v="0"/>
    <d v="2012-08-08T00:00:00"/>
    <d v="2016-08-08T00:00:00"/>
    <x v="114"/>
  </r>
  <r>
    <n v="963"/>
    <x v="13"/>
    <x v="11"/>
    <x v="6"/>
    <n v="0.67503472222222216"/>
    <s v="Shibor_3M"/>
    <n v="3.02"/>
    <n v="2.96"/>
    <n v="0"/>
    <d v="2012-08-08T00:00:00"/>
    <d v="2017-08-08T00:00:00"/>
    <x v="114"/>
  </r>
  <r>
    <n v="964"/>
    <x v="13"/>
    <x v="8"/>
    <x v="6"/>
    <n v="0.67503472222222216"/>
    <s v="Shibor_3M"/>
    <n v="3.43"/>
    <n v="3.52"/>
    <n v="0"/>
    <d v="2012-08-08T00:00:00"/>
    <d v="2013-02-08T00:00:00"/>
    <x v="108"/>
  </r>
  <r>
    <n v="965"/>
    <x v="13"/>
    <x v="1"/>
    <x v="6"/>
    <n v="0.67503472222222216"/>
    <s v="Shibor_3M"/>
    <n v="3.17"/>
    <n v="3.19"/>
    <n v="0"/>
    <d v="2012-08-08T00:00:00"/>
    <d v="2013-08-08T00:00:00"/>
    <x v="49"/>
  </r>
  <r>
    <n v="966"/>
    <x v="13"/>
    <x v="4"/>
    <x v="6"/>
    <n v="0.67503472222222216"/>
    <s v="Shibor_3M"/>
    <n v="3.05"/>
    <n v="3.02"/>
    <n v="0"/>
    <d v="2012-08-08T00:00:00"/>
    <d v="2014-08-08T00:00:00"/>
    <x v="106"/>
  </r>
  <r>
    <n v="967"/>
    <x v="13"/>
    <x v="0"/>
    <x v="6"/>
    <n v="0.67503472222222216"/>
    <s v="Shibor_3M"/>
    <n v="3.02"/>
    <n v="2.97"/>
    <n v="0"/>
    <d v="2012-08-08T00:00:00"/>
    <d v="2015-08-08T00:00:00"/>
    <x v="101"/>
  </r>
  <r>
    <n v="968"/>
    <x v="13"/>
    <x v="10"/>
    <x v="2"/>
    <n v="0.6828819444444445"/>
    <s v="Shibor_3M"/>
    <n v="3"/>
    <n v="3.3"/>
    <n v="0"/>
    <d v="2012-08-08T00:00:00"/>
    <d v="2020-08-08T00:00:00"/>
    <x v="27"/>
  </r>
  <r>
    <n v="969"/>
    <x v="13"/>
    <x v="1"/>
    <x v="2"/>
    <n v="0.6828819444444445"/>
    <s v="Shibor_3M"/>
    <n v="3.15"/>
    <n v="3.25"/>
    <n v="0"/>
    <d v="2012-08-08T00:00:00"/>
    <d v="2013-08-08T00:00:00"/>
    <x v="57"/>
  </r>
  <r>
    <n v="970"/>
    <x v="13"/>
    <x v="8"/>
    <x v="2"/>
    <n v="0.6828819444444445"/>
    <s v="Shibor_3M"/>
    <n v="3.3"/>
    <n v="3.5"/>
    <n v="0"/>
    <d v="2012-08-08T00:00:00"/>
    <d v="2013-02-08T00:00:00"/>
    <x v="32"/>
  </r>
  <r>
    <n v="971"/>
    <x v="13"/>
    <x v="0"/>
    <x v="2"/>
    <n v="0.68289351851851843"/>
    <s v="Shibor_3M"/>
    <n v="3"/>
    <n v="3.05"/>
    <n v="0"/>
    <d v="2012-08-08T00:00:00"/>
    <d v="2015-08-08T00:00:00"/>
    <x v="79"/>
  </r>
  <r>
    <n v="972"/>
    <x v="13"/>
    <x v="2"/>
    <x v="2"/>
    <n v="0.68289351851851843"/>
    <s v="Shibor_3M"/>
    <n v="3"/>
    <n v="3.05"/>
    <n v="0"/>
    <d v="2012-08-08T00:00:00"/>
    <d v="2016-08-08T00:00:00"/>
    <x v="79"/>
  </r>
  <r>
    <n v="973"/>
    <x v="13"/>
    <x v="11"/>
    <x v="2"/>
    <n v="0.68289351851851843"/>
    <s v="Shibor_3M"/>
    <n v="3"/>
    <n v="3.1"/>
    <n v="0"/>
    <d v="2012-08-08T00:00:00"/>
    <d v="2017-08-08T00:00:00"/>
    <x v="81"/>
  </r>
  <r>
    <n v="974"/>
    <x v="13"/>
    <x v="9"/>
    <x v="2"/>
    <n v="0.6828819444444445"/>
    <s v="Shibor_3M"/>
    <n v="3"/>
    <n v="3.3"/>
    <n v="0"/>
    <d v="2012-08-08T00:00:00"/>
    <d v="2018-08-08T00:00:00"/>
    <x v="27"/>
  </r>
  <r>
    <n v="975"/>
    <x v="13"/>
    <x v="4"/>
    <x v="2"/>
    <n v="0.6828819444444445"/>
    <s v="Shibor_3M"/>
    <n v="3.05"/>
    <n v="3.1"/>
    <n v="0"/>
    <d v="2012-08-08T00:00:00"/>
    <d v="2014-08-08T00:00:00"/>
    <x v="76"/>
  </r>
  <r>
    <n v="976"/>
    <x v="13"/>
    <x v="6"/>
    <x v="2"/>
    <n v="0.6828819444444445"/>
    <s v="Shibor_3M"/>
    <n v="3"/>
    <n v="3.3"/>
    <n v="0"/>
    <d v="2012-08-08T00:00:00"/>
    <d v="2022-08-08T00:00:00"/>
    <x v="27"/>
  </r>
  <r>
    <n v="977"/>
    <x v="13"/>
    <x v="0"/>
    <x v="3"/>
    <n v="0.68236111111111108"/>
    <s v="Shibor_3M"/>
    <n v="3.01"/>
    <n v="3.11"/>
    <n v="0"/>
    <d v="2012-08-08T00:00:00"/>
    <d v="2015-08-08T00:00:00"/>
    <x v="95"/>
  </r>
  <r>
    <n v="978"/>
    <x v="13"/>
    <x v="5"/>
    <x v="2"/>
    <n v="0.6828819444444445"/>
    <s v="Shibor_3M"/>
    <n v="3.6"/>
    <n v="3.7"/>
    <n v="0"/>
    <d v="2012-08-08T00:00:00"/>
    <d v="2013-05-08T00:00:00"/>
    <x v="60"/>
  </r>
  <r>
    <n v="979"/>
    <x v="13"/>
    <x v="7"/>
    <x v="2"/>
    <n v="0.6828819444444445"/>
    <s v="Shibor_3M"/>
    <n v="3"/>
    <n v="3.3"/>
    <n v="0"/>
    <d v="2012-08-08T00:00:00"/>
    <d v="2019-08-08T00:00:00"/>
    <x v="27"/>
  </r>
  <r>
    <n v="980"/>
    <x v="13"/>
    <x v="3"/>
    <x v="2"/>
    <n v="0.6828819444444445"/>
    <s v="Shibor_3M"/>
    <n v="3"/>
    <n v="3.3"/>
    <n v="0"/>
    <d v="2012-08-08T00:00:00"/>
    <d v="2021-08-08T00:00:00"/>
    <x v="27"/>
  </r>
  <r>
    <n v="981"/>
    <x v="13"/>
    <x v="7"/>
    <x v="6"/>
    <n v="0.67503472222222216"/>
    <s v="Shibor_3M"/>
    <n v="3.07"/>
    <n v="3.05"/>
    <n v="0"/>
    <d v="2012-08-08T00:00:00"/>
    <d v="2019-08-08T00:00:00"/>
    <x v="95"/>
  </r>
  <r>
    <n v="982"/>
    <x v="13"/>
    <x v="5"/>
    <x v="0"/>
    <n v="0.66576388888888893"/>
    <s v="Shibor_3M"/>
    <n v="3.25"/>
    <n v="3.35"/>
    <n v="0"/>
    <d v="2012-08-08T00:00:00"/>
    <d v="2013-05-08T00:00:00"/>
    <x v="23"/>
  </r>
  <r>
    <n v="983"/>
    <x v="13"/>
    <x v="7"/>
    <x v="0"/>
    <n v="0.66575231481481478"/>
    <s v="Shibor_3M"/>
    <n v="2.95"/>
    <n v="3.35"/>
    <n v="0"/>
    <d v="2012-08-08T00:00:00"/>
    <d v="2019-08-08T00:00:00"/>
    <x v="51"/>
  </r>
  <r>
    <n v="984"/>
    <x v="13"/>
    <x v="4"/>
    <x v="0"/>
    <n v="0.66574074074074074"/>
    <s v="Shibor_3M"/>
    <n v="3.04"/>
    <n v="3.14"/>
    <n v="0"/>
    <d v="2012-08-08T00:00:00"/>
    <d v="2014-08-08T00:00:00"/>
    <x v="69"/>
  </r>
  <r>
    <n v="985"/>
    <x v="13"/>
    <x v="11"/>
    <x v="0"/>
    <n v="0.66576388888888893"/>
    <s v="Shibor_3M"/>
    <n v="3"/>
    <n v="3.1"/>
    <n v="0"/>
    <d v="2012-08-08T00:00:00"/>
    <d v="2017-08-08T00:00:00"/>
    <x v="81"/>
  </r>
  <r>
    <n v="986"/>
    <x v="13"/>
    <x v="10"/>
    <x v="0"/>
    <n v="0.66576388888888893"/>
    <s v="Shibor_3M"/>
    <n v="2.96"/>
    <n v="3.36"/>
    <n v="0"/>
    <d v="2012-08-08T00:00:00"/>
    <d v="2020-08-08T00:00:00"/>
    <x v="71"/>
  </r>
  <r>
    <n v="987"/>
    <x v="13"/>
    <x v="6"/>
    <x v="0"/>
    <n v="0.66576388888888893"/>
    <s v="Shibor_3M"/>
    <n v="2.99"/>
    <n v="3.39"/>
    <n v="0"/>
    <d v="2012-08-08T00:00:00"/>
    <d v="2022-08-08T00:00:00"/>
    <x v="55"/>
  </r>
  <r>
    <n v="988"/>
    <x v="13"/>
    <x v="1"/>
    <x v="0"/>
    <n v="0.66574074074074074"/>
    <s v="Shibor_3M"/>
    <n v="3.15"/>
    <n v="3.25"/>
    <n v="0"/>
    <d v="2012-08-08T00:00:00"/>
    <d v="2013-08-08T00:00:00"/>
    <x v="57"/>
  </r>
  <r>
    <n v="989"/>
    <x v="13"/>
    <x v="4"/>
    <x v="5"/>
    <n v="0.64684027777777775"/>
    <s v="Shibor_3M"/>
    <n v="3.05"/>
    <n v="3.15"/>
    <n v="0"/>
    <d v="2012-08-08T00:00:00"/>
    <d v="2014-08-08T00:00:00"/>
    <x v="64"/>
  </r>
  <r>
    <n v="990"/>
    <x v="13"/>
    <x v="1"/>
    <x v="5"/>
    <n v="0.64684027777777775"/>
    <s v="Shibor_3M"/>
    <n v="3.15"/>
    <n v="3.25"/>
    <n v="0"/>
    <d v="2012-08-08T00:00:00"/>
    <d v="2013-08-08T00:00:00"/>
    <x v="57"/>
  </r>
  <r>
    <n v="991"/>
    <x v="13"/>
    <x v="0"/>
    <x v="5"/>
    <n v="0.64684027777777775"/>
    <s v="Shibor_3M"/>
    <n v="3.08"/>
    <n v="3.18"/>
    <n v="0"/>
    <d v="2012-08-08T00:00:00"/>
    <d v="2015-08-08T00:00:00"/>
    <x v="78"/>
  </r>
  <r>
    <n v="992"/>
    <x v="13"/>
    <x v="8"/>
    <x v="0"/>
    <n v="0.66572916666666659"/>
    <s v="Shibor_3M"/>
    <n v="3.45"/>
    <n v="3.55"/>
    <n v="0"/>
    <d v="2012-08-08T00:00:00"/>
    <d v="2013-02-08T00:00:00"/>
    <x v="13"/>
  </r>
  <r>
    <n v="993"/>
    <x v="13"/>
    <x v="9"/>
    <x v="0"/>
    <n v="0.66572916666666659"/>
    <s v="Shibor_3M"/>
    <n v="2.97"/>
    <n v="3.17"/>
    <n v="0"/>
    <d v="2012-08-08T00:00:00"/>
    <d v="2018-08-08T00:00:00"/>
    <x v="86"/>
  </r>
  <r>
    <n v="994"/>
    <x v="13"/>
    <x v="7"/>
    <x v="5"/>
    <n v="0.64684027777777775"/>
    <s v="Shibor_3M"/>
    <n v="3.1"/>
    <n v="3.2"/>
    <n v="0"/>
    <d v="2012-08-08T00:00:00"/>
    <d v="2019-08-08T00:00:00"/>
    <x v="51"/>
  </r>
  <r>
    <n v="995"/>
    <x v="13"/>
    <x v="6"/>
    <x v="1"/>
    <n v="0.67469907407407403"/>
    <s v="Shibor_3M"/>
    <n v="3.14"/>
    <n v="3.2"/>
    <n v="0"/>
    <d v="2012-08-08T00:00:00"/>
    <d v="2022-08-08T00:00:00"/>
    <x v="56"/>
  </r>
  <r>
    <n v="996"/>
    <x v="13"/>
    <x v="5"/>
    <x v="1"/>
    <n v="0.67469907407407403"/>
    <s v="Shibor_3M"/>
    <n v="3.28"/>
    <n v="3.34"/>
    <n v="0"/>
    <d v="2012-08-08T00:00:00"/>
    <d v="2013-05-08T00:00:00"/>
    <x v="6"/>
  </r>
  <r>
    <n v="997"/>
    <x v="13"/>
    <x v="7"/>
    <x v="1"/>
    <n v="0.67469907407407403"/>
    <s v="Shibor_3M"/>
    <n v="3.09"/>
    <n v="3.15"/>
    <n v="0"/>
    <d v="2012-08-08T00:00:00"/>
    <d v="2019-08-08T00:00:00"/>
    <x v="66"/>
  </r>
  <r>
    <n v="998"/>
    <x v="13"/>
    <x v="5"/>
    <x v="6"/>
    <n v="0.67503472222222216"/>
    <s v="Shibor_3M"/>
    <n v="3.25"/>
    <n v="3.31"/>
    <n v="0"/>
    <d v="2012-08-08T00:00:00"/>
    <d v="2013-05-08T00:00:00"/>
    <x v="9"/>
  </r>
  <r>
    <n v="999"/>
    <x v="13"/>
    <x v="2"/>
    <x v="1"/>
    <n v="0.67469907407407403"/>
    <s v="Shibor_3M"/>
    <n v="3.02"/>
    <n v="3.08"/>
    <n v="0"/>
    <d v="2012-08-08T00:00:00"/>
    <d v="2016-08-08T00:00:00"/>
    <x v="81"/>
  </r>
  <r>
    <n v="1000"/>
    <x v="13"/>
    <x v="11"/>
    <x v="1"/>
    <n v="0.67469907407407403"/>
    <s v="Shibor_3M"/>
    <n v="3.04"/>
    <n v="3.1"/>
    <n v="0"/>
    <d v="2012-08-08T00:00:00"/>
    <d v="2017-08-08T00:00:00"/>
    <x v="86"/>
  </r>
  <r>
    <n v="1001"/>
    <x v="13"/>
    <x v="0"/>
    <x v="1"/>
    <n v="0.67469907407407403"/>
    <s v="Shibor_3M"/>
    <n v="3.05"/>
    <n v="3.11"/>
    <n v="0"/>
    <d v="2012-08-08T00:00:00"/>
    <d v="2015-08-08T00:00:00"/>
    <x v="70"/>
  </r>
  <r>
    <n v="1002"/>
    <x v="13"/>
    <x v="0"/>
    <x v="0"/>
    <n v="0.66578703703703701"/>
    <s v="Shibor_3M"/>
    <n v="3"/>
    <n v="3.1"/>
    <n v="0"/>
    <d v="2012-08-08T00:00:00"/>
    <d v="2015-08-08T00:00:00"/>
    <x v="81"/>
  </r>
  <r>
    <n v="1003"/>
    <x v="13"/>
    <x v="3"/>
    <x v="0"/>
    <n v="0.66578703703703701"/>
    <s v="Shibor_3M"/>
    <n v="2.98"/>
    <n v="3.38"/>
    <n v="0"/>
    <d v="2012-08-08T00:00:00"/>
    <d v="2021-08-08T00:00:00"/>
    <x v="49"/>
  </r>
  <r>
    <n v="1004"/>
    <x v="13"/>
    <x v="2"/>
    <x v="0"/>
    <n v="0.66578703703703701"/>
    <s v="Shibor_3M"/>
    <n v="3"/>
    <n v="3.1"/>
    <n v="0"/>
    <d v="2012-08-08T00:00:00"/>
    <d v="2016-08-08T00:00:00"/>
    <x v="81"/>
  </r>
  <r>
    <n v="1005"/>
    <x v="13"/>
    <x v="4"/>
    <x v="1"/>
    <n v="0.6746875"/>
    <s v="Shibor_3M"/>
    <n v="3.07"/>
    <n v="3.13"/>
    <n v="0"/>
    <d v="2012-08-08T00:00:00"/>
    <d v="2014-08-08T00:00:00"/>
    <x v="64"/>
  </r>
  <r>
    <n v="1006"/>
    <x v="13"/>
    <x v="1"/>
    <x v="1"/>
    <n v="0.6746875"/>
    <s v="Shibor_3M"/>
    <n v="3.18"/>
    <n v="3.24"/>
    <n v="0"/>
    <d v="2012-08-08T00:00:00"/>
    <d v="2013-08-08T00:00:00"/>
    <x v="88"/>
  </r>
  <r>
    <n v="1007"/>
    <x v="13"/>
    <x v="8"/>
    <x v="1"/>
    <n v="0.6746875"/>
    <s v="Shibor_3M"/>
    <n v="3.44"/>
    <n v="3.5"/>
    <n v="0"/>
    <d v="2012-08-08T00:00:00"/>
    <d v="2013-02-08T00:00:00"/>
    <x v="4"/>
  </r>
  <r>
    <n v="1008"/>
    <x v="14"/>
    <x v="7"/>
    <x v="1"/>
    <n v="0.48951388888888886"/>
    <s v="Shibor_3M"/>
    <n v="3.09"/>
    <n v="3.15"/>
    <n v="0"/>
    <d v="2012-08-07T00:00:00"/>
    <d v="2019-08-07T00:00:00"/>
    <x v="66"/>
  </r>
  <r>
    <n v="1009"/>
    <x v="14"/>
    <x v="8"/>
    <x v="1"/>
    <n v="0.48949074074074073"/>
    <s v="Shibor_3M"/>
    <n v="3.51"/>
    <n v="3.57"/>
    <n v="0"/>
    <d v="2012-08-07T00:00:00"/>
    <d v="2013-02-07T00:00:00"/>
    <x v="61"/>
  </r>
  <r>
    <n v="1010"/>
    <x v="14"/>
    <x v="0"/>
    <x v="3"/>
    <n v="0.48718750000000005"/>
    <s v="Shibor_3M"/>
    <n v="3.29"/>
    <n v="3.34"/>
    <n v="0"/>
    <d v="2012-08-07T00:00:00"/>
    <d v="2015-08-07T00:00:00"/>
    <x v="34"/>
  </r>
  <r>
    <n v="1011"/>
    <x v="14"/>
    <x v="4"/>
    <x v="1"/>
    <n v="0.48951388888888886"/>
    <s v="Shibor_3M"/>
    <n v="3.06"/>
    <n v="3.12"/>
    <n v="0"/>
    <d v="2012-08-07T00:00:00"/>
    <d v="2014-08-07T00:00:00"/>
    <x v="69"/>
  </r>
  <r>
    <n v="1012"/>
    <x v="14"/>
    <x v="1"/>
    <x v="1"/>
    <n v="0.48951388888888886"/>
    <s v="Shibor_3M"/>
    <n v="3.21"/>
    <n v="3.27"/>
    <n v="0"/>
    <d v="2012-08-07T00:00:00"/>
    <d v="2013-08-07T00:00:00"/>
    <x v="10"/>
  </r>
  <r>
    <n v="1013"/>
    <x v="14"/>
    <x v="5"/>
    <x v="1"/>
    <n v="0.48951388888888886"/>
    <s v="Shibor_3M"/>
    <n v="3.32"/>
    <n v="3.38"/>
    <n v="0"/>
    <d v="2012-08-07T00:00:00"/>
    <d v="2013-05-07T00:00:00"/>
    <x v="1"/>
  </r>
  <r>
    <n v="1014"/>
    <x v="14"/>
    <x v="5"/>
    <x v="3"/>
    <n v="0.4871759259259259"/>
    <s v="Shibor_3M"/>
    <n v="3.28"/>
    <n v="3.35"/>
    <n v="0"/>
    <d v="2012-08-07T00:00:00"/>
    <d v="2013-05-07T00:00:00"/>
    <x v="34"/>
  </r>
  <r>
    <n v="1015"/>
    <x v="14"/>
    <x v="11"/>
    <x v="3"/>
    <n v="0.48716435185185186"/>
    <s v="Shibor_3M"/>
    <n v="3.23"/>
    <n v="3.28"/>
    <n v="0"/>
    <d v="2012-08-07T00:00:00"/>
    <d v="2017-08-07T00:00:00"/>
    <x v="82"/>
  </r>
  <r>
    <n v="1016"/>
    <x v="14"/>
    <x v="1"/>
    <x v="3"/>
    <n v="0.48716435185185186"/>
    <s v="Shibor_3M"/>
    <n v="3.49"/>
    <n v="3.55"/>
    <n v="0"/>
    <d v="2012-08-07T00:00:00"/>
    <d v="2013-08-07T00:00:00"/>
    <x v="8"/>
  </r>
  <r>
    <n v="1017"/>
    <x v="14"/>
    <x v="8"/>
    <x v="3"/>
    <n v="0.48718750000000005"/>
    <s v="Shibor_3M"/>
    <n v="3.5"/>
    <n v="3.55"/>
    <n v="0"/>
    <d v="2012-08-07T00:00:00"/>
    <d v="2013-02-07T00:00:00"/>
    <x v="115"/>
  </r>
  <r>
    <n v="1018"/>
    <x v="14"/>
    <x v="4"/>
    <x v="3"/>
    <n v="0.48718750000000005"/>
    <s v="Shibor_3M"/>
    <n v="3.38"/>
    <n v="3.44"/>
    <n v="0"/>
    <d v="2012-08-07T00:00:00"/>
    <d v="2014-08-07T00:00:00"/>
    <x v="11"/>
  </r>
  <r>
    <n v="1019"/>
    <x v="14"/>
    <x v="2"/>
    <x v="3"/>
    <n v="0.48718750000000005"/>
    <s v="Shibor_3M"/>
    <n v="2.97"/>
    <n v="3.07"/>
    <n v="0"/>
    <d v="2012-08-07T00:00:00"/>
    <d v="2016-08-07T00:00:00"/>
    <x v="116"/>
  </r>
  <r>
    <n v="1020"/>
    <x v="14"/>
    <x v="7"/>
    <x v="7"/>
    <n v="0.50034722222222217"/>
    <s v="Shibor_3M"/>
    <n v="3.01"/>
    <n v="3.11"/>
    <n v="0"/>
    <d v="2012-08-07T00:00:00"/>
    <d v="2019-08-07T00:00:00"/>
    <x v="95"/>
  </r>
  <r>
    <n v="1021"/>
    <x v="14"/>
    <x v="4"/>
    <x v="7"/>
    <n v="0.50034722222222217"/>
    <s v="Shibor_3M"/>
    <n v="2.97"/>
    <n v="3.05"/>
    <n v="0"/>
    <d v="2012-08-07T00:00:00"/>
    <d v="2014-08-07T00:00:00"/>
    <x v="97"/>
  </r>
  <r>
    <n v="1022"/>
    <x v="14"/>
    <x v="1"/>
    <x v="7"/>
    <n v="0.50034722222222217"/>
    <s v="Shibor_3M"/>
    <n v="3.11"/>
    <n v="3.19"/>
    <n v="0"/>
    <d v="2012-08-07T00:00:00"/>
    <d v="2013-08-07T00:00:00"/>
    <x v="27"/>
  </r>
  <r>
    <n v="1023"/>
    <x v="14"/>
    <x v="2"/>
    <x v="7"/>
    <n v="0.50035879629629632"/>
    <s v="Shibor_3M"/>
    <n v="2.92"/>
    <n v="3"/>
    <n v="0"/>
    <d v="2012-08-07T00:00:00"/>
    <d v="2016-08-07T00:00:00"/>
    <x v="117"/>
  </r>
  <r>
    <n v="1024"/>
    <x v="14"/>
    <x v="11"/>
    <x v="7"/>
    <n v="0.50035879629629632"/>
    <s v="Shibor_3M"/>
    <n v="2.93"/>
    <n v="3.01"/>
    <n v="0"/>
    <d v="2012-08-07T00:00:00"/>
    <d v="2017-08-07T00:00:00"/>
    <x v="105"/>
  </r>
  <r>
    <n v="1025"/>
    <x v="14"/>
    <x v="5"/>
    <x v="7"/>
    <n v="0.50034722222222217"/>
    <s v="Shibor_3M"/>
    <n v="3.24"/>
    <n v="3.32"/>
    <n v="0"/>
    <d v="2012-08-07T00:00:00"/>
    <d v="2013-05-07T00:00:00"/>
    <x v="9"/>
  </r>
  <r>
    <n v="1026"/>
    <x v="14"/>
    <x v="2"/>
    <x v="1"/>
    <n v="0.48952546296296301"/>
    <s v="Shibor_3M"/>
    <n v="3.01"/>
    <n v="3.07"/>
    <n v="0"/>
    <d v="2012-08-07T00:00:00"/>
    <d v="2016-08-07T00:00:00"/>
    <x v="91"/>
  </r>
  <r>
    <n v="1027"/>
    <x v="14"/>
    <x v="11"/>
    <x v="1"/>
    <n v="0.48952546296296301"/>
    <s v="Shibor_3M"/>
    <n v="3.02"/>
    <n v="3.08"/>
    <n v="0"/>
    <d v="2012-08-07T00:00:00"/>
    <d v="2017-08-07T00:00:00"/>
    <x v="81"/>
  </r>
  <r>
    <n v="1028"/>
    <x v="14"/>
    <x v="6"/>
    <x v="1"/>
    <n v="0.48952546296296301"/>
    <s v="Shibor_3M"/>
    <n v="3.14"/>
    <n v="3.2"/>
    <n v="0"/>
    <d v="2012-08-07T00:00:00"/>
    <d v="2022-08-07T00:00:00"/>
    <x v="56"/>
  </r>
  <r>
    <n v="1029"/>
    <x v="14"/>
    <x v="6"/>
    <x v="7"/>
    <n v="0.50034722222222217"/>
    <s v="Shibor_3M"/>
    <n v="3.05"/>
    <n v="3.15"/>
    <n v="0"/>
    <d v="2012-08-07T00:00:00"/>
    <d v="2022-08-07T00:00:00"/>
    <x v="64"/>
  </r>
  <r>
    <n v="1030"/>
    <x v="14"/>
    <x v="8"/>
    <x v="7"/>
    <n v="0.50032407407407409"/>
    <s v="Shibor_3M"/>
    <n v="3.43"/>
    <n v="3.51"/>
    <n v="0"/>
    <d v="2012-08-07T00:00:00"/>
    <d v="2013-02-07T00:00:00"/>
    <x v="4"/>
  </r>
  <r>
    <n v="1031"/>
    <x v="14"/>
    <x v="0"/>
    <x v="1"/>
    <n v="0.48953703703703705"/>
    <s v="Shibor_3M"/>
    <n v="3.01"/>
    <n v="3.07"/>
    <n v="0"/>
    <d v="2012-08-07T00:00:00"/>
    <d v="2015-08-07T00:00:00"/>
    <x v="91"/>
  </r>
  <r>
    <n v="1032"/>
    <x v="14"/>
    <x v="0"/>
    <x v="2"/>
    <n v="0.48256944444444444"/>
    <s v="Shibor_3M"/>
    <n v="3.3"/>
    <n v="3.4"/>
    <n v="0"/>
    <d v="2012-08-07T00:00:00"/>
    <d v="2015-08-07T00:00:00"/>
    <x v="1"/>
  </r>
  <r>
    <n v="1033"/>
    <x v="14"/>
    <x v="2"/>
    <x v="2"/>
    <n v="0.48256944444444444"/>
    <s v="Shibor_3M"/>
    <n v="3.3"/>
    <n v="3.42"/>
    <n v="0"/>
    <d v="2012-08-07T00:00:00"/>
    <d v="2016-08-07T00:00:00"/>
    <x v="118"/>
  </r>
  <r>
    <n v="1034"/>
    <x v="14"/>
    <x v="11"/>
    <x v="2"/>
    <n v="0.48256944444444444"/>
    <s v="Shibor_3M"/>
    <n v="3.32"/>
    <n v="3.45"/>
    <n v="0"/>
    <d v="2012-08-07T00:00:00"/>
    <d v="2017-08-07T00:00:00"/>
    <x v="54"/>
  </r>
  <r>
    <n v="1035"/>
    <x v="14"/>
    <x v="5"/>
    <x v="2"/>
    <n v="0.48256944444444444"/>
    <s v="Shibor_3M"/>
    <n v="3.6"/>
    <n v="3.7"/>
    <n v="0"/>
    <d v="2012-08-07T00:00:00"/>
    <d v="2013-05-07T00:00:00"/>
    <x v="60"/>
  </r>
  <r>
    <n v="1036"/>
    <x v="14"/>
    <x v="7"/>
    <x v="2"/>
    <n v="0.48256944444444444"/>
    <s v="Shibor_3M"/>
    <n v="3.2"/>
    <n v="3.6"/>
    <n v="0"/>
    <d v="2012-08-07T00:00:00"/>
    <d v="2019-08-07T00:00:00"/>
    <x v="20"/>
  </r>
  <r>
    <n v="1037"/>
    <x v="14"/>
    <x v="3"/>
    <x v="2"/>
    <n v="0.48256944444444444"/>
    <s v="Shibor_3M"/>
    <n v="3.2"/>
    <n v="3.6"/>
    <n v="0"/>
    <d v="2012-08-07T00:00:00"/>
    <d v="2021-08-07T00:00:00"/>
    <x v="20"/>
  </r>
  <r>
    <n v="1038"/>
    <x v="14"/>
    <x v="1"/>
    <x v="2"/>
    <n v="0.48255787037037035"/>
    <s v="Shibor_3M"/>
    <n v="3.48"/>
    <n v="3.5"/>
    <n v="0"/>
    <d v="2012-08-07T00:00:00"/>
    <d v="2013-08-07T00:00:00"/>
    <x v="38"/>
  </r>
  <r>
    <n v="1039"/>
    <x v="14"/>
    <x v="8"/>
    <x v="2"/>
    <n v="0.48255787037037035"/>
    <s v="Shibor_3M"/>
    <n v="3.3"/>
    <n v="3.5"/>
    <n v="0"/>
    <d v="2012-08-07T00:00:00"/>
    <d v="2013-02-07T00:00:00"/>
    <x v="32"/>
  </r>
  <r>
    <n v="1040"/>
    <x v="14"/>
    <x v="9"/>
    <x v="2"/>
    <n v="0.48255787037037035"/>
    <s v="Shibor_3M"/>
    <n v="3.25"/>
    <n v="3.55"/>
    <n v="0"/>
    <d v="2012-08-07T00:00:00"/>
    <d v="2018-08-07T00:00:00"/>
    <x v="32"/>
  </r>
  <r>
    <n v="1041"/>
    <x v="14"/>
    <x v="4"/>
    <x v="2"/>
    <n v="0.48255787037037035"/>
    <s v="Shibor_3M"/>
    <n v="3.3"/>
    <n v="3.37"/>
    <n v="0"/>
    <d v="2012-08-07T00:00:00"/>
    <d v="2014-08-07T00:00:00"/>
    <x v="119"/>
  </r>
  <r>
    <n v="1042"/>
    <x v="14"/>
    <x v="6"/>
    <x v="2"/>
    <n v="0.48255787037037035"/>
    <s v="Shibor_3M"/>
    <n v="3.26"/>
    <n v="3.66"/>
    <n v="0"/>
    <d v="2012-08-07T00:00:00"/>
    <d v="2022-08-07T00:00:00"/>
    <x v="46"/>
  </r>
  <r>
    <n v="1043"/>
    <x v="14"/>
    <x v="10"/>
    <x v="2"/>
    <n v="0.48255787037037035"/>
    <s v="Shibor_3M"/>
    <n v="3.2"/>
    <n v="3.65"/>
    <n v="0"/>
    <d v="2012-08-07T00:00:00"/>
    <d v="2020-08-07T00:00:00"/>
    <x v="120"/>
  </r>
  <r>
    <n v="1044"/>
    <x v="14"/>
    <x v="2"/>
    <x v="0"/>
    <n v="0.48281250000000003"/>
    <s v="Shibor_3M"/>
    <n v="3"/>
    <n v="3.1"/>
    <n v="0"/>
    <d v="2012-08-07T00:00:00"/>
    <d v="2016-08-07T00:00:00"/>
    <x v="81"/>
  </r>
  <r>
    <n v="1045"/>
    <x v="14"/>
    <x v="11"/>
    <x v="0"/>
    <n v="0.48281250000000003"/>
    <s v="Shibor_3M"/>
    <n v="3"/>
    <n v="3.1"/>
    <n v="0"/>
    <d v="2012-08-07T00:00:00"/>
    <d v="2017-08-07T00:00:00"/>
    <x v="81"/>
  </r>
  <r>
    <n v="1046"/>
    <x v="14"/>
    <x v="8"/>
    <x v="0"/>
    <n v="0.48280092592592588"/>
    <s v="Shibor_3M"/>
    <n v="3.45"/>
    <n v="3.55"/>
    <n v="0"/>
    <d v="2012-08-07T00:00:00"/>
    <d v="2013-02-07T00:00:00"/>
    <x v="13"/>
  </r>
  <r>
    <n v="1047"/>
    <x v="14"/>
    <x v="10"/>
    <x v="0"/>
    <n v="0.48281250000000003"/>
    <s v="Shibor_3M"/>
    <n v="2.96"/>
    <n v="3.36"/>
    <n v="0"/>
    <d v="2012-08-07T00:00:00"/>
    <d v="2020-08-07T00:00:00"/>
    <x v="71"/>
  </r>
  <r>
    <n v="1048"/>
    <x v="14"/>
    <x v="0"/>
    <x v="0"/>
    <n v="0.48281250000000003"/>
    <s v="Shibor_3M"/>
    <n v="3"/>
    <n v="3.1"/>
    <n v="0"/>
    <d v="2012-08-07T00:00:00"/>
    <d v="2015-08-07T00:00:00"/>
    <x v="81"/>
  </r>
  <r>
    <n v="1049"/>
    <x v="14"/>
    <x v="3"/>
    <x v="0"/>
    <n v="0.48281250000000003"/>
    <s v="Shibor_3M"/>
    <n v="2.98"/>
    <n v="3.38"/>
    <n v="0"/>
    <d v="2012-08-07T00:00:00"/>
    <d v="2021-08-07T00:00:00"/>
    <x v="49"/>
  </r>
  <r>
    <n v="1050"/>
    <x v="14"/>
    <x v="7"/>
    <x v="0"/>
    <n v="0.48280092592592588"/>
    <s v="Shibor_3M"/>
    <n v="2.95"/>
    <n v="3.35"/>
    <n v="0"/>
    <d v="2012-08-07T00:00:00"/>
    <d v="2019-08-07T00:00:00"/>
    <x v="51"/>
  </r>
  <r>
    <n v="1051"/>
    <x v="14"/>
    <x v="4"/>
    <x v="0"/>
    <n v="0.48280092592592588"/>
    <s v="Shibor_3M"/>
    <n v="3.04"/>
    <n v="3.14"/>
    <n v="0"/>
    <d v="2012-08-07T00:00:00"/>
    <d v="2014-08-07T00:00:00"/>
    <x v="69"/>
  </r>
  <r>
    <n v="1052"/>
    <x v="14"/>
    <x v="1"/>
    <x v="0"/>
    <n v="0.48280092592592588"/>
    <s v="Shibor_3M"/>
    <n v="3.15"/>
    <n v="3.25"/>
    <n v="0"/>
    <d v="2012-08-07T00:00:00"/>
    <d v="2013-08-07T00:00:00"/>
    <x v="57"/>
  </r>
  <r>
    <n v="1053"/>
    <x v="14"/>
    <x v="9"/>
    <x v="0"/>
    <n v="0.48280092592592588"/>
    <s v="Shibor_3M"/>
    <n v="2.97"/>
    <n v="3.17"/>
    <n v="0"/>
    <d v="2012-08-07T00:00:00"/>
    <d v="2018-08-07T00:00:00"/>
    <x v="86"/>
  </r>
  <r>
    <n v="1054"/>
    <x v="14"/>
    <x v="6"/>
    <x v="0"/>
    <n v="0.48280092592592588"/>
    <s v="Shibor_3M"/>
    <n v="2.99"/>
    <n v="3.39"/>
    <n v="0"/>
    <d v="2012-08-07T00:00:00"/>
    <d v="2022-08-07T00:00:00"/>
    <x v="55"/>
  </r>
  <r>
    <n v="1055"/>
    <x v="14"/>
    <x v="5"/>
    <x v="0"/>
    <n v="0.48280092592592588"/>
    <s v="Shibor_3M"/>
    <n v="3.25"/>
    <n v="3.35"/>
    <n v="0"/>
    <d v="2012-08-07T00:00:00"/>
    <d v="2013-05-07T00:00:00"/>
    <x v="23"/>
  </r>
  <r>
    <n v="1056"/>
    <x v="14"/>
    <x v="0"/>
    <x v="7"/>
    <n v="0.50035879629629632"/>
    <s v="Shibor_3M"/>
    <n v="2.93"/>
    <n v="3.01"/>
    <n v="0"/>
    <d v="2012-08-07T00:00:00"/>
    <d v="2015-08-07T00:00:00"/>
    <x v="105"/>
  </r>
  <r>
    <n v="1057"/>
    <x v="14"/>
    <x v="5"/>
    <x v="2"/>
    <n v="0.67423611111111115"/>
    <s v="Shibor_3M"/>
    <n v="3.6"/>
    <n v="3.7"/>
    <n v="0"/>
    <d v="2012-08-07T00:00:00"/>
    <d v="2013-05-07T00:00:00"/>
    <x v="60"/>
  </r>
  <r>
    <n v="1058"/>
    <x v="14"/>
    <x v="7"/>
    <x v="2"/>
    <n v="0.67423611111111115"/>
    <s v="Shibor_3M"/>
    <n v="3"/>
    <n v="3.3"/>
    <n v="0"/>
    <d v="2012-08-07T00:00:00"/>
    <d v="2019-08-07T00:00:00"/>
    <x v="27"/>
  </r>
  <r>
    <n v="1059"/>
    <x v="14"/>
    <x v="3"/>
    <x v="2"/>
    <n v="0.67423611111111115"/>
    <s v="Shibor_3M"/>
    <n v="3"/>
    <n v="3.3"/>
    <n v="0"/>
    <d v="2012-08-07T00:00:00"/>
    <d v="2021-08-07T00:00:00"/>
    <x v="27"/>
  </r>
  <r>
    <n v="1060"/>
    <x v="14"/>
    <x v="1"/>
    <x v="3"/>
    <n v="0.67517361111111107"/>
    <s v="Shibor_3M"/>
    <n v="3.2"/>
    <n v="3.26"/>
    <n v="0"/>
    <d v="2012-08-07T00:00:00"/>
    <d v="2013-08-07T00:00:00"/>
    <x v="40"/>
  </r>
  <r>
    <n v="1061"/>
    <x v="14"/>
    <x v="2"/>
    <x v="3"/>
    <n v="0.67517361111111107"/>
    <s v="Shibor_3M"/>
    <n v="2.95"/>
    <n v="3.05"/>
    <n v="0"/>
    <d v="2012-08-07T00:00:00"/>
    <d v="2016-08-07T00:00:00"/>
    <x v="99"/>
  </r>
  <r>
    <n v="1062"/>
    <x v="14"/>
    <x v="11"/>
    <x v="3"/>
    <n v="0.67517361111111107"/>
    <s v="Shibor_3M"/>
    <n v="3"/>
    <n v="3.05"/>
    <n v="0"/>
    <d v="2012-08-07T00:00:00"/>
    <d v="2017-08-07T00:00:00"/>
    <x v="79"/>
  </r>
  <r>
    <n v="1063"/>
    <x v="14"/>
    <x v="11"/>
    <x v="2"/>
    <n v="0.67423611111111115"/>
    <s v="Shibor_3M"/>
    <n v="3"/>
    <n v="3.1"/>
    <n v="0"/>
    <d v="2012-08-07T00:00:00"/>
    <d v="2017-08-07T00:00:00"/>
    <x v="81"/>
  </r>
  <r>
    <n v="1064"/>
    <x v="14"/>
    <x v="6"/>
    <x v="2"/>
    <n v="0.67422453703703711"/>
    <s v="Shibor_3M"/>
    <n v="3"/>
    <n v="3.3"/>
    <n v="0"/>
    <d v="2012-08-07T00:00:00"/>
    <d v="2022-08-07T00:00:00"/>
    <x v="27"/>
  </r>
  <r>
    <n v="1065"/>
    <x v="14"/>
    <x v="10"/>
    <x v="2"/>
    <n v="0.67422453703703711"/>
    <s v="Shibor_3M"/>
    <n v="3"/>
    <n v="3.3"/>
    <n v="0"/>
    <d v="2012-08-07T00:00:00"/>
    <d v="2020-08-07T00:00:00"/>
    <x v="27"/>
  </r>
  <r>
    <n v="1066"/>
    <x v="14"/>
    <x v="4"/>
    <x v="2"/>
    <n v="0.67423611111111115"/>
    <s v="Shibor_3M"/>
    <n v="3.05"/>
    <n v="3.1"/>
    <n v="0"/>
    <d v="2012-08-07T00:00:00"/>
    <d v="2014-08-07T00:00:00"/>
    <x v="76"/>
  </r>
  <r>
    <n v="1067"/>
    <x v="14"/>
    <x v="0"/>
    <x v="2"/>
    <n v="0.67423611111111115"/>
    <s v="Shibor_3M"/>
    <n v="3"/>
    <n v="3.05"/>
    <n v="0"/>
    <d v="2012-08-07T00:00:00"/>
    <d v="2015-08-07T00:00:00"/>
    <x v="79"/>
  </r>
  <r>
    <n v="1068"/>
    <x v="14"/>
    <x v="2"/>
    <x v="2"/>
    <n v="0.67423611111111115"/>
    <s v="Shibor_3M"/>
    <n v="3"/>
    <n v="3.05"/>
    <n v="0"/>
    <d v="2012-08-07T00:00:00"/>
    <d v="2016-08-07T00:00:00"/>
    <x v="79"/>
  </r>
  <r>
    <n v="1069"/>
    <x v="14"/>
    <x v="6"/>
    <x v="1"/>
    <n v="0.67631944444444436"/>
    <s v="Shibor_3M"/>
    <n v="3.11"/>
    <n v="3.17"/>
    <n v="0"/>
    <d v="2012-08-07T00:00:00"/>
    <d v="2022-08-07T00:00:00"/>
    <x v="58"/>
  </r>
  <r>
    <n v="1070"/>
    <x v="14"/>
    <x v="5"/>
    <x v="1"/>
    <n v="0.67631944444444436"/>
    <s v="Shibor_3M"/>
    <n v="3.28"/>
    <n v="3.34"/>
    <n v="0"/>
    <d v="2012-08-07T00:00:00"/>
    <d v="2013-05-07T00:00:00"/>
    <x v="6"/>
  </r>
  <r>
    <n v="1071"/>
    <x v="14"/>
    <x v="8"/>
    <x v="1"/>
    <n v="0.67630787037037043"/>
    <s v="Shibor_3M"/>
    <n v="3.46"/>
    <n v="3.52"/>
    <n v="0"/>
    <d v="2012-08-07T00:00:00"/>
    <d v="2013-02-07T00:00:00"/>
    <x v="38"/>
  </r>
  <r>
    <n v="1072"/>
    <x v="14"/>
    <x v="0"/>
    <x v="1"/>
    <n v="0.67631944444444436"/>
    <s v="Shibor_3M"/>
    <n v="2.98"/>
    <n v="3.04"/>
    <n v="0"/>
    <d v="2012-08-07T00:00:00"/>
    <d v="2015-08-07T00:00:00"/>
    <x v="97"/>
  </r>
  <r>
    <n v="1073"/>
    <x v="14"/>
    <x v="2"/>
    <x v="1"/>
    <n v="0.67631944444444436"/>
    <s v="Shibor_3M"/>
    <n v="2.97"/>
    <n v="3.03"/>
    <n v="0"/>
    <d v="2012-08-07T00:00:00"/>
    <d v="2016-08-07T00:00:00"/>
    <x v="99"/>
  </r>
  <r>
    <n v="1074"/>
    <x v="14"/>
    <x v="11"/>
    <x v="1"/>
    <n v="0.67631944444444436"/>
    <s v="Shibor_3M"/>
    <n v="3"/>
    <n v="3.06"/>
    <n v="0"/>
    <d v="2012-08-07T00:00:00"/>
    <d v="2017-08-07T00:00:00"/>
    <x v="90"/>
  </r>
  <r>
    <n v="1075"/>
    <x v="14"/>
    <x v="8"/>
    <x v="3"/>
    <n v="0.67517361111111107"/>
    <s v="Shibor_3M"/>
    <n v="3.43"/>
    <n v="3.5"/>
    <n v="0"/>
    <d v="2012-08-07T00:00:00"/>
    <d v="2013-02-07T00:00:00"/>
    <x v="47"/>
  </r>
  <r>
    <n v="1076"/>
    <x v="14"/>
    <x v="4"/>
    <x v="3"/>
    <n v="0.67517361111111107"/>
    <s v="Shibor_3M"/>
    <n v="3.01"/>
    <n v="3.11"/>
    <n v="0"/>
    <d v="2012-08-07T00:00:00"/>
    <d v="2014-08-07T00:00:00"/>
    <x v="95"/>
  </r>
  <r>
    <n v="1077"/>
    <x v="14"/>
    <x v="0"/>
    <x v="3"/>
    <n v="0.67517361111111107"/>
    <s v="Shibor_3M"/>
    <n v="3"/>
    <n v="3.1"/>
    <n v="0"/>
    <d v="2012-08-07T00:00:00"/>
    <d v="2015-08-07T00:00:00"/>
    <x v="81"/>
  </r>
  <r>
    <n v="1078"/>
    <x v="14"/>
    <x v="7"/>
    <x v="1"/>
    <n v="0.67630787037037043"/>
    <s v="Shibor_3M"/>
    <n v="3.06"/>
    <n v="3.12"/>
    <n v="0"/>
    <d v="2012-08-07T00:00:00"/>
    <d v="2019-08-07T00:00:00"/>
    <x v="69"/>
  </r>
  <r>
    <n v="1079"/>
    <x v="14"/>
    <x v="4"/>
    <x v="1"/>
    <n v="0.67630787037037043"/>
    <s v="Shibor_3M"/>
    <n v="3.03"/>
    <n v="3.09"/>
    <n v="0"/>
    <d v="2012-08-07T00:00:00"/>
    <d v="2014-08-07T00:00:00"/>
    <x v="95"/>
  </r>
  <r>
    <n v="1080"/>
    <x v="14"/>
    <x v="1"/>
    <x v="1"/>
    <n v="0.67630787037037043"/>
    <s v="Shibor_3M"/>
    <n v="3.18"/>
    <n v="3.24"/>
    <n v="0"/>
    <d v="2012-08-07T00:00:00"/>
    <d v="2013-08-07T00:00:00"/>
    <x v="88"/>
  </r>
  <r>
    <n v="1081"/>
    <x v="14"/>
    <x v="1"/>
    <x v="8"/>
    <n v="0.51252314814814814"/>
    <s v="Shibor_3M"/>
    <n v="3.28"/>
    <n v="3.33"/>
    <n v="0"/>
    <d v="2012-08-07T00:00:00"/>
    <d v="2013-08-07T00:00:00"/>
    <x v="121"/>
  </r>
  <r>
    <n v="1082"/>
    <x v="14"/>
    <x v="5"/>
    <x v="8"/>
    <n v="0.51252314814814814"/>
    <s v="Shibor_3M"/>
    <n v="3.31"/>
    <n v="3.36"/>
    <n v="0"/>
    <d v="2012-08-07T00:00:00"/>
    <d v="2013-05-07T00:00:00"/>
    <x v="119"/>
  </r>
  <r>
    <n v="1083"/>
    <x v="14"/>
    <x v="8"/>
    <x v="8"/>
    <n v="0.51252314814814814"/>
    <s v="Shibor_3M"/>
    <n v="3.5"/>
    <n v="3.55"/>
    <n v="0"/>
    <d v="2012-08-07T00:00:00"/>
    <d v="2013-02-07T00:00:00"/>
    <x v="115"/>
  </r>
  <r>
    <n v="1084"/>
    <x v="14"/>
    <x v="9"/>
    <x v="0"/>
    <n v="0.66697916666666668"/>
    <s v="Shibor_3M"/>
    <n v="2.97"/>
    <n v="3.17"/>
    <n v="0"/>
    <d v="2012-08-07T00:00:00"/>
    <d v="2018-08-07T00:00:00"/>
    <x v="86"/>
  </r>
  <r>
    <n v="1085"/>
    <x v="14"/>
    <x v="1"/>
    <x v="0"/>
    <n v="0.66697916666666668"/>
    <s v="Shibor_3M"/>
    <n v="3.15"/>
    <n v="3.25"/>
    <n v="0"/>
    <d v="2012-08-07T00:00:00"/>
    <d v="2013-08-07T00:00:00"/>
    <x v="57"/>
  </r>
  <r>
    <n v="1086"/>
    <x v="14"/>
    <x v="8"/>
    <x v="0"/>
    <n v="0.66697916666666668"/>
    <s v="Shibor_3M"/>
    <n v="3.45"/>
    <n v="3.55"/>
    <n v="0"/>
    <d v="2012-08-07T00:00:00"/>
    <d v="2013-02-07T00:00:00"/>
    <x v="13"/>
  </r>
  <r>
    <n v="1087"/>
    <x v="14"/>
    <x v="2"/>
    <x v="8"/>
    <n v="0.51252314814814814"/>
    <s v="Shibor_3M"/>
    <n v="3.05"/>
    <n v="3.1"/>
    <n v="0"/>
    <d v="2012-08-07T00:00:00"/>
    <d v="2016-08-07T00:00:00"/>
    <x v="76"/>
  </r>
  <r>
    <n v="1088"/>
    <x v="14"/>
    <x v="0"/>
    <x v="8"/>
    <n v="0.51252314814814814"/>
    <s v="Shibor_3M"/>
    <n v="3.05"/>
    <n v="3.1"/>
    <n v="0"/>
    <d v="2012-08-07T00:00:00"/>
    <d v="2015-08-07T00:00:00"/>
    <x v="76"/>
  </r>
  <r>
    <n v="1089"/>
    <x v="14"/>
    <x v="4"/>
    <x v="8"/>
    <n v="0.51252314814814814"/>
    <s v="Shibor_3M"/>
    <n v="3.05"/>
    <n v="3.1"/>
    <n v="0"/>
    <d v="2012-08-07T00:00:00"/>
    <d v="2014-08-07T00:00:00"/>
    <x v="76"/>
  </r>
  <r>
    <n v="1090"/>
    <x v="14"/>
    <x v="6"/>
    <x v="8"/>
    <n v="0.51252314814814814"/>
    <s v="Shibor_3M"/>
    <n v="3.2"/>
    <n v="3.3"/>
    <n v="0"/>
    <d v="2012-08-07T00:00:00"/>
    <d v="2022-08-07T00:00:00"/>
    <x v="21"/>
  </r>
  <r>
    <n v="1091"/>
    <x v="14"/>
    <x v="7"/>
    <x v="8"/>
    <n v="0.51252314814814814"/>
    <s v="Shibor_3M"/>
    <n v="3.15"/>
    <n v="3.25"/>
    <n v="0"/>
    <d v="2012-08-07T00:00:00"/>
    <d v="2019-08-07T00:00:00"/>
    <x v="57"/>
  </r>
  <r>
    <n v="1092"/>
    <x v="14"/>
    <x v="11"/>
    <x v="8"/>
    <n v="0.51252314814814814"/>
    <s v="Shibor_3M"/>
    <n v="3.1"/>
    <n v="3.15"/>
    <n v="0"/>
    <d v="2012-08-07T00:00:00"/>
    <d v="2017-08-07T00:00:00"/>
    <x v="80"/>
  </r>
  <r>
    <n v="1093"/>
    <x v="14"/>
    <x v="0"/>
    <x v="0"/>
    <n v="0.66701388888888891"/>
    <s v="Shibor_3M"/>
    <n v="3"/>
    <n v="3.1"/>
    <n v="0"/>
    <d v="2012-08-07T00:00:00"/>
    <d v="2015-08-07T00:00:00"/>
    <x v="81"/>
  </r>
  <r>
    <n v="1094"/>
    <x v="14"/>
    <x v="3"/>
    <x v="0"/>
    <n v="0.66701388888888891"/>
    <s v="Shibor_3M"/>
    <n v="2.98"/>
    <n v="3.38"/>
    <n v="0"/>
    <d v="2012-08-07T00:00:00"/>
    <d v="2021-08-07T00:00:00"/>
    <x v="49"/>
  </r>
  <r>
    <n v="1095"/>
    <x v="14"/>
    <x v="2"/>
    <x v="0"/>
    <n v="0.66701388888888891"/>
    <s v="Shibor_3M"/>
    <n v="3"/>
    <n v="3.1"/>
    <n v="0"/>
    <d v="2012-08-07T00:00:00"/>
    <d v="2016-08-07T00:00:00"/>
    <x v="81"/>
  </r>
  <r>
    <n v="1096"/>
    <x v="14"/>
    <x v="1"/>
    <x v="2"/>
    <n v="0.67422453703703711"/>
    <s v="Shibor_3M"/>
    <n v="3.15"/>
    <n v="3.25"/>
    <n v="0"/>
    <d v="2012-08-07T00:00:00"/>
    <d v="2013-08-07T00:00:00"/>
    <x v="57"/>
  </r>
  <r>
    <n v="1097"/>
    <x v="14"/>
    <x v="8"/>
    <x v="2"/>
    <n v="0.67422453703703711"/>
    <s v="Shibor_3M"/>
    <n v="3.3"/>
    <n v="3.5"/>
    <n v="0"/>
    <d v="2012-08-07T00:00:00"/>
    <d v="2013-02-07T00:00:00"/>
    <x v="32"/>
  </r>
  <r>
    <n v="1098"/>
    <x v="14"/>
    <x v="9"/>
    <x v="2"/>
    <n v="0.67422453703703711"/>
    <s v="Shibor_3M"/>
    <n v="3"/>
    <n v="3.3"/>
    <n v="0"/>
    <d v="2012-08-07T00:00:00"/>
    <d v="2018-08-07T00:00:00"/>
    <x v="27"/>
  </r>
  <r>
    <n v="1099"/>
    <x v="14"/>
    <x v="5"/>
    <x v="0"/>
    <n v="0.66700231481481476"/>
    <s v="Shibor_3M"/>
    <n v="3.25"/>
    <n v="3.35"/>
    <n v="0"/>
    <d v="2012-08-07T00:00:00"/>
    <d v="2013-05-07T00:00:00"/>
    <x v="23"/>
  </r>
  <r>
    <n v="1100"/>
    <x v="14"/>
    <x v="7"/>
    <x v="0"/>
    <n v="0.66699074074074083"/>
    <s v="Shibor_3M"/>
    <n v="2.95"/>
    <n v="3.35"/>
    <n v="0"/>
    <d v="2012-08-07T00:00:00"/>
    <d v="2019-08-07T00:00:00"/>
    <x v="51"/>
  </r>
  <r>
    <n v="1101"/>
    <x v="14"/>
    <x v="4"/>
    <x v="0"/>
    <n v="0.66699074074074083"/>
    <s v="Shibor_3M"/>
    <n v="3.04"/>
    <n v="3.14"/>
    <n v="0"/>
    <d v="2012-08-07T00:00:00"/>
    <d v="2014-08-07T00:00:00"/>
    <x v="69"/>
  </r>
  <r>
    <n v="1102"/>
    <x v="14"/>
    <x v="11"/>
    <x v="0"/>
    <n v="0.66700231481481476"/>
    <s v="Shibor_3M"/>
    <n v="3"/>
    <n v="3.1"/>
    <n v="0"/>
    <d v="2012-08-07T00:00:00"/>
    <d v="2017-08-07T00:00:00"/>
    <x v="81"/>
  </r>
  <r>
    <n v="1103"/>
    <x v="14"/>
    <x v="10"/>
    <x v="0"/>
    <n v="0.66700231481481476"/>
    <s v="Shibor_3M"/>
    <n v="2.96"/>
    <n v="3.36"/>
    <n v="0"/>
    <d v="2012-08-07T00:00:00"/>
    <d v="2020-08-07T00:00:00"/>
    <x v="71"/>
  </r>
  <r>
    <n v="1104"/>
    <x v="14"/>
    <x v="6"/>
    <x v="0"/>
    <n v="0.66700231481481476"/>
    <s v="Shibor_3M"/>
    <n v="2.99"/>
    <n v="3.39"/>
    <n v="0"/>
    <d v="2012-08-07T00:00:00"/>
    <d v="2022-08-07T00:00:00"/>
    <x v="55"/>
  </r>
  <r>
    <n v="1105"/>
    <x v="15"/>
    <x v="11"/>
    <x v="3"/>
    <n v="0.48924768518518519"/>
    <s v="Shibor_3M"/>
    <n v="2.98"/>
    <n v="3.03"/>
    <n v="0"/>
    <d v="2012-08-04T00:00:00"/>
    <d v="2017-08-04T00:00:00"/>
    <x v="113"/>
  </r>
  <r>
    <n v="1106"/>
    <x v="15"/>
    <x v="0"/>
    <x v="0"/>
    <n v="0.48056712962962966"/>
    <s v="Shibor_3M"/>
    <n v="2.9"/>
    <n v="3"/>
    <n v="0"/>
    <d v="2012-08-04T00:00:00"/>
    <d v="2015-08-04T00:00:00"/>
    <x v="122"/>
  </r>
  <r>
    <n v="1107"/>
    <x v="15"/>
    <x v="0"/>
    <x v="3"/>
    <n v="0.48925925925925928"/>
    <s v="Shibor_3M"/>
    <n v="2.93"/>
    <n v="3.01"/>
    <n v="0"/>
    <d v="2012-08-04T00:00:00"/>
    <d v="2015-08-04T00:00:00"/>
    <x v="105"/>
  </r>
  <r>
    <n v="1108"/>
    <x v="15"/>
    <x v="8"/>
    <x v="3"/>
    <n v="0.48925925925925928"/>
    <s v="Shibor_3M"/>
    <n v="3.45"/>
    <n v="3.55"/>
    <n v="0"/>
    <d v="2012-08-04T00:00:00"/>
    <d v="2013-02-04T00:00:00"/>
    <x v="13"/>
  </r>
  <r>
    <n v="1109"/>
    <x v="15"/>
    <x v="8"/>
    <x v="0"/>
    <n v="0.48055555555555557"/>
    <s v="Shibor_3M"/>
    <n v="3.45"/>
    <n v="3.55"/>
    <n v="0"/>
    <d v="2012-08-04T00:00:00"/>
    <d v="2013-02-04T00:00:00"/>
    <x v="13"/>
  </r>
  <r>
    <n v="1110"/>
    <x v="15"/>
    <x v="9"/>
    <x v="0"/>
    <n v="0.48055555555555557"/>
    <s v="Shibor_3M"/>
    <n v="2.9"/>
    <n v="3.1"/>
    <n v="0"/>
    <d v="2012-08-04T00:00:00"/>
    <d v="2018-08-04T00:00:00"/>
    <x v="99"/>
  </r>
  <r>
    <n v="1111"/>
    <x v="15"/>
    <x v="4"/>
    <x v="0"/>
    <n v="0.48055555555555557"/>
    <s v="Shibor_3M"/>
    <n v="2.95"/>
    <n v="3.05"/>
    <n v="0"/>
    <d v="2012-08-04T00:00:00"/>
    <d v="2014-08-04T00:00:00"/>
    <x v="99"/>
  </r>
  <r>
    <n v="1112"/>
    <x v="15"/>
    <x v="1"/>
    <x v="0"/>
    <n v="0.48055555555555557"/>
    <s v="Shibor_3M"/>
    <n v="3.12"/>
    <n v="3.22"/>
    <n v="0"/>
    <d v="2012-08-04T00:00:00"/>
    <d v="2013-08-04T00:00:00"/>
    <x v="56"/>
  </r>
  <r>
    <n v="1113"/>
    <x v="15"/>
    <x v="6"/>
    <x v="1"/>
    <n v="0.67030092592592594"/>
    <s v="Shibor_3M"/>
    <n v="3.07"/>
    <n v="3.13"/>
    <n v="0"/>
    <d v="2012-08-04T00:00:00"/>
    <d v="2022-08-04T00:00:00"/>
    <x v="64"/>
  </r>
  <r>
    <n v="1114"/>
    <x v="15"/>
    <x v="5"/>
    <x v="1"/>
    <n v="0.67030092592592594"/>
    <s v="Shibor_3M"/>
    <n v="3.28"/>
    <n v="3.34"/>
    <n v="0"/>
    <d v="2012-08-04T00:00:00"/>
    <d v="2013-05-04T00:00:00"/>
    <x v="6"/>
  </r>
  <r>
    <n v="1115"/>
    <x v="15"/>
    <x v="2"/>
    <x v="1"/>
    <n v="0.67030092592592594"/>
    <s v="Shibor_3M"/>
    <n v="2.94"/>
    <n v="3"/>
    <n v="0"/>
    <d v="2012-08-04T00:00:00"/>
    <d v="2016-08-04T00:00:00"/>
    <x v="105"/>
  </r>
  <r>
    <n v="1116"/>
    <x v="15"/>
    <x v="11"/>
    <x v="1"/>
    <n v="0.67030092592592594"/>
    <s v="Shibor_3M"/>
    <n v="2.95"/>
    <n v="3.01"/>
    <n v="0"/>
    <d v="2012-08-04T00:00:00"/>
    <d v="2017-08-04T00:00:00"/>
    <x v="123"/>
  </r>
  <r>
    <n v="1117"/>
    <x v="15"/>
    <x v="2"/>
    <x v="3"/>
    <n v="0.48925925925925928"/>
    <s v="Shibor_3M"/>
    <n v="2.91"/>
    <n v="3.01"/>
    <n v="0"/>
    <d v="2012-08-04T00:00:00"/>
    <d v="2016-08-04T00:00:00"/>
    <x v="117"/>
  </r>
  <r>
    <n v="1118"/>
    <x v="15"/>
    <x v="5"/>
    <x v="3"/>
    <n v="0.48925925925925928"/>
    <s v="Shibor_3M"/>
    <n v="3.25"/>
    <n v="3.35"/>
    <n v="0"/>
    <d v="2012-08-04T00:00:00"/>
    <d v="2013-05-04T00:00:00"/>
    <x v="23"/>
  </r>
  <r>
    <n v="1119"/>
    <x v="15"/>
    <x v="7"/>
    <x v="1"/>
    <n v="0.67030092592592594"/>
    <s v="Shibor_3M"/>
    <n v="3.02"/>
    <n v="3.08"/>
    <n v="0"/>
    <d v="2012-08-04T00:00:00"/>
    <d v="2019-08-04T00:00:00"/>
    <x v="81"/>
  </r>
  <r>
    <n v="1120"/>
    <x v="15"/>
    <x v="4"/>
    <x v="3"/>
    <n v="0.48925925925925928"/>
    <s v="Shibor_3M"/>
    <n v="2.96"/>
    <n v="3.06"/>
    <n v="0"/>
    <d v="2012-08-04T00:00:00"/>
    <d v="2014-08-04T00:00:00"/>
    <x v="97"/>
  </r>
  <r>
    <n v="1121"/>
    <x v="15"/>
    <x v="4"/>
    <x v="1"/>
    <n v="0.47940972222222222"/>
    <s v="Shibor_3M"/>
    <n v="2.99"/>
    <n v="3.05"/>
    <n v="0"/>
    <d v="2012-08-04T00:00:00"/>
    <d v="2014-08-04T00:00:00"/>
    <x v="116"/>
  </r>
  <r>
    <n v="1122"/>
    <x v="15"/>
    <x v="1"/>
    <x v="1"/>
    <n v="0.47940972222222222"/>
    <s v="Shibor_3M"/>
    <n v="3.16"/>
    <n v="3.22"/>
    <n v="0"/>
    <d v="2012-08-04T00:00:00"/>
    <d v="2013-08-04T00:00:00"/>
    <x v="55"/>
  </r>
  <r>
    <n v="1123"/>
    <x v="15"/>
    <x v="5"/>
    <x v="1"/>
    <n v="0.47940972222222222"/>
    <s v="Shibor_3M"/>
    <n v="3.29"/>
    <n v="3.35"/>
    <n v="0"/>
    <d v="2012-08-04T00:00:00"/>
    <d v="2013-05-04T00:00:00"/>
    <x v="24"/>
  </r>
  <r>
    <n v="1124"/>
    <x v="15"/>
    <x v="7"/>
    <x v="1"/>
    <n v="0.47940972222222222"/>
    <s v="Shibor_3M"/>
    <n v="3.03"/>
    <n v="3.09"/>
    <n v="0"/>
    <d v="2012-08-04T00:00:00"/>
    <d v="2019-08-04T00:00:00"/>
    <x v="95"/>
  </r>
  <r>
    <n v="1125"/>
    <x v="15"/>
    <x v="11"/>
    <x v="1"/>
    <n v="0.47940972222222222"/>
    <s v="Shibor_3M"/>
    <n v="2.95"/>
    <n v="3.01"/>
    <n v="0"/>
    <d v="2012-08-04T00:00:00"/>
    <d v="2017-08-04T00:00:00"/>
    <x v="123"/>
  </r>
  <r>
    <n v="1126"/>
    <x v="15"/>
    <x v="8"/>
    <x v="1"/>
    <n v="0.47939814814814818"/>
    <s v="Shibor_3M"/>
    <n v="3.49"/>
    <n v="3.55"/>
    <n v="0"/>
    <d v="2012-08-04T00:00:00"/>
    <d v="2013-02-04T00:00:00"/>
    <x v="8"/>
  </r>
  <r>
    <n v="1127"/>
    <x v="15"/>
    <x v="0"/>
    <x v="1"/>
    <n v="0.47940972222222222"/>
    <s v="Shibor_3M"/>
    <n v="2.94"/>
    <n v="3"/>
    <n v="0"/>
    <d v="2012-08-04T00:00:00"/>
    <d v="2015-08-04T00:00:00"/>
    <x v="105"/>
  </r>
  <r>
    <n v="1128"/>
    <x v="15"/>
    <x v="2"/>
    <x v="1"/>
    <n v="0.47940972222222222"/>
    <s v="Shibor_3M"/>
    <n v="2.94"/>
    <n v="3"/>
    <n v="0"/>
    <d v="2012-08-04T00:00:00"/>
    <d v="2016-08-04T00:00:00"/>
    <x v="105"/>
  </r>
  <r>
    <n v="1129"/>
    <x v="15"/>
    <x v="11"/>
    <x v="0"/>
    <n v="0.48055555555555557"/>
    <s v="Shibor_3M"/>
    <n v="2.92"/>
    <n v="3.02"/>
    <n v="0"/>
    <d v="2012-08-04T00:00:00"/>
    <d v="2017-08-04T00:00:00"/>
    <x v="105"/>
  </r>
  <r>
    <n v="1130"/>
    <x v="15"/>
    <x v="10"/>
    <x v="0"/>
    <n v="0.48055555555555557"/>
    <s v="Shibor_3M"/>
    <n v="2.88"/>
    <n v="3.28"/>
    <n v="0"/>
    <d v="2012-08-04T00:00:00"/>
    <d v="2020-08-04T00:00:00"/>
    <x v="70"/>
  </r>
  <r>
    <n v="1131"/>
    <x v="15"/>
    <x v="3"/>
    <x v="0"/>
    <n v="0.48055555555555557"/>
    <s v="Shibor_3M"/>
    <n v="2.9"/>
    <n v="3.3"/>
    <n v="0"/>
    <d v="2012-08-04T00:00:00"/>
    <d v="2021-08-04T00:00:00"/>
    <x v="64"/>
  </r>
  <r>
    <n v="1132"/>
    <x v="15"/>
    <x v="2"/>
    <x v="0"/>
    <n v="0.48055555555555557"/>
    <s v="Shibor_3M"/>
    <n v="2.9"/>
    <n v="3"/>
    <n v="0"/>
    <d v="2012-08-04T00:00:00"/>
    <d v="2016-08-04T00:00:00"/>
    <x v="122"/>
  </r>
  <r>
    <n v="1133"/>
    <x v="15"/>
    <x v="7"/>
    <x v="0"/>
    <n v="0.48055555555555557"/>
    <s v="Shibor_3M"/>
    <n v="2.87"/>
    <n v="3.27"/>
    <n v="0"/>
    <d v="2012-08-04T00:00:00"/>
    <d v="2019-08-04T00:00:00"/>
    <x v="86"/>
  </r>
  <r>
    <n v="1134"/>
    <x v="15"/>
    <x v="6"/>
    <x v="1"/>
    <n v="0.47940972222222222"/>
    <s v="Shibor_3M"/>
    <n v="3.08"/>
    <n v="3.14"/>
    <n v="0"/>
    <d v="2012-08-04T00:00:00"/>
    <d v="2022-08-04T00:00:00"/>
    <x v="50"/>
  </r>
  <r>
    <n v="1135"/>
    <x v="15"/>
    <x v="6"/>
    <x v="0"/>
    <n v="0.48055555555555557"/>
    <s v="Shibor_3M"/>
    <n v="2.91"/>
    <n v="3.31"/>
    <n v="0"/>
    <d v="2012-08-04T00:00:00"/>
    <d v="2022-08-04T00:00:00"/>
    <x v="50"/>
  </r>
  <r>
    <n v="1136"/>
    <x v="15"/>
    <x v="5"/>
    <x v="0"/>
    <n v="0.48055555555555557"/>
    <s v="Shibor_3M"/>
    <n v="3.24"/>
    <n v="3.34"/>
    <n v="0"/>
    <d v="2012-08-04T00:00:00"/>
    <d v="2013-05-04T00:00:00"/>
    <x v="3"/>
  </r>
  <r>
    <n v="1137"/>
    <x v="15"/>
    <x v="0"/>
    <x v="0"/>
    <n v="0.6764930555555555"/>
    <s v="Shibor_3M"/>
    <n v="2.9"/>
    <n v="3"/>
    <n v="0"/>
    <d v="2012-08-04T00:00:00"/>
    <d v="2015-08-04T00:00:00"/>
    <x v="122"/>
  </r>
  <r>
    <n v="1138"/>
    <x v="15"/>
    <x v="3"/>
    <x v="0"/>
    <n v="0.6764930555555555"/>
    <s v="Shibor_3M"/>
    <n v="2.9"/>
    <n v="3.3"/>
    <n v="0"/>
    <d v="2012-08-04T00:00:00"/>
    <d v="2021-08-04T00:00:00"/>
    <x v="64"/>
  </r>
  <r>
    <n v="1139"/>
    <x v="15"/>
    <x v="4"/>
    <x v="0"/>
    <n v="0.6764930555555555"/>
    <s v="Shibor_3M"/>
    <n v="2.95"/>
    <n v="3.05"/>
    <n v="0"/>
    <d v="2012-08-04T00:00:00"/>
    <d v="2014-08-04T00:00:00"/>
    <x v="99"/>
  </r>
  <r>
    <n v="1140"/>
    <x v="15"/>
    <x v="1"/>
    <x v="0"/>
    <n v="0.6764930555555555"/>
    <s v="Shibor_3M"/>
    <n v="3.12"/>
    <n v="3.22"/>
    <n v="0"/>
    <d v="2012-08-04T00:00:00"/>
    <d v="2013-08-04T00:00:00"/>
    <x v="56"/>
  </r>
  <r>
    <n v="1141"/>
    <x v="15"/>
    <x v="10"/>
    <x v="0"/>
    <n v="0.6764930555555555"/>
    <s v="Shibor_3M"/>
    <n v="2.88"/>
    <n v="3.28"/>
    <n v="0"/>
    <d v="2012-08-04T00:00:00"/>
    <d v="2020-08-04T00:00:00"/>
    <x v="70"/>
  </r>
  <r>
    <n v="1142"/>
    <x v="15"/>
    <x v="6"/>
    <x v="0"/>
    <n v="0.6764930555555555"/>
    <s v="Shibor_3M"/>
    <n v="2.91"/>
    <n v="3.31"/>
    <n v="0"/>
    <d v="2012-08-04T00:00:00"/>
    <d v="2022-08-04T00:00:00"/>
    <x v="50"/>
  </r>
  <r>
    <n v="1143"/>
    <x v="15"/>
    <x v="2"/>
    <x v="0"/>
    <n v="0.6764930555555555"/>
    <s v="Shibor_3M"/>
    <n v="2.9"/>
    <n v="3"/>
    <n v="0"/>
    <d v="2012-08-04T00:00:00"/>
    <d v="2016-08-04T00:00:00"/>
    <x v="122"/>
  </r>
  <r>
    <n v="1144"/>
    <x v="15"/>
    <x v="11"/>
    <x v="0"/>
    <n v="0.6764930555555555"/>
    <s v="Shibor_3M"/>
    <n v="2.92"/>
    <n v="3.02"/>
    <n v="0"/>
    <d v="2012-08-04T00:00:00"/>
    <d v="2017-08-04T00:00:00"/>
    <x v="105"/>
  </r>
  <r>
    <n v="1145"/>
    <x v="15"/>
    <x v="8"/>
    <x v="3"/>
    <n v="0.68274305555555559"/>
    <s v="Shibor_3M"/>
    <n v="3.42"/>
    <n v="3.52"/>
    <n v="0"/>
    <d v="2012-08-04T00:00:00"/>
    <d v="2013-02-04T00:00:00"/>
    <x v="4"/>
  </r>
  <r>
    <n v="1146"/>
    <x v="15"/>
    <x v="1"/>
    <x v="3"/>
    <n v="0.68273148148148144"/>
    <s v="Shibor_3M"/>
    <n v="3.1"/>
    <n v="3.2"/>
    <n v="0"/>
    <d v="2012-08-04T00:00:00"/>
    <d v="2013-08-04T00:00:00"/>
    <x v="51"/>
  </r>
  <r>
    <n v="1147"/>
    <x v="15"/>
    <x v="4"/>
    <x v="3"/>
    <n v="0.68274305555555559"/>
    <s v="Shibor_3M"/>
    <n v="2.97"/>
    <n v="3.05"/>
    <n v="0"/>
    <d v="2012-08-04T00:00:00"/>
    <d v="2014-08-04T00:00:00"/>
    <x v="97"/>
  </r>
  <r>
    <n v="1148"/>
    <x v="15"/>
    <x v="0"/>
    <x v="3"/>
    <n v="0.68274305555555559"/>
    <s v="Shibor_3M"/>
    <n v="2.92"/>
    <n v="3.02"/>
    <n v="0"/>
    <d v="2012-08-04T00:00:00"/>
    <d v="2015-08-04T00:00:00"/>
    <x v="105"/>
  </r>
  <r>
    <n v="1149"/>
    <x v="15"/>
    <x v="11"/>
    <x v="3"/>
    <n v="0.68273148148148144"/>
    <s v="Shibor_3M"/>
    <n v="2.96"/>
    <n v="3.01"/>
    <n v="0"/>
    <d v="2012-08-04T00:00:00"/>
    <d v="2017-08-04T00:00:00"/>
    <x v="103"/>
  </r>
  <r>
    <n v="1150"/>
    <x v="15"/>
    <x v="7"/>
    <x v="0"/>
    <n v="0.6764930555555555"/>
    <s v="Shibor_3M"/>
    <n v="2.87"/>
    <n v="3.27"/>
    <n v="0"/>
    <d v="2012-08-04T00:00:00"/>
    <d v="2019-08-04T00:00:00"/>
    <x v="86"/>
  </r>
  <r>
    <n v="1151"/>
    <x v="15"/>
    <x v="2"/>
    <x v="3"/>
    <n v="0.68273148148148144"/>
    <s v="Shibor_3M"/>
    <n v="2.91"/>
    <n v="3.01"/>
    <n v="0"/>
    <d v="2012-08-04T00:00:00"/>
    <d v="2016-08-04T00:00:00"/>
    <x v="117"/>
  </r>
  <r>
    <n v="1152"/>
    <x v="15"/>
    <x v="5"/>
    <x v="3"/>
    <n v="0.68273148148148144"/>
    <s v="Shibor_3M"/>
    <n v="3.23"/>
    <n v="3.33"/>
    <n v="0"/>
    <d v="2012-08-04T00:00:00"/>
    <d v="2013-05-04T00:00:00"/>
    <x v="9"/>
  </r>
  <r>
    <n v="1153"/>
    <x v="15"/>
    <x v="1"/>
    <x v="2"/>
    <n v="0.67509259259259258"/>
    <s v="Shibor_3M"/>
    <n v="3.12"/>
    <n v="3.17"/>
    <n v="0"/>
    <d v="2012-08-04T00:00:00"/>
    <d v="2013-08-04T00:00:00"/>
    <x v="92"/>
  </r>
  <r>
    <n v="1154"/>
    <x v="15"/>
    <x v="8"/>
    <x v="2"/>
    <n v="0.67508101851851843"/>
    <s v="Shibor_3M"/>
    <n v="3.45"/>
    <n v="3.5"/>
    <n v="0"/>
    <d v="2012-08-04T00:00:00"/>
    <d v="2013-02-04T00:00:00"/>
    <x v="108"/>
  </r>
  <r>
    <n v="1155"/>
    <x v="15"/>
    <x v="4"/>
    <x v="2"/>
    <n v="0.67509259259259258"/>
    <s v="Shibor_3M"/>
    <n v="2.95"/>
    <n v="3.05"/>
    <n v="0"/>
    <d v="2012-08-04T00:00:00"/>
    <d v="2014-08-04T00:00:00"/>
    <x v="99"/>
  </r>
  <r>
    <n v="1156"/>
    <x v="15"/>
    <x v="6"/>
    <x v="2"/>
    <n v="0.67509259259259258"/>
    <s v="Shibor_3M"/>
    <n v="2.95"/>
    <n v="3.02"/>
    <n v="0"/>
    <d v="2012-08-04T00:00:00"/>
    <d v="2022-08-04T00:00:00"/>
    <x v="124"/>
  </r>
  <r>
    <n v="1157"/>
    <x v="15"/>
    <x v="1"/>
    <x v="1"/>
    <n v="0.67030092592592594"/>
    <s v="Shibor_3M"/>
    <n v="3.15"/>
    <n v="3.21"/>
    <n v="0"/>
    <d v="2012-08-04T00:00:00"/>
    <d v="2013-08-04T00:00:00"/>
    <x v="49"/>
  </r>
  <r>
    <n v="1158"/>
    <x v="15"/>
    <x v="8"/>
    <x v="1"/>
    <n v="0.67030092592592594"/>
    <s v="Shibor_3M"/>
    <n v="3.48"/>
    <n v="3.54"/>
    <n v="0"/>
    <d v="2012-08-04T00:00:00"/>
    <d v="2013-02-04T00:00:00"/>
    <x v="44"/>
  </r>
  <r>
    <n v="1159"/>
    <x v="15"/>
    <x v="0"/>
    <x v="1"/>
    <n v="0.67031249999999998"/>
    <s v="Shibor_3M"/>
    <n v="2.94"/>
    <n v="3"/>
    <n v="0"/>
    <d v="2012-08-04T00:00:00"/>
    <d v="2015-08-04T00:00:00"/>
    <x v="105"/>
  </r>
  <r>
    <n v="1160"/>
    <x v="15"/>
    <x v="4"/>
    <x v="1"/>
    <n v="0.67030092592592594"/>
    <s v="Shibor_3M"/>
    <n v="2.99"/>
    <n v="3.05"/>
    <n v="0"/>
    <d v="2012-08-04T00:00:00"/>
    <d v="2014-08-04T00:00:00"/>
    <x v="116"/>
  </r>
  <r>
    <n v="1161"/>
    <x v="15"/>
    <x v="9"/>
    <x v="0"/>
    <n v="0.67648148148148157"/>
    <s v="Shibor_3M"/>
    <n v="2.9"/>
    <n v="3.1"/>
    <n v="0"/>
    <d v="2012-08-04T00:00:00"/>
    <d v="2018-08-04T00:00:00"/>
    <x v="99"/>
  </r>
  <r>
    <n v="1162"/>
    <x v="15"/>
    <x v="2"/>
    <x v="2"/>
    <n v="0.67510416666666673"/>
    <s v="Shibor_3M"/>
    <n v="2.95"/>
    <n v="3.02"/>
    <n v="0"/>
    <d v="2012-08-04T00:00:00"/>
    <d v="2016-08-04T00:00:00"/>
    <x v="124"/>
  </r>
  <r>
    <n v="1163"/>
    <x v="15"/>
    <x v="5"/>
    <x v="0"/>
    <n v="0.6764930555555555"/>
    <s v="Shibor_3M"/>
    <n v="3.24"/>
    <n v="3.34"/>
    <n v="0"/>
    <d v="2012-08-04T00:00:00"/>
    <d v="2013-05-04T00:00:00"/>
    <x v="3"/>
  </r>
  <r>
    <n v="1164"/>
    <x v="15"/>
    <x v="8"/>
    <x v="0"/>
    <n v="0.67648148148148157"/>
    <s v="Shibor_3M"/>
    <n v="3.45"/>
    <n v="3.55"/>
    <n v="0"/>
    <d v="2012-08-04T00:00:00"/>
    <d v="2013-02-04T00:00:00"/>
    <x v="13"/>
  </r>
  <r>
    <n v="1165"/>
    <x v="15"/>
    <x v="0"/>
    <x v="2"/>
    <n v="0.67510416666666673"/>
    <s v="Shibor_3M"/>
    <n v="2.95"/>
    <n v="3.02"/>
    <n v="0"/>
    <d v="2012-08-04T00:00:00"/>
    <d v="2015-08-04T00:00:00"/>
    <x v="124"/>
  </r>
  <r>
    <n v="1166"/>
    <x v="15"/>
    <x v="7"/>
    <x v="2"/>
    <n v="0.67509259259259258"/>
    <s v="Shibor_3M"/>
    <n v="2.95"/>
    <n v="3.02"/>
    <n v="0"/>
    <d v="2012-08-04T00:00:00"/>
    <d v="2019-08-04T00:00:00"/>
    <x v="124"/>
  </r>
  <r>
    <n v="1167"/>
    <x v="15"/>
    <x v="11"/>
    <x v="2"/>
    <n v="0.67510416666666673"/>
    <s v="Shibor_3M"/>
    <n v="2.95"/>
    <n v="3.02"/>
    <n v="0"/>
    <d v="2012-08-04T00:00:00"/>
    <d v="2017-08-04T00:00:00"/>
    <x v="124"/>
  </r>
  <r>
    <n v="1168"/>
    <x v="15"/>
    <x v="5"/>
    <x v="2"/>
    <n v="0.67510416666666673"/>
    <s v="Shibor_3M"/>
    <n v="3.2"/>
    <n v="3.28"/>
    <n v="0"/>
    <d v="2012-08-04T00:00:00"/>
    <d v="2013-05-04T00:00:00"/>
    <x v="10"/>
  </r>
  <r>
    <n v="1169"/>
    <x v="16"/>
    <x v="1"/>
    <x v="3"/>
    <n v="0.48621527777777779"/>
    <s v="Shibor_3M"/>
    <n v="3.14"/>
    <n v="3.24"/>
    <n v="0"/>
    <d v="2012-08-03T00:00:00"/>
    <d v="2013-08-03T00:00:00"/>
    <x v="55"/>
  </r>
  <r>
    <n v="1170"/>
    <x v="16"/>
    <x v="0"/>
    <x v="2"/>
    <n v="0.4854282407407407"/>
    <s v="Shibor_3M"/>
    <n v="2.95"/>
    <n v="3.02"/>
    <n v="0"/>
    <d v="2012-08-03T00:00:00"/>
    <d v="2015-08-03T00:00:00"/>
    <x v="124"/>
  </r>
  <r>
    <n v="1171"/>
    <x v="16"/>
    <x v="5"/>
    <x v="3"/>
    <n v="0.48621527777777779"/>
    <s v="Shibor_3M"/>
    <n v="3.29"/>
    <n v="3.36"/>
    <n v="0"/>
    <d v="2012-08-03T00:00:00"/>
    <d v="2013-05-03T00:00:00"/>
    <x v="39"/>
  </r>
  <r>
    <n v="1172"/>
    <x v="16"/>
    <x v="11"/>
    <x v="3"/>
    <n v="0.48621527777777779"/>
    <s v="Shibor_3M"/>
    <n v="2.93"/>
    <n v="3.03"/>
    <n v="0"/>
    <d v="2012-08-03T00:00:00"/>
    <d v="2017-08-03T00:00:00"/>
    <x v="123"/>
  </r>
  <r>
    <n v="1173"/>
    <x v="16"/>
    <x v="6"/>
    <x v="2"/>
    <n v="0.48541666666666666"/>
    <s v="Shibor_3M"/>
    <n v="2.95"/>
    <n v="3.02"/>
    <n v="0"/>
    <d v="2012-08-03T00:00:00"/>
    <d v="2022-08-03T00:00:00"/>
    <x v="124"/>
  </r>
  <r>
    <n v="1174"/>
    <x v="16"/>
    <x v="1"/>
    <x v="2"/>
    <n v="0.48541666666666666"/>
    <s v="Shibor_3M"/>
    <n v="3.12"/>
    <n v="3.17"/>
    <n v="0"/>
    <d v="2012-08-03T00:00:00"/>
    <d v="2013-08-03T00:00:00"/>
    <x v="92"/>
  </r>
  <r>
    <n v="1175"/>
    <x v="16"/>
    <x v="7"/>
    <x v="2"/>
    <n v="0.48541666666666666"/>
    <s v="Shibor_3M"/>
    <n v="2.95"/>
    <n v="3.02"/>
    <n v="0"/>
    <d v="2012-08-03T00:00:00"/>
    <d v="2019-08-03T00:00:00"/>
    <x v="124"/>
  </r>
  <r>
    <n v="1176"/>
    <x v="16"/>
    <x v="4"/>
    <x v="2"/>
    <n v="0.48541666666666666"/>
    <s v="Shibor_3M"/>
    <n v="2.95"/>
    <n v="3.05"/>
    <n v="0"/>
    <d v="2012-08-03T00:00:00"/>
    <d v="2014-08-03T00:00:00"/>
    <x v="99"/>
  </r>
  <r>
    <n v="1177"/>
    <x v="16"/>
    <x v="4"/>
    <x v="1"/>
    <n v="0.49304398148148149"/>
    <s v="Shibor_3M"/>
    <n v="2.99"/>
    <n v="3.05"/>
    <n v="0"/>
    <d v="2012-08-03T00:00:00"/>
    <d v="2014-08-03T00:00:00"/>
    <x v="116"/>
  </r>
  <r>
    <n v="1178"/>
    <x v="16"/>
    <x v="1"/>
    <x v="1"/>
    <n v="0.49304398148148149"/>
    <s v="Shibor_3M"/>
    <n v="3.16"/>
    <n v="3.22"/>
    <n v="0"/>
    <d v="2012-08-03T00:00:00"/>
    <d v="2013-08-03T00:00:00"/>
    <x v="55"/>
  </r>
  <r>
    <n v="1179"/>
    <x v="16"/>
    <x v="5"/>
    <x v="1"/>
    <n v="0.49304398148148149"/>
    <s v="Shibor_3M"/>
    <n v="3.29"/>
    <n v="3.35"/>
    <n v="0"/>
    <d v="2012-08-03T00:00:00"/>
    <d v="2013-05-03T00:00:00"/>
    <x v="24"/>
  </r>
  <r>
    <n v="1180"/>
    <x v="16"/>
    <x v="7"/>
    <x v="1"/>
    <n v="0.49304398148148149"/>
    <s v="Shibor_3M"/>
    <n v="3.02"/>
    <n v="3.08"/>
    <n v="0"/>
    <d v="2012-08-03T00:00:00"/>
    <d v="2019-08-03T00:00:00"/>
    <x v="81"/>
  </r>
  <r>
    <n v="1181"/>
    <x v="16"/>
    <x v="4"/>
    <x v="3"/>
    <n v="0.48622685185185183"/>
    <s v="Shibor_3M"/>
    <n v="2.99"/>
    <n v="3.05"/>
    <n v="0"/>
    <d v="2012-08-03T00:00:00"/>
    <d v="2014-08-03T00:00:00"/>
    <x v="116"/>
  </r>
  <r>
    <n v="1182"/>
    <x v="16"/>
    <x v="2"/>
    <x v="3"/>
    <n v="0.48621527777777779"/>
    <s v="Shibor_3M"/>
    <n v="2.91"/>
    <n v="3.01"/>
    <n v="0"/>
    <d v="2012-08-03T00:00:00"/>
    <d v="2016-08-03T00:00:00"/>
    <x v="117"/>
  </r>
  <r>
    <n v="1183"/>
    <x v="16"/>
    <x v="0"/>
    <x v="3"/>
    <n v="0.48622685185185183"/>
    <s v="Shibor_3M"/>
    <n v="2.91"/>
    <n v="3.01"/>
    <n v="0"/>
    <d v="2012-08-03T00:00:00"/>
    <d v="2015-08-03T00:00:00"/>
    <x v="117"/>
  </r>
  <r>
    <n v="1184"/>
    <x v="16"/>
    <x v="8"/>
    <x v="3"/>
    <n v="0.48622685185185183"/>
    <s v="Shibor_3M"/>
    <n v="3.47"/>
    <n v="3.57"/>
    <n v="0"/>
    <d v="2012-08-03T00:00:00"/>
    <d v="2013-02-03T00:00:00"/>
    <x v="8"/>
  </r>
  <r>
    <n v="1185"/>
    <x v="16"/>
    <x v="5"/>
    <x v="0"/>
    <n v="0.48168981481481482"/>
    <s v="Shibor_3M"/>
    <n v="3.24"/>
    <n v="3.34"/>
    <n v="0"/>
    <d v="2012-08-03T00:00:00"/>
    <d v="2013-05-03T00:00:00"/>
    <x v="3"/>
  </r>
  <r>
    <n v="1186"/>
    <x v="16"/>
    <x v="7"/>
    <x v="0"/>
    <n v="0.48168981481481482"/>
    <s v="Shibor_3M"/>
    <n v="2.87"/>
    <n v="3.27"/>
    <n v="0"/>
    <d v="2012-08-03T00:00:00"/>
    <d v="2019-08-03T00:00:00"/>
    <x v="86"/>
  </r>
  <r>
    <n v="1187"/>
    <x v="16"/>
    <x v="0"/>
    <x v="0"/>
    <n v="0.48170138888888886"/>
    <s v="Shibor_3M"/>
    <n v="2.9"/>
    <n v="3"/>
    <n v="0"/>
    <d v="2012-08-03T00:00:00"/>
    <d v="2015-08-03T00:00:00"/>
    <x v="122"/>
  </r>
  <r>
    <n v="1188"/>
    <x v="16"/>
    <x v="6"/>
    <x v="0"/>
    <n v="0.48168981481481482"/>
    <s v="Shibor_3M"/>
    <n v="2.91"/>
    <n v="3.31"/>
    <n v="0"/>
    <d v="2012-08-03T00:00:00"/>
    <d v="2022-08-03T00:00:00"/>
    <x v="50"/>
  </r>
  <r>
    <n v="1189"/>
    <x v="16"/>
    <x v="8"/>
    <x v="0"/>
    <n v="0.48166666666666669"/>
    <s v="Shibor_3M"/>
    <n v="3.45"/>
    <n v="3.55"/>
    <n v="0"/>
    <d v="2012-08-03T00:00:00"/>
    <d v="2013-02-03T00:00:00"/>
    <x v="13"/>
  </r>
  <r>
    <n v="1190"/>
    <x v="16"/>
    <x v="9"/>
    <x v="0"/>
    <n v="0.48166666666666669"/>
    <s v="Shibor_3M"/>
    <n v="2.9"/>
    <n v="3.1"/>
    <n v="0"/>
    <d v="2012-08-03T00:00:00"/>
    <d v="2018-08-03T00:00:00"/>
    <x v="99"/>
  </r>
  <r>
    <n v="1191"/>
    <x v="16"/>
    <x v="4"/>
    <x v="0"/>
    <n v="0.48167824074074073"/>
    <s v="Shibor_3M"/>
    <n v="2.95"/>
    <n v="3.05"/>
    <n v="0"/>
    <d v="2012-08-03T00:00:00"/>
    <d v="2014-08-03T00:00:00"/>
    <x v="99"/>
  </r>
  <r>
    <n v="1192"/>
    <x v="16"/>
    <x v="1"/>
    <x v="0"/>
    <n v="0.48167824074074073"/>
    <s v="Shibor_3M"/>
    <n v="3.12"/>
    <n v="3.22"/>
    <n v="0"/>
    <d v="2012-08-03T00:00:00"/>
    <d v="2013-08-03T00:00:00"/>
    <x v="56"/>
  </r>
  <r>
    <n v="1193"/>
    <x v="16"/>
    <x v="5"/>
    <x v="2"/>
    <n v="0.48541666666666666"/>
    <s v="Shibor_3M"/>
    <n v="3.2"/>
    <n v="3.28"/>
    <n v="0"/>
    <d v="2012-08-03T00:00:00"/>
    <d v="2013-05-03T00:00:00"/>
    <x v="10"/>
  </r>
  <r>
    <n v="1194"/>
    <x v="16"/>
    <x v="8"/>
    <x v="2"/>
    <n v="0.48540509259259257"/>
    <s v="Shibor_3M"/>
    <n v="3.45"/>
    <n v="3.5"/>
    <n v="0"/>
    <d v="2012-08-03T00:00:00"/>
    <d v="2013-02-03T00:00:00"/>
    <x v="108"/>
  </r>
  <r>
    <n v="1195"/>
    <x v="16"/>
    <x v="2"/>
    <x v="2"/>
    <n v="0.48541666666666666"/>
    <s v="Shibor_3M"/>
    <n v="2.95"/>
    <n v="3.02"/>
    <n v="0"/>
    <d v="2012-08-03T00:00:00"/>
    <d v="2016-08-03T00:00:00"/>
    <x v="124"/>
  </r>
  <r>
    <n v="1196"/>
    <x v="16"/>
    <x v="11"/>
    <x v="2"/>
    <n v="0.48541666666666666"/>
    <s v="Shibor_3M"/>
    <n v="2.95"/>
    <n v="3.02"/>
    <n v="0"/>
    <d v="2012-08-03T00:00:00"/>
    <d v="2017-08-03T00:00:00"/>
    <x v="124"/>
  </r>
  <r>
    <n v="1197"/>
    <x v="16"/>
    <x v="11"/>
    <x v="0"/>
    <n v="0.48170138888888886"/>
    <s v="Shibor_3M"/>
    <n v="2.92"/>
    <n v="3.02"/>
    <n v="0"/>
    <d v="2012-08-03T00:00:00"/>
    <d v="2017-08-03T00:00:00"/>
    <x v="105"/>
  </r>
  <r>
    <n v="1198"/>
    <x v="16"/>
    <x v="10"/>
    <x v="0"/>
    <n v="0.48170138888888886"/>
    <s v="Shibor_3M"/>
    <n v="2.88"/>
    <n v="3.28"/>
    <n v="0"/>
    <d v="2012-08-03T00:00:00"/>
    <d v="2020-08-03T00:00:00"/>
    <x v="70"/>
  </r>
  <r>
    <n v="1199"/>
    <x v="16"/>
    <x v="3"/>
    <x v="0"/>
    <n v="0.48170138888888886"/>
    <s v="Shibor_3M"/>
    <n v="2.9"/>
    <n v="3.3"/>
    <n v="0"/>
    <d v="2012-08-03T00:00:00"/>
    <d v="2021-08-03T00:00:00"/>
    <x v="64"/>
  </r>
  <r>
    <n v="1200"/>
    <x v="16"/>
    <x v="2"/>
    <x v="0"/>
    <n v="0.48170138888888886"/>
    <s v="Shibor_3M"/>
    <n v="2.9"/>
    <n v="3"/>
    <n v="0"/>
    <d v="2012-08-03T00:00:00"/>
    <d v="2016-08-03T00:00:00"/>
    <x v="122"/>
  </r>
  <r>
    <n v="1201"/>
    <x v="16"/>
    <x v="6"/>
    <x v="1"/>
    <n v="0.49304398148148149"/>
    <s v="Shibor_3M"/>
    <n v="3.07"/>
    <n v="3.13"/>
    <n v="0"/>
    <d v="2012-08-03T00:00:00"/>
    <d v="2022-08-03T00:00:00"/>
    <x v="64"/>
  </r>
  <r>
    <n v="1202"/>
    <x v="16"/>
    <x v="6"/>
    <x v="2"/>
    <n v="0.6754282407407407"/>
    <s v="Shibor_3M"/>
    <n v="2.95"/>
    <n v="3.02"/>
    <n v="0"/>
    <d v="2012-08-03T00:00:00"/>
    <d v="2022-08-03T00:00:00"/>
    <x v="124"/>
  </r>
  <r>
    <n v="1203"/>
    <x v="16"/>
    <x v="1"/>
    <x v="2"/>
    <n v="0.6754282407407407"/>
    <s v="Shibor_3M"/>
    <n v="3.12"/>
    <n v="3.17"/>
    <n v="0"/>
    <d v="2012-08-03T00:00:00"/>
    <d v="2013-08-03T00:00:00"/>
    <x v="92"/>
  </r>
  <r>
    <n v="1204"/>
    <x v="16"/>
    <x v="7"/>
    <x v="2"/>
    <n v="0.6754282407407407"/>
    <s v="Shibor_3M"/>
    <n v="2.95"/>
    <n v="3.02"/>
    <n v="0"/>
    <d v="2012-08-03T00:00:00"/>
    <d v="2019-08-03T00:00:00"/>
    <x v="124"/>
  </r>
  <r>
    <n v="1205"/>
    <x v="16"/>
    <x v="4"/>
    <x v="2"/>
    <n v="0.6754282407407407"/>
    <s v="Shibor_3M"/>
    <n v="2.95"/>
    <n v="3.05"/>
    <n v="0"/>
    <d v="2012-08-03T00:00:00"/>
    <d v="2014-08-03T00:00:00"/>
    <x v="99"/>
  </r>
  <r>
    <n v="1206"/>
    <x v="16"/>
    <x v="5"/>
    <x v="2"/>
    <n v="0.6754282407407407"/>
    <s v="Shibor_3M"/>
    <n v="3.2"/>
    <n v="3.28"/>
    <n v="0"/>
    <d v="2012-08-03T00:00:00"/>
    <d v="2013-05-03T00:00:00"/>
    <x v="10"/>
  </r>
  <r>
    <n v="1207"/>
    <x v="16"/>
    <x v="8"/>
    <x v="2"/>
    <n v="0.67541666666666667"/>
    <s v="Shibor_3M"/>
    <n v="3.45"/>
    <n v="3.5"/>
    <n v="0"/>
    <d v="2012-08-03T00:00:00"/>
    <d v="2013-02-03T00:00:00"/>
    <x v="108"/>
  </r>
  <r>
    <n v="1208"/>
    <x v="16"/>
    <x v="2"/>
    <x v="2"/>
    <n v="0.6754282407407407"/>
    <s v="Shibor_3M"/>
    <n v="2.95"/>
    <n v="3.02"/>
    <n v="0"/>
    <d v="2012-08-03T00:00:00"/>
    <d v="2016-08-03T00:00:00"/>
    <x v="124"/>
  </r>
  <r>
    <n v="1209"/>
    <x v="16"/>
    <x v="11"/>
    <x v="2"/>
    <n v="0.6754282407407407"/>
    <s v="Shibor_3M"/>
    <n v="2.95"/>
    <n v="3.02"/>
    <n v="0"/>
    <d v="2012-08-03T00:00:00"/>
    <d v="2017-08-03T00:00:00"/>
    <x v="124"/>
  </r>
  <r>
    <n v="1210"/>
    <x v="16"/>
    <x v="4"/>
    <x v="3"/>
    <n v="0.67766203703703709"/>
    <s v="Shibor_3M"/>
    <n v="2.97"/>
    <n v="3.05"/>
    <n v="0"/>
    <d v="2012-08-03T00:00:00"/>
    <d v="2014-08-03T00:00:00"/>
    <x v="97"/>
  </r>
  <r>
    <n v="1211"/>
    <x v="16"/>
    <x v="2"/>
    <x v="3"/>
    <n v="0.67765046296296294"/>
    <s v="Shibor_3M"/>
    <n v="2.91"/>
    <n v="3.01"/>
    <n v="0"/>
    <d v="2012-08-03T00:00:00"/>
    <d v="2016-08-03T00:00:00"/>
    <x v="117"/>
  </r>
  <r>
    <n v="1212"/>
    <x v="16"/>
    <x v="0"/>
    <x v="3"/>
    <n v="0.67767361111111113"/>
    <s v="Shibor_3M"/>
    <n v="2.94"/>
    <n v="3"/>
    <n v="0"/>
    <d v="2012-08-03T00:00:00"/>
    <d v="2015-08-03T00:00:00"/>
    <x v="105"/>
  </r>
  <r>
    <n v="1213"/>
    <x v="16"/>
    <x v="8"/>
    <x v="3"/>
    <n v="0.67766203703703709"/>
    <s v="Shibor_3M"/>
    <n v="3.45"/>
    <n v="3.55"/>
    <n v="0"/>
    <d v="2012-08-03T00:00:00"/>
    <d v="2013-02-03T00:00:00"/>
    <x v="13"/>
  </r>
  <r>
    <n v="1214"/>
    <x v="16"/>
    <x v="1"/>
    <x v="3"/>
    <n v="0.67765046296296294"/>
    <s v="Shibor_3M"/>
    <n v="3.14"/>
    <n v="3.23"/>
    <n v="0"/>
    <d v="2012-08-03T00:00:00"/>
    <d v="2013-08-03T00:00:00"/>
    <x v="63"/>
  </r>
  <r>
    <n v="1215"/>
    <x v="16"/>
    <x v="0"/>
    <x v="2"/>
    <n v="0.67543981481481474"/>
    <s v="Shibor_3M"/>
    <n v="2.95"/>
    <n v="3.02"/>
    <n v="0"/>
    <d v="2012-08-03T00:00:00"/>
    <d v="2015-08-03T00:00:00"/>
    <x v="124"/>
  </r>
  <r>
    <n v="1216"/>
    <x v="16"/>
    <x v="5"/>
    <x v="3"/>
    <n v="0.67765046296296294"/>
    <s v="Shibor_3M"/>
    <n v="3.26"/>
    <n v="3.34"/>
    <n v="0"/>
    <d v="2012-08-03T00:00:00"/>
    <d v="2013-05-03T00:00:00"/>
    <x v="23"/>
  </r>
  <r>
    <n v="1217"/>
    <x v="16"/>
    <x v="11"/>
    <x v="3"/>
    <n v="0.67765046296296294"/>
    <s v="Shibor_3M"/>
    <n v="2.96"/>
    <n v="3.01"/>
    <n v="0"/>
    <d v="2012-08-03T00:00:00"/>
    <d v="2017-08-03T00:00:00"/>
    <x v="103"/>
  </r>
  <r>
    <n v="1218"/>
    <x v="16"/>
    <x v="8"/>
    <x v="0"/>
    <n v="0.66857638888888893"/>
    <s v="Shibor_3M"/>
    <n v="3.45"/>
    <n v="3.55"/>
    <n v="0"/>
    <d v="2012-08-03T00:00:00"/>
    <d v="2013-02-03T00:00:00"/>
    <x v="13"/>
  </r>
  <r>
    <n v="1219"/>
    <x v="16"/>
    <x v="9"/>
    <x v="0"/>
    <n v="0.66857638888888893"/>
    <s v="Shibor_3M"/>
    <n v="2.9"/>
    <n v="3.1"/>
    <n v="0"/>
    <d v="2012-08-03T00:00:00"/>
    <d v="2018-08-03T00:00:00"/>
    <x v="99"/>
  </r>
  <r>
    <n v="1220"/>
    <x v="16"/>
    <x v="4"/>
    <x v="0"/>
    <n v="0.66857638888888893"/>
    <s v="Shibor_3M"/>
    <n v="2.95"/>
    <n v="3.05"/>
    <n v="0"/>
    <d v="2012-08-03T00:00:00"/>
    <d v="2014-08-03T00:00:00"/>
    <x v="99"/>
  </r>
  <r>
    <n v="1221"/>
    <x v="16"/>
    <x v="1"/>
    <x v="0"/>
    <n v="0.66857638888888893"/>
    <s v="Shibor_3M"/>
    <n v="3.12"/>
    <n v="3.22"/>
    <n v="0"/>
    <d v="2012-08-03T00:00:00"/>
    <d v="2013-08-03T00:00:00"/>
    <x v="56"/>
  </r>
  <r>
    <n v="1222"/>
    <x v="16"/>
    <x v="11"/>
    <x v="1"/>
    <n v="0.49305555555555558"/>
    <s v="Shibor_3M"/>
    <n v="2.96"/>
    <n v="3.02"/>
    <n v="0"/>
    <d v="2012-08-03T00:00:00"/>
    <d v="2017-08-03T00:00:00"/>
    <x v="114"/>
  </r>
  <r>
    <n v="1223"/>
    <x v="16"/>
    <x v="8"/>
    <x v="1"/>
    <n v="0.49304398148148149"/>
    <s v="Shibor_3M"/>
    <n v="3.49"/>
    <n v="3.55"/>
    <n v="0"/>
    <d v="2012-08-03T00:00:00"/>
    <d v="2013-02-03T00:00:00"/>
    <x v="8"/>
  </r>
  <r>
    <n v="1224"/>
    <x v="16"/>
    <x v="0"/>
    <x v="1"/>
    <n v="0.49305555555555558"/>
    <s v="Shibor_3M"/>
    <n v="2.94"/>
    <n v="3"/>
    <n v="0"/>
    <d v="2012-08-03T00:00:00"/>
    <d v="2015-08-03T00:00:00"/>
    <x v="105"/>
  </r>
  <r>
    <n v="1225"/>
    <x v="16"/>
    <x v="2"/>
    <x v="1"/>
    <n v="0.49305555555555558"/>
    <s v="Shibor_3M"/>
    <n v="2.94"/>
    <n v="3"/>
    <n v="0"/>
    <d v="2012-08-03T00:00:00"/>
    <d v="2016-08-03T00:00:00"/>
    <x v="105"/>
  </r>
  <r>
    <n v="1226"/>
    <x v="16"/>
    <x v="2"/>
    <x v="0"/>
    <n v="0.66859953703703701"/>
    <s v="Shibor_3M"/>
    <n v="2.9"/>
    <n v="3"/>
    <n v="0"/>
    <d v="2012-08-03T00:00:00"/>
    <d v="2016-08-03T00:00:00"/>
    <x v="122"/>
  </r>
  <r>
    <n v="1227"/>
    <x v="16"/>
    <x v="11"/>
    <x v="0"/>
    <n v="0.66859953703703701"/>
    <s v="Shibor_3M"/>
    <n v="2.92"/>
    <n v="3.02"/>
    <n v="0"/>
    <d v="2012-08-03T00:00:00"/>
    <d v="2017-08-03T00:00:00"/>
    <x v="105"/>
  </r>
  <r>
    <n v="1228"/>
    <x v="16"/>
    <x v="0"/>
    <x v="0"/>
    <n v="0.66859953703703701"/>
    <s v="Shibor_3M"/>
    <n v="2.9"/>
    <n v="3"/>
    <n v="0"/>
    <d v="2012-08-03T00:00:00"/>
    <d v="2015-08-03T00:00:00"/>
    <x v="122"/>
  </r>
  <r>
    <n v="1229"/>
    <x v="16"/>
    <x v="3"/>
    <x v="0"/>
    <n v="0.66859953703703701"/>
    <s v="Shibor_3M"/>
    <n v="2.9"/>
    <n v="3.3"/>
    <n v="0"/>
    <d v="2012-08-03T00:00:00"/>
    <d v="2021-08-03T00:00:00"/>
    <x v="64"/>
  </r>
  <r>
    <n v="1230"/>
    <x v="16"/>
    <x v="5"/>
    <x v="0"/>
    <n v="0.66858796296296286"/>
    <s v="Shibor_3M"/>
    <n v="3.24"/>
    <n v="3.34"/>
    <n v="0"/>
    <d v="2012-08-03T00:00:00"/>
    <d v="2013-05-03T00:00:00"/>
    <x v="3"/>
  </r>
  <r>
    <n v="1231"/>
    <x v="16"/>
    <x v="7"/>
    <x v="0"/>
    <n v="0.66858796296296286"/>
    <s v="Shibor_3M"/>
    <n v="2.87"/>
    <n v="3.27"/>
    <n v="0"/>
    <d v="2012-08-03T00:00:00"/>
    <d v="2019-08-03T00:00:00"/>
    <x v="86"/>
  </r>
  <r>
    <n v="1232"/>
    <x v="16"/>
    <x v="10"/>
    <x v="0"/>
    <n v="0.66858796296296286"/>
    <s v="Shibor_3M"/>
    <n v="2.88"/>
    <n v="3.28"/>
    <n v="0"/>
    <d v="2012-08-03T00:00:00"/>
    <d v="2020-08-03T00:00:00"/>
    <x v="70"/>
  </r>
  <r>
    <n v="1233"/>
    <x v="16"/>
    <x v="6"/>
    <x v="0"/>
    <n v="0.66858796296296286"/>
    <s v="Shibor_3M"/>
    <n v="2.91"/>
    <n v="3.31"/>
    <n v="0"/>
    <d v="2012-08-03T00:00:00"/>
    <d v="2022-08-03T00:00:00"/>
    <x v="50"/>
  </r>
  <r>
    <n v="1234"/>
    <x v="17"/>
    <x v="10"/>
    <x v="0"/>
    <n v="0.48603009259259261"/>
    <s v="Shibor_3M"/>
    <n v="2.88"/>
    <n v="3.28"/>
    <n v="0"/>
    <d v="2012-08-02T00:00:00"/>
    <d v="2020-08-02T00:00:00"/>
    <x v="70"/>
  </r>
  <r>
    <n v="1235"/>
    <x v="17"/>
    <x v="8"/>
    <x v="0"/>
    <n v="0.48601851851851857"/>
    <s v="Shibor_3M"/>
    <n v="3.45"/>
    <n v="3.57"/>
    <n v="0"/>
    <d v="2012-08-02T00:00:00"/>
    <d v="2013-02-02T00:00:00"/>
    <x v="44"/>
  </r>
  <r>
    <n v="1236"/>
    <x v="17"/>
    <x v="2"/>
    <x v="0"/>
    <n v="0.48603009259259261"/>
    <s v="Shibor_3M"/>
    <n v="2.89"/>
    <n v="3"/>
    <n v="0"/>
    <d v="2012-08-02T00:00:00"/>
    <d v="2016-08-02T00:00:00"/>
    <x v="125"/>
  </r>
  <r>
    <n v="1237"/>
    <x v="17"/>
    <x v="11"/>
    <x v="0"/>
    <n v="0.48603009259259261"/>
    <s v="Shibor_3M"/>
    <n v="2.92"/>
    <n v="3.03"/>
    <n v="0"/>
    <d v="2012-08-02T00:00:00"/>
    <d v="2017-08-02T00:00:00"/>
    <x v="102"/>
  </r>
  <r>
    <n v="1238"/>
    <x v="17"/>
    <x v="9"/>
    <x v="0"/>
    <n v="0.48601851851851857"/>
    <s v="Shibor_3M"/>
    <n v="2.9"/>
    <n v="3.1"/>
    <n v="0"/>
    <d v="2012-08-02T00:00:00"/>
    <d v="2018-08-02T00:00:00"/>
    <x v="99"/>
  </r>
  <r>
    <n v="1239"/>
    <x v="17"/>
    <x v="7"/>
    <x v="0"/>
    <n v="0.48601851851851857"/>
    <s v="Shibor_3M"/>
    <n v="2.87"/>
    <n v="3.27"/>
    <n v="0"/>
    <d v="2012-08-02T00:00:00"/>
    <d v="2019-08-02T00:00:00"/>
    <x v="86"/>
  </r>
  <r>
    <n v="1240"/>
    <x v="17"/>
    <x v="4"/>
    <x v="0"/>
    <n v="0.48601851851851857"/>
    <s v="Shibor_3M"/>
    <n v="2.95"/>
    <n v="3.05"/>
    <n v="0"/>
    <d v="2012-08-02T00:00:00"/>
    <d v="2014-08-02T00:00:00"/>
    <x v="99"/>
  </r>
  <r>
    <n v="1241"/>
    <x v="17"/>
    <x v="6"/>
    <x v="0"/>
    <n v="0.48601851851851857"/>
    <s v="Shibor_3M"/>
    <n v="2.91"/>
    <n v="3.31"/>
    <n v="0"/>
    <d v="2012-08-02T00:00:00"/>
    <d v="2022-08-02T00:00:00"/>
    <x v="50"/>
  </r>
  <r>
    <n v="1242"/>
    <x v="17"/>
    <x v="5"/>
    <x v="0"/>
    <n v="0.48601851851851857"/>
    <s v="Shibor_3M"/>
    <n v="3.24"/>
    <n v="3.34"/>
    <n v="0"/>
    <d v="2012-08-02T00:00:00"/>
    <d v="2013-05-02T00:00:00"/>
    <x v="3"/>
  </r>
  <r>
    <n v="1243"/>
    <x v="17"/>
    <x v="0"/>
    <x v="3"/>
    <n v="0.49009259259259258"/>
    <s v="Shibor_3M"/>
    <n v="2.93"/>
    <n v="2.98"/>
    <n v="0"/>
    <d v="2012-08-02T00:00:00"/>
    <d v="2015-08-02T00:00:00"/>
    <x v="126"/>
  </r>
  <r>
    <n v="1244"/>
    <x v="17"/>
    <x v="2"/>
    <x v="3"/>
    <n v="0.49008101851851849"/>
    <s v="Shibor_3M"/>
    <n v="2.91"/>
    <n v="2.98"/>
    <n v="0"/>
    <d v="2012-08-02T00:00:00"/>
    <d v="2016-08-02T00:00:00"/>
    <x v="125"/>
  </r>
  <r>
    <n v="1245"/>
    <x v="17"/>
    <x v="8"/>
    <x v="3"/>
    <n v="0.49009259259259258"/>
    <s v="Shibor_3M"/>
    <n v="3.48"/>
    <n v="3.57"/>
    <n v="0"/>
    <d v="2012-08-02T00:00:00"/>
    <d v="2013-02-02T00:00:00"/>
    <x v="115"/>
  </r>
  <r>
    <n v="1246"/>
    <x v="17"/>
    <x v="4"/>
    <x v="3"/>
    <n v="0.49009259259259258"/>
    <s v="Shibor_3M"/>
    <n v="2.97"/>
    <n v="3.03"/>
    <n v="0"/>
    <d v="2012-08-02T00:00:00"/>
    <d v="2014-08-02T00:00:00"/>
    <x v="99"/>
  </r>
  <r>
    <n v="1247"/>
    <x v="17"/>
    <x v="5"/>
    <x v="3"/>
    <n v="0.49008101851851849"/>
    <s v="Shibor_3M"/>
    <n v="3.25"/>
    <n v="3.33"/>
    <n v="0"/>
    <d v="2012-08-02T00:00:00"/>
    <d v="2013-05-02T00:00:00"/>
    <x v="3"/>
  </r>
  <r>
    <n v="1248"/>
    <x v="17"/>
    <x v="0"/>
    <x v="0"/>
    <n v="0.48603009259259261"/>
    <s v="Shibor_3M"/>
    <n v="2.89"/>
    <n v="3"/>
    <n v="0"/>
    <d v="2012-08-02T00:00:00"/>
    <d v="2015-08-02T00:00:00"/>
    <x v="125"/>
  </r>
  <r>
    <n v="1249"/>
    <x v="17"/>
    <x v="3"/>
    <x v="0"/>
    <n v="0.48603009259259261"/>
    <s v="Shibor_3M"/>
    <n v="2.9"/>
    <n v="3.3"/>
    <n v="0"/>
    <d v="2012-08-02T00:00:00"/>
    <d v="2021-08-02T00:00:00"/>
    <x v="64"/>
  </r>
  <r>
    <n v="1250"/>
    <x v="17"/>
    <x v="11"/>
    <x v="3"/>
    <n v="0.49008101851851849"/>
    <s v="Shibor_3M"/>
    <n v="2.96"/>
    <n v="3.01"/>
    <n v="0"/>
    <d v="2012-08-02T00:00:00"/>
    <d v="2017-08-02T00:00:00"/>
    <x v="103"/>
  </r>
  <r>
    <n v="1251"/>
    <x v="17"/>
    <x v="1"/>
    <x v="3"/>
    <n v="0.49008101851851849"/>
    <s v="Shibor_3M"/>
    <n v="3.1"/>
    <n v="3.2"/>
    <n v="0"/>
    <d v="2012-08-02T00:00:00"/>
    <d v="2013-08-02T00:00:00"/>
    <x v="51"/>
  </r>
  <r>
    <n v="1252"/>
    <x v="17"/>
    <x v="1"/>
    <x v="0"/>
    <n v="0.48601851851851857"/>
    <s v="Shibor_3M"/>
    <n v="3.12"/>
    <n v="3.24"/>
    <n v="0"/>
    <d v="2012-08-02T00:00:00"/>
    <d v="2013-08-02T00:00:00"/>
    <x v="127"/>
  </r>
  <r>
    <n v="1253"/>
    <x v="17"/>
    <x v="7"/>
    <x v="2"/>
    <n v="0.4811111111111111"/>
    <s v="Shibor_3M"/>
    <n v="2.95"/>
    <n v="3.02"/>
    <n v="0"/>
    <d v="2012-08-02T00:00:00"/>
    <d v="2019-08-02T00:00:00"/>
    <x v="124"/>
  </r>
  <r>
    <n v="1254"/>
    <x v="17"/>
    <x v="2"/>
    <x v="2"/>
    <n v="0.4811111111111111"/>
    <s v="Shibor_3M"/>
    <n v="2.95"/>
    <n v="3.02"/>
    <n v="0"/>
    <d v="2012-08-02T00:00:00"/>
    <d v="2016-08-02T00:00:00"/>
    <x v="124"/>
  </r>
  <r>
    <n v="1255"/>
    <x v="17"/>
    <x v="0"/>
    <x v="2"/>
    <n v="0.48112268518518514"/>
    <s v="Shibor_3M"/>
    <n v="2.95"/>
    <n v="3.02"/>
    <n v="0"/>
    <d v="2012-08-02T00:00:00"/>
    <d v="2015-08-02T00:00:00"/>
    <x v="124"/>
  </r>
  <r>
    <n v="1256"/>
    <x v="17"/>
    <x v="5"/>
    <x v="2"/>
    <n v="0.4811111111111111"/>
    <s v="Shibor_3M"/>
    <n v="3.2"/>
    <n v="3.28"/>
    <n v="0"/>
    <d v="2012-08-02T00:00:00"/>
    <d v="2013-05-02T00:00:00"/>
    <x v="10"/>
  </r>
  <r>
    <n v="1257"/>
    <x v="17"/>
    <x v="11"/>
    <x v="2"/>
    <n v="0.4811111111111111"/>
    <s v="Shibor_3M"/>
    <n v="2.95"/>
    <n v="3.02"/>
    <n v="0"/>
    <d v="2012-08-02T00:00:00"/>
    <d v="2017-08-02T00:00:00"/>
    <x v="124"/>
  </r>
  <r>
    <n v="1258"/>
    <x v="17"/>
    <x v="1"/>
    <x v="2"/>
    <n v="0.48109953703703701"/>
    <s v="Shibor_3M"/>
    <n v="3.12"/>
    <n v="3.17"/>
    <n v="0"/>
    <d v="2012-08-02T00:00:00"/>
    <d v="2013-08-02T00:00:00"/>
    <x v="92"/>
  </r>
  <r>
    <n v="1259"/>
    <x v="17"/>
    <x v="8"/>
    <x v="2"/>
    <n v="0.48109953703703701"/>
    <s v="Shibor_3M"/>
    <n v="3.45"/>
    <n v="3.5"/>
    <n v="0"/>
    <d v="2012-08-02T00:00:00"/>
    <d v="2013-02-02T00:00:00"/>
    <x v="108"/>
  </r>
  <r>
    <n v="1260"/>
    <x v="17"/>
    <x v="4"/>
    <x v="2"/>
    <n v="0.48109953703703701"/>
    <s v="Shibor_3M"/>
    <n v="2.95"/>
    <n v="3.05"/>
    <n v="0"/>
    <d v="2012-08-02T00:00:00"/>
    <d v="2014-08-02T00:00:00"/>
    <x v="99"/>
  </r>
  <r>
    <n v="1261"/>
    <x v="17"/>
    <x v="6"/>
    <x v="2"/>
    <n v="0.48109953703703701"/>
    <s v="Shibor_3M"/>
    <n v="2.95"/>
    <n v="3.02"/>
    <n v="0"/>
    <d v="2012-08-02T00:00:00"/>
    <d v="2022-08-02T00:00:00"/>
    <x v="124"/>
  </r>
  <r>
    <n v="1262"/>
    <x v="17"/>
    <x v="11"/>
    <x v="1"/>
    <n v="0.48293981481481479"/>
    <s v="Shibor_3M"/>
    <n v="2.94"/>
    <n v="3"/>
    <n v="0"/>
    <d v="2012-08-02T00:00:00"/>
    <d v="2017-08-02T00:00:00"/>
    <x v="105"/>
  </r>
  <r>
    <n v="1263"/>
    <x v="17"/>
    <x v="6"/>
    <x v="1"/>
    <n v="0.48293981481481479"/>
    <s v="Shibor_3M"/>
    <n v="3.05"/>
    <n v="3.11"/>
    <n v="0"/>
    <d v="2012-08-02T00:00:00"/>
    <d v="2022-08-02T00:00:00"/>
    <x v="70"/>
  </r>
  <r>
    <n v="1264"/>
    <x v="17"/>
    <x v="0"/>
    <x v="1"/>
    <n v="0.48293981481481479"/>
    <s v="Shibor_3M"/>
    <n v="2.92"/>
    <n v="2.98"/>
    <n v="0"/>
    <d v="2012-08-02T00:00:00"/>
    <d v="2015-08-02T00:00:00"/>
    <x v="122"/>
  </r>
  <r>
    <n v="1265"/>
    <x v="17"/>
    <x v="2"/>
    <x v="1"/>
    <n v="0.48293981481481479"/>
    <s v="Shibor_3M"/>
    <n v="2.92"/>
    <n v="2.98"/>
    <n v="0"/>
    <d v="2012-08-02T00:00:00"/>
    <d v="2016-08-02T00:00:00"/>
    <x v="122"/>
  </r>
  <r>
    <n v="1266"/>
    <x v="17"/>
    <x v="5"/>
    <x v="1"/>
    <n v="0.48293981481481479"/>
    <s v="Shibor_3M"/>
    <n v="3.28"/>
    <n v="3.34"/>
    <n v="0"/>
    <d v="2012-08-02T00:00:00"/>
    <d v="2013-05-02T00:00:00"/>
    <x v="6"/>
  </r>
  <r>
    <n v="1267"/>
    <x v="17"/>
    <x v="1"/>
    <x v="1"/>
    <n v="0.48292824074074076"/>
    <s v="Shibor_3M"/>
    <n v="3.14"/>
    <n v="3.2"/>
    <n v="0"/>
    <d v="2012-08-02T00:00:00"/>
    <d v="2013-08-02T00:00:00"/>
    <x v="56"/>
  </r>
  <r>
    <n v="1268"/>
    <x v="17"/>
    <x v="8"/>
    <x v="1"/>
    <n v="0.48292824074074076"/>
    <s v="Shibor_3M"/>
    <n v="3.48"/>
    <n v="3.54"/>
    <n v="0"/>
    <d v="2012-08-02T00:00:00"/>
    <d v="2013-02-02T00:00:00"/>
    <x v="44"/>
  </r>
  <r>
    <n v="1269"/>
    <x v="17"/>
    <x v="7"/>
    <x v="1"/>
    <n v="0.48293981481481479"/>
    <s v="Shibor_3M"/>
    <n v="3"/>
    <n v="3.06"/>
    <n v="0"/>
    <d v="2012-08-02T00:00:00"/>
    <d v="2019-08-02T00:00:00"/>
    <x v="90"/>
  </r>
  <r>
    <n v="1270"/>
    <x v="17"/>
    <x v="4"/>
    <x v="1"/>
    <n v="0.48292824074074076"/>
    <s v="Shibor_3M"/>
    <n v="2.97"/>
    <n v="3.03"/>
    <n v="0"/>
    <d v="2012-08-02T00:00:00"/>
    <d v="2014-08-02T00:00:00"/>
    <x v="99"/>
  </r>
  <r>
    <n v="1271"/>
    <x v="17"/>
    <x v="2"/>
    <x v="0"/>
    <n v="0.67656250000000007"/>
    <s v="Shibor_3M"/>
    <n v="2.9"/>
    <n v="3"/>
    <n v="0"/>
    <d v="2012-08-02T00:00:00"/>
    <d v="2016-08-02T00:00:00"/>
    <x v="122"/>
  </r>
  <r>
    <n v="1272"/>
    <x v="17"/>
    <x v="11"/>
    <x v="0"/>
    <n v="0.67656250000000007"/>
    <s v="Shibor_3M"/>
    <n v="2.92"/>
    <n v="3.02"/>
    <n v="0"/>
    <d v="2012-08-02T00:00:00"/>
    <d v="2017-08-02T00:00:00"/>
    <x v="105"/>
  </r>
  <r>
    <n v="1273"/>
    <x v="17"/>
    <x v="0"/>
    <x v="0"/>
    <n v="0.67656250000000007"/>
    <s v="Shibor_3M"/>
    <n v="2.9"/>
    <n v="3"/>
    <n v="0"/>
    <d v="2012-08-02T00:00:00"/>
    <d v="2015-08-02T00:00:00"/>
    <x v="122"/>
  </r>
  <r>
    <n v="1274"/>
    <x v="17"/>
    <x v="3"/>
    <x v="0"/>
    <n v="0.67656250000000007"/>
    <s v="Shibor_3M"/>
    <n v="2.9"/>
    <n v="3.3"/>
    <n v="0"/>
    <d v="2012-08-02T00:00:00"/>
    <d v="2021-08-02T00:00:00"/>
    <x v="64"/>
  </r>
  <r>
    <n v="1275"/>
    <x v="17"/>
    <x v="10"/>
    <x v="0"/>
    <n v="0.67656250000000007"/>
    <s v="Shibor_3M"/>
    <n v="2.88"/>
    <n v="3.28"/>
    <n v="0"/>
    <d v="2012-08-02T00:00:00"/>
    <d v="2020-08-02T00:00:00"/>
    <x v="70"/>
  </r>
  <r>
    <n v="1276"/>
    <x v="17"/>
    <x v="8"/>
    <x v="0"/>
    <n v="0.67655092592592592"/>
    <s v="Shibor_3M"/>
    <n v="3.45"/>
    <n v="3.55"/>
    <n v="0"/>
    <d v="2012-08-02T00:00:00"/>
    <d v="2013-02-02T00:00:00"/>
    <x v="13"/>
  </r>
  <r>
    <n v="1277"/>
    <x v="17"/>
    <x v="9"/>
    <x v="0"/>
    <n v="0.67655092592592592"/>
    <s v="Shibor_3M"/>
    <n v="2.9"/>
    <n v="3.1"/>
    <n v="0"/>
    <d v="2012-08-02T00:00:00"/>
    <d v="2018-08-02T00:00:00"/>
    <x v="99"/>
  </r>
  <r>
    <n v="1278"/>
    <x v="17"/>
    <x v="6"/>
    <x v="0"/>
    <n v="0.67656250000000007"/>
    <s v="Shibor_3M"/>
    <n v="2.91"/>
    <n v="3.31"/>
    <n v="0"/>
    <d v="2012-08-02T00:00:00"/>
    <d v="2022-08-02T00:00:00"/>
    <x v="50"/>
  </r>
  <r>
    <n v="1279"/>
    <x v="17"/>
    <x v="5"/>
    <x v="0"/>
    <n v="0.67656250000000007"/>
    <s v="Shibor_3M"/>
    <n v="3.24"/>
    <n v="3.34"/>
    <n v="0"/>
    <d v="2012-08-02T00:00:00"/>
    <d v="2013-05-02T00:00:00"/>
    <x v="3"/>
  </r>
  <r>
    <n v="1280"/>
    <x v="17"/>
    <x v="4"/>
    <x v="1"/>
    <n v="0.68579861111111118"/>
    <s v="Shibor_3M"/>
    <n v="2.97"/>
    <n v="3.03"/>
    <n v="0"/>
    <d v="2012-08-02T00:00:00"/>
    <d v="2014-08-02T00:00:00"/>
    <x v="99"/>
  </r>
  <r>
    <n v="1281"/>
    <x v="17"/>
    <x v="1"/>
    <x v="1"/>
    <n v="0.68579861111111118"/>
    <s v="Shibor_3M"/>
    <n v="3.14"/>
    <n v="3.2"/>
    <n v="0"/>
    <d v="2012-08-02T00:00:00"/>
    <d v="2013-08-02T00:00:00"/>
    <x v="56"/>
  </r>
  <r>
    <n v="1282"/>
    <x v="17"/>
    <x v="0"/>
    <x v="1"/>
    <n v="0.68581018518518511"/>
    <s v="Shibor_3M"/>
    <n v="2.92"/>
    <n v="2.98"/>
    <n v="0"/>
    <d v="2012-08-02T00:00:00"/>
    <d v="2015-08-02T00:00:00"/>
    <x v="122"/>
  </r>
  <r>
    <n v="1283"/>
    <x v="17"/>
    <x v="2"/>
    <x v="1"/>
    <n v="0.68581018518518511"/>
    <s v="Shibor_3M"/>
    <n v="2.92"/>
    <n v="2.98"/>
    <n v="0"/>
    <d v="2012-08-02T00:00:00"/>
    <d v="2016-08-02T00:00:00"/>
    <x v="122"/>
  </r>
  <r>
    <n v="1284"/>
    <x v="17"/>
    <x v="8"/>
    <x v="1"/>
    <n v="0.68579861111111118"/>
    <s v="Shibor_3M"/>
    <n v="3.48"/>
    <n v="3.54"/>
    <n v="0"/>
    <d v="2012-08-02T00:00:00"/>
    <d v="2013-02-02T00:00:00"/>
    <x v="44"/>
  </r>
  <r>
    <n v="1285"/>
    <x v="17"/>
    <x v="5"/>
    <x v="1"/>
    <n v="0.68579861111111118"/>
    <s v="Shibor_3M"/>
    <n v="3.28"/>
    <n v="3.34"/>
    <n v="0"/>
    <d v="2012-08-02T00:00:00"/>
    <d v="2013-05-02T00:00:00"/>
    <x v="6"/>
  </r>
  <r>
    <n v="1286"/>
    <x v="17"/>
    <x v="7"/>
    <x v="1"/>
    <n v="0.68579861111111118"/>
    <s v="Shibor_3M"/>
    <n v="3"/>
    <n v="3.06"/>
    <n v="0"/>
    <d v="2012-08-02T00:00:00"/>
    <d v="2019-08-02T00:00:00"/>
    <x v="90"/>
  </r>
  <r>
    <n v="1287"/>
    <x v="17"/>
    <x v="11"/>
    <x v="1"/>
    <n v="0.68579861111111118"/>
    <s v="Shibor_3M"/>
    <n v="2.94"/>
    <n v="3"/>
    <n v="0"/>
    <d v="2012-08-02T00:00:00"/>
    <d v="2017-08-02T00:00:00"/>
    <x v="105"/>
  </r>
  <r>
    <n v="1288"/>
    <x v="17"/>
    <x v="6"/>
    <x v="1"/>
    <n v="0.68579861111111118"/>
    <s v="Shibor_3M"/>
    <n v="3.05"/>
    <n v="3.11"/>
    <n v="0"/>
    <d v="2012-08-02T00:00:00"/>
    <d v="2022-08-02T00:00:00"/>
    <x v="70"/>
  </r>
  <r>
    <n v="1289"/>
    <x v="17"/>
    <x v="7"/>
    <x v="0"/>
    <n v="0.67655092592592592"/>
    <s v="Shibor_3M"/>
    <n v="2.87"/>
    <n v="3.27"/>
    <n v="0"/>
    <d v="2012-08-02T00:00:00"/>
    <d v="2019-08-02T00:00:00"/>
    <x v="86"/>
  </r>
  <r>
    <n v="1290"/>
    <x v="17"/>
    <x v="5"/>
    <x v="2"/>
    <n v="0.67385416666666664"/>
    <s v="Shibor_3M"/>
    <n v="3.2"/>
    <n v="3.28"/>
    <n v="0"/>
    <d v="2012-08-02T00:00:00"/>
    <d v="2013-05-02T00:00:00"/>
    <x v="10"/>
  </r>
  <r>
    <n v="1291"/>
    <x v="17"/>
    <x v="0"/>
    <x v="2"/>
    <n v="0.67385416666666664"/>
    <s v="Shibor_3M"/>
    <n v="2.95"/>
    <n v="3.02"/>
    <n v="0"/>
    <d v="2012-08-02T00:00:00"/>
    <d v="2015-08-02T00:00:00"/>
    <x v="124"/>
  </r>
  <r>
    <n v="1292"/>
    <x v="17"/>
    <x v="2"/>
    <x v="2"/>
    <n v="0.67385416666666664"/>
    <s v="Shibor_3M"/>
    <n v="2.95"/>
    <n v="3.02"/>
    <n v="0"/>
    <d v="2012-08-02T00:00:00"/>
    <d v="2016-08-02T00:00:00"/>
    <x v="124"/>
  </r>
  <r>
    <n v="1293"/>
    <x v="17"/>
    <x v="11"/>
    <x v="2"/>
    <n v="0.67385416666666664"/>
    <s v="Shibor_3M"/>
    <n v="2.95"/>
    <n v="3.02"/>
    <n v="0"/>
    <d v="2012-08-02T00:00:00"/>
    <d v="2017-08-02T00:00:00"/>
    <x v="124"/>
  </r>
  <r>
    <n v="1294"/>
    <x v="17"/>
    <x v="8"/>
    <x v="2"/>
    <n v="0.67384259259259249"/>
    <s v="Shibor_3M"/>
    <n v="3.45"/>
    <n v="3.5"/>
    <n v="0"/>
    <d v="2012-08-02T00:00:00"/>
    <d v="2013-02-02T00:00:00"/>
    <x v="108"/>
  </r>
  <r>
    <n v="1295"/>
    <x v="17"/>
    <x v="6"/>
    <x v="2"/>
    <n v="0.67384259259259249"/>
    <s v="Shibor_3M"/>
    <n v="2.95"/>
    <n v="3.02"/>
    <n v="0"/>
    <d v="2012-08-02T00:00:00"/>
    <d v="2022-08-02T00:00:00"/>
    <x v="124"/>
  </r>
  <r>
    <n v="1296"/>
    <x v="17"/>
    <x v="1"/>
    <x v="2"/>
    <n v="0.67384259259259249"/>
    <s v="Shibor_3M"/>
    <n v="3.12"/>
    <n v="3.17"/>
    <n v="0"/>
    <d v="2012-08-02T00:00:00"/>
    <d v="2013-08-02T00:00:00"/>
    <x v="92"/>
  </r>
  <r>
    <n v="1297"/>
    <x v="17"/>
    <x v="7"/>
    <x v="2"/>
    <n v="0.67384259259259249"/>
    <s v="Shibor_3M"/>
    <n v="2.95"/>
    <n v="3.02"/>
    <n v="0"/>
    <d v="2012-08-02T00:00:00"/>
    <d v="2019-08-02T00:00:00"/>
    <x v="124"/>
  </r>
  <r>
    <n v="1298"/>
    <x v="17"/>
    <x v="4"/>
    <x v="2"/>
    <n v="0.67384259259259249"/>
    <s v="Shibor_3M"/>
    <n v="2.95"/>
    <n v="3.05"/>
    <n v="0"/>
    <d v="2012-08-02T00:00:00"/>
    <d v="2014-08-02T00:00:00"/>
    <x v="99"/>
  </r>
  <r>
    <n v="1299"/>
    <x v="17"/>
    <x v="8"/>
    <x v="3"/>
    <n v="0.67584490740740744"/>
    <s v="Shibor_3M"/>
    <n v="3.47"/>
    <n v="3.57"/>
    <n v="0"/>
    <d v="2012-08-02T00:00:00"/>
    <d v="2013-02-02T00:00:00"/>
    <x v="8"/>
  </r>
  <r>
    <n v="1300"/>
    <x v="17"/>
    <x v="4"/>
    <x v="3"/>
    <n v="0.67584490740740744"/>
    <s v="Shibor_3M"/>
    <n v="2.99"/>
    <n v="3.05"/>
    <n v="0"/>
    <d v="2012-08-02T00:00:00"/>
    <d v="2014-08-02T00:00:00"/>
    <x v="116"/>
  </r>
  <r>
    <n v="1301"/>
    <x v="17"/>
    <x v="4"/>
    <x v="0"/>
    <n v="0.67655092592592592"/>
    <s v="Shibor_3M"/>
    <n v="2.95"/>
    <n v="3.05"/>
    <n v="0"/>
    <d v="2012-08-02T00:00:00"/>
    <d v="2014-08-02T00:00:00"/>
    <x v="99"/>
  </r>
  <r>
    <n v="1302"/>
    <x v="17"/>
    <x v="1"/>
    <x v="0"/>
    <n v="0.67655092592592592"/>
    <s v="Shibor_3M"/>
    <n v="3.12"/>
    <n v="3.22"/>
    <n v="0"/>
    <d v="2012-08-02T00:00:00"/>
    <d v="2013-08-02T00:00:00"/>
    <x v="56"/>
  </r>
  <r>
    <n v="1303"/>
    <x v="17"/>
    <x v="0"/>
    <x v="3"/>
    <n v="0.67584490740740744"/>
    <s v="Shibor_3M"/>
    <n v="2.94"/>
    <n v="2.99"/>
    <n v="0"/>
    <d v="2012-08-02T00:00:00"/>
    <d v="2015-08-02T00:00:00"/>
    <x v="128"/>
  </r>
  <r>
    <n v="1304"/>
    <x v="17"/>
    <x v="11"/>
    <x v="3"/>
    <n v="0.67583333333333329"/>
    <s v="Shibor_3M"/>
    <n v="2.96"/>
    <n v="3.01"/>
    <n v="0"/>
    <d v="2012-08-02T00:00:00"/>
    <d v="2017-08-02T00:00:00"/>
    <x v="103"/>
  </r>
  <r>
    <n v="1305"/>
    <x v="17"/>
    <x v="1"/>
    <x v="3"/>
    <n v="0.67583333333333329"/>
    <s v="Shibor_3M"/>
    <n v="3.15"/>
    <n v="3.25"/>
    <n v="0"/>
    <d v="2012-08-02T00:00:00"/>
    <d v="2013-08-02T00:00:00"/>
    <x v="57"/>
  </r>
  <r>
    <n v="1306"/>
    <x v="17"/>
    <x v="2"/>
    <x v="3"/>
    <n v="0.67583333333333329"/>
    <s v="Shibor_3M"/>
    <n v="2.92"/>
    <n v="3.02"/>
    <n v="0"/>
    <d v="2012-08-02T00:00:00"/>
    <d v="2016-08-02T00:00:00"/>
    <x v="105"/>
  </r>
  <r>
    <n v="1307"/>
    <x v="17"/>
    <x v="5"/>
    <x v="3"/>
    <n v="0.67583333333333329"/>
    <s v="Shibor_3M"/>
    <n v="3.28"/>
    <n v="3.35"/>
    <n v="0"/>
    <d v="2012-08-02T00:00:00"/>
    <d v="2013-05-02T00:00:00"/>
    <x v="34"/>
  </r>
  <r>
    <n v="1308"/>
    <x v="18"/>
    <x v="4"/>
    <x v="2"/>
    <n v="0.4880902777777778"/>
    <s v="Shibor_3M"/>
    <n v="2.95"/>
    <n v="3.05"/>
    <n v="0"/>
    <d v="2012-08-01T00:00:00"/>
    <d v="2014-08-01T00:00:00"/>
    <x v="99"/>
  </r>
  <r>
    <n v="1309"/>
    <x v="18"/>
    <x v="11"/>
    <x v="2"/>
    <n v="0.48810185185185184"/>
    <s v="Shibor_3M"/>
    <n v="2.95"/>
    <n v="3.02"/>
    <n v="0"/>
    <d v="2012-08-01T00:00:00"/>
    <d v="2017-08-01T00:00:00"/>
    <x v="124"/>
  </r>
  <r>
    <n v="1310"/>
    <x v="18"/>
    <x v="2"/>
    <x v="2"/>
    <n v="0.48810185185185184"/>
    <s v="Shibor_3M"/>
    <n v="2.95"/>
    <n v="3.02"/>
    <n v="0"/>
    <d v="2012-08-01T00:00:00"/>
    <d v="2016-08-01T00:00:00"/>
    <x v="124"/>
  </r>
  <r>
    <n v="1311"/>
    <x v="18"/>
    <x v="6"/>
    <x v="2"/>
    <n v="0.4880902777777778"/>
    <s v="Shibor_3M"/>
    <n v="2.95"/>
    <n v="3.02"/>
    <n v="0"/>
    <d v="2012-08-01T00:00:00"/>
    <d v="2022-08-01T00:00:00"/>
    <x v="124"/>
  </r>
  <r>
    <n v="1312"/>
    <x v="18"/>
    <x v="0"/>
    <x v="1"/>
    <n v="0.48731481481481481"/>
    <s v="Shibor_3M"/>
    <n v="2.94"/>
    <n v="3"/>
    <n v="0"/>
    <d v="2012-08-01T00:00:00"/>
    <d v="2015-08-01T00:00:00"/>
    <x v="105"/>
  </r>
  <r>
    <n v="1313"/>
    <x v="18"/>
    <x v="8"/>
    <x v="2"/>
    <n v="0.48807870370370371"/>
    <s v="Shibor_3M"/>
    <n v="3.45"/>
    <n v="3.5"/>
    <n v="0"/>
    <d v="2012-08-01T00:00:00"/>
    <d v="2013-02-01T00:00:00"/>
    <x v="108"/>
  </r>
  <r>
    <n v="1314"/>
    <x v="18"/>
    <x v="1"/>
    <x v="2"/>
    <n v="0.4880902777777778"/>
    <s v="Shibor_3M"/>
    <n v="3.12"/>
    <n v="3.17"/>
    <n v="0"/>
    <d v="2012-08-01T00:00:00"/>
    <d v="2013-08-01T00:00:00"/>
    <x v="92"/>
  </r>
  <r>
    <n v="1315"/>
    <x v="18"/>
    <x v="1"/>
    <x v="1"/>
    <n v="0.67300925925925925"/>
    <s v="Shibor_3M"/>
    <n v="3.16"/>
    <n v="3.22"/>
    <n v="0"/>
    <d v="2012-08-01T00:00:00"/>
    <d v="2013-08-01T00:00:00"/>
    <x v="55"/>
  </r>
  <r>
    <n v="1316"/>
    <x v="18"/>
    <x v="4"/>
    <x v="1"/>
    <n v="0.67300925925925925"/>
    <s v="Shibor_3M"/>
    <n v="2.99"/>
    <n v="3.05"/>
    <n v="0"/>
    <d v="2012-08-01T00:00:00"/>
    <d v="2014-08-01T00:00:00"/>
    <x v="116"/>
  </r>
  <r>
    <n v="1317"/>
    <x v="18"/>
    <x v="8"/>
    <x v="2"/>
    <n v="0.67300925925925925"/>
    <s v="Shibor_3M"/>
    <n v="3.45"/>
    <n v="3.5"/>
    <n v="0"/>
    <d v="2012-08-01T00:00:00"/>
    <d v="2013-02-01T00:00:00"/>
    <x v="108"/>
  </r>
  <r>
    <n v="1318"/>
    <x v="18"/>
    <x v="8"/>
    <x v="1"/>
    <n v="0.67300925925925925"/>
    <s v="Shibor_3M"/>
    <n v="3.49"/>
    <n v="3.55"/>
    <n v="0"/>
    <d v="2012-08-01T00:00:00"/>
    <d v="2013-02-01T00:00:00"/>
    <x v="8"/>
  </r>
  <r>
    <n v="1319"/>
    <x v="18"/>
    <x v="0"/>
    <x v="2"/>
    <n v="0.48810185185185184"/>
    <s v="Shibor_3M"/>
    <n v="2.95"/>
    <n v="3.02"/>
    <n v="0"/>
    <d v="2012-08-01T00:00:00"/>
    <d v="2015-08-01T00:00:00"/>
    <x v="124"/>
  </r>
  <r>
    <n v="1320"/>
    <x v="18"/>
    <x v="7"/>
    <x v="2"/>
    <n v="0.48810185185185184"/>
    <s v="Shibor_3M"/>
    <n v="2.95"/>
    <n v="3.02"/>
    <n v="0"/>
    <d v="2012-08-01T00:00:00"/>
    <d v="2019-08-01T00:00:00"/>
    <x v="124"/>
  </r>
  <r>
    <n v="1321"/>
    <x v="18"/>
    <x v="5"/>
    <x v="2"/>
    <n v="0.48810185185185184"/>
    <s v="Shibor_3M"/>
    <n v="3.2"/>
    <n v="3.28"/>
    <n v="0"/>
    <d v="2012-08-01T00:00:00"/>
    <d v="2013-05-01T00:00:00"/>
    <x v="10"/>
  </r>
  <r>
    <n v="1322"/>
    <x v="18"/>
    <x v="2"/>
    <x v="1"/>
    <n v="0.48731481481481481"/>
    <s v="Shibor_3M"/>
    <n v="2.93"/>
    <n v="2.99"/>
    <n v="0"/>
    <d v="2012-08-01T00:00:00"/>
    <d v="2016-08-01T00:00:00"/>
    <x v="117"/>
  </r>
  <r>
    <n v="1323"/>
    <x v="18"/>
    <x v="4"/>
    <x v="3"/>
    <n v="0.48534722222222221"/>
    <s v="Shibor_3M"/>
    <n v="3"/>
    <n v="3.08"/>
    <n v="0"/>
    <d v="2012-08-01T00:00:00"/>
    <d v="2014-08-01T00:00:00"/>
    <x v="91"/>
  </r>
  <r>
    <n v="1324"/>
    <x v="18"/>
    <x v="8"/>
    <x v="3"/>
    <n v="0.48534722222222221"/>
    <s v="Shibor_3M"/>
    <n v="3.5"/>
    <n v="3.57"/>
    <n v="0"/>
    <d v="2012-08-01T00:00:00"/>
    <d v="2013-02-01T00:00:00"/>
    <x v="129"/>
  </r>
  <r>
    <n v="1325"/>
    <x v="18"/>
    <x v="0"/>
    <x v="3"/>
    <n v="0.48534722222222221"/>
    <s v="Shibor_3M"/>
    <n v="2.98"/>
    <n v="3.02"/>
    <n v="0"/>
    <d v="2012-08-01T00:00:00"/>
    <d v="2015-08-01T00:00:00"/>
    <x v="99"/>
  </r>
  <r>
    <n v="1326"/>
    <x v="18"/>
    <x v="1"/>
    <x v="3"/>
    <n v="0.48533564814814811"/>
    <s v="Shibor_3M"/>
    <n v="3.16"/>
    <n v="3.26"/>
    <n v="0"/>
    <d v="2012-08-01T00:00:00"/>
    <d v="2013-08-01T00:00:00"/>
    <x v="88"/>
  </r>
  <r>
    <n v="1327"/>
    <x v="18"/>
    <x v="11"/>
    <x v="3"/>
    <n v="0.48533564814814811"/>
    <s v="Shibor_3M"/>
    <n v="2.98"/>
    <n v="3.04"/>
    <n v="0"/>
    <d v="2012-08-01T00:00:00"/>
    <d v="2017-08-01T00:00:00"/>
    <x v="97"/>
  </r>
  <r>
    <n v="1328"/>
    <x v="18"/>
    <x v="5"/>
    <x v="3"/>
    <n v="0.48533564814814811"/>
    <s v="Shibor_3M"/>
    <n v="3.28"/>
    <n v="3.38"/>
    <n v="0"/>
    <d v="2012-08-01T00:00:00"/>
    <d v="2013-05-01T00:00:00"/>
    <x v="41"/>
  </r>
  <r>
    <n v="1329"/>
    <x v="18"/>
    <x v="2"/>
    <x v="3"/>
    <n v="0.48533564814814811"/>
    <s v="Shibor_3M"/>
    <n v="2.93"/>
    <n v="3.02"/>
    <n v="0"/>
    <d v="2012-08-01T00:00:00"/>
    <d v="2016-08-01T00:00:00"/>
    <x v="130"/>
  </r>
  <r>
    <n v="1330"/>
    <x v="18"/>
    <x v="8"/>
    <x v="1"/>
    <n v="0.48730324074074072"/>
    <s v="Shibor_3M"/>
    <n v="3.51"/>
    <n v="3.57"/>
    <n v="0"/>
    <d v="2012-08-01T00:00:00"/>
    <d v="2013-02-01T00:00:00"/>
    <x v="61"/>
  </r>
  <r>
    <n v="1331"/>
    <x v="18"/>
    <x v="6"/>
    <x v="1"/>
    <n v="0.48731481481481481"/>
    <s v="Shibor_3M"/>
    <n v="3.08"/>
    <n v="3.14"/>
    <n v="0"/>
    <d v="2012-08-01T00:00:00"/>
    <d v="2022-08-01T00:00:00"/>
    <x v="50"/>
  </r>
  <r>
    <n v="1332"/>
    <x v="18"/>
    <x v="11"/>
    <x v="1"/>
    <n v="0.48731481481481481"/>
    <s v="Shibor_3M"/>
    <n v="2.96"/>
    <n v="3.02"/>
    <n v="0"/>
    <d v="2012-08-01T00:00:00"/>
    <d v="2017-08-01T00:00:00"/>
    <x v="114"/>
  </r>
  <r>
    <n v="1333"/>
    <x v="18"/>
    <x v="5"/>
    <x v="1"/>
    <n v="0.48730324074074072"/>
    <s v="Shibor_3M"/>
    <n v="3.3"/>
    <n v="3.36"/>
    <n v="0"/>
    <d v="2012-08-01T00:00:00"/>
    <d v="2013-05-01T00:00:00"/>
    <x v="41"/>
  </r>
  <r>
    <n v="1334"/>
    <x v="18"/>
    <x v="1"/>
    <x v="1"/>
    <n v="0.48730324074074072"/>
    <s v="Shibor_3M"/>
    <n v="3.16"/>
    <n v="3.22"/>
    <n v="0"/>
    <d v="2012-08-01T00:00:00"/>
    <d v="2013-08-01T00:00:00"/>
    <x v="55"/>
  </r>
  <r>
    <n v="1335"/>
    <x v="18"/>
    <x v="4"/>
    <x v="1"/>
    <n v="0.48730324074074072"/>
    <s v="Shibor_3M"/>
    <n v="2.99"/>
    <n v="3.05"/>
    <n v="0"/>
    <d v="2012-08-01T00:00:00"/>
    <d v="2014-08-01T00:00:00"/>
    <x v="116"/>
  </r>
  <r>
    <n v="1336"/>
    <x v="18"/>
    <x v="7"/>
    <x v="1"/>
    <n v="0.48730324074074072"/>
    <s v="Shibor_3M"/>
    <n v="3.03"/>
    <n v="3.09"/>
    <n v="0"/>
    <d v="2012-08-01T00:00:00"/>
    <d v="2019-08-01T00:00:00"/>
    <x v="95"/>
  </r>
  <r>
    <n v="1337"/>
    <x v="18"/>
    <x v="1"/>
    <x v="2"/>
    <n v="0.67300925925925925"/>
    <s v="Shibor_3M"/>
    <n v="3.12"/>
    <n v="3.17"/>
    <n v="0"/>
    <d v="2012-08-01T00:00:00"/>
    <d v="2013-08-01T00:00:00"/>
    <x v="92"/>
  </r>
  <r>
    <n v="1338"/>
    <x v="18"/>
    <x v="4"/>
    <x v="6"/>
    <n v="0.67651620370370369"/>
    <s v="Shibor_3M"/>
    <n v="2.93"/>
    <n v="3.02"/>
    <n v="0"/>
    <d v="2012-08-01T00:00:00"/>
    <d v="2014-08-01T00:00:00"/>
    <x v="130"/>
  </r>
  <r>
    <n v="1339"/>
    <x v="18"/>
    <x v="1"/>
    <x v="6"/>
    <n v="0.67651620370370369"/>
    <s v="Shibor_3M"/>
    <n v="3.12"/>
    <n v="3.19"/>
    <n v="0"/>
    <d v="2012-08-01T00:00:00"/>
    <d v="2013-08-01T00:00:00"/>
    <x v="52"/>
  </r>
  <r>
    <n v="1340"/>
    <x v="18"/>
    <x v="6"/>
    <x v="6"/>
    <n v="0.67651620370370369"/>
    <s v="Shibor_3M"/>
    <n v="3.03"/>
    <n v="3.1"/>
    <n v="0"/>
    <d v="2012-08-01T00:00:00"/>
    <d v="2022-08-01T00:00:00"/>
    <x v="85"/>
  </r>
  <r>
    <n v="1341"/>
    <x v="18"/>
    <x v="0"/>
    <x v="6"/>
    <n v="0.67651620370370369"/>
    <s v="Shibor_3M"/>
    <n v="2.91"/>
    <n v="2.97"/>
    <n v="0"/>
    <d v="2012-08-01T00:00:00"/>
    <d v="2015-08-01T00:00:00"/>
    <x v="131"/>
  </r>
  <r>
    <n v="1342"/>
    <x v="18"/>
    <x v="8"/>
    <x v="6"/>
    <n v="0.67651620370370369"/>
    <s v="Shibor_3M"/>
    <n v="3.47"/>
    <n v="3.52"/>
    <n v="0"/>
    <d v="2012-08-01T00:00:00"/>
    <d v="2013-02-01T00:00:00"/>
    <x v="132"/>
  </r>
  <r>
    <n v="1343"/>
    <x v="18"/>
    <x v="11"/>
    <x v="6"/>
    <n v="0.67651620370370369"/>
    <s v="Shibor_3M"/>
    <n v="2.91"/>
    <n v="2.96"/>
    <n v="0"/>
    <d v="2012-08-01T00:00:00"/>
    <d v="2017-08-01T00:00:00"/>
    <x v="133"/>
  </r>
  <r>
    <n v="1344"/>
    <x v="18"/>
    <x v="2"/>
    <x v="6"/>
    <n v="0.67651620370370369"/>
    <s v="Shibor_3M"/>
    <n v="2.91"/>
    <n v="2.96"/>
    <n v="0"/>
    <d v="2012-08-01T00:00:00"/>
    <d v="2016-08-01T00:00:00"/>
    <x v="133"/>
  </r>
  <r>
    <n v="1345"/>
    <x v="18"/>
    <x v="0"/>
    <x v="3"/>
    <n v="0.67740740740740746"/>
    <s v="Shibor_3M"/>
    <n v="2.94"/>
    <n v="3"/>
    <n v="0"/>
    <d v="2012-08-01T00:00:00"/>
    <d v="2015-08-01T00:00:00"/>
    <x v="105"/>
  </r>
  <r>
    <n v="1346"/>
    <x v="18"/>
    <x v="4"/>
    <x v="3"/>
    <n v="0.67740740740740746"/>
    <s v="Shibor_3M"/>
    <n v="3"/>
    <n v="3.05"/>
    <n v="0"/>
    <d v="2012-08-01T00:00:00"/>
    <d v="2014-08-01T00:00:00"/>
    <x v="79"/>
  </r>
  <r>
    <n v="1347"/>
    <x v="18"/>
    <x v="8"/>
    <x v="3"/>
    <n v="0.67740740740740746"/>
    <s v="Shibor_3M"/>
    <n v="3.49"/>
    <n v="3.59"/>
    <n v="0"/>
    <d v="2012-08-01T00:00:00"/>
    <d v="2013-02-01T00:00:00"/>
    <x v="61"/>
  </r>
  <r>
    <n v="1348"/>
    <x v="18"/>
    <x v="2"/>
    <x v="3"/>
    <n v="0.67739583333333331"/>
    <s v="Shibor_3M"/>
    <n v="2.95"/>
    <n v="3"/>
    <n v="0"/>
    <d v="2012-08-01T00:00:00"/>
    <d v="2016-08-01T00:00:00"/>
    <x v="130"/>
  </r>
  <r>
    <n v="1349"/>
    <x v="18"/>
    <x v="1"/>
    <x v="3"/>
    <n v="0.67738425925925927"/>
    <s v="Shibor_3M"/>
    <n v="3.18"/>
    <n v="3.24"/>
    <n v="0"/>
    <d v="2012-08-01T00:00:00"/>
    <d v="2013-08-01T00:00:00"/>
    <x v="88"/>
  </r>
  <r>
    <n v="1350"/>
    <x v="18"/>
    <x v="11"/>
    <x v="3"/>
    <n v="0.67738425925925927"/>
    <s v="Shibor_3M"/>
    <n v="2.98"/>
    <n v="3.03"/>
    <n v="0"/>
    <d v="2012-08-01T00:00:00"/>
    <d v="2017-08-01T00:00:00"/>
    <x v="113"/>
  </r>
  <r>
    <n v="1351"/>
    <x v="18"/>
    <x v="5"/>
    <x v="3"/>
    <n v="0.67738425925925927"/>
    <s v="Shibor_3M"/>
    <n v="3.28"/>
    <n v="3.38"/>
    <n v="0"/>
    <d v="2012-08-01T00:00:00"/>
    <d v="2013-05-01T00:00:00"/>
    <x v="41"/>
  </r>
  <r>
    <n v="1352"/>
    <x v="18"/>
    <x v="7"/>
    <x v="6"/>
    <n v="0.67651620370370369"/>
    <s v="Shibor_3M"/>
    <n v="2.99"/>
    <n v="3.05"/>
    <n v="0"/>
    <d v="2012-08-01T00:00:00"/>
    <d v="2019-08-01T00:00:00"/>
    <x v="116"/>
  </r>
  <r>
    <n v="1353"/>
    <x v="18"/>
    <x v="7"/>
    <x v="1"/>
    <n v="0.67302083333333329"/>
    <s v="Shibor_3M"/>
    <n v="3.03"/>
    <n v="3.09"/>
    <n v="0"/>
    <d v="2012-08-01T00:00:00"/>
    <d v="2019-08-01T00:00:00"/>
    <x v="95"/>
  </r>
  <r>
    <n v="1354"/>
    <x v="18"/>
    <x v="5"/>
    <x v="1"/>
    <n v="0.67302083333333329"/>
    <s v="Shibor_3M"/>
    <n v="3.28"/>
    <n v="3.34"/>
    <n v="0"/>
    <d v="2012-08-01T00:00:00"/>
    <d v="2013-05-01T00:00:00"/>
    <x v="6"/>
  </r>
  <r>
    <n v="1355"/>
    <x v="18"/>
    <x v="6"/>
    <x v="1"/>
    <n v="0.67302083333333329"/>
    <s v="Shibor_3M"/>
    <n v="3.08"/>
    <n v="3.14"/>
    <n v="0"/>
    <d v="2012-08-01T00:00:00"/>
    <d v="2022-08-01T00:00:00"/>
    <x v="50"/>
  </r>
  <r>
    <n v="1356"/>
    <x v="18"/>
    <x v="7"/>
    <x v="2"/>
    <n v="0.67302083333333329"/>
    <s v="Shibor_3M"/>
    <n v="2.95"/>
    <n v="3.02"/>
    <n v="0"/>
    <d v="2012-08-01T00:00:00"/>
    <d v="2019-08-01T00:00:00"/>
    <x v="124"/>
  </r>
  <r>
    <n v="1357"/>
    <x v="18"/>
    <x v="0"/>
    <x v="1"/>
    <n v="0.67302083333333329"/>
    <s v="Shibor_3M"/>
    <n v="2.94"/>
    <n v="3"/>
    <n v="0"/>
    <d v="2012-08-01T00:00:00"/>
    <d v="2015-08-01T00:00:00"/>
    <x v="105"/>
  </r>
  <r>
    <n v="1358"/>
    <x v="18"/>
    <x v="6"/>
    <x v="2"/>
    <n v="0.67302083333333329"/>
    <s v="Shibor_3M"/>
    <n v="2.95"/>
    <n v="3.02"/>
    <n v="0"/>
    <d v="2012-08-01T00:00:00"/>
    <d v="2022-08-01T00:00:00"/>
    <x v="124"/>
  </r>
  <r>
    <n v="1359"/>
    <x v="18"/>
    <x v="4"/>
    <x v="2"/>
    <n v="0.67302083333333329"/>
    <s v="Shibor_3M"/>
    <n v="2.95"/>
    <n v="3.05"/>
    <n v="0"/>
    <d v="2012-08-01T00:00:00"/>
    <d v="2014-08-01T00:00:00"/>
    <x v="99"/>
  </r>
  <r>
    <n v="1360"/>
    <x v="18"/>
    <x v="0"/>
    <x v="2"/>
    <n v="0.67303240740740744"/>
    <s v="Shibor_3M"/>
    <n v="2.95"/>
    <n v="3.02"/>
    <n v="0"/>
    <d v="2012-08-01T00:00:00"/>
    <d v="2015-08-01T00:00:00"/>
    <x v="124"/>
  </r>
  <r>
    <n v="1361"/>
    <x v="18"/>
    <x v="5"/>
    <x v="2"/>
    <n v="0.67303240740740744"/>
    <s v="Shibor_3M"/>
    <n v="3.2"/>
    <n v="3.28"/>
    <n v="0"/>
    <d v="2012-08-01T00:00:00"/>
    <d v="2013-05-01T00:00:00"/>
    <x v="10"/>
  </r>
  <r>
    <n v="1362"/>
    <x v="18"/>
    <x v="5"/>
    <x v="6"/>
    <n v="0.6764930555555555"/>
    <s v="Shibor_3M"/>
    <n v="3.28"/>
    <n v="3.31"/>
    <n v="0"/>
    <d v="2012-08-01T00:00:00"/>
    <d v="2013-05-01T00:00:00"/>
    <x v="68"/>
  </r>
  <r>
    <n v="1363"/>
    <x v="18"/>
    <x v="2"/>
    <x v="2"/>
    <n v="0.67303240740740744"/>
    <s v="Shibor_3M"/>
    <n v="2.95"/>
    <n v="3.02"/>
    <n v="0"/>
    <d v="2012-08-01T00:00:00"/>
    <d v="2016-08-01T00:00:00"/>
    <x v="124"/>
  </r>
  <r>
    <n v="1364"/>
    <x v="18"/>
    <x v="11"/>
    <x v="1"/>
    <n v="0.67302083333333329"/>
    <s v="Shibor_3M"/>
    <n v="2.96"/>
    <n v="3.02"/>
    <n v="0"/>
    <d v="2012-08-01T00:00:00"/>
    <d v="2017-08-01T00:00:00"/>
    <x v="114"/>
  </r>
  <r>
    <n v="1365"/>
    <x v="18"/>
    <x v="2"/>
    <x v="1"/>
    <n v="0.67302083333333329"/>
    <s v="Shibor_3M"/>
    <n v="2.93"/>
    <n v="2.99"/>
    <n v="0"/>
    <d v="2012-08-01T00:00:00"/>
    <d v="2016-08-01T00:00:00"/>
    <x v="117"/>
  </r>
  <r>
    <n v="1366"/>
    <x v="18"/>
    <x v="11"/>
    <x v="2"/>
    <n v="0.67303240740740744"/>
    <s v="Shibor_3M"/>
    <n v="2.95"/>
    <n v="3.02"/>
    <n v="0"/>
    <d v="2012-08-01T00:00:00"/>
    <d v="2017-08-01T00:00:00"/>
    <x v="124"/>
  </r>
  <r>
    <n v="1367"/>
    <x v="19"/>
    <x v="0"/>
    <x v="3"/>
    <n v="0.48884259259259261"/>
    <s v="Shibor_3M"/>
    <n v="2.93"/>
    <n v="3.01"/>
    <n v="0"/>
    <d v="2012-07-31T00:00:00"/>
    <d v="2015-07-31T00:00:00"/>
    <x v="105"/>
  </r>
  <r>
    <n v="1368"/>
    <x v="19"/>
    <x v="8"/>
    <x v="3"/>
    <n v="0.48884259259259261"/>
    <s v="Shibor_3M"/>
    <n v="3.5"/>
    <n v="3.6"/>
    <n v="0"/>
    <d v="2012-07-31T00:00:00"/>
    <d v="2013-01-31T00:00:00"/>
    <x v="7"/>
  </r>
  <r>
    <n v="1369"/>
    <x v="19"/>
    <x v="4"/>
    <x v="1"/>
    <n v="0.49211805555555554"/>
    <s v="Shibor_3M"/>
    <n v="2.96"/>
    <n v="3.02"/>
    <n v="0"/>
    <d v="2012-07-31T00:00:00"/>
    <d v="2014-07-31T00:00:00"/>
    <x v="114"/>
  </r>
  <r>
    <n v="1370"/>
    <x v="19"/>
    <x v="1"/>
    <x v="1"/>
    <n v="0.49211805555555554"/>
    <s v="Shibor_3M"/>
    <n v="3.14"/>
    <n v="3.2"/>
    <n v="0"/>
    <d v="2012-07-31T00:00:00"/>
    <d v="2013-07-31T00:00:00"/>
    <x v="56"/>
  </r>
  <r>
    <n v="1371"/>
    <x v="19"/>
    <x v="4"/>
    <x v="3"/>
    <n v="0.48883101851851851"/>
    <s v="Shibor_3M"/>
    <n v="2.97"/>
    <n v="3.05"/>
    <n v="0"/>
    <d v="2012-07-31T00:00:00"/>
    <d v="2014-07-31T00:00:00"/>
    <x v="97"/>
  </r>
  <r>
    <n v="1372"/>
    <x v="19"/>
    <x v="11"/>
    <x v="3"/>
    <n v="0.48880787037037038"/>
    <s v="Shibor_3M"/>
    <n v="2.96"/>
    <n v="3.03"/>
    <n v="0"/>
    <d v="2012-07-31T00:00:00"/>
    <d v="2017-07-31T00:00:00"/>
    <x v="101"/>
  </r>
  <r>
    <n v="1373"/>
    <x v="19"/>
    <x v="1"/>
    <x v="3"/>
    <n v="0.48880787037037038"/>
    <s v="Shibor_3M"/>
    <n v="3.14"/>
    <n v="3.24"/>
    <n v="0"/>
    <d v="2012-07-31T00:00:00"/>
    <d v="2013-07-31T00:00:00"/>
    <x v="55"/>
  </r>
  <r>
    <n v="1374"/>
    <x v="19"/>
    <x v="2"/>
    <x v="3"/>
    <n v="0.48883101851851851"/>
    <s v="Shibor_3M"/>
    <n v="2.93"/>
    <n v="3"/>
    <n v="0"/>
    <d v="2012-07-31T00:00:00"/>
    <d v="2016-07-31T00:00:00"/>
    <x v="128"/>
  </r>
  <r>
    <n v="1375"/>
    <x v="19"/>
    <x v="5"/>
    <x v="3"/>
    <n v="0.48883101851851851"/>
    <s v="Shibor_3M"/>
    <n v="3.27"/>
    <n v="3.37"/>
    <n v="0"/>
    <d v="2012-07-31T00:00:00"/>
    <d v="2013-04-30T00:00:00"/>
    <x v="24"/>
  </r>
  <r>
    <n v="1376"/>
    <x v="19"/>
    <x v="7"/>
    <x v="1"/>
    <n v="0.49211805555555554"/>
    <s v="Shibor_3M"/>
    <n v="3.02"/>
    <n v="3.08"/>
    <n v="0"/>
    <d v="2012-07-31T00:00:00"/>
    <d v="2019-07-31T00:00:00"/>
    <x v="81"/>
  </r>
  <r>
    <n v="1377"/>
    <x v="19"/>
    <x v="8"/>
    <x v="2"/>
    <n v="0.49346064814814811"/>
    <s v="Shibor_3M"/>
    <n v="3.45"/>
    <n v="3.5"/>
    <n v="0"/>
    <d v="2012-07-31T00:00:00"/>
    <d v="2013-01-31T00:00:00"/>
    <x v="108"/>
  </r>
  <r>
    <n v="1378"/>
    <x v="19"/>
    <x v="0"/>
    <x v="1"/>
    <n v="0.49212962962962964"/>
    <s v="Shibor_3M"/>
    <n v="2.94"/>
    <n v="3"/>
    <n v="0"/>
    <d v="2012-07-31T00:00:00"/>
    <d v="2015-07-31T00:00:00"/>
    <x v="105"/>
  </r>
  <r>
    <n v="1379"/>
    <x v="19"/>
    <x v="6"/>
    <x v="2"/>
    <n v="0.49347222222222226"/>
    <s v="Shibor_3M"/>
    <n v="2.95"/>
    <n v="3.02"/>
    <n v="0"/>
    <d v="2012-07-31T00:00:00"/>
    <d v="2022-07-31T00:00:00"/>
    <x v="124"/>
  </r>
  <r>
    <n v="1380"/>
    <x v="19"/>
    <x v="1"/>
    <x v="2"/>
    <n v="0.49347222222222226"/>
    <s v="Shibor_3M"/>
    <n v="3.12"/>
    <n v="3.17"/>
    <n v="0"/>
    <d v="2012-07-31T00:00:00"/>
    <d v="2013-07-31T00:00:00"/>
    <x v="92"/>
  </r>
  <r>
    <n v="1381"/>
    <x v="19"/>
    <x v="2"/>
    <x v="1"/>
    <n v="0.49212962962962964"/>
    <s v="Shibor_3M"/>
    <n v="2.93"/>
    <n v="2.99"/>
    <n v="0"/>
    <d v="2012-07-31T00:00:00"/>
    <d v="2016-07-31T00:00:00"/>
    <x v="117"/>
  </r>
  <r>
    <n v="1382"/>
    <x v="19"/>
    <x v="6"/>
    <x v="1"/>
    <n v="0.49211805555555554"/>
    <s v="Shibor_3M"/>
    <n v="3.07"/>
    <n v="3.13"/>
    <n v="0"/>
    <d v="2012-07-31T00:00:00"/>
    <d v="2022-07-31T00:00:00"/>
    <x v="64"/>
  </r>
  <r>
    <n v="1383"/>
    <x v="19"/>
    <x v="5"/>
    <x v="1"/>
    <n v="0.49211805555555554"/>
    <s v="Shibor_3M"/>
    <n v="3.29"/>
    <n v="3.35"/>
    <n v="0"/>
    <d v="2012-07-31T00:00:00"/>
    <d v="2013-04-30T00:00:00"/>
    <x v="24"/>
  </r>
  <r>
    <n v="1384"/>
    <x v="19"/>
    <x v="11"/>
    <x v="1"/>
    <n v="0.49212962962962964"/>
    <s v="Shibor_3M"/>
    <n v="2.94"/>
    <n v="3"/>
    <n v="0"/>
    <d v="2012-07-31T00:00:00"/>
    <d v="2017-07-31T00:00:00"/>
    <x v="105"/>
  </r>
  <r>
    <n v="1385"/>
    <x v="19"/>
    <x v="8"/>
    <x v="1"/>
    <n v="0.49211805555555554"/>
    <s v="Shibor_3M"/>
    <n v="3.5"/>
    <n v="3.56"/>
    <n v="0"/>
    <d v="2012-07-31T00:00:00"/>
    <d v="2013-01-31T00:00:00"/>
    <x v="134"/>
  </r>
  <r>
    <n v="1386"/>
    <x v="19"/>
    <x v="4"/>
    <x v="6"/>
    <n v="0.48531250000000004"/>
    <s v="Shibor_3M"/>
    <n v="2.93"/>
    <n v="3.03"/>
    <n v="0"/>
    <d v="2012-07-31T00:00:00"/>
    <d v="2014-07-31T00:00:00"/>
    <x v="123"/>
  </r>
  <r>
    <n v="1387"/>
    <x v="19"/>
    <x v="9"/>
    <x v="9"/>
    <n v="0.38964120370370375"/>
    <s v="Shibor_3M"/>
    <n v="2.91"/>
    <n v="3.04"/>
    <n v="0"/>
    <d v="2012-07-31T00:00:00"/>
    <d v="2018-07-31T00:00:00"/>
    <x v="130"/>
  </r>
  <r>
    <n v="1388"/>
    <x v="19"/>
    <x v="11"/>
    <x v="9"/>
    <n v="0.38964120370370375"/>
    <s v="Shibor_3M"/>
    <n v="2.93"/>
    <n v="2.99"/>
    <n v="0"/>
    <d v="2012-07-31T00:00:00"/>
    <d v="2017-07-31T00:00:00"/>
    <x v="117"/>
  </r>
  <r>
    <n v="1389"/>
    <x v="19"/>
    <x v="10"/>
    <x v="9"/>
    <n v="0.38964120370370375"/>
    <s v="Shibor_3M"/>
    <n v="2.93"/>
    <n v="3.13"/>
    <n v="0"/>
    <d v="2012-07-31T00:00:00"/>
    <d v="2020-07-31T00:00:00"/>
    <x v="90"/>
  </r>
  <r>
    <n v="1390"/>
    <x v="19"/>
    <x v="7"/>
    <x v="9"/>
    <n v="0.38964120370370375"/>
    <s v="Shibor_3M"/>
    <n v="2.93"/>
    <n v="3.08"/>
    <n v="0"/>
    <d v="2012-07-31T00:00:00"/>
    <d v="2019-07-31T00:00:00"/>
    <x v="113"/>
  </r>
  <r>
    <n v="1391"/>
    <x v="19"/>
    <x v="2"/>
    <x v="9"/>
    <n v="0.38964120370370375"/>
    <s v="Shibor_3M"/>
    <n v="2.92"/>
    <n v="2.98"/>
    <n v="0"/>
    <d v="2012-07-31T00:00:00"/>
    <d v="2016-07-31T00:00:00"/>
    <x v="122"/>
  </r>
  <r>
    <n v="1392"/>
    <x v="19"/>
    <x v="1"/>
    <x v="9"/>
    <n v="0.38964120370370375"/>
    <s v="Shibor_3M"/>
    <n v="3.12"/>
    <n v="3.18"/>
    <n v="0"/>
    <d v="2012-07-31T00:00:00"/>
    <d v="2013-07-31T00:00:00"/>
    <x v="51"/>
  </r>
  <r>
    <n v="1393"/>
    <x v="19"/>
    <x v="8"/>
    <x v="9"/>
    <n v="0.38964120370370375"/>
    <s v="Shibor_3M"/>
    <n v="3.46"/>
    <n v="3.51"/>
    <n v="0"/>
    <d v="2012-07-31T00:00:00"/>
    <d v="2013-01-31T00:00:00"/>
    <x v="135"/>
  </r>
  <r>
    <n v="1394"/>
    <x v="19"/>
    <x v="0"/>
    <x v="9"/>
    <n v="0.38964120370370375"/>
    <s v="Shibor_3M"/>
    <n v="2.92"/>
    <n v="2.98"/>
    <n v="0"/>
    <d v="2012-07-31T00:00:00"/>
    <d v="2015-07-31T00:00:00"/>
    <x v="122"/>
  </r>
  <r>
    <n v="1395"/>
    <x v="19"/>
    <x v="4"/>
    <x v="9"/>
    <n v="0.38964120370370375"/>
    <s v="Shibor_3M"/>
    <n v="2.94"/>
    <n v="3"/>
    <n v="0"/>
    <d v="2012-07-31T00:00:00"/>
    <d v="2014-07-31T00:00:00"/>
    <x v="105"/>
  </r>
  <r>
    <n v="1396"/>
    <x v="19"/>
    <x v="3"/>
    <x v="9"/>
    <n v="0.38964120370370375"/>
    <s v="Shibor_3M"/>
    <n v="2.93"/>
    <n v="3.18"/>
    <n v="0"/>
    <d v="2012-07-31T00:00:00"/>
    <d v="2021-07-31T00:00:00"/>
    <x v="136"/>
  </r>
  <r>
    <n v="1397"/>
    <x v="19"/>
    <x v="11"/>
    <x v="6"/>
    <n v="0.48531250000000004"/>
    <s v="Shibor_3M"/>
    <n v="2.91"/>
    <n v="3.01"/>
    <n v="0"/>
    <d v="2012-07-31T00:00:00"/>
    <d v="2017-07-31T00:00:00"/>
    <x v="117"/>
  </r>
  <r>
    <n v="1398"/>
    <x v="19"/>
    <x v="8"/>
    <x v="6"/>
    <n v="0.48531250000000004"/>
    <s v="Shibor_3M"/>
    <n v="3.47"/>
    <n v="3.57"/>
    <n v="0"/>
    <d v="2012-07-31T00:00:00"/>
    <d v="2013-01-31T00:00:00"/>
    <x v="8"/>
  </r>
  <r>
    <n v="1399"/>
    <x v="19"/>
    <x v="0"/>
    <x v="6"/>
    <n v="0.48531250000000004"/>
    <s v="Shibor_3M"/>
    <n v="2.91"/>
    <n v="3.01"/>
    <n v="0"/>
    <d v="2012-07-31T00:00:00"/>
    <d v="2015-07-31T00:00:00"/>
    <x v="117"/>
  </r>
  <r>
    <n v="1400"/>
    <x v="19"/>
    <x v="2"/>
    <x v="6"/>
    <n v="0.48531250000000004"/>
    <s v="Shibor_3M"/>
    <n v="2.91"/>
    <n v="3.01"/>
    <n v="0"/>
    <d v="2012-07-31T00:00:00"/>
    <d v="2016-07-31T00:00:00"/>
    <x v="117"/>
  </r>
  <r>
    <n v="1401"/>
    <x v="19"/>
    <x v="7"/>
    <x v="6"/>
    <n v="0.48531250000000004"/>
    <s v="Shibor_3M"/>
    <n v="2.99"/>
    <n v="3.09"/>
    <n v="0"/>
    <d v="2012-07-31T00:00:00"/>
    <d v="2019-07-31T00:00:00"/>
    <x v="91"/>
  </r>
  <r>
    <n v="1402"/>
    <x v="19"/>
    <x v="1"/>
    <x v="6"/>
    <n v="0.48531250000000004"/>
    <s v="Shibor_3M"/>
    <n v="3.12"/>
    <n v="3.22"/>
    <n v="0"/>
    <d v="2012-07-31T00:00:00"/>
    <d v="2013-07-31T00:00:00"/>
    <x v="56"/>
  </r>
  <r>
    <n v="1403"/>
    <x v="19"/>
    <x v="6"/>
    <x v="9"/>
    <n v="0.38965277777777779"/>
    <s v="Shibor_3M"/>
    <n v="2.93"/>
    <n v="3.23"/>
    <n v="0"/>
    <d v="2012-07-31T00:00:00"/>
    <d v="2022-07-31T00:00:00"/>
    <x v="70"/>
  </r>
  <r>
    <n v="1404"/>
    <x v="19"/>
    <x v="5"/>
    <x v="6"/>
    <n v="0.48531250000000004"/>
    <s v="Shibor_3M"/>
    <n v="3.28"/>
    <n v="3.38"/>
    <n v="0"/>
    <d v="2012-07-31T00:00:00"/>
    <d v="2013-04-30T00:00:00"/>
    <x v="41"/>
  </r>
  <r>
    <n v="1405"/>
    <x v="19"/>
    <x v="6"/>
    <x v="6"/>
    <n v="0.48531250000000004"/>
    <s v="Shibor_3M"/>
    <n v="3.03"/>
    <n v="3.13"/>
    <n v="0"/>
    <d v="2012-07-31T00:00:00"/>
    <d v="2022-07-31T00:00:00"/>
    <x v="70"/>
  </r>
  <r>
    <n v="1406"/>
    <x v="19"/>
    <x v="4"/>
    <x v="1"/>
    <n v="0.68445601851851856"/>
    <s v="Shibor_3M"/>
    <n v="2.95"/>
    <n v="3.01"/>
    <n v="0"/>
    <d v="2012-07-31T00:00:00"/>
    <d v="2014-07-31T00:00:00"/>
    <x v="123"/>
  </r>
  <r>
    <n v="1407"/>
    <x v="19"/>
    <x v="1"/>
    <x v="1"/>
    <n v="0.68445601851851856"/>
    <s v="Shibor_3M"/>
    <n v="3.14"/>
    <n v="3.2"/>
    <n v="0"/>
    <d v="2012-07-31T00:00:00"/>
    <d v="2013-07-31T00:00:00"/>
    <x v="56"/>
  </r>
  <r>
    <n v="1408"/>
    <x v="19"/>
    <x v="5"/>
    <x v="1"/>
    <n v="0.68445601851851856"/>
    <s v="Shibor_3M"/>
    <n v="3.28"/>
    <n v="3.34"/>
    <n v="0"/>
    <d v="2012-07-31T00:00:00"/>
    <d v="2013-04-30T00:00:00"/>
    <x v="6"/>
  </r>
  <r>
    <n v="1409"/>
    <x v="19"/>
    <x v="7"/>
    <x v="1"/>
    <n v="0.68445601851851856"/>
    <s v="Shibor_3M"/>
    <n v="3"/>
    <n v="3.06"/>
    <n v="0"/>
    <d v="2012-07-31T00:00:00"/>
    <d v="2019-07-31T00:00:00"/>
    <x v="90"/>
  </r>
  <r>
    <n v="1410"/>
    <x v="19"/>
    <x v="0"/>
    <x v="1"/>
    <n v="0.68445601851851856"/>
    <s v="Shibor_3M"/>
    <n v="2.92"/>
    <n v="2.98"/>
    <n v="0"/>
    <d v="2012-07-31T00:00:00"/>
    <d v="2015-07-31T00:00:00"/>
    <x v="122"/>
  </r>
  <r>
    <n v="1411"/>
    <x v="19"/>
    <x v="8"/>
    <x v="1"/>
    <n v="0.68444444444444441"/>
    <s v="Shibor_3M"/>
    <n v="3.49"/>
    <n v="3.55"/>
    <n v="0"/>
    <d v="2012-07-31T00:00:00"/>
    <d v="2013-01-31T00:00:00"/>
    <x v="8"/>
  </r>
  <r>
    <n v="1412"/>
    <x v="19"/>
    <x v="2"/>
    <x v="2"/>
    <n v="0.67381944444444442"/>
    <s v="Shibor_3M"/>
    <n v="2.95"/>
    <n v="3.02"/>
    <n v="0"/>
    <d v="2012-07-31T00:00:00"/>
    <d v="2016-07-31T00:00:00"/>
    <x v="124"/>
  </r>
  <r>
    <n v="1413"/>
    <x v="19"/>
    <x v="2"/>
    <x v="1"/>
    <n v="0.68445601851851856"/>
    <s v="Shibor_3M"/>
    <n v="2.91"/>
    <n v="2.97"/>
    <n v="0"/>
    <d v="2012-07-31T00:00:00"/>
    <d v="2016-07-31T00:00:00"/>
    <x v="131"/>
  </r>
  <r>
    <n v="1414"/>
    <x v="19"/>
    <x v="11"/>
    <x v="1"/>
    <n v="0.68445601851851856"/>
    <s v="Shibor_3M"/>
    <n v="2.93"/>
    <n v="2.99"/>
    <n v="0"/>
    <d v="2012-07-31T00:00:00"/>
    <d v="2017-07-31T00:00:00"/>
    <x v="117"/>
  </r>
  <r>
    <n v="1415"/>
    <x v="19"/>
    <x v="6"/>
    <x v="1"/>
    <n v="0.68445601851851856"/>
    <s v="Shibor_3M"/>
    <n v="3.05"/>
    <n v="3.11"/>
    <n v="0"/>
    <d v="2012-07-31T00:00:00"/>
    <d v="2022-07-31T00:00:00"/>
    <x v="70"/>
  </r>
  <r>
    <n v="1416"/>
    <x v="19"/>
    <x v="4"/>
    <x v="2"/>
    <n v="0.68562499999999993"/>
    <s v="Shibor_3M"/>
    <n v="2.95"/>
    <n v="3.05"/>
    <n v="0"/>
    <d v="2012-07-31T00:00:00"/>
    <d v="2014-07-31T00:00:00"/>
    <x v="99"/>
  </r>
  <r>
    <n v="1417"/>
    <x v="19"/>
    <x v="6"/>
    <x v="2"/>
    <n v="0.68562499999999993"/>
    <s v="Shibor_3M"/>
    <n v="2.95"/>
    <n v="3.02"/>
    <n v="0"/>
    <d v="2012-07-31T00:00:00"/>
    <d v="2022-07-31T00:00:00"/>
    <x v="124"/>
  </r>
  <r>
    <n v="1418"/>
    <x v="19"/>
    <x v="0"/>
    <x v="2"/>
    <n v="0.68563657407407408"/>
    <s v="Shibor_3M"/>
    <n v="2.95"/>
    <n v="3.02"/>
    <n v="0"/>
    <d v="2012-07-31T00:00:00"/>
    <d v="2015-07-31T00:00:00"/>
    <x v="124"/>
  </r>
  <r>
    <n v="1419"/>
    <x v="19"/>
    <x v="7"/>
    <x v="2"/>
    <n v="0.68562499999999993"/>
    <s v="Shibor_3M"/>
    <n v="2.95"/>
    <n v="3.02"/>
    <n v="0"/>
    <d v="2012-07-31T00:00:00"/>
    <d v="2019-07-31T00:00:00"/>
    <x v="124"/>
  </r>
  <r>
    <n v="1420"/>
    <x v="19"/>
    <x v="1"/>
    <x v="2"/>
    <n v="0.68562499999999993"/>
    <s v="Shibor_3M"/>
    <n v="3.12"/>
    <n v="3.17"/>
    <n v="0"/>
    <d v="2012-07-31T00:00:00"/>
    <d v="2013-07-31T00:00:00"/>
    <x v="92"/>
  </r>
  <r>
    <n v="1421"/>
    <x v="19"/>
    <x v="5"/>
    <x v="2"/>
    <n v="0.68562499999999993"/>
    <s v="Shibor_3M"/>
    <n v="3.2"/>
    <n v="3.28"/>
    <n v="0"/>
    <d v="2012-07-31T00:00:00"/>
    <d v="2013-04-30T00:00:00"/>
    <x v="10"/>
  </r>
  <r>
    <n v="1422"/>
    <x v="19"/>
    <x v="8"/>
    <x v="2"/>
    <n v="0.685613425925926"/>
    <s v="Shibor_3M"/>
    <n v="3.45"/>
    <n v="3.5"/>
    <n v="0"/>
    <d v="2012-07-31T00:00:00"/>
    <d v="2013-01-31T00:00:00"/>
    <x v="108"/>
  </r>
  <r>
    <n v="1423"/>
    <x v="19"/>
    <x v="2"/>
    <x v="2"/>
    <n v="0.68562499999999993"/>
    <s v="Shibor_3M"/>
    <n v="2.95"/>
    <n v="3.02"/>
    <n v="0"/>
    <d v="2012-07-31T00:00:00"/>
    <d v="2016-07-31T00:00:00"/>
    <x v="124"/>
  </r>
  <r>
    <n v="1424"/>
    <x v="19"/>
    <x v="11"/>
    <x v="2"/>
    <n v="0.68562499999999993"/>
    <s v="Shibor_3M"/>
    <n v="2.95"/>
    <n v="3.02"/>
    <n v="0"/>
    <d v="2012-07-31T00:00:00"/>
    <d v="2017-07-31T00:00:00"/>
    <x v="124"/>
  </r>
  <r>
    <n v="1425"/>
    <x v="19"/>
    <x v="11"/>
    <x v="2"/>
    <n v="0.67381944444444442"/>
    <s v="Shibor_3M"/>
    <n v="2.95"/>
    <n v="3.02"/>
    <n v="0"/>
    <d v="2012-07-31T00:00:00"/>
    <d v="2017-07-31T00:00:00"/>
    <x v="124"/>
  </r>
  <r>
    <n v="1426"/>
    <x v="19"/>
    <x v="11"/>
    <x v="3"/>
    <n v="0.67039351851851858"/>
    <s v="Shibor_3M"/>
    <n v="2.93"/>
    <n v="2.98"/>
    <n v="0"/>
    <d v="2012-07-31T00:00:00"/>
    <d v="2017-07-31T00:00:00"/>
    <x v="126"/>
  </r>
  <r>
    <n v="1427"/>
    <x v="19"/>
    <x v="0"/>
    <x v="2"/>
    <n v="0.49351851851851852"/>
    <s v="Shibor_3M"/>
    <n v="2.95"/>
    <n v="3.02"/>
    <n v="0"/>
    <d v="2012-07-31T00:00:00"/>
    <d v="2015-07-31T00:00:00"/>
    <x v="124"/>
  </r>
  <r>
    <n v="1428"/>
    <x v="19"/>
    <x v="2"/>
    <x v="3"/>
    <n v="0.67039351851851858"/>
    <s v="Shibor_3M"/>
    <n v="2.9"/>
    <n v="2.96"/>
    <n v="0"/>
    <d v="2012-07-31T00:00:00"/>
    <d v="2016-07-31T00:00:00"/>
    <x v="137"/>
  </r>
  <r>
    <n v="1429"/>
    <x v="19"/>
    <x v="5"/>
    <x v="3"/>
    <n v="0.67039351851851858"/>
    <s v="Shibor_3M"/>
    <n v="3.25"/>
    <n v="3.35"/>
    <n v="0"/>
    <d v="2012-07-31T00:00:00"/>
    <d v="2013-04-30T00:00:00"/>
    <x v="23"/>
  </r>
  <r>
    <n v="1430"/>
    <x v="19"/>
    <x v="2"/>
    <x v="2"/>
    <n v="0.49350694444444443"/>
    <s v="Shibor_3M"/>
    <n v="2.95"/>
    <n v="3.02"/>
    <n v="0"/>
    <d v="2012-07-31T00:00:00"/>
    <d v="2016-07-31T00:00:00"/>
    <x v="124"/>
  </r>
  <r>
    <n v="1431"/>
    <x v="19"/>
    <x v="7"/>
    <x v="2"/>
    <n v="0.49349537037037039"/>
    <s v="Shibor_3M"/>
    <n v="2.95"/>
    <n v="3.02"/>
    <n v="0"/>
    <d v="2012-07-31T00:00:00"/>
    <d v="2019-07-31T00:00:00"/>
    <x v="124"/>
  </r>
  <r>
    <n v="1432"/>
    <x v="19"/>
    <x v="4"/>
    <x v="2"/>
    <n v="0.49347222222222226"/>
    <s v="Shibor_3M"/>
    <n v="2.95"/>
    <n v="3.05"/>
    <n v="0"/>
    <d v="2012-07-31T00:00:00"/>
    <d v="2014-07-31T00:00:00"/>
    <x v="99"/>
  </r>
  <r>
    <n v="1433"/>
    <x v="19"/>
    <x v="11"/>
    <x v="2"/>
    <n v="0.49350694444444443"/>
    <s v="Shibor_3M"/>
    <n v="2.95"/>
    <n v="3.02"/>
    <n v="0"/>
    <d v="2012-07-31T00:00:00"/>
    <d v="2017-07-31T00:00:00"/>
    <x v="124"/>
  </r>
  <r>
    <n v="1434"/>
    <x v="19"/>
    <x v="5"/>
    <x v="2"/>
    <n v="0.49350694444444443"/>
    <s v="Shibor_3M"/>
    <n v="3.2"/>
    <n v="3.28"/>
    <n v="0"/>
    <d v="2012-07-31T00:00:00"/>
    <d v="2013-04-30T00:00:00"/>
    <x v="10"/>
  </r>
  <r>
    <n v="1435"/>
    <x v="19"/>
    <x v="4"/>
    <x v="3"/>
    <n v="0.67040509259259251"/>
    <s v="Shibor_3M"/>
    <n v="2.96"/>
    <n v="3.01"/>
    <n v="0"/>
    <d v="2012-07-31T00:00:00"/>
    <d v="2014-07-31T00:00:00"/>
    <x v="103"/>
  </r>
  <r>
    <n v="1436"/>
    <x v="19"/>
    <x v="5"/>
    <x v="2"/>
    <n v="0.67380787037037038"/>
    <s v="Shibor_3M"/>
    <n v="3.2"/>
    <n v="3.28"/>
    <n v="0"/>
    <d v="2012-07-31T00:00:00"/>
    <d v="2013-04-30T00:00:00"/>
    <x v="10"/>
  </r>
  <r>
    <n v="1437"/>
    <x v="19"/>
    <x v="7"/>
    <x v="2"/>
    <n v="0.67380787037037038"/>
    <s v="Shibor_3M"/>
    <n v="2.95"/>
    <n v="3.02"/>
    <n v="0"/>
    <d v="2012-07-31T00:00:00"/>
    <d v="2019-07-31T00:00:00"/>
    <x v="124"/>
  </r>
  <r>
    <n v="1438"/>
    <x v="19"/>
    <x v="0"/>
    <x v="2"/>
    <n v="0.67381944444444442"/>
    <s v="Shibor_3M"/>
    <n v="2.95"/>
    <n v="3.02"/>
    <n v="0"/>
    <d v="2012-07-31T00:00:00"/>
    <d v="2015-07-31T00:00:00"/>
    <x v="124"/>
  </r>
  <r>
    <n v="1439"/>
    <x v="19"/>
    <x v="4"/>
    <x v="2"/>
    <n v="0.67380787037037038"/>
    <s v="Shibor_3M"/>
    <n v="2.95"/>
    <n v="3.05"/>
    <n v="0"/>
    <d v="2012-07-31T00:00:00"/>
    <d v="2014-07-31T00:00:00"/>
    <x v="99"/>
  </r>
  <r>
    <n v="1440"/>
    <x v="19"/>
    <x v="6"/>
    <x v="2"/>
    <n v="0.67379629629629623"/>
    <s v="Shibor_3M"/>
    <n v="2.95"/>
    <n v="3.02"/>
    <n v="0"/>
    <d v="2012-07-31T00:00:00"/>
    <d v="2022-07-31T00:00:00"/>
    <x v="124"/>
  </r>
  <r>
    <n v="1441"/>
    <x v="19"/>
    <x v="0"/>
    <x v="3"/>
    <n v="0.67041666666666666"/>
    <s v="Shibor_3M"/>
    <n v="2.88"/>
    <n v="2.95"/>
    <n v="0"/>
    <d v="2012-07-31T00:00:00"/>
    <d v="2015-07-31T00:00:00"/>
    <x v="138"/>
  </r>
  <r>
    <n v="1442"/>
    <x v="19"/>
    <x v="8"/>
    <x v="3"/>
    <n v="0.67040509259259251"/>
    <s v="Shibor_3M"/>
    <n v="3.48"/>
    <n v="3.58"/>
    <n v="0"/>
    <d v="2012-07-31T00:00:00"/>
    <d v="2013-01-31T00:00:00"/>
    <x v="134"/>
  </r>
  <r>
    <n v="1443"/>
    <x v="19"/>
    <x v="1"/>
    <x v="2"/>
    <n v="0.67379629629629623"/>
    <s v="Shibor_3M"/>
    <n v="3.12"/>
    <n v="3.17"/>
    <n v="0"/>
    <d v="2012-07-31T00:00:00"/>
    <d v="2013-07-31T00:00:00"/>
    <x v="92"/>
  </r>
  <r>
    <n v="1444"/>
    <x v="19"/>
    <x v="8"/>
    <x v="2"/>
    <n v="0.67377314814814815"/>
    <s v="Shibor_3M"/>
    <n v="3.45"/>
    <n v="3.5"/>
    <n v="0"/>
    <d v="2012-07-31T00:00:00"/>
    <d v="2013-01-31T00:00:00"/>
    <x v="108"/>
  </r>
  <r>
    <n v="1445"/>
    <x v="20"/>
    <x v="6"/>
    <x v="1"/>
    <n v="0.68406250000000002"/>
    <s v="Shibor_3M"/>
    <n v="3.06"/>
    <n v="3.12"/>
    <n v="0"/>
    <d v="2012-07-28T00:00:00"/>
    <d v="2022-07-28T00:00:00"/>
    <x v="69"/>
  </r>
  <r>
    <n v="1446"/>
    <x v="20"/>
    <x v="11"/>
    <x v="6"/>
    <n v="0.48914351851851851"/>
    <s v="Shibor_3M"/>
    <n v="2.89"/>
    <n v="2.99"/>
    <n v="0"/>
    <d v="2012-07-28T00:00:00"/>
    <d v="2017-07-28T00:00:00"/>
    <x v="131"/>
  </r>
  <r>
    <n v="1447"/>
    <x v="20"/>
    <x v="2"/>
    <x v="6"/>
    <n v="0.48914351851851851"/>
    <s v="Shibor_3M"/>
    <n v="2.89"/>
    <n v="2.99"/>
    <n v="0"/>
    <d v="2012-07-28T00:00:00"/>
    <d v="2016-07-28T00:00:00"/>
    <x v="131"/>
  </r>
  <r>
    <n v="1448"/>
    <x v="20"/>
    <x v="0"/>
    <x v="6"/>
    <n v="0.48914351851851851"/>
    <s v="Shibor_3M"/>
    <n v="2.89"/>
    <n v="2.99"/>
    <n v="0"/>
    <d v="2012-07-28T00:00:00"/>
    <d v="2015-07-28T00:00:00"/>
    <x v="131"/>
  </r>
  <r>
    <n v="1449"/>
    <x v="20"/>
    <x v="8"/>
    <x v="6"/>
    <n v="0.48914351851851851"/>
    <s v="Shibor_3M"/>
    <n v="3.45"/>
    <n v="3.55"/>
    <n v="0"/>
    <d v="2012-07-28T00:00:00"/>
    <d v="2013-01-28T00:00:00"/>
    <x v="13"/>
  </r>
  <r>
    <n v="1450"/>
    <x v="20"/>
    <x v="0"/>
    <x v="3"/>
    <n v="0.48570601851851852"/>
    <s v="Shibor_3M"/>
    <n v="2.91"/>
    <n v="3.01"/>
    <n v="0"/>
    <d v="2012-07-28T00:00:00"/>
    <d v="2015-07-28T00:00:00"/>
    <x v="117"/>
  </r>
  <r>
    <n v="1451"/>
    <x v="20"/>
    <x v="5"/>
    <x v="6"/>
    <n v="0.48914351851851851"/>
    <s v="Shibor_3M"/>
    <n v="3.26"/>
    <n v="3.36"/>
    <n v="0"/>
    <d v="2012-07-28T00:00:00"/>
    <d v="2013-04-28T00:00:00"/>
    <x v="6"/>
  </r>
  <r>
    <n v="1452"/>
    <x v="20"/>
    <x v="7"/>
    <x v="6"/>
    <n v="0.48914351851851851"/>
    <s v="Shibor_3M"/>
    <n v="2.97"/>
    <n v="3.07"/>
    <n v="0"/>
    <d v="2012-07-28T00:00:00"/>
    <d v="2019-07-28T00:00:00"/>
    <x v="116"/>
  </r>
  <r>
    <n v="1453"/>
    <x v="20"/>
    <x v="1"/>
    <x v="1"/>
    <n v="0.49115740740740743"/>
    <s v="Shibor_3M"/>
    <n v="3.13"/>
    <n v="3.19"/>
    <n v="0"/>
    <d v="2012-07-28T00:00:00"/>
    <d v="2013-07-28T00:00:00"/>
    <x v="71"/>
  </r>
  <r>
    <n v="1454"/>
    <x v="20"/>
    <x v="4"/>
    <x v="1"/>
    <n v="0.49115740740740743"/>
    <s v="Shibor_3M"/>
    <n v="2.93"/>
    <n v="2.99"/>
    <n v="0"/>
    <d v="2012-07-28T00:00:00"/>
    <d v="2014-07-28T00:00:00"/>
    <x v="117"/>
  </r>
  <r>
    <n v="1455"/>
    <x v="20"/>
    <x v="7"/>
    <x v="1"/>
    <n v="0.49115740740740743"/>
    <s v="Shibor_3M"/>
    <n v="3.02"/>
    <n v="3.08"/>
    <n v="0"/>
    <d v="2012-07-28T00:00:00"/>
    <d v="2019-07-28T00:00:00"/>
    <x v="81"/>
  </r>
  <r>
    <n v="1456"/>
    <x v="20"/>
    <x v="8"/>
    <x v="1"/>
    <n v="0.49114583333333334"/>
    <s v="Shibor_3M"/>
    <n v="3.49"/>
    <n v="3.55"/>
    <n v="0"/>
    <d v="2012-07-28T00:00:00"/>
    <d v="2013-01-28T00:00:00"/>
    <x v="8"/>
  </r>
  <r>
    <n v="1457"/>
    <x v="20"/>
    <x v="4"/>
    <x v="6"/>
    <n v="0.48914351851851851"/>
    <s v="Shibor_3M"/>
    <n v="2.91"/>
    <n v="3.01"/>
    <n v="0"/>
    <d v="2012-07-28T00:00:00"/>
    <d v="2014-07-28T00:00:00"/>
    <x v="117"/>
  </r>
  <r>
    <n v="1458"/>
    <x v="20"/>
    <x v="1"/>
    <x v="6"/>
    <n v="0.48914351851851851"/>
    <s v="Shibor_3M"/>
    <n v="3.1"/>
    <n v="3.2"/>
    <n v="0"/>
    <d v="2012-07-28T00:00:00"/>
    <d v="2013-07-28T00:00:00"/>
    <x v="51"/>
  </r>
  <r>
    <n v="1459"/>
    <x v="20"/>
    <x v="6"/>
    <x v="6"/>
    <n v="0.48914351851851851"/>
    <s v="Shibor_3M"/>
    <n v="3.01"/>
    <n v="3.11"/>
    <n v="0"/>
    <d v="2012-07-28T00:00:00"/>
    <d v="2022-07-28T00:00:00"/>
    <x v="95"/>
  </r>
  <r>
    <n v="1460"/>
    <x v="20"/>
    <x v="8"/>
    <x v="3"/>
    <n v="0.48568287037037039"/>
    <s v="Shibor_3M"/>
    <n v="3.47"/>
    <n v="3.56"/>
    <n v="0"/>
    <d v="2012-07-28T00:00:00"/>
    <d v="2013-01-28T00:00:00"/>
    <x v="15"/>
  </r>
  <r>
    <n v="1461"/>
    <x v="20"/>
    <x v="1"/>
    <x v="2"/>
    <n v="0.48282407407407407"/>
    <s v="Shibor_3M"/>
    <n v="3.1"/>
    <n v="3.15"/>
    <n v="0"/>
    <d v="2012-07-28T00:00:00"/>
    <d v="2013-07-28T00:00:00"/>
    <x v="80"/>
  </r>
  <r>
    <n v="1462"/>
    <x v="20"/>
    <x v="6"/>
    <x v="2"/>
    <n v="0.48282407407407407"/>
    <s v="Shibor_3M"/>
    <n v="2.9"/>
    <n v="3"/>
    <n v="0"/>
    <d v="2012-07-28T00:00:00"/>
    <d v="2022-07-28T00:00:00"/>
    <x v="122"/>
  </r>
  <r>
    <n v="1463"/>
    <x v="20"/>
    <x v="11"/>
    <x v="2"/>
    <n v="0.48283564814814817"/>
    <s v="Shibor_3M"/>
    <n v="2.9"/>
    <n v="3"/>
    <n v="0"/>
    <d v="2012-07-28T00:00:00"/>
    <d v="2017-07-28T00:00:00"/>
    <x v="122"/>
  </r>
  <r>
    <n v="1464"/>
    <x v="20"/>
    <x v="8"/>
    <x v="2"/>
    <n v="0.48282407407407407"/>
    <s v="Shibor_3M"/>
    <n v="3.45"/>
    <n v="3.5"/>
    <n v="0"/>
    <d v="2012-07-28T00:00:00"/>
    <d v="2013-01-28T00:00:00"/>
    <x v="108"/>
  </r>
  <r>
    <n v="1465"/>
    <x v="20"/>
    <x v="4"/>
    <x v="2"/>
    <n v="0.48282407407407407"/>
    <s v="Shibor_3M"/>
    <n v="2.93"/>
    <n v="3.02"/>
    <n v="0"/>
    <d v="2012-07-28T00:00:00"/>
    <d v="2014-07-28T00:00:00"/>
    <x v="130"/>
  </r>
  <r>
    <n v="1466"/>
    <x v="20"/>
    <x v="7"/>
    <x v="2"/>
    <n v="0.48282407407407407"/>
    <s v="Shibor_3M"/>
    <n v="2.9"/>
    <n v="3"/>
    <n v="0"/>
    <d v="2012-07-28T00:00:00"/>
    <d v="2019-07-28T00:00:00"/>
    <x v="122"/>
  </r>
  <r>
    <n v="1467"/>
    <x v="20"/>
    <x v="5"/>
    <x v="2"/>
    <n v="0.48282407407407407"/>
    <s v="Shibor_3M"/>
    <n v="3.2"/>
    <n v="3.28"/>
    <n v="0"/>
    <d v="2012-07-28T00:00:00"/>
    <d v="2013-04-28T00:00:00"/>
    <x v="10"/>
  </r>
  <r>
    <n v="1468"/>
    <x v="20"/>
    <x v="11"/>
    <x v="3"/>
    <n v="0.4856712962962963"/>
    <s v="Shibor_3M"/>
    <n v="2.91"/>
    <n v="3.01"/>
    <n v="0"/>
    <d v="2012-07-28T00:00:00"/>
    <d v="2017-07-28T00:00:00"/>
    <x v="117"/>
  </r>
  <r>
    <n v="1469"/>
    <x v="20"/>
    <x v="5"/>
    <x v="3"/>
    <n v="0.4856712962962963"/>
    <s v="Shibor_3M"/>
    <n v="3.27"/>
    <n v="3.33"/>
    <n v="0"/>
    <d v="2012-07-28T00:00:00"/>
    <d v="2013-04-28T00:00:00"/>
    <x v="23"/>
  </r>
  <r>
    <n v="1470"/>
    <x v="20"/>
    <x v="4"/>
    <x v="3"/>
    <n v="0.48568287037037039"/>
    <s v="Shibor_3M"/>
    <n v="2.93"/>
    <n v="3.02"/>
    <n v="0"/>
    <d v="2012-07-28T00:00:00"/>
    <d v="2014-07-28T00:00:00"/>
    <x v="130"/>
  </r>
  <r>
    <n v="1471"/>
    <x v="20"/>
    <x v="1"/>
    <x v="3"/>
    <n v="0.4856712962962963"/>
    <s v="Shibor_3M"/>
    <n v="3.12"/>
    <n v="3.19"/>
    <n v="0"/>
    <d v="2012-07-28T00:00:00"/>
    <d v="2013-07-28T00:00:00"/>
    <x v="52"/>
  </r>
  <r>
    <n v="1472"/>
    <x v="20"/>
    <x v="2"/>
    <x v="2"/>
    <n v="0.48283564814814817"/>
    <s v="Shibor_3M"/>
    <n v="2.9"/>
    <n v="3"/>
    <n v="0"/>
    <d v="2012-07-28T00:00:00"/>
    <d v="2016-07-28T00:00:00"/>
    <x v="122"/>
  </r>
  <r>
    <n v="1473"/>
    <x v="20"/>
    <x v="0"/>
    <x v="2"/>
    <n v="0.48283564814814817"/>
    <s v="Shibor_3M"/>
    <n v="2.9"/>
    <n v="3"/>
    <n v="0"/>
    <d v="2012-07-28T00:00:00"/>
    <d v="2015-07-28T00:00:00"/>
    <x v="122"/>
  </r>
  <r>
    <n v="1474"/>
    <x v="20"/>
    <x v="2"/>
    <x v="3"/>
    <n v="0.4856712962962963"/>
    <s v="Shibor_3M"/>
    <n v="2.94"/>
    <n v="2.99"/>
    <n v="0"/>
    <d v="2012-07-28T00:00:00"/>
    <d v="2016-07-28T00:00:00"/>
    <x v="128"/>
  </r>
  <r>
    <n v="1475"/>
    <x v="20"/>
    <x v="8"/>
    <x v="3"/>
    <n v="0.6759722222222222"/>
    <s v="Shibor_3M"/>
    <n v="3.53"/>
    <n v="3.63"/>
    <n v="0"/>
    <d v="2012-07-28T00:00:00"/>
    <d v="2013-01-28T00:00:00"/>
    <x v="139"/>
  </r>
  <r>
    <n v="1476"/>
    <x v="20"/>
    <x v="0"/>
    <x v="3"/>
    <n v="0.6759722222222222"/>
    <s v="Shibor_3M"/>
    <n v="2.93"/>
    <n v="2.98"/>
    <n v="0"/>
    <d v="2012-07-28T00:00:00"/>
    <d v="2015-07-28T00:00:00"/>
    <x v="126"/>
  </r>
  <r>
    <n v="1477"/>
    <x v="20"/>
    <x v="8"/>
    <x v="1"/>
    <n v="0.68405092592592587"/>
    <s v="Shibor_3M"/>
    <n v="3.49"/>
    <n v="3.55"/>
    <n v="0"/>
    <d v="2012-07-28T00:00:00"/>
    <d v="2013-01-28T00:00:00"/>
    <x v="8"/>
  </r>
  <r>
    <n v="1478"/>
    <x v="20"/>
    <x v="4"/>
    <x v="3"/>
    <n v="0.67596064814814805"/>
    <s v="Shibor_3M"/>
    <n v="2.98"/>
    <n v="3.03"/>
    <n v="0"/>
    <d v="2012-07-28T00:00:00"/>
    <d v="2014-07-28T00:00:00"/>
    <x v="113"/>
  </r>
  <r>
    <n v="1479"/>
    <x v="20"/>
    <x v="5"/>
    <x v="3"/>
    <n v="0.67592592592592593"/>
    <s v="Shibor_3M"/>
    <n v="3.28"/>
    <n v="3.35"/>
    <n v="0"/>
    <d v="2012-07-28T00:00:00"/>
    <d v="2013-04-28T00:00:00"/>
    <x v="34"/>
  </r>
  <r>
    <n v="1480"/>
    <x v="20"/>
    <x v="2"/>
    <x v="3"/>
    <n v="0.67592592592592593"/>
    <s v="Shibor_3M"/>
    <n v="2.89"/>
    <n v="2.99"/>
    <n v="0"/>
    <d v="2012-07-28T00:00:00"/>
    <d v="2016-07-28T00:00:00"/>
    <x v="131"/>
  </r>
  <r>
    <n v="1481"/>
    <x v="20"/>
    <x v="1"/>
    <x v="3"/>
    <n v="0.67592592592592593"/>
    <s v="Shibor_3M"/>
    <n v="3.14"/>
    <n v="3.24"/>
    <n v="0"/>
    <d v="2012-07-28T00:00:00"/>
    <d v="2013-07-28T00:00:00"/>
    <x v="55"/>
  </r>
  <r>
    <n v="1482"/>
    <x v="20"/>
    <x v="4"/>
    <x v="1"/>
    <n v="0.68406250000000002"/>
    <s v="Shibor_3M"/>
    <n v="2.93"/>
    <n v="2.99"/>
    <n v="0"/>
    <d v="2012-07-28T00:00:00"/>
    <d v="2014-07-28T00:00:00"/>
    <x v="117"/>
  </r>
  <r>
    <n v="1483"/>
    <x v="20"/>
    <x v="7"/>
    <x v="1"/>
    <n v="0.68406250000000002"/>
    <s v="Shibor_3M"/>
    <n v="3.02"/>
    <n v="3.08"/>
    <n v="0"/>
    <d v="2012-07-28T00:00:00"/>
    <d v="2019-07-28T00:00:00"/>
    <x v="81"/>
  </r>
  <r>
    <n v="1484"/>
    <x v="20"/>
    <x v="5"/>
    <x v="1"/>
    <n v="0.68406250000000002"/>
    <s v="Shibor_3M"/>
    <n v="3.27"/>
    <n v="3.33"/>
    <n v="0"/>
    <d v="2012-07-28T00:00:00"/>
    <d v="2013-04-28T00:00:00"/>
    <x v="23"/>
  </r>
  <r>
    <n v="1485"/>
    <x v="20"/>
    <x v="1"/>
    <x v="1"/>
    <n v="0.68406250000000002"/>
    <s v="Shibor_3M"/>
    <n v="3.13"/>
    <n v="3.19"/>
    <n v="0"/>
    <d v="2012-07-28T00:00:00"/>
    <d v="2013-07-28T00:00:00"/>
    <x v="71"/>
  </r>
  <r>
    <n v="1486"/>
    <x v="20"/>
    <x v="11"/>
    <x v="1"/>
    <n v="0.68406250000000002"/>
    <s v="Shibor_3M"/>
    <n v="2.92"/>
    <n v="2.98"/>
    <n v="0"/>
    <d v="2012-07-28T00:00:00"/>
    <d v="2017-07-28T00:00:00"/>
    <x v="122"/>
  </r>
  <r>
    <n v="1487"/>
    <x v="20"/>
    <x v="2"/>
    <x v="1"/>
    <n v="0.68406250000000002"/>
    <s v="Shibor_3M"/>
    <n v="2.91"/>
    <n v="2.97"/>
    <n v="0"/>
    <d v="2012-07-28T00:00:00"/>
    <d v="2016-07-28T00:00:00"/>
    <x v="131"/>
  </r>
  <r>
    <n v="1488"/>
    <x v="20"/>
    <x v="0"/>
    <x v="1"/>
    <n v="0.68406250000000002"/>
    <s v="Shibor_3M"/>
    <n v="2.93"/>
    <n v="2.99"/>
    <n v="0"/>
    <d v="2012-07-28T00:00:00"/>
    <d v="2015-07-28T00:00:00"/>
    <x v="117"/>
  </r>
  <r>
    <n v="1489"/>
    <x v="20"/>
    <x v="11"/>
    <x v="3"/>
    <n v="0.67592592592592593"/>
    <s v="Shibor_3M"/>
    <n v="2.94"/>
    <n v="2.99"/>
    <n v="0"/>
    <d v="2012-07-28T00:00:00"/>
    <d v="2017-07-28T00:00:00"/>
    <x v="128"/>
  </r>
  <r>
    <n v="1490"/>
    <x v="20"/>
    <x v="0"/>
    <x v="1"/>
    <n v="0.49118055555555556"/>
    <s v="Shibor_3M"/>
    <n v="2.93"/>
    <n v="2.99"/>
    <n v="0"/>
    <d v="2012-07-28T00:00:00"/>
    <d v="2015-07-28T00:00:00"/>
    <x v="117"/>
  </r>
  <r>
    <n v="1491"/>
    <x v="20"/>
    <x v="8"/>
    <x v="2"/>
    <n v="0.67240740740740745"/>
    <s v="Shibor_3M"/>
    <n v="3.45"/>
    <n v="3.5"/>
    <n v="0"/>
    <d v="2012-07-28T00:00:00"/>
    <d v="2013-01-28T00:00:00"/>
    <x v="108"/>
  </r>
  <r>
    <n v="1492"/>
    <x v="20"/>
    <x v="5"/>
    <x v="2"/>
    <n v="0.67241898148148149"/>
    <s v="Shibor_3M"/>
    <n v="3.2"/>
    <n v="3.28"/>
    <n v="0"/>
    <d v="2012-07-28T00:00:00"/>
    <d v="2013-04-28T00:00:00"/>
    <x v="10"/>
  </r>
  <r>
    <n v="1493"/>
    <x v="20"/>
    <x v="2"/>
    <x v="1"/>
    <n v="0.49116898148148147"/>
    <s v="Shibor_3M"/>
    <n v="2.91"/>
    <n v="2.97"/>
    <n v="0"/>
    <d v="2012-07-28T00:00:00"/>
    <d v="2016-07-28T00:00:00"/>
    <x v="131"/>
  </r>
  <r>
    <n v="1494"/>
    <x v="20"/>
    <x v="5"/>
    <x v="1"/>
    <n v="0.49116898148148147"/>
    <s v="Shibor_3M"/>
    <n v="3.27"/>
    <n v="3.33"/>
    <n v="0"/>
    <d v="2012-07-28T00:00:00"/>
    <d v="2013-04-28T00:00:00"/>
    <x v="23"/>
  </r>
  <r>
    <n v="1495"/>
    <x v="20"/>
    <x v="6"/>
    <x v="1"/>
    <n v="0.49116898148148147"/>
    <s v="Shibor_3M"/>
    <n v="3.06"/>
    <n v="3.12"/>
    <n v="0"/>
    <d v="2012-07-28T00:00:00"/>
    <d v="2022-07-28T00:00:00"/>
    <x v="69"/>
  </r>
  <r>
    <n v="1496"/>
    <x v="20"/>
    <x v="11"/>
    <x v="1"/>
    <n v="0.49116898148148147"/>
    <s v="Shibor_3M"/>
    <n v="2.92"/>
    <n v="2.98"/>
    <n v="0"/>
    <d v="2012-07-28T00:00:00"/>
    <d v="2017-07-28T00:00:00"/>
    <x v="122"/>
  </r>
  <r>
    <n v="1497"/>
    <x v="20"/>
    <x v="4"/>
    <x v="2"/>
    <n v="0.67241898148148149"/>
    <s v="Shibor_3M"/>
    <n v="2.93"/>
    <n v="3.02"/>
    <n v="0"/>
    <d v="2012-07-28T00:00:00"/>
    <d v="2014-07-28T00:00:00"/>
    <x v="130"/>
  </r>
  <r>
    <n v="1498"/>
    <x v="20"/>
    <x v="7"/>
    <x v="2"/>
    <n v="0.67241898148148149"/>
    <s v="Shibor_3M"/>
    <n v="2.9"/>
    <n v="3"/>
    <n v="0"/>
    <d v="2012-07-28T00:00:00"/>
    <d v="2019-07-28T00:00:00"/>
    <x v="122"/>
  </r>
  <r>
    <n v="1499"/>
    <x v="20"/>
    <x v="0"/>
    <x v="2"/>
    <n v="0.67243055555555553"/>
    <s v="Shibor_3M"/>
    <n v="2.9"/>
    <n v="3"/>
    <n v="0"/>
    <d v="2012-07-28T00:00:00"/>
    <d v="2015-07-28T00:00:00"/>
    <x v="122"/>
  </r>
  <r>
    <n v="1500"/>
    <x v="20"/>
    <x v="6"/>
    <x v="2"/>
    <n v="0.67241898148148149"/>
    <s v="Shibor_3M"/>
    <n v="2.9"/>
    <n v="3"/>
    <n v="0"/>
    <d v="2012-07-28T00:00:00"/>
    <d v="2022-07-28T00:00:00"/>
    <x v="122"/>
  </r>
  <r>
    <n v="1501"/>
    <x v="20"/>
    <x v="11"/>
    <x v="2"/>
    <n v="0.67241898148148149"/>
    <s v="Shibor_3M"/>
    <n v="2.9"/>
    <n v="3"/>
    <n v="0"/>
    <d v="2012-07-28T00:00:00"/>
    <d v="2017-07-28T00:00:00"/>
    <x v="122"/>
  </r>
  <r>
    <n v="1502"/>
    <x v="20"/>
    <x v="2"/>
    <x v="2"/>
    <n v="0.67241898148148149"/>
    <s v="Shibor_3M"/>
    <n v="2.9"/>
    <n v="3"/>
    <n v="0"/>
    <d v="2012-07-28T00:00:00"/>
    <d v="2016-07-28T00:00:00"/>
    <x v="122"/>
  </r>
  <r>
    <n v="1503"/>
    <x v="20"/>
    <x v="1"/>
    <x v="2"/>
    <n v="0.67241898148148149"/>
    <s v="Shibor_3M"/>
    <n v="3.1"/>
    <n v="3.15"/>
    <n v="0"/>
    <d v="2012-07-28T00:00:00"/>
    <d v="2013-07-28T00:00:00"/>
    <x v="80"/>
  </r>
  <r>
    <n v="1504"/>
    <x v="21"/>
    <x v="2"/>
    <x v="3"/>
    <n v="0.48626157407407411"/>
    <s v="Shibor_3M"/>
    <n v="2.89"/>
    <n v="2.96"/>
    <n v="0"/>
    <d v="2012-07-27T00:00:00"/>
    <d v="2016-07-27T00:00:00"/>
    <x v="140"/>
  </r>
  <r>
    <n v="1505"/>
    <x v="21"/>
    <x v="5"/>
    <x v="3"/>
    <n v="0.48626157407407411"/>
    <s v="Shibor_3M"/>
    <n v="3.25"/>
    <n v="3.32"/>
    <n v="0"/>
    <d v="2012-07-27T00:00:00"/>
    <d v="2013-04-27T00:00:00"/>
    <x v="37"/>
  </r>
  <r>
    <n v="1506"/>
    <x v="21"/>
    <x v="1"/>
    <x v="1"/>
    <n v="0.48795138888888889"/>
    <s v="Shibor_3M"/>
    <n v="3.11"/>
    <n v="3.17"/>
    <n v="0"/>
    <d v="2012-07-27T00:00:00"/>
    <d v="2013-07-27T00:00:00"/>
    <x v="58"/>
  </r>
  <r>
    <n v="1507"/>
    <x v="21"/>
    <x v="8"/>
    <x v="1"/>
    <n v="0.48795138888888889"/>
    <s v="Shibor_3M"/>
    <n v="3.47"/>
    <n v="3.51"/>
    <n v="0"/>
    <d v="2012-07-27T00:00:00"/>
    <d v="2013-01-27T00:00:00"/>
    <x v="38"/>
  </r>
  <r>
    <n v="1508"/>
    <x v="21"/>
    <x v="11"/>
    <x v="3"/>
    <n v="0.48626157407407411"/>
    <s v="Shibor_3M"/>
    <n v="2.93"/>
    <n v="3"/>
    <n v="0"/>
    <d v="2012-07-27T00:00:00"/>
    <d v="2017-07-27T00:00:00"/>
    <x v="128"/>
  </r>
  <r>
    <n v="1509"/>
    <x v="21"/>
    <x v="8"/>
    <x v="3"/>
    <n v="0.48626157407407411"/>
    <s v="Shibor_3M"/>
    <n v="3.45"/>
    <n v="3.55"/>
    <n v="0"/>
    <d v="2012-07-27T00:00:00"/>
    <d v="2013-01-27T00:00:00"/>
    <x v="13"/>
  </r>
  <r>
    <n v="1510"/>
    <x v="21"/>
    <x v="4"/>
    <x v="3"/>
    <n v="0.48626157407407411"/>
    <s v="Shibor_3M"/>
    <n v="2.89"/>
    <n v="2.99"/>
    <n v="0"/>
    <d v="2012-07-27T00:00:00"/>
    <d v="2014-07-27T00:00:00"/>
    <x v="131"/>
  </r>
  <r>
    <n v="1511"/>
    <x v="21"/>
    <x v="1"/>
    <x v="3"/>
    <n v="0.48626157407407411"/>
    <s v="Shibor_3M"/>
    <n v="3.09"/>
    <n v="3.19"/>
    <n v="0"/>
    <d v="2012-07-27T00:00:00"/>
    <d v="2013-07-27T00:00:00"/>
    <x v="58"/>
  </r>
  <r>
    <n v="1512"/>
    <x v="21"/>
    <x v="0"/>
    <x v="3"/>
    <n v="0.48626157407407411"/>
    <s v="Shibor_3M"/>
    <n v="2.87"/>
    <n v="2.97"/>
    <n v="0"/>
    <d v="2012-07-27T00:00:00"/>
    <d v="2015-07-27T00:00:00"/>
    <x v="141"/>
  </r>
  <r>
    <n v="1513"/>
    <x v="21"/>
    <x v="11"/>
    <x v="1"/>
    <n v="0.48797453703703703"/>
    <s v="Shibor_3M"/>
    <n v="2.92"/>
    <n v="2.98"/>
    <n v="0"/>
    <d v="2012-07-27T00:00:00"/>
    <d v="2017-07-27T00:00:00"/>
    <x v="122"/>
  </r>
  <r>
    <n v="1514"/>
    <x v="21"/>
    <x v="1"/>
    <x v="3"/>
    <n v="0.67570601851851853"/>
    <s v="Shibor_3M"/>
    <n v="3.09"/>
    <n v="3.19"/>
    <n v="0"/>
    <d v="2012-07-27T00:00:00"/>
    <d v="2013-07-27T00:00:00"/>
    <x v="58"/>
  </r>
  <r>
    <n v="1515"/>
    <x v="21"/>
    <x v="6"/>
    <x v="1"/>
    <n v="0.48797453703703703"/>
    <s v="Shibor_3M"/>
    <n v="3.04"/>
    <n v="3.1"/>
    <n v="0"/>
    <d v="2012-07-27T00:00:00"/>
    <d v="2022-07-27T00:00:00"/>
    <x v="86"/>
  </r>
  <r>
    <n v="1516"/>
    <x v="21"/>
    <x v="2"/>
    <x v="3"/>
    <n v="0.67571759259259256"/>
    <s v="Shibor_3M"/>
    <n v="2.86"/>
    <n v="2.96"/>
    <n v="0"/>
    <d v="2012-07-27T00:00:00"/>
    <d v="2016-07-27T00:00:00"/>
    <x v="142"/>
  </r>
  <r>
    <n v="1517"/>
    <x v="21"/>
    <x v="11"/>
    <x v="3"/>
    <n v="0.67570601851851853"/>
    <s v="Shibor_3M"/>
    <n v="2.9"/>
    <n v="3"/>
    <n v="0"/>
    <d v="2012-07-27T00:00:00"/>
    <d v="2017-07-27T00:00:00"/>
    <x v="122"/>
  </r>
  <r>
    <n v="1518"/>
    <x v="21"/>
    <x v="5"/>
    <x v="1"/>
    <n v="0.48797453703703703"/>
    <s v="Shibor_3M"/>
    <n v="3.27"/>
    <n v="3.33"/>
    <n v="0"/>
    <d v="2012-07-27T00:00:00"/>
    <d v="2013-04-27T00:00:00"/>
    <x v="23"/>
  </r>
  <r>
    <n v="1519"/>
    <x v="21"/>
    <x v="0"/>
    <x v="1"/>
    <n v="0.48797453703703703"/>
    <s v="Shibor_3M"/>
    <n v="2.91"/>
    <n v="2.97"/>
    <n v="0"/>
    <d v="2012-07-27T00:00:00"/>
    <d v="2015-07-27T00:00:00"/>
    <x v="131"/>
  </r>
  <r>
    <n v="1520"/>
    <x v="21"/>
    <x v="2"/>
    <x v="1"/>
    <n v="0.48797453703703703"/>
    <s v="Shibor_3M"/>
    <n v="2.91"/>
    <n v="2.97"/>
    <n v="0"/>
    <d v="2012-07-27T00:00:00"/>
    <d v="2016-07-27T00:00:00"/>
    <x v="131"/>
  </r>
  <r>
    <n v="1521"/>
    <x v="21"/>
    <x v="7"/>
    <x v="1"/>
    <n v="0.48797453703703703"/>
    <s v="Shibor_3M"/>
    <n v="2.99"/>
    <n v="3.03"/>
    <n v="0"/>
    <d v="2012-07-27T00:00:00"/>
    <d v="2019-07-27T00:00:00"/>
    <x v="97"/>
  </r>
  <r>
    <n v="1522"/>
    <x v="21"/>
    <x v="4"/>
    <x v="1"/>
    <n v="0.48797453703703703"/>
    <s v="Shibor_3M"/>
    <n v="2.93"/>
    <n v="2.99"/>
    <n v="0"/>
    <d v="2012-07-27T00:00:00"/>
    <d v="2014-07-27T00:00:00"/>
    <x v="117"/>
  </r>
  <r>
    <n v="1523"/>
    <x v="21"/>
    <x v="0"/>
    <x v="2"/>
    <n v="0.48319444444444443"/>
    <s v="Shibor_3M"/>
    <n v="2.9"/>
    <n v="3"/>
    <n v="0"/>
    <d v="2012-07-27T00:00:00"/>
    <d v="2015-07-27T00:00:00"/>
    <x v="122"/>
  </r>
  <r>
    <n v="1524"/>
    <x v="21"/>
    <x v="2"/>
    <x v="9"/>
    <n v="0.4004050925925926"/>
    <s v="Shibor_3M"/>
    <n v="2.92"/>
    <n v="2.98"/>
    <n v="0"/>
    <d v="2012-07-27T00:00:00"/>
    <d v="2016-07-27T00:00:00"/>
    <x v="122"/>
  </r>
  <r>
    <n v="1525"/>
    <x v="21"/>
    <x v="0"/>
    <x v="9"/>
    <n v="0.4004050925925926"/>
    <s v="Shibor_3M"/>
    <n v="2.92"/>
    <n v="2.98"/>
    <n v="0"/>
    <d v="2012-07-27T00:00:00"/>
    <d v="2015-07-27T00:00:00"/>
    <x v="122"/>
  </r>
  <r>
    <n v="1526"/>
    <x v="21"/>
    <x v="9"/>
    <x v="9"/>
    <n v="0.4004050925925926"/>
    <s v="Shibor_3M"/>
    <n v="2.91"/>
    <n v="3.04"/>
    <n v="0"/>
    <d v="2012-07-27T00:00:00"/>
    <d v="2018-07-27T00:00:00"/>
    <x v="130"/>
  </r>
  <r>
    <n v="1527"/>
    <x v="21"/>
    <x v="11"/>
    <x v="9"/>
    <n v="0.4004050925925926"/>
    <s v="Shibor_3M"/>
    <n v="2.93"/>
    <n v="2.99"/>
    <n v="0"/>
    <d v="2012-07-27T00:00:00"/>
    <d v="2017-07-27T00:00:00"/>
    <x v="117"/>
  </r>
  <r>
    <n v="1528"/>
    <x v="21"/>
    <x v="4"/>
    <x v="9"/>
    <n v="0.4004050925925926"/>
    <s v="Shibor_3M"/>
    <n v="2.94"/>
    <n v="3"/>
    <n v="0"/>
    <d v="2012-07-27T00:00:00"/>
    <d v="2014-07-27T00:00:00"/>
    <x v="105"/>
  </r>
  <r>
    <n v="1529"/>
    <x v="21"/>
    <x v="3"/>
    <x v="9"/>
    <n v="0.4004050925925926"/>
    <s v="Shibor_3M"/>
    <n v="2.93"/>
    <n v="3.18"/>
    <n v="0"/>
    <d v="2012-07-27T00:00:00"/>
    <d v="2021-07-27T00:00:00"/>
    <x v="136"/>
  </r>
  <r>
    <n v="1530"/>
    <x v="21"/>
    <x v="8"/>
    <x v="9"/>
    <n v="0.40039351851851851"/>
    <s v="Shibor_3M"/>
    <n v="3.47"/>
    <n v="3.52"/>
    <n v="0"/>
    <d v="2012-07-27T00:00:00"/>
    <d v="2013-01-27T00:00:00"/>
    <x v="132"/>
  </r>
  <r>
    <n v="1531"/>
    <x v="21"/>
    <x v="1"/>
    <x v="9"/>
    <n v="0.4004050925925926"/>
    <s v="Shibor_3M"/>
    <n v="3.12"/>
    <n v="3.18"/>
    <n v="0"/>
    <d v="2012-07-27T00:00:00"/>
    <d v="2013-07-27T00:00:00"/>
    <x v="51"/>
  </r>
  <r>
    <n v="1532"/>
    <x v="21"/>
    <x v="6"/>
    <x v="9"/>
    <n v="0.4004050925925926"/>
    <s v="Shibor_3M"/>
    <n v="2.93"/>
    <n v="3.23"/>
    <n v="0"/>
    <d v="2012-07-27T00:00:00"/>
    <d v="2022-07-27T00:00:00"/>
    <x v="70"/>
  </r>
  <r>
    <n v="1533"/>
    <x v="21"/>
    <x v="7"/>
    <x v="9"/>
    <n v="0.4004050925925926"/>
    <s v="Shibor_3M"/>
    <n v="2.93"/>
    <n v="3.08"/>
    <n v="0"/>
    <d v="2012-07-27T00:00:00"/>
    <d v="2019-07-27T00:00:00"/>
    <x v="113"/>
  </r>
  <r>
    <n v="1534"/>
    <x v="21"/>
    <x v="7"/>
    <x v="2"/>
    <n v="0.48317129629629635"/>
    <s v="Shibor_3M"/>
    <n v="2.9"/>
    <n v="3"/>
    <n v="0"/>
    <d v="2012-07-27T00:00:00"/>
    <d v="2019-07-27T00:00:00"/>
    <x v="122"/>
  </r>
  <r>
    <n v="1535"/>
    <x v="21"/>
    <x v="5"/>
    <x v="2"/>
    <n v="0.48317129629629635"/>
    <s v="Shibor_3M"/>
    <n v="3.2"/>
    <n v="3.28"/>
    <n v="0"/>
    <d v="2012-07-27T00:00:00"/>
    <d v="2013-04-27T00:00:00"/>
    <x v="10"/>
  </r>
  <r>
    <n v="1536"/>
    <x v="21"/>
    <x v="2"/>
    <x v="2"/>
    <n v="0.48318287037037039"/>
    <s v="Shibor_3M"/>
    <n v="2.9"/>
    <n v="3"/>
    <n v="0"/>
    <d v="2012-07-27T00:00:00"/>
    <d v="2016-07-27T00:00:00"/>
    <x v="122"/>
  </r>
  <r>
    <n v="1537"/>
    <x v="21"/>
    <x v="11"/>
    <x v="2"/>
    <n v="0.48318287037037039"/>
    <s v="Shibor_3M"/>
    <n v="2.9"/>
    <n v="3"/>
    <n v="0"/>
    <d v="2012-07-27T00:00:00"/>
    <d v="2017-07-27T00:00:00"/>
    <x v="122"/>
  </r>
  <r>
    <n v="1538"/>
    <x v="21"/>
    <x v="4"/>
    <x v="2"/>
    <n v="0.48314814814814816"/>
    <s v="Shibor_3M"/>
    <n v="2.93"/>
    <n v="3.02"/>
    <n v="0"/>
    <d v="2012-07-27T00:00:00"/>
    <d v="2014-07-27T00:00:00"/>
    <x v="130"/>
  </r>
  <r>
    <n v="1539"/>
    <x v="21"/>
    <x v="8"/>
    <x v="2"/>
    <n v="0.48313657407407407"/>
    <s v="Shibor_3M"/>
    <n v="3.45"/>
    <n v="3.5"/>
    <n v="0"/>
    <d v="2012-07-27T00:00:00"/>
    <d v="2013-01-27T00:00:00"/>
    <x v="108"/>
  </r>
  <r>
    <n v="1540"/>
    <x v="21"/>
    <x v="10"/>
    <x v="9"/>
    <n v="0.4004050925925926"/>
    <s v="Shibor_3M"/>
    <n v="2.93"/>
    <n v="3.13"/>
    <n v="0"/>
    <d v="2012-07-27T00:00:00"/>
    <d v="2020-07-27T00:00:00"/>
    <x v="90"/>
  </r>
  <r>
    <n v="1541"/>
    <x v="21"/>
    <x v="6"/>
    <x v="2"/>
    <n v="0.48314814814814816"/>
    <s v="Shibor_3M"/>
    <n v="2.9"/>
    <n v="3"/>
    <n v="0"/>
    <d v="2012-07-27T00:00:00"/>
    <d v="2022-07-27T00:00:00"/>
    <x v="122"/>
  </r>
  <r>
    <n v="1542"/>
    <x v="21"/>
    <x v="1"/>
    <x v="2"/>
    <n v="0.48313657407407407"/>
    <s v="Shibor_3M"/>
    <n v="3.1"/>
    <n v="3.15"/>
    <n v="0"/>
    <d v="2012-07-27T00:00:00"/>
    <d v="2013-07-27T00:00:00"/>
    <x v="80"/>
  </r>
  <r>
    <n v="1543"/>
    <x v="21"/>
    <x v="5"/>
    <x v="3"/>
    <n v="0.67571759259259256"/>
    <s v="Shibor_3M"/>
    <n v="3.23"/>
    <n v="3.33"/>
    <n v="0"/>
    <d v="2012-07-27T00:00:00"/>
    <d v="2013-04-27T00:00:00"/>
    <x v="9"/>
  </r>
  <r>
    <n v="1544"/>
    <x v="21"/>
    <x v="0"/>
    <x v="6"/>
    <n v="0.68201388888888881"/>
    <s v="Shibor_3M"/>
    <n v="2.87"/>
    <n v="2.97"/>
    <n v="0"/>
    <d v="2012-07-27T00:00:00"/>
    <d v="2015-07-27T00:00:00"/>
    <x v="141"/>
  </r>
  <r>
    <n v="1545"/>
    <x v="21"/>
    <x v="2"/>
    <x v="6"/>
    <n v="0.68200231481481488"/>
    <s v="Shibor_3M"/>
    <n v="2.87"/>
    <n v="2.97"/>
    <n v="0"/>
    <d v="2012-07-27T00:00:00"/>
    <d v="2016-07-27T00:00:00"/>
    <x v="141"/>
  </r>
  <r>
    <n v="1546"/>
    <x v="21"/>
    <x v="1"/>
    <x v="6"/>
    <n v="0.68201388888888881"/>
    <s v="Shibor_3M"/>
    <n v="3.09"/>
    <n v="3.19"/>
    <n v="0"/>
    <d v="2012-07-27T00:00:00"/>
    <d v="2013-07-27T00:00:00"/>
    <x v="58"/>
  </r>
  <r>
    <n v="1547"/>
    <x v="21"/>
    <x v="4"/>
    <x v="6"/>
    <n v="0.68201388888888881"/>
    <s v="Shibor_3M"/>
    <n v="2.89"/>
    <n v="2.99"/>
    <n v="0"/>
    <d v="2012-07-27T00:00:00"/>
    <d v="2014-07-27T00:00:00"/>
    <x v="131"/>
  </r>
  <r>
    <n v="1548"/>
    <x v="21"/>
    <x v="11"/>
    <x v="6"/>
    <n v="0.68200231481481488"/>
    <s v="Shibor_3M"/>
    <n v="2.87"/>
    <n v="2.97"/>
    <n v="0"/>
    <d v="2012-07-27T00:00:00"/>
    <d v="2017-07-27T00:00:00"/>
    <x v="141"/>
  </r>
  <r>
    <n v="1549"/>
    <x v="21"/>
    <x v="5"/>
    <x v="6"/>
    <n v="0.68200231481481488"/>
    <s v="Shibor_3M"/>
    <n v="3.25"/>
    <n v="3.35"/>
    <n v="0"/>
    <d v="2012-07-27T00:00:00"/>
    <d v="2013-04-27T00:00:00"/>
    <x v="23"/>
  </r>
  <r>
    <n v="1550"/>
    <x v="21"/>
    <x v="0"/>
    <x v="2"/>
    <n v="0.67831018518518515"/>
    <s v="Shibor_3M"/>
    <n v="2.9"/>
    <n v="3"/>
    <n v="0"/>
    <d v="2012-07-27T00:00:00"/>
    <d v="2015-07-27T00:00:00"/>
    <x v="122"/>
  </r>
  <r>
    <n v="1551"/>
    <x v="21"/>
    <x v="8"/>
    <x v="6"/>
    <n v="0.68200231481481488"/>
    <s v="Shibor_3M"/>
    <n v="3.45"/>
    <n v="3.55"/>
    <n v="0"/>
    <d v="2012-07-27T00:00:00"/>
    <d v="2013-01-27T00:00:00"/>
    <x v="13"/>
  </r>
  <r>
    <n v="1552"/>
    <x v="21"/>
    <x v="7"/>
    <x v="6"/>
    <n v="0.68200231481481488"/>
    <s v="Shibor_3M"/>
    <n v="2.97"/>
    <n v="3.07"/>
    <n v="0"/>
    <d v="2012-07-27T00:00:00"/>
    <d v="2019-07-27T00:00:00"/>
    <x v="116"/>
  </r>
  <r>
    <n v="1553"/>
    <x v="21"/>
    <x v="6"/>
    <x v="6"/>
    <n v="0.68201388888888881"/>
    <s v="Shibor_3M"/>
    <n v="3.01"/>
    <n v="3.11"/>
    <n v="0"/>
    <d v="2012-07-27T00:00:00"/>
    <d v="2022-07-27T00:00:00"/>
    <x v="95"/>
  </r>
  <r>
    <n v="1554"/>
    <x v="21"/>
    <x v="7"/>
    <x v="1"/>
    <n v="0.68297453703703714"/>
    <s v="Shibor_3M"/>
    <n v="2.99"/>
    <n v="3.03"/>
    <n v="0"/>
    <d v="2012-07-27T00:00:00"/>
    <d v="2019-07-27T00:00:00"/>
    <x v="97"/>
  </r>
  <r>
    <n v="1555"/>
    <x v="21"/>
    <x v="0"/>
    <x v="1"/>
    <n v="0.68297453703703714"/>
    <s v="Shibor_3M"/>
    <n v="2.91"/>
    <n v="2.97"/>
    <n v="0"/>
    <d v="2012-07-27T00:00:00"/>
    <d v="2015-07-27T00:00:00"/>
    <x v="131"/>
  </r>
  <r>
    <n v="1556"/>
    <x v="21"/>
    <x v="6"/>
    <x v="1"/>
    <n v="0.68297453703703714"/>
    <s v="Shibor_3M"/>
    <n v="3.04"/>
    <n v="3.1"/>
    <n v="0"/>
    <d v="2012-07-27T00:00:00"/>
    <d v="2022-07-27T00:00:00"/>
    <x v="86"/>
  </r>
  <r>
    <n v="1557"/>
    <x v="21"/>
    <x v="5"/>
    <x v="1"/>
    <n v="0.68297453703703714"/>
    <s v="Shibor_3M"/>
    <n v="3.27"/>
    <n v="3.33"/>
    <n v="0"/>
    <d v="2012-07-27T00:00:00"/>
    <d v="2013-04-27T00:00:00"/>
    <x v="23"/>
  </r>
  <r>
    <n v="1558"/>
    <x v="21"/>
    <x v="2"/>
    <x v="1"/>
    <n v="0.68297453703703714"/>
    <s v="Shibor_3M"/>
    <n v="2.91"/>
    <n v="2.97"/>
    <n v="0"/>
    <d v="2012-07-27T00:00:00"/>
    <d v="2016-07-27T00:00:00"/>
    <x v="131"/>
  </r>
  <r>
    <n v="1559"/>
    <x v="21"/>
    <x v="1"/>
    <x v="1"/>
    <n v="0.68295138888888884"/>
    <s v="Shibor_3M"/>
    <n v="3.11"/>
    <n v="3.17"/>
    <n v="0"/>
    <d v="2012-07-27T00:00:00"/>
    <d v="2013-07-27T00:00:00"/>
    <x v="58"/>
  </r>
  <r>
    <n v="1560"/>
    <x v="21"/>
    <x v="8"/>
    <x v="1"/>
    <n v="0.68295138888888884"/>
    <s v="Shibor_3M"/>
    <n v="3.47"/>
    <n v="3.51"/>
    <n v="0"/>
    <d v="2012-07-27T00:00:00"/>
    <d v="2013-01-27T00:00:00"/>
    <x v="38"/>
  </r>
  <r>
    <n v="1561"/>
    <x v="21"/>
    <x v="11"/>
    <x v="1"/>
    <n v="0.68297453703703714"/>
    <s v="Shibor_3M"/>
    <n v="2.92"/>
    <n v="2.98"/>
    <n v="0"/>
    <d v="2012-07-27T00:00:00"/>
    <d v="2017-07-27T00:00:00"/>
    <x v="122"/>
  </r>
  <r>
    <n v="1562"/>
    <x v="21"/>
    <x v="4"/>
    <x v="1"/>
    <n v="0.68296296296296299"/>
    <s v="Shibor_3M"/>
    <n v="2.93"/>
    <n v="2.99"/>
    <n v="0"/>
    <d v="2012-07-27T00:00:00"/>
    <d v="2014-07-27T00:00:00"/>
    <x v="117"/>
  </r>
  <r>
    <n v="1563"/>
    <x v="21"/>
    <x v="2"/>
    <x v="2"/>
    <n v="0.67831018518518515"/>
    <s v="Shibor_3M"/>
    <n v="2.9"/>
    <n v="3"/>
    <n v="0"/>
    <d v="2012-07-27T00:00:00"/>
    <d v="2016-07-27T00:00:00"/>
    <x v="122"/>
  </r>
  <r>
    <n v="1564"/>
    <x v="21"/>
    <x v="8"/>
    <x v="2"/>
    <n v="0.67711805555555549"/>
    <s v="Shibor_3M"/>
    <n v="3.45"/>
    <n v="3.5"/>
    <n v="0"/>
    <d v="2012-07-27T00:00:00"/>
    <d v="2013-01-27T00:00:00"/>
    <x v="108"/>
  </r>
  <r>
    <n v="1565"/>
    <x v="21"/>
    <x v="7"/>
    <x v="2"/>
    <n v="0.67711805555555549"/>
    <s v="Shibor_3M"/>
    <n v="2.9"/>
    <n v="3"/>
    <n v="0"/>
    <d v="2012-07-27T00:00:00"/>
    <d v="2019-07-27T00:00:00"/>
    <x v="122"/>
  </r>
  <r>
    <n v="1566"/>
    <x v="21"/>
    <x v="5"/>
    <x v="2"/>
    <n v="0.67712962962962964"/>
    <s v="Shibor_3M"/>
    <n v="3.2"/>
    <n v="3.28"/>
    <n v="0"/>
    <d v="2012-07-27T00:00:00"/>
    <d v="2013-04-27T00:00:00"/>
    <x v="10"/>
  </r>
  <r>
    <n v="1567"/>
    <x v="21"/>
    <x v="1"/>
    <x v="2"/>
    <n v="0.67711805555555549"/>
    <s v="Shibor_3M"/>
    <n v="3.1"/>
    <n v="3.15"/>
    <n v="0"/>
    <d v="2012-07-27T00:00:00"/>
    <d v="2013-07-27T00:00:00"/>
    <x v="80"/>
  </r>
  <r>
    <n v="1568"/>
    <x v="21"/>
    <x v="4"/>
    <x v="2"/>
    <n v="0.67711805555555549"/>
    <s v="Shibor_3M"/>
    <n v="2.93"/>
    <n v="3.02"/>
    <n v="0"/>
    <d v="2012-07-27T00:00:00"/>
    <d v="2014-07-27T00:00:00"/>
    <x v="130"/>
  </r>
  <r>
    <n v="1569"/>
    <x v="21"/>
    <x v="4"/>
    <x v="3"/>
    <n v="0.67574074074074064"/>
    <s v="Shibor_3M"/>
    <n v="2.91"/>
    <n v="2.99"/>
    <n v="0"/>
    <d v="2012-07-27T00:00:00"/>
    <d v="2014-07-27T00:00:00"/>
    <x v="122"/>
  </r>
  <r>
    <n v="1570"/>
    <x v="21"/>
    <x v="0"/>
    <x v="3"/>
    <n v="0.67574074074074064"/>
    <s v="Shibor_3M"/>
    <n v="2.89"/>
    <n v="2.99"/>
    <n v="0"/>
    <d v="2012-07-27T00:00:00"/>
    <d v="2015-07-27T00:00:00"/>
    <x v="131"/>
  </r>
  <r>
    <n v="1571"/>
    <x v="21"/>
    <x v="6"/>
    <x v="2"/>
    <n v="0.67711805555555549"/>
    <s v="Shibor_3M"/>
    <n v="2.9"/>
    <n v="3"/>
    <n v="0"/>
    <d v="2012-07-27T00:00:00"/>
    <d v="2022-07-27T00:00:00"/>
    <x v="122"/>
  </r>
  <r>
    <n v="1572"/>
    <x v="21"/>
    <x v="8"/>
    <x v="3"/>
    <n v="0.67574074074074064"/>
    <s v="Shibor_3M"/>
    <n v="3.46"/>
    <n v="3.56"/>
    <n v="0"/>
    <d v="2012-07-27T00:00:00"/>
    <d v="2013-01-27T00:00:00"/>
    <x v="44"/>
  </r>
  <r>
    <n v="1573"/>
    <x v="21"/>
    <x v="11"/>
    <x v="2"/>
    <n v="0.67714120370370379"/>
    <s v="Shibor_3M"/>
    <n v="2.9"/>
    <n v="3"/>
    <n v="0"/>
    <d v="2012-07-27T00:00:00"/>
    <d v="2017-07-27T00:00:00"/>
    <x v="122"/>
  </r>
  <r>
    <n v="1574"/>
    <x v="21"/>
    <x v="6"/>
    <x v="2"/>
    <n v="0.67829861111111101"/>
    <s v="Shibor_3M"/>
    <n v="2.9"/>
    <n v="3"/>
    <n v="0"/>
    <d v="2012-07-27T00:00:00"/>
    <d v="2022-07-27T00:00:00"/>
    <x v="122"/>
  </r>
  <r>
    <n v="1575"/>
    <x v="21"/>
    <x v="1"/>
    <x v="2"/>
    <n v="0.67829861111111101"/>
    <s v="Shibor_3M"/>
    <n v="3.1"/>
    <n v="3.15"/>
    <n v="0"/>
    <d v="2012-07-27T00:00:00"/>
    <d v="2013-07-27T00:00:00"/>
    <x v="80"/>
  </r>
  <r>
    <n v="1576"/>
    <x v="21"/>
    <x v="11"/>
    <x v="2"/>
    <n v="0.67831018518518515"/>
    <s v="Shibor_3M"/>
    <n v="2.9"/>
    <n v="3"/>
    <n v="0"/>
    <d v="2012-07-27T00:00:00"/>
    <d v="2017-07-27T00:00:00"/>
    <x v="122"/>
  </r>
  <r>
    <n v="1577"/>
    <x v="21"/>
    <x v="4"/>
    <x v="2"/>
    <n v="0.67829861111111101"/>
    <s v="Shibor_3M"/>
    <n v="2.93"/>
    <n v="3.02"/>
    <n v="0"/>
    <d v="2012-07-27T00:00:00"/>
    <d v="2014-07-27T00:00:00"/>
    <x v="130"/>
  </r>
  <r>
    <n v="1578"/>
    <x v="21"/>
    <x v="5"/>
    <x v="2"/>
    <n v="0.67829861111111101"/>
    <s v="Shibor_3M"/>
    <n v="3.2"/>
    <n v="3.28"/>
    <n v="0"/>
    <d v="2012-07-27T00:00:00"/>
    <d v="2013-04-27T00:00:00"/>
    <x v="10"/>
  </r>
  <r>
    <n v="1579"/>
    <x v="21"/>
    <x v="0"/>
    <x v="2"/>
    <n v="0.67714120370370379"/>
    <s v="Shibor_3M"/>
    <n v="2.9"/>
    <n v="3"/>
    <n v="0"/>
    <d v="2012-07-27T00:00:00"/>
    <d v="2015-07-27T00:00:00"/>
    <x v="122"/>
  </r>
  <r>
    <n v="1580"/>
    <x v="21"/>
    <x v="2"/>
    <x v="2"/>
    <n v="0.67714120370370379"/>
    <s v="Shibor_3M"/>
    <n v="2.9"/>
    <n v="3"/>
    <n v="0"/>
    <d v="2012-07-27T00:00:00"/>
    <d v="2016-07-27T00:00:00"/>
    <x v="122"/>
  </r>
  <r>
    <n v="1581"/>
    <x v="21"/>
    <x v="7"/>
    <x v="2"/>
    <n v="0.67829861111111101"/>
    <s v="Shibor_3M"/>
    <n v="2.9"/>
    <n v="3"/>
    <n v="0"/>
    <d v="2012-07-27T00:00:00"/>
    <d v="2019-07-27T00:00:00"/>
    <x v="122"/>
  </r>
  <r>
    <n v="1582"/>
    <x v="21"/>
    <x v="8"/>
    <x v="2"/>
    <n v="0.67828703703703708"/>
    <s v="Shibor_3M"/>
    <n v="3.45"/>
    <n v="3.5"/>
    <n v="0"/>
    <d v="2012-07-27T00:00:00"/>
    <d v="2013-01-27T00:00:00"/>
    <x v="108"/>
  </r>
  <r>
    <n v="1583"/>
    <x v="22"/>
    <x v="11"/>
    <x v="3"/>
    <n v="0.49006944444444445"/>
    <s v="Shibor_3M"/>
    <n v="2.89"/>
    <n v="2.99"/>
    <n v="0"/>
    <d v="2012-07-26T00:00:00"/>
    <d v="2017-07-26T00:00:00"/>
    <x v="131"/>
  </r>
  <r>
    <n v="1584"/>
    <x v="22"/>
    <x v="1"/>
    <x v="3"/>
    <n v="0.49006944444444445"/>
    <s v="Shibor_3M"/>
    <n v="3.1"/>
    <n v="3.16"/>
    <n v="0"/>
    <d v="2012-07-26T00:00:00"/>
    <d v="2013-07-26T00:00:00"/>
    <x v="78"/>
  </r>
  <r>
    <n v="1585"/>
    <x v="22"/>
    <x v="5"/>
    <x v="3"/>
    <n v="0.49006944444444445"/>
    <s v="Shibor_3M"/>
    <n v="3.21"/>
    <n v="3.31"/>
    <n v="0"/>
    <d v="2012-07-26T00:00:00"/>
    <d v="2013-04-26T00:00:00"/>
    <x v="16"/>
  </r>
  <r>
    <n v="1586"/>
    <x v="22"/>
    <x v="4"/>
    <x v="3"/>
    <n v="0.49009259259259258"/>
    <s v="Shibor_3M"/>
    <n v="2.89"/>
    <n v="2.99"/>
    <n v="0"/>
    <d v="2012-07-26T00:00:00"/>
    <d v="2014-07-26T00:00:00"/>
    <x v="131"/>
  </r>
  <r>
    <n v="1587"/>
    <x v="22"/>
    <x v="2"/>
    <x v="3"/>
    <n v="0.49009259259259258"/>
    <s v="Shibor_3M"/>
    <n v="2.9"/>
    <n v="2.96"/>
    <n v="0"/>
    <d v="2012-07-26T00:00:00"/>
    <d v="2016-07-26T00:00:00"/>
    <x v="137"/>
  </r>
  <r>
    <n v="1588"/>
    <x v="22"/>
    <x v="6"/>
    <x v="2"/>
    <n v="0.48251157407407402"/>
    <s v="Shibor_3M"/>
    <n v="2.9"/>
    <n v="3"/>
    <n v="0"/>
    <d v="2012-07-26T00:00:00"/>
    <d v="2022-07-26T00:00:00"/>
    <x v="122"/>
  </r>
  <r>
    <n v="1589"/>
    <x v="22"/>
    <x v="1"/>
    <x v="2"/>
    <n v="0.48251157407407402"/>
    <s v="Shibor_3M"/>
    <n v="3.1"/>
    <n v="3.15"/>
    <n v="0"/>
    <d v="2012-07-26T00:00:00"/>
    <d v="2013-07-26T00:00:00"/>
    <x v="80"/>
  </r>
  <r>
    <n v="1590"/>
    <x v="22"/>
    <x v="4"/>
    <x v="2"/>
    <n v="0.48251157407407402"/>
    <s v="Shibor_3M"/>
    <n v="2.93"/>
    <n v="3.02"/>
    <n v="0"/>
    <d v="2012-07-26T00:00:00"/>
    <d v="2014-07-26T00:00:00"/>
    <x v="130"/>
  </r>
  <r>
    <n v="1591"/>
    <x v="22"/>
    <x v="0"/>
    <x v="2"/>
    <n v="0.48252314814814817"/>
    <s v="Shibor_3M"/>
    <n v="2.9"/>
    <n v="3"/>
    <n v="0"/>
    <d v="2012-07-26T00:00:00"/>
    <d v="2015-07-26T00:00:00"/>
    <x v="122"/>
  </r>
  <r>
    <n v="1592"/>
    <x v="22"/>
    <x v="2"/>
    <x v="2"/>
    <n v="0.48252314814814817"/>
    <s v="Shibor_3M"/>
    <n v="2.9"/>
    <n v="3"/>
    <n v="0"/>
    <d v="2012-07-26T00:00:00"/>
    <d v="2016-07-26T00:00:00"/>
    <x v="122"/>
  </r>
  <r>
    <n v="1593"/>
    <x v="22"/>
    <x v="8"/>
    <x v="3"/>
    <n v="0.49010416666666662"/>
    <s v="Shibor_3M"/>
    <n v="3.48"/>
    <n v="3.53"/>
    <n v="0"/>
    <d v="2012-07-26T00:00:00"/>
    <d v="2013-01-26T00:00:00"/>
    <x v="67"/>
  </r>
  <r>
    <n v="1594"/>
    <x v="22"/>
    <x v="6"/>
    <x v="1"/>
    <n v="0.49599537037037034"/>
    <s v="Shibor_3M"/>
    <n v="3.03"/>
    <n v="3.09"/>
    <n v="0"/>
    <d v="2012-07-26T00:00:00"/>
    <d v="2022-07-26T00:00:00"/>
    <x v="95"/>
  </r>
  <r>
    <n v="1595"/>
    <x v="22"/>
    <x v="7"/>
    <x v="1"/>
    <n v="0.4959837962962963"/>
    <s v="Shibor_3M"/>
    <n v="2.99"/>
    <n v="3.05"/>
    <n v="0"/>
    <d v="2012-07-26T00:00:00"/>
    <d v="2019-07-26T00:00:00"/>
    <x v="116"/>
  </r>
  <r>
    <n v="1596"/>
    <x v="22"/>
    <x v="11"/>
    <x v="1"/>
    <n v="0.49599537037037034"/>
    <s v="Shibor_3M"/>
    <n v="2.91"/>
    <n v="2.97"/>
    <n v="0"/>
    <d v="2012-07-26T00:00:00"/>
    <d v="2017-07-26T00:00:00"/>
    <x v="131"/>
  </r>
  <r>
    <n v="1597"/>
    <x v="22"/>
    <x v="0"/>
    <x v="1"/>
    <n v="0.49599537037037034"/>
    <s v="Shibor_3M"/>
    <n v="2.9"/>
    <n v="2.96"/>
    <n v="0"/>
    <d v="2012-07-26T00:00:00"/>
    <d v="2015-07-26T00:00:00"/>
    <x v="137"/>
  </r>
  <r>
    <n v="1598"/>
    <x v="22"/>
    <x v="2"/>
    <x v="1"/>
    <n v="0.49599537037037034"/>
    <s v="Shibor_3M"/>
    <n v="2.9"/>
    <n v="2.96"/>
    <n v="0"/>
    <d v="2012-07-26T00:00:00"/>
    <d v="2016-07-26T00:00:00"/>
    <x v="137"/>
  </r>
  <r>
    <n v="1599"/>
    <x v="22"/>
    <x v="5"/>
    <x v="1"/>
    <n v="0.4959837962962963"/>
    <s v="Shibor_3M"/>
    <n v="3.26"/>
    <n v="3.32"/>
    <n v="0"/>
    <d v="2012-07-26T00:00:00"/>
    <d v="2013-04-26T00:00:00"/>
    <x v="3"/>
  </r>
  <r>
    <n v="1600"/>
    <x v="22"/>
    <x v="0"/>
    <x v="3"/>
    <n v="0.49010416666666662"/>
    <s v="Shibor_3M"/>
    <n v="2.89"/>
    <n v="2.99"/>
    <n v="0"/>
    <d v="2012-07-26T00:00:00"/>
    <d v="2015-07-26T00:00:00"/>
    <x v="131"/>
  </r>
  <r>
    <n v="1601"/>
    <x v="22"/>
    <x v="8"/>
    <x v="1"/>
    <n v="0.4959837962962963"/>
    <s v="Shibor_3M"/>
    <n v="3.47"/>
    <n v="3.53"/>
    <n v="0"/>
    <d v="2012-07-26T00:00:00"/>
    <d v="2013-01-26T00:00:00"/>
    <x v="13"/>
  </r>
  <r>
    <n v="1602"/>
    <x v="22"/>
    <x v="4"/>
    <x v="1"/>
    <n v="0.4959837962962963"/>
    <s v="Shibor_3M"/>
    <n v="2.92"/>
    <n v="2.98"/>
    <n v="0"/>
    <d v="2012-07-26T00:00:00"/>
    <d v="2014-07-26T00:00:00"/>
    <x v="122"/>
  </r>
  <r>
    <n v="1603"/>
    <x v="22"/>
    <x v="1"/>
    <x v="1"/>
    <n v="0.4959837962962963"/>
    <s v="Shibor_3M"/>
    <n v="3.14"/>
    <n v="3.2"/>
    <n v="0"/>
    <d v="2012-07-26T00:00:00"/>
    <d v="2013-07-26T00:00:00"/>
    <x v="56"/>
  </r>
  <r>
    <n v="1604"/>
    <x v="22"/>
    <x v="8"/>
    <x v="2"/>
    <n v="0.48251157407407402"/>
    <s v="Shibor_3M"/>
    <n v="3.45"/>
    <n v="3.5"/>
    <n v="0"/>
    <d v="2012-07-26T00:00:00"/>
    <d v="2013-01-26T00:00:00"/>
    <x v="108"/>
  </r>
  <r>
    <n v="1605"/>
    <x v="22"/>
    <x v="2"/>
    <x v="10"/>
    <n v="0.45655092592592594"/>
    <s v="Shibor_3M"/>
    <n v="2.86"/>
    <n v="2.96"/>
    <n v="0"/>
    <d v="2012-07-26T00:00:00"/>
    <d v="2016-07-26T00:00:00"/>
    <x v="142"/>
  </r>
  <r>
    <n v="1606"/>
    <x v="22"/>
    <x v="0"/>
    <x v="10"/>
    <n v="0.45655092592592594"/>
    <s v="Shibor_3M"/>
    <n v="2.88"/>
    <n v="2.98"/>
    <n v="0"/>
    <d v="2012-07-26T00:00:00"/>
    <d v="2015-07-26T00:00:00"/>
    <x v="137"/>
  </r>
  <r>
    <n v="1607"/>
    <x v="22"/>
    <x v="11"/>
    <x v="10"/>
    <n v="0.45655092592592594"/>
    <s v="Shibor_3M"/>
    <n v="2.88"/>
    <n v="2.98"/>
    <n v="0"/>
    <d v="2012-07-26T00:00:00"/>
    <d v="2017-07-26T00:00:00"/>
    <x v="137"/>
  </r>
  <r>
    <n v="1608"/>
    <x v="22"/>
    <x v="1"/>
    <x v="11"/>
    <n v="0.47501157407407407"/>
    <s v="Shibor_3M"/>
    <n v="3.15"/>
    <n v="3.2"/>
    <n v="0"/>
    <d v="2012-07-26T00:00:00"/>
    <d v="2013-07-26T00:00:00"/>
    <x v="93"/>
  </r>
  <r>
    <n v="1609"/>
    <x v="22"/>
    <x v="7"/>
    <x v="10"/>
    <n v="0.45655092592592594"/>
    <s v="Shibor_3M"/>
    <n v="2.97"/>
    <n v="3.07"/>
    <n v="0"/>
    <d v="2012-07-26T00:00:00"/>
    <d v="2019-07-26T00:00:00"/>
    <x v="116"/>
  </r>
  <r>
    <n v="1610"/>
    <x v="22"/>
    <x v="8"/>
    <x v="10"/>
    <n v="0.45655092592592594"/>
    <s v="Shibor_3M"/>
    <n v="3.43"/>
    <n v="3.55"/>
    <n v="0"/>
    <d v="2012-07-26T00:00:00"/>
    <d v="2013-01-26T00:00:00"/>
    <x v="38"/>
  </r>
  <r>
    <n v="1611"/>
    <x v="22"/>
    <x v="6"/>
    <x v="10"/>
    <n v="0.45655092592592594"/>
    <s v="Shibor_3M"/>
    <n v="3.01"/>
    <n v="3.11"/>
    <n v="0"/>
    <d v="2012-07-26T00:00:00"/>
    <d v="2022-07-26T00:00:00"/>
    <x v="95"/>
  </r>
  <r>
    <n v="1612"/>
    <x v="22"/>
    <x v="5"/>
    <x v="10"/>
    <n v="0.45655092592592594"/>
    <s v="Shibor_3M"/>
    <n v="3.19"/>
    <n v="3.31"/>
    <n v="0"/>
    <d v="2012-07-26T00:00:00"/>
    <d v="2013-04-26T00:00:00"/>
    <x v="21"/>
  </r>
  <r>
    <n v="1613"/>
    <x v="22"/>
    <x v="4"/>
    <x v="10"/>
    <n v="0.45655092592592594"/>
    <s v="Shibor_3M"/>
    <n v="2.89"/>
    <n v="2.99"/>
    <n v="0"/>
    <d v="2012-07-26T00:00:00"/>
    <d v="2014-07-26T00:00:00"/>
    <x v="131"/>
  </r>
  <r>
    <n v="1614"/>
    <x v="22"/>
    <x v="1"/>
    <x v="10"/>
    <n v="0.45655092592592594"/>
    <s v="Shibor_3M"/>
    <n v="3.05"/>
    <n v="3.17"/>
    <n v="0"/>
    <d v="2012-07-26T00:00:00"/>
    <d v="2013-07-26T00:00:00"/>
    <x v="100"/>
  </r>
  <r>
    <n v="1615"/>
    <x v="22"/>
    <x v="4"/>
    <x v="11"/>
    <n v="0.47501157407407407"/>
    <s v="Shibor_3M"/>
    <n v="3"/>
    <n v="3.05"/>
    <n v="0"/>
    <d v="2012-07-26T00:00:00"/>
    <d v="2014-07-26T00:00:00"/>
    <x v="79"/>
  </r>
  <r>
    <n v="1616"/>
    <x v="22"/>
    <x v="5"/>
    <x v="11"/>
    <n v="0.47501157407407407"/>
    <s v="Shibor_3M"/>
    <n v="3.3"/>
    <n v="3.35"/>
    <n v="0"/>
    <d v="2012-07-26T00:00:00"/>
    <d v="2013-04-26T00:00:00"/>
    <x v="39"/>
  </r>
  <r>
    <n v="1617"/>
    <x v="22"/>
    <x v="8"/>
    <x v="11"/>
    <n v="0.47501157407407407"/>
    <s v="Shibor_3M"/>
    <n v="3.5"/>
    <n v="3.55"/>
    <n v="0"/>
    <d v="2012-07-26T00:00:00"/>
    <d v="2013-01-26T00:00:00"/>
    <x v="115"/>
  </r>
  <r>
    <n v="1618"/>
    <x v="22"/>
    <x v="7"/>
    <x v="2"/>
    <n v="0.48251157407407402"/>
    <s v="Shibor_3M"/>
    <n v="2.9"/>
    <n v="3"/>
    <n v="0"/>
    <d v="2012-07-26T00:00:00"/>
    <d v="2019-07-26T00:00:00"/>
    <x v="122"/>
  </r>
  <r>
    <n v="1619"/>
    <x v="22"/>
    <x v="11"/>
    <x v="2"/>
    <n v="0.48251157407407402"/>
    <s v="Shibor_3M"/>
    <n v="2.9"/>
    <n v="3"/>
    <n v="0"/>
    <d v="2012-07-26T00:00:00"/>
    <d v="2017-07-26T00:00:00"/>
    <x v="122"/>
  </r>
  <r>
    <n v="1620"/>
    <x v="22"/>
    <x v="5"/>
    <x v="2"/>
    <n v="0.48251157407407402"/>
    <s v="Shibor_3M"/>
    <n v="3.2"/>
    <n v="3.28"/>
    <n v="0"/>
    <d v="2012-07-26T00:00:00"/>
    <d v="2013-04-26T00:00:00"/>
    <x v="10"/>
  </r>
  <r>
    <n v="1621"/>
    <x v="22"/>
    <x v="2"/>
    <x v="11"/>
    <n v="0.47501157407407407"/>
    <s v="Shibor_3M"/>
    <n v="2.95"/>
    <n v="3"/>
    <n v="0"/>
    <d v="2012-07-26T00:00:00"/>
    <d v="2016-07-26T00:00:00"/>
    <x v="130"/>
  </r>
  <r>
    <n v="1622"/>
    <x v="22"/>
    <x v="0"/>
    <x v="11"/>
    <n v="0.47501157407407407"/>
    <s v="Shibor_3M"/>
    <n v="2.95"/>
    <n v="3"/>
    <n v="0"/>
    <d v="2012-07-26T00:00:00"/>
    <d v="2015-07-26T00:00:00"/>
    <x v="130"/>
  </r>
  <r>
    <n v="1623"/>
    <x v="22"/>
    <x v="11"/>
    <x v="11"/>
    <n v="0.47501157407407407"/>
    <s v="Shibor_3M"/>
    <n v="2.95"/>
    <n v="3"/>
    <n v="0"/>
    <d v="2012-07-26T00:00:00"/>
    <d v="2017-07-26T00:00:00"/>
    <x v="130"/>
  </r>
  <r>
    <n v="1624"/>
    <x v="22"/>
    <x v="6"/>
    <x v="11"/>
    <n v="0.47501157407407407"/>
    <s v="Shibor_3M"/>
    <n v="3.1"/>
    <n v="3.15"/>
    <n v="0"/>
    <d v="2012-07-26T00:00:00"/>
    <d v="2022-07-26T00:00:00"/>
    <x v="80"/>
  </r>
  <r>
    <n v="1625"/>
    <x v="22"/>
    <x v="7"/>
    <x v="11"/>
    <n v="0.47501157407407407"/>
    <s v="Shibor_3M"/>
    <n v="3.05"/>
    <n v="3.1"/>
    <n v="0"/>
    <d v="2012-07-26T00:00:00"/>
    <d v="2019-07-26T00:00:00"/>
    <x v="76"/>
  </r>
  <r>
    <n v="1626"/>
    <x v="22"/>
    <x v="6"/>
    <x v="2"/>
    <n v="0.6787037037037037"/>
    <s v="Shibor_3M"/>
    <n v="2.9"/>
    <n v="3"/>
    <n v="0"/>
    <d v="2012-07-26T00:00:00"/>
    <d v="2022-07-26T00:00:00"/>
    <x v="122"/>
  </r>
  <r>
    <n v="1627"/>
    <x v="22"/>
    <x v="1"/>
    <x v="2"/>
    <n v="0.6787037037037037"/>
    <s v="Shibor_3M"/>
    <n v="3.1"/>
    <n v="3.15"/>
    <n v="0"/>
    <d v="2012-07-26T00:00:00"/>
    <d v="2013-07-26T00:00:00"/>
    <x v="80"/>
  </r>
  <r>
    <n v="1628"/>
    <x v="22"/>
    <x v="4"/>
    <x v="2"/>
    <n v="0.6787037037037037"/>
    <s v="Shibor_3M"/>
    <n v="2.93"/>
    <n v="3.02"/>
    <n v="0"/>
    <d v="2012-07-26T00:00:00"/>
    <d v="2014-07-26T00:00:00"/>
    <x v="130"/>
  </r>
  <r>
    <n v="1629"/>
    <x v="22"/>
    <x v="0"/>
    <x v="2"/>
    <n v="0.67871527777777774"/>
    <s v="Shibor_3M"/>
    <n v="2.9"/>
    <n v="3"/>
    <n v="0"/>
    <d v="2012-07-26T00:00:00"/>
    <d v="2015-07-26T00:00:00"/>
    <x v="122"/>
  </r>
  <r>
    <n v="1630"/>
    <x v="22"/>
    <x v="2"/>
    <x v="2"/>
    <n v="0.67871527777777774"/>
    <s v="Shibor_3M"/>
    <n v="2.9"/>
    <n v="3"/>
    <n v="0"/>
    <d v="2012-07-26T00:00:00"/>
    <d v="2016-07-26T00:00:00"/>
    <x v="122"/>
  </r>
  <r>
    <n v="1631"/>
    <x v="22"/>
    <x v="0"/>
    <x v="3"/>
    <n v="0.67666666666666664"/>
    <s v="Shibor_3M"/>
    <n v="2.9"/>
    <n v="2.95"/>
    <n v="0"/>
    <d v="2012-07-26T00:00:00"/>
    <d v="2015-07-26T00:00:00"/>
    <x v="140"/>
  </r>
  <r>
    <n v="1632"/>
    <x v="22"/>
    <x v="8"/>
    <x v="3"/>
    <n v="0.67666666666666664"/>
    <s v="Shibor_3M"/>
    <n v="3.47"/>
    <n v="3.52"/>
    <n v="0"/>
    <d v="2012-07-26T00:00:00"/>
    <d v="2013-01-26T00:00:00"/>
    <x v="132"/>
  </r>
  <r>
    <n v="1633"/>
    <x v="22"/>
    <x v="4"/>
    <x v="3"/>
    <n v="0.67666666666666664"/>
    <s v="Shibor_3M"/>
    <n v="2.91"/>
    <n v="2.96"/>
    <n v="0"/>
    <d v="2012-07-26T00:00:00"/>
    <d v="2014-07-26T00:00:00"/>
    <x v="133"/>
  </r>
  <r>
    <n v="1634"/>
    <x v="22"/>
    <x v="7"/>
    <x v="2"/>
    <n v="0.6787037037037037"/>
    <s v="Shibor_3M"/>
    <n v="2.9"/>
    <n v="3"/>
    <n v="0"/>
    <d v="2012-07-26T00:00:00"/>
    <d v="2019-07-26T00:00:00"/>
    <x v="122"/>
  </r>
  <r>
    <n v="1635"/>
    <x v="22"/>
    <x v="8"/>
    <x v="2"/>
    <n v="0.67869212962962966"/>
    <s v="Shibor_3M"/>
    <n v="3.45"/>
    <n v="3.5"/>
    <n v="0"/>
    <d v="2012-07-26T00:00:00"/>
    <d v="2013-01-26T00:00:00"/>
    <x v="108"/>
  </r>
  <r>
    <n v="1636"/>
    <x v="22"/>
    <x v="5"/>
    <x v="2"/>
    <n v="0.67871527777777774"/>
    <s v="Shibor_3M"/>
    <n v="3.2"/>
    <n v="3.28"/>
    <n v="0"/>
    <d v="2012-07-26T00:00:00"/>
    <d v="2013-04-26T00:00:00"/>
    <x v="10"/>
  </r>
  <r>
    <n v="1637"/>
    <x v="22"/>
    <x v="0"/>
    <x v="1"/>
    <n v="0.68497685185185186"/>
    <s v="Shibor_3M"/>
    <n v="2.89"/>
    <n v="2.95"/>
    <n v="0"/>
    <d v="2012-07-26T00:00:00"/>
    <d v="2015-07-26T00:00:00"/>
    <x v="141"/>
  </r>
  <r>
    <n v="1638"/>
    <x v="22"/>
    <x v="2"/>
    <x v="1"/>
    <n v="0.68497685185185186"/>
    <s v="Shibor_3M"/>
    <n v="2.89"/>
    <n v="2.95"/>
    <n v="0"/>
    <d v="2012-07-26T00:00:00"/>
    <d v="2016-07-26T00:00:00"/>
    <x v="141"/>
  </r>
  <r>
    <n v="1639"/>
    <x v="22"/>
    <x v="1"/>
    <x v="1"/>
    <n v="0.68497685185185186"/>
    <s v="Shibor_3M"/>
    <n v="3.09"/>
    <n v="3.15"/>
    <n v="0"/>
    <d v="2012-07-26T00:00:00"/>
    <d v="2013-07-26T00:00:00"/>
    <x v="66"/>
  </r>
  <r>
    <n v="1640"/>
    <x v="22"/>
    <x v="7"/>
    <x v="1"/>
    <n v="0.68497685185185186"/>
    <s v="Shibor_3M"/>
    <n v="2.98"/>
    <n v="3.04"/>
    <n v="0"/>
    <d v="2012-07-26T00:00:00"/>
    <d v="2019-07-26T00:00:00"/>
    <x v="97"/>
  </r>
  <r>
    <n v="1641"/>
    <x v="22"/>
    <x v="4"/>
    <x v="1"/>
    <n v="0.68497685185185186"/>
    <s v="Shibor_3M"/>
    <n v="2.9"/>
    <n v="2.96"/>
    <n v="0"/>
    <d v="2012-07-26T00:00:00"/>
    <d v="2014-07-26T00:00:00"/>
    <x v="137"/>
  </r>
  <r>
    <n v="1642"/>
    <x v="22"/>
    <x v="8"/>
    <x v="1"/>
    <n v="0.68495370370370379"/>
    <s v="Shibor_3M"/>
    <n v="3.45"/>
    <n v="3.51"/>
    <n v="0"/>
    <d v="2012-07-26T00:00:00"/>
    <d v="2013-01-26T00:00:00"/>
    <x v="18"/>
  </r>
  <r>
    <n v="1643"/>
    <x v="22"/>
    <x v="11"/>
    <x v="2"/>
    <n v="0.67871527777777774"/>
    <s v="Shibor_3M"/>
    <n v="2.9"/>
    <n v="3"/>
    <n v="0"/>
    <d v="2012-07-26T00:00:00"/>
    <d v="2017-07-26T00:00:00"/>
    <x v="122"/>
  </r>
  <r>
    <n v="1644"/>
    <x v="22"/>
    <x v="5"/>
    <x v="1"/>
    <n v="0.68497685185185186"/>
    <s v="Shibor_3M"/>
    <n v="3.23"/>
    <n v="3.29"/>
    <n v="0"/>
    <d v="2012-07-26T00:00:00"/>
    <d v="2013-04-26T00:00:00"/>
    <x v="16"/>
  </r>
  <r>
    <n v="1645"/>
    <x v="22"/>
    <x v="11"/>
    <x v="1"/>
    <n v="0.68497685185185186"/>
    <s v="Shibor_3M"/>
    <n v="2.89"/>
    <n v="2.95"/>
    <n v="0"/>
    <d v="2012-07-26T00:00:00"/>
    <d v="2017-07-26T00:00:00"/>
    <x v="141"/>
  </r>
  <r>
    <n v="1646"/>
    <x v="22"/>
    <x v="6"/>
    <x v="1"/>
    <n v="0.68497685185185186"/>
    <s v="Shibor_3M"/>
    <n v="3.02"/>
    <n v="3.08"/>
    <n v="0"/>
    <d v="2012-07-26T00:00:00"/>
    <d v="2022-07-26T00:00:00"/>
    <x v="81"/>
  </r>
  <r>
    <n v="1647"/>
    <x v="22"/>
    <x v="2"/>
    <x v="3"/>
    <n v="0.6766550925925926"/>
    <s v="Shibor_3M"/>
    <n v="2.88"/>
    <n v="2.93"/>
    <n v="0"/>
    <d v="2012-07-26T00:00:00"/>
    <d v="2016-07-26T00:00:00"/>
    <x v="143"/>
  </r>
  <r>
    <n v="1648"/>
    <x v="22"/>
    <x v="4"/>
    <x v="6"/>
    <n v="0.49886574074074069"/>
    <s v="Shibor_3M"/>
    <n v="2.88"/>
    <n v="2.98"/>
    <n v="0"/>
    <d v="2012-07-26T00:00:00"/>
    <d v="2014-07-26T00:00:00"/>
    <x v="137"/>
  </r>
  <r>
    <n v="1649"/>
    <x v="22"/>
    <x v="0"/>
    <x v="6"/>
    <n v="0.49885416666666665"/>
    <s v="Shibor_3M"/>
    <n v="2.87"/>
    <n v="2.97"/>
    <n v="0"/>
    <d v="2012-07-26T00:00:00"/>
    <d v="2015-07-26T00:00:00"/>
    <x v="141"/>
  </r>
  <r>
    <n v="1650"/>
    <x v="22"/>
    <x v="1"/>
    <x v="6"/>
    <n v="0.49886574074074069"/>
    <s v="Shibor_3M"/>
    <n v="3.1"/>
    <n v="3.2"/>
    <n v="0"/>
    <d v="2012-07-26T00:00:00"/>
    <d v="2013-07-26T00:00:00"/>
    <x v="51"/>
  </r>
  <r>
    <n v="1651"/>
    <x v="22"/>
    <x v="5"/>
    <x v="6"/>
    <n v="0.67354166666666659"/>
    <s v="Shibor_3M"/>
    <n v="3.24"/>
    <n v="3.34"/>
    <n v="0"/>
    <d v="2012-07-26T00:00:00"/>
    <d v="2013-04-26T00:00:00"/>
    <x v="3"/>
  </r>
  <r>
    <n v="1652"/>
    <x v="22"/>
    <x v="6"/>
    <x v="6"/>
    <n v="0.49886574074074069"/>
    <s v="Shibor_3M"/>
    <n v="3.01"/>
    <n v="3.11"/>
    <n v="0"/>
    <d v="2012-07-26T00:00:00"/>
    <d v="2022-07-26T00:00:00"/>
    <x v="95"/>
  </r>
  <r>
    <n v="1653"/>
    <x v="22"/>
    <x v="7"/>
    <x v="6"/>
    <n v="0.49885416666666665"/>
    <s v="Shibor_3M"/>
    <n v="2.97"/>
    <n v="3.07"/>
    <n v="0"/>
    <d v="2012-07-26T00:00:00"/>
    <d v="2019-07-26T00:00:00"/>
    <x v="116"/>
  </r>
  <r>
    <n v="1654"/>
    <x v="22"/>
    <x v="5"/>
    <x v="6"/>
    <n v="0.49885416666666665"/>
    <s v="Shibor_3M"/>
    <n v="3.24"/>
    <n v="3.34"/>
    <n v="0"/>
    <d v="2012-07-26T00:00:00"/>
    <d v="2013-04-26T00:00:00"/>
    <x v="3"/>
  </r>
  <r>
    <n v="1655"/>
    <x v="22"/>
    <x v="8"/>
    <x v="6"/>
    <n v="0.49885416666666665"/>
    <s v="Shibor_3M"/>
    <n v="3.45"/>
    <n v="3.55"/>
    <n v="0"/>
    <d v="2012-07-26T00:00:00"/>
    <d v="2013-01-26T00:00:00"/>
    <x v="13"/>
  </r>
  <r>
    <n v="1656"/>
    <x v="22"/>
    <x v="2"/>
    <x v="6"/>
    <n v="0.49885416666666665"/>
    <s v="Shibor_3M"/>
    <n v="2.87"/>
    <n v="2.97"/>
    <n v="0"/>
    <d v="2012-07-26T00:00:00"/>
    <d v="2016-07-26T00:00:00"/>
    <x v="141"/>
  </r>
  <r>
    <n v="1657"/>
    <x v="22"/>
    <x v="11"/>
    <x v="6"/>
    <n v="0.49885416666666665"/>
    <s v="Shibor_3M"/>
    <n v="2.87"/>
    <n v="2.97"/>
    <n v="0"/>
    <d v="2012-07-26T00:00:00"/>
    <d v="2017-07-26T00:00:00"/>
    <x v="141"/>
  </r>
  <r>
    <n v="1658"/>
    <x v="22"/>
    <x v="7"/>
    <x v="6"/>
    <n v="0.67354166666666659"/>
    <s v="Shibor_3M"/>
    <n v="2.97"/>
    <n v="3.07"/>
    <n v="0"/>
    <d v="2012-07-26T00:00:00"/>
    <d v="2019-07-26T00:00:00"/>
    <x v="116"/>
  </r>
  <r>
    <n v="1659"/>
    <x v="22"/>
    <x v="6"/>
    <x v="6"/>
    <n v="0.67356481481481489"/>
    <s v="Shibor_3M"/>
    <n v="3.01"/>
    <n v="3.11"/>
    <n v="0"/>
    <d v="2012-07-26T00:00:00"/>
    <d v="2022-07-26T00:00:00"/>
    <x v="95"/>
  </r>
  <r>
    <n v="1660"/>
    <x v="22"/>
    <x v="1"/>
    <x v="6"/>
    <n v="0.67356481481481489"/>
    <s v="Shibor_3M"/>
    <n v="3.09"/>
    <n v="3.19"/>
    <n v="0"/>
    <d v="2012-07-26T00:00:00"/>
    <d v="2013-07-26T00:00:00"/>
    <x v="58"/>
  </r>
  <r>
    <n v="1661"/>
    <x v="22"/>
    <x v="1"/>
    <x v="3"/>
    <n v="0.6766550925925926"/>
    <s v="Shibor_3M"/>
    <n v="3.1"/>
    <n v="3.15"/>
    <n v="0"/>
    <d v="2012-07-26T00:00:00"/>
    <d v="2013-07-26T00:00:00"/>
    <x v="80"/>
  </r>
  <r>
    <n v="1662"/>
    <x v="22"/>
    <x v="5"/>
    <x v="3"/>
    <n v="0.6766550925925926"/>
    <s v="Shibor_3M"/>
    <n v="3.25"/>
    <n v="3.35"/>
    <n v="0"/>
    <d v="2012-07-26T00:00:00"/>
    <d v="2013-04-26T00:00:00"/>
    <x v="23"/>
  </r>
  <r>
    <n v="1663"/>
    <x v="22"/>
    <x v="11"/>
    <x v="3"/>
    <n v="0.6766550925925926"/>
    <s v="Shibor_3M"/>
    <n v="2.91"/>
    <n v="2.96"/>
    <n v="0"/>
    <d v="2012-07-26T00:00:00"/>
    <d v="2017-07-26T00:00:00"/>
    <x v="133"/>
  </r>
  <r>
    <n v="1664"/>
    <x v="22"/>
    <x v="11"/>
    <x v="6"/>
    <n v="0.67356481481481489"/>
    <s v="Shibor_3M"/>
    <n v="2.87"/>
    <n v="2.97"/>
    <n v="0"/>
    <d v="2012-07-26T00:00:00"/>
    <d v="2017-07-26T00:00:00"/>
    <x v="141"/>
  </r>
  <r>
    <n v="1665"/>
    <x v="22"/>
    <x v="8"/>
    <x v="6"/>
    <n v="0.67356481481481489"/>
    <s v="Shibor_3M"/>
    <n v="3.45"/>
    <n v="3.55"/>
    <n v="0"/>
    <d v="2012-07-26T00:00:00"/>
    <d v="2013-01-26T00:00:00"/>
    <x v="13"/>
  </r>
  <r>
    <n v="1666"/>
    <x v="22"/>
    <x v="2"/>
    <x v="6"/>
    <n v="0.67356481481481489"/>
    <s v="Shibor_3M"/>
    <n v="2.87"/>
    <n v="2.97"/>
    <n v="0"/>
    <d v="2012-07-26T00:00:00"/>
    <d v="2016-07-26T00:00:00"/>
    <x v="141"/>
  </r>
  <r>
    <n v="1667"/>
    <x v="22"/>
    <x v="4"/>
    <x v="6"/>
    <n v="0.67356481481481489"/>
    <s v="Shibor_3M"/>
    <n v="2.89"/>
    <n v="2.99"/>
    <n v="0"/>
    <d v="2012-07-26T00:00:00"/>
    <d v="2014-07-26T00:00:00"/>
    <x v="131"/>
  </r>
  <r>
    <n v="1668"/>
    <x v="22"/>
    <x v="0"/>
    <x v="6"/>
    <n v="0.67356481481481489"/>
    <s v="Shibor_3M"/>
    <n v="2.87"/>
    <n v="2.97"/>
    <n v="0"/>
    <d v="2012-07-26T00:00:00"/>
    <d v="2015-07-26T00:00:00"/>
    <x v="141"/>
  </r>
  <r>
    <n v="1669"/>
    <x v="23"/>
    <x v="11"/>
    <x v="6"/>
    <n v="0.48840277777777774"/>
    <s v="Shibor_3M"/>
    <n v="2.93"/>
    <n v="3.03"/>
    <n v="0"/>
    <d v="2012-07-25T00:00:00"/>
    <d v="2017-07-25T00:00:00"/>
    <x v="123"/>
  </r>
  <r>
    <n v="1670"/>
    <x v="23"/>
    <x v="2"/>
    <x v="6"/>
    <n v="0.48840277777777774"/>
    <s v="Shibor_3M"/>
    <n v="2.93"/>
    <n v="3.03"/>
    <n v="0"/>
    <d v="2012-07-25T00:00:00"/>
    <d v="2016-07-25T00:00:00"/>
    <x v="123"/>
  </r>
  <r>
    <n v="1671"/>
    <x v="23"/>
    <x v="0"/>
    <x v="6"/>
    <n v="0.48841435185185184"/>
    <s v="Shibor_3M"/>
    <n v="2.93"/>
    <n v="3.03"/>
    <n v="0"/>
    <d v="2012-07-25T00:00:00"/>
    <d v="2015-07-25T00:00:00"/>
    <x v="123"/>
  </r>
  <r>
    <n v="1672"/>
    <x v="23"/>
    <x v="8"/>
    <x v="6"/>
    <n v="0.48840277777777774"/>
    <s v="Shibor_3M"/>
    <n v="3.47"/>
    <n v="3.57"/>
    <n v="0"/>
    <d v="2012-07-25T00:00:00"/>
    <d v="2013-01-25T00:00:00"/>
    <x v="8"/>
  </r>
  <r>
    <n v="1673"/>
    <x v="23"/>
    <x v="0"/>
    <x v="1"/>
    <n v="0.48694444444444446"/>
    <s v="Shibor_3M"/>
    <n v="2.94"/>
    <n v="3"/>
    <n v="0"/>
    <d v="2012-07-25T00:00:00"/>
    <d v="2015-07-25T00:00:00"/>
    <x v="105"/>
  </r>
  <r>
    <n v="1674"/>
    <x v="23"/>
    <x v="5"/>
    <x v="6"/>
    <n v="0.48840277777777774"/>
    <s v="Shibor_3M"/>
    <n v="3.25"/>
    <n v="3.35"/>
    <n v="0"/>
    <d v="2012-07-25T00:00:00"/>
    <d v="2013-04-25T00:00:00"/>
    <x v="23"/>
  </r>
  <r>
    <n v="1675"/>
    <x v="23"/>
    <x v="7"/>
    <x v="6"/>
    <n v="0.48840277777777774"/>
    <s v="Shibor_3M"/>
    <n v="2.99"/>
    <n v="3.09"/>
    <n v="0"/>
    <d v="2012-07-25T00:00:00"/>
    <d v="2019-07-25T00:00:00"/>
    <x v="91"/>
  </r>
  <r>
    <n v="1676"/>
    <x v="23"/>
    <x v="7"/>
    <x v="2"/>
    <n v="0.49327546296296299"/>
    <s v="Shibor_3M"/>
    <n v="2.9"/>
    <n v="3"/>
    <n v="0"/>
    <d v="2012-07-25T00:00:00"/>
    <d v="2019-07-25T00:00:00"/>
    <x v="122"/>
  </r>
  <r>
    <n v="1677"/>
    <x v="23"/>
    <x v="5"/>
    <x v="2"/>
    <n v="0.49327546296296299"/>
    <s v="Shibor_3M"/>
    <n v="3.2"/>
    <n v="3.28"/>
    <n v="0"/>
    <d v="2012-07-25T00:00:00"/>
    <d v="2013-04-25T00:00:00"/>
    <x v="10"/>
  </r>
  <r>
    <n v="1678"/>
    <x v="23"/>
    <x v="1"/>
    <x v="2"/>
    <n v="0.49327546296296299"/>
    <s v="Shibor_3M"/>
    <n v="3.1"/>
    <n v="3.15"/>
    <n v="0"/>
    <d v="2012-07-25T00:00:00"/>
    <d v="2013-07-25T00:00:00"/>
    <x v="80"/>
  </r>
  <r>
    <n v="1679"/>
    <x v="23"/>
    <x v="8"/>
    <x v="2"/>
    <n v="0.49325231481481485"/>
    <s v="Shibor_3M"/>
    <n v="3.45"/>
    <n v="3.5"/>
    <n v="0"/>
    <d v="2012-07-25T00:00:00"/>
    <d v="2013-01-25T00:00:00"/>
    <x v="108"/>
  </r>
  <r>
    <n v="1680"/>
    <x v="23"/>
    <x v="4"/>
    <x v="6"/>
    <n v="0.48841435185185184"/>
    <s v="Shibor_3M"/>
    <n v="2.94"/>
    <n v="3.04"/>
    <n v="0"/>
    <d v="2012-07-25T00:00:00"/>
    <d v="2014-07-25T00:00:00"/>
    <x v="114"/>
  </r>
  <r>
    <n v="1681"/>
    <x v="23"/>
    <x v="1"/>
    <x v="6"/>
    <n v="0.48841435185185184"/>
    <s v="Shibor_3M"/>
    <n v="3.13"/>
    <n v="3.23"/>
    <n v="0"/>
    <d v="2012-07-25T00:00:00"/>
    <d v="2013-07-25T00:00:00"/>
    <x v="49"/>
  </r>
  <r>
    <n v="1682"/>
    <x v="23"/>
    <x v="6"/>
    <x v="6"/>
    <n v="0.48841435185185184"/>
    <s v="Shibor_3M"/>
    <n v="3.04"/>
    <n v="3.14"/>
    <n v="0"/>
    <d v="2012-07-25T00:00:00"/>
    <d v="2022-07-25T00:00:00"/>
    <x v="69"/>
  </r>
  <r>
    <n v="1683"/>
    <x v="23"/>
    <x v="2"/>
    <x v="1"/>
    <n v="0.48694444444444446"/>
    <s v="Shibor_3M"/>
    <n v="2.94"/>
    <n v="3"/>
    <n v="0"/>
    <d v="2012-07-25T00:00:00"/>
    <d v="2016-07-25T00:00:00"/>
    <x v="105"/>
  </r>
  <r>
    <n v="1684"/>
    <x v="23"/>
    <x v="4"/>
    <x v="3"/>
    <n v="0.48582175925925924"/>
    <s v="Shibor_3M"/>
    <n v="2.97"/>
    <n v="3.02"/>
    <n v="0"/>
    <d v="2012-07-25T00:00:00"/>
    <d v="2014-07-25T00:00:00"/>
    <x v="101"/>
  </r>
  <r>
    <n v="1685"/>
    <x v="23"/>
    <x v="8"/>
    <x v="3"/>
    <n v="0.48582175925925924"/>
    <s v="Shibor_3M"/>
    <n v="3.47"/>
    <n v="3.57"/>
    <n v="0"/>
    <d v="2012-07-25T00:00:00"/>
    <d v="2013-01-25T00:00:00"/>
    <x v="8"/>
  </r>
  <r>
    <n v="1686"/>
    <x v="23"/>
    <x v="0"/>
    <x v="3"/>
    <n v="0.48582175925925924"/>
    <s v="Shibor_3M"/>
    <n v="2.93"/>
    <n v="3.03"/>
    <n v="0"/>
    <d v="2012-07-25T00:00:00"/>
    <d v="2015-07-25T00:00:00"/>
    <x v="123"/>
  </r>
  <r>
    <n v="1687"/>
    <x v="23"/>
    <x v="11"/>
    <x v="3"/>
    <n v="0.48581018518518521"/>
    <s v="Shibor_3M"/>
    <n v="2.96"/>
    <n v="3.01"/>
    <n v="0"/>
    <d v="2012-07-25T00:00:00"/>
    <d v="2017-07-25T00:00:00"/>
    <x v="103"/>
  </r>
  <r>
    <n v="1688"/>
    <x v="23"/>
    <x v="5"/>
    <x v="3"/>
    <n v="0.48581018518518521"/>
    <s v="Shibor_3M"/>
    <n v="3.29"/>
    <n v="3.37"/>
    <n v="0"/>
    <d v="2012-07-25T00:00:00"/>
    <d v="2013-04-25T00:00:00"/>
    <x v="41"/>
  </r>
  <r>
    <n v="1689"/>
    <x v="23"/>
    <x v="2"/>
    <x v="3"/>
    <n v="0.48581018518518521"/>
    <s v="Shibor_3M"/>
    <n v="2.93"/>
    <n v="3.03"/>
    <n v="0"/>
    <d v="2012-07-25T00:00:00"/>
    <d v="2016-07-25T00:00:00"/>
    <x v="123"/>
  </r>
  <r>
    <n v="1690"/>
    <x v="23"/>
    <x v="1"/>
    <x v="3"/>
    <n v="0.48581018518518521"/>
    <s v="Shibor_3M"/>
    <n v="3.16"/>
    <n v="3.25"/>
    <n v="0"/>
    <d v="2012-07-25T00:00:00"/>
    <d v="2013-07-25T00:00:00"/>
    <x v="73"/>
  </r>
  <r>
    <n v="1691"/>
    <x v="23"/>
    <x v="6"/>
    <x v="1"/>
    <n v="0.48693287037037036"/>
    <s v="Shibor_3M"/>
    <n v="3.07"/>
    <n v="3.13"/>
    <n v="0"/>
    <d v="2012-07-25T00:00:00"/>
    <d v="2022-07-25T00:00:00"/>
    <x v="64"/>
  </r>
  <r>
    <n v="1692"/>
    <x v="23"/>
    <x v="8"/>
    <x v="1"/>
    <n v="0.48693287037037036"/>
    <s v="Shibor_3M"/>
    <n v="3.47"/>
    <n v="3.53"/>
    <n v="0"/>
    <d v="2012-07-25T00:00:00"/>
    <d v="2013-01-25T00:00:00"/>
    <x v="13"/>
  </r>
  <r>
    <n v="1693"/>
    <x v="23"/>
    <x v="11"/>
    <x v="1"/>
    <n v="0.48694444444444446"/>
    <s v="Shibor_3M"/>
    <n v="2.85"/>
    <n v="2.91"/>
    <n v="0"/>
    <d v="2012-07-25T00:00:00"/>
    <d v="2017-07-25T00:00:00"/>
    <x v="144"/>
  </r>
  <r>
    <n v="1694"/>
    <x v="23"/>
    <x v="5"/>
    <x v="1"/>
    <n v="0.48693287037037036"/>
    <s v="Shibor_3M"/>
    <n v="3.26"/>
    <n v="3.32"/>
    <n v="0"/>
    <d v="2012-07-25T00:00:00"/>
    <d v="2013-04-25T00:00:00"/>
    <x v="3"/>
  </r>
  <r>
    <n v="1695"/>
    <x v="23"/>
    <x v="1"/>
    <x v="1"/>
    <n v="0.48693287037037036"/>
    <s v="Shibor_3M"/>
    <n v="3.14"/>
    <n v="3.2"/>
    <n v="0"/>
    <d v="2012-07-25T00:00:00"/>
    <d v="2013-07-25T00:00:00"/>
    <x v="56"/>
  </r>
  <r>
    <n v="1696"/>
    <x v="23"/>
    <x v="4"/>
    <x v="1"/>
    <n v="0.48693287037037036"/>
    <s v="Shibor_3M"/>
    <n v="2.96"/>
    <n v="3.02"/>
    <n v="0"/>
    <d v="2012-07-25T00:00:00"/>
    <d v="2014-07-25T00:00:00"/>
    <x v="114"/>
  </r>
  <r>
    <n v="1697"/>
    <x v="23"/>
    <x v="7"/>
    <x v="1"/>
    <n v="0.48693287037037036"/>
    <s v="Shibor_3M"/>
    <n v="3.02"/>
    <n v="3.08"/>
    <n v="0"/>
    <d v="2012-07-25T00:00:00"/>
    <d v="2019-07-25T00:00:00"/>
    <x v="81"/>
  </r>
  <r>
    <n v="1698"/>
    <x v="23"/>
    <x v="6"/>
    <x v="2"/>
    <n v="0.49327546296296299"/>
    <s v="Shibor_3M"/>
    <n v="2.9"/>
    <n v="3"/>
    <n v="0"/>
    <d v="2012-07-25T00:00:00"/>
    <d v="2022-07-25T00:00:00"/>
    <x v="122"/>
  </r>
  <r>
    <n v="1699"/>
    <x v="23"/>
    <x v="0"/>
    <x v="3"/>
    <n v="0.68175925925925929"/>
    <s v="Shibor_3M"/>
    <n v="2.83"/>
    <n v="2.93"/>
    <n v="0"/>
    <d v="2012-07-25T00:00:00"/>
    <d v="2015-07-25T00:00:00"/>
    <x v="144"/>
  </r>
  <r>
    <n v="1700"/>
    <x v="23"/>
    <x v="1"/>
    <x v="1"/>
    <n v="0.68261574074074083"/>
    <s v="Shibor_3M"/>
    <n v="3.14"/>
    <n v="3.2"/>
    <n v="0"/>
    <d v="2012-07-25T00:00:00"/>
    <d v="2013-07-25T00:00:00"/>
    <x v="56"/>
  </r>
  <r>
    <n v="1701"/>
    <x v="23"/>
    <x v="4"/>
    <x v="1"/>
    <n v="0.68261574074074083"/>
    <s v="Shibor_3M"/>
    <n v="2.92"/>
    <n v="2.98"/>
    <n v="0"/>
    <d v="2012-07-25T00:00:00"/>
    <d v="2014-07-25T00:00:00"/>
    <x v="122"/>
  </r>
  <r>
    <n v="1702"/>
    <x v="23"/>
    <x v="2"/>
    <x v="3"/>
    <n v="0.68174768518518514"/>
    <s v="Shibor_3M"/>
    <n v="2.87"/>
    <n v="2.93"/>
    <n v="0"/>
    <d v="2012-07-25T00:00:00"/>
    <d v="2016-07-25T00:00:00"/>
    <x v="145"/>
  </r>
  <r>
    <n v="1703"/>
    <x v="23"/>
    <x v="5"/>
    <x v="3"/>
    <n v="0.68173611111111121"/>
    <s v="Shibor_3M"/>
    <n v="3.23"/>
    <n v="3.3"/>
    <n v="0"/>
    <d v="2012-07-25T00:00:00"/>
    <d v="2013-04-25T00:00:00"/>
    <x v="146"/>
  </r>
  <r>
    <n v="1704"/>
    <x v="23"/>
    <x v="4"/>
    <x v="3"/>
    <n v="0.68174768518518514"/>
    <s v="Shibor_3M"/>
    <n v="2.91"/>
    <n v="2.96"/>
    <n v="0"/>
    <d v="2012-07-25T00:00:00"/>
    <d v="2014-07-25T00:00:00"/>
    <x v="133"/>
  </r>
  <r>
    <n v="1705"/>
    <x v="23"/>
    <x v="8"/>
    <x v="3"/>
    <n v="0.68174768518518514"/>
    <s v="Shibor_3M"/>
    <n v="3.48"/>
    <n v="3.53"/>
    <n v="0"/>
    <d v="2012-07-25T00:00:00"/>
    <d v="2013-01-25T00:00:00"/>
    <x v="67"/>
  </r>
  <r>
    <n v="1706"/>
    <x v="23"/>
    <x v="11"/>
    <x v="1"/>
    <n v="0.68262731481481476"/>
    <s v="Shibor_3M"/>
    <n v="2.91"/>
    <n v="2.97"/>
    <n v="0"/>
    <d v="2012-07-25T00:00:00"/>
    <d v="2017-07-25T00:00:00"/>
    <x v="131"/>
  </r>
  <r>
    <n v="1707"/>
    <x v="23"/>
    <x v="2"/>
    <x v="1"/>
    <n v="0.68262731481481476"/>
    <s v="Shibor_3M"/>
    <n v="2.9"/>
    <n v="2.96"/>
    <n v="0"/>
    <d v="2012-07-25T00:00:00"/>
    <d v="2016-07-25T00:00:00"/>
    <x v="137"/>
  </r>
  <r>
    <n v="1708"/>
    <x v="23"/>
    <x v="0"/>
    <x v="1"/>
    <n v="0.68262731481481476"/>
    <s v="Shibor_3M"/>
    <n v="2.9"/>
    <n v="2.96"/>
    <n v="0"/>
    <d v="2012-07-25T00:00:00"/>
    <d v="2015-07-25T00:00:00"/>
    <x v="137"/>
  </r>
  <r>
    <n v="1709"/>
    <x v="23"/>
    <x v="8"/>
    <x v="1"/>
    <n v="0.68261574074074083"/>
    <s v="Shibor_3M"/>
    <n v="3.47"/>
    <n v="3.53"/>
    <n v="0"/>
    <d v="2012-07-25T00:00:00"/>
    <d v="2013-01-25T00:00:00"/>
    <x v="13"/>
  </r>
  <r>
    <n v="1710"/>
    <x v="23"/>
    <x v="7"/>
    <x v="1"/>
    <n v="0.68261574074074083"/>
    <s v="Shibor_3M"/>
    <n v="2.99"/>
    <n v="3.05"/>
    <n v="0"/>
    <d v="2012-07-25T00:00:00"/>
    <d v="2019-07-25T00:00:00"/>
    <x v="116"/>
  </r>
  <r>
    <n v="1711"/>
    <x v="23"/>
    <x v="5"/>
    <x v="1"/>
    <n v="0.68261574074074083"/>
    <s v="Shibor_3M"/>
    <n v="3.26"/>
    <n v="3.32"/>
    <n v="0"/>
    <d v="2012-07-25T00:00:00"/>
    <d v="2013-04-25T00:00:00"/>
    <x v="3"/>
  </r>
  <r>
    <n v="1712"/>
    <x v="23"/>
    <x v="6"/>
    <x v="1"/>
    <n v="0.68261574074074083"/>
    <s v="Shibor_3M"/>
    <n v="3.03"/>
    <n v="3.09"/>
    <n v="0"/>
    <d v="2012-07-25T00:00:00"/>
    <d v="2022-07-25T00:00:00"/>
    <x v="95"/>
  </r>
  <r>
    <n v="1713"/>
    <x v="23"/>
    <x v="11"/>
    <x v="3"/>
    <n v="0.68173611111111121"/>
    <s v="Shibor_3M"/>
    <n v="2.87"/>
    <n v="2.92"/>
    <n v="0"/>
    <d v="2012-07-25T00:00:00"/>
    <d v="2017-07-25T00:00:00"/>
    <x v="147"/>
  </r>
  <r>
    <n v="1714"/>
    <x v="23"/>
    <x v="5"/>
    <x v="6"/>
    <n v="0.67835648148148142"/>
    <s v="Shibor_3M"/>
    <n v="3.24"/>
    <n v="3.34"/>
    <n v="0"/>
    <d v="2012-07-25T00:00:00"/>
    <d v="2013-04-25T00:00:00"/>
    <x v="3"/>
  </r>
  <r>
    <n v="1715"/>
    <x v="23"/>
    <x v="7"/>
    <x v="6"/>
    <n v="0.67835648148148142"/>
    <s v="Shibor_3M"/>
    <n v="2.97"/>
    <n v="3.07"/>
    <n v="0"/>
    <d v="2012-07-25T00:00:00"/>
    <d v="2019-07-25T00:00:00"/>
    <x v="116"/>
  </r>
  <r>
    <n v="1716"/>
    <x v="23"/>
    <x v="8"/>
    <x v="6"/>
    <n v="0.67835648148148142"/>
    <s v="Shibor_3M"/>
    <n v="3.45"/>
    <n v="3.55"/>
    <n v="0"/>
    <d v="2012-07-25T00:00:00"/>
    <d v="2013-01-25T00:00:00"/>
    <x v="13"/>
  </r>
  <r>
    <n v="1717"/>
    <x v="23"/>
    <x v="0"/>
    <x v="2"/>
    <n v="0.49329861111111112"/>
    <s v="Shibor_3M"/>
    <n v="2.9"/>
    <n v="3"/>
    <n v="0"/>
    <d v="2012-07-25T00:00:00"/>
    <d v="2015-07-25T00:00:00"/>
    <x v="122"/>
  </r>
  <r>
    <n v="1718"/>
    <x v="23"/>
    <x v="4"/>
    <x v="2"/>
    <n v="0.49327546296296299"/>
    <s v="Shibor_3M"/>
    <n v="2.93"/>
    <n v="3.02"/>
    <n v="0"/>
    <d v="2012-07-25T00:00:00"/>
    <d v="2014-07-25T00:00:00"/>
    <x v="130"/>
  </r>
  <r>
    <n v="1719"/>
    <x v="23"/>
    <x v="11"/>
    <x v="2"/>
    <n v="0.49328703703703702"/>
    <s v="Shibor_3M"/>
    <n v="2.9"/>
    <n v="3"/>
    <n v="0"/>
    <d v="2012-07-25T00:00:00"/>
    <d v="2017-07-25T00:00:00"/>
    <x v="122"/>
  </r>
  <r>
    <n v="1720"/>
    <x v="23"/>
    <x v="2"/>
    <x v="2"/>
    <n v="0.49328703703703702"/>
    <s v="Shibor_3M"/>
    <n v="2.9"/>
    <n v="3"/>
    <n v="0"/>
    <d v="2012-07-25T00:00:00"/>
    <d v="2016-07-25T00:00:00"/>
    <x v="122"/>
  </r>
  <r>
    <n v="1721"/>
    <x v="23"/>
    <x v="1"/>
    <x v="6"/>
    <n v="0.67836805555555557"/>
    <s v="Shibor_3M"/>
    <n v="3.1"/>
    <n v="3.2"/>
    <n v="0"/>
    <d v="2012-07-25T00:00:00"/>
    <d v="2013-07-25T00:00:00"/>
    <x v="51"/>
  </r>
  <r>
    <n v="1722"/>
    <x v="23"/>
    <x v="6"/>
    <x v="6"/>
    <n v="0.67836805555555557"/>
    <s v="Shibor_3M"/>
    <n v="3.01"/>
    <n v="3.11"/>
    <n v="0"/>
    <d v="2012-07-25T00:00:00"/>
    <d v="2022-07-25T00:00:00"/>
    <x v="95"/>
  </r>
  <r>
    <n v="1723"/>
    <x v="23"/>
    <x v="1"/>
    <x v="3"/>
    <n v="0.68173611111111121"/>
    <s v="Shibor_3M"/>
    <n v="2.91"/>
    <n v="2.96"/>
    <n v="0"/>
    <d v="2012-07-25T00:00:00"/>
    <d v="2013-07-25T00:00:00"/>
    <x v="133"/>
  </r>
  <r>
    <n v="1724"/>
    <x v="23"/>
    <x v="4"/>
    <x v="6"/>
    <n v="0.67836805555555557"/>
    <s v="Shibor_3M"/>
    <n v="2.88"/>
    <n v="2.98"/>
    <n v="0"/>
    <d v="2012-07-25T00:00:00"/>
    <d v="2014-07-25T00:00:00"/>
    <x v="137"/>
  </r>
  <r>
    <n v="1725"/>
    <x v="23"/>
    <x v="11"/>
    <x v="6"/>
    <n v="0.67836805555555557"/>
    <s v="Shibor_3M"/>
    <n v="2.87"/>
    <n v="2.97"/>
    <n v="0"/>
    <d v="2012-07-25T00:00:00"/>
    <d v="2017-07-25T00:00:00"/>
    <x v="141"/>
  </r>
  <r>
    <n v="1726"/>
    <x v="23"/>
    <x v="2"/>
    <x v="6"/>
    <n v="0.67836805555555557"/>
    <s v="Shibor_3M"/>
    <n v="2.87"/>
    <n v="2.97"/>
    <n v="0"/>
    <d v="2012-07-25T00:00:00"/>
    <d v="2016-07-25T00:00:00"/>
    <x v="141"/>
  </r>
  <r>
    <n v="1727"/>
    <x v="23"/>
    <x v="0"/>
    <x v="6"/>
    <n v="0.67836805555555557"/>
    <s v="Shibor_3M"/>
    <n v="2.87"/>
    <n v="2.97"/>
    <n v="0"/>
    <d v="2012-07-25T00:00:00"/>
    <d v="2015-07-25T00:00:00"/>
    <x v="141"/>
  </r>
  <r>
    <n v="1728"/>
    <x v="24"/>
    <x v="11"/>
    <x v="2"/>
    <n v="0.48937499999999995"/>
    <s v="Shibor_3M"/>
    <n v="2.9"/>
    <n v="3"/>
    <n v="0"/>
    <d v="2012-07-24T00:00:00"/>
    <d v="2017-07-24T00:00:00"/>
    <x v="122"/>
  </r>
  <r>
    <n v="1729"/>
    <x v="24"/>
    <x v="4"/>
    <x v="2"/>
    <n v="0.48936342592592591"/>
    <s v="Shibor_3M"/>
    <n v="2.93"/>
    <n v="3.02"/>
    <n v="0"/>
    <d v="2012-07-24T00:00:00"/>
    <d v="2014-07-24T00:00:00"/>
    <x v="130"/>
  </r>
  <r>
    <n v="1730"/>
    <x v="24"/>
    <x v="0"/>
    <x v="2"/>
    <n v="0.48937499999999995"/>
    <s v="Shibor_3M"/>
    <n v="2.9"/>
    <n v="3"/>
    <n v="0"/>
    <d v="2012-07-24T00:00:00"/>
    <d v="2015-07-24T00:00:00"/>
    <x v="122"/>
  </r>
  <r>
    <n v="1731"/>
    <x v="24"/>
    <x v="2"/>
    <x v="2"/>
    <n v="0.48937499999999995"/>
    <s v="Shibor_3M"/>
    <n v="2.9"/>
    <n v="3"/>
    <n v="0"/>
    <d v="2012-07-24T00:00:00"/>
    <d v="2016-07-24T00:00:00"/>
    <x v="122"/>
  </r>
  <r>
    <n v="1732"/>
    <x v="24"/>
    <x v="5"/>
    <x v="2"/>
    <n v="0.48936342592592591"/>
    <s v="Shibor_3M"/>
    <n v="3.2"/>
    <n v="3.28"/>
    <n v="0"/>
    <d v="2012-07-24T00:00:00"/>
    <d v="2013-04-24T00:00:00"/>
    <x v="10"/>
  </r>
  <r>
    <n v="1733"/>
    <x v="24"/>
    <x v="7"/>
    <x v="2"/>
    <n v="0.48936342592592591"/>
    <s v="Shibor_3M"/>
    <n v="2.9"/>
    <n v="3"/>
    <n v="0"/>
    <d v="2012-07-24T00:00:00"/>
    <d v="2019-07-24T00:00:00"/>
    <x v="122"/>
  </r>
  <r>
    <n v="1734"/>
    <x v="24"/>
    <x v="6"/>
    <x v="2"/>
    <n v="0.48936342592592591"/>
    <s v="Shibor_3M"/>
    <n v="2.9"/>
    <n v="3"/>
    <n v="0"/>
    <d v="2012-07-24T00:00:00"/>
    <d v="2022-07-24T00:00:00"/>
    <x v="122"/>
  </r>
  <r>
    <n v="1735"/>
    <x v="24"/>
    <x v="1"/>
    <x v="2"/>
    <n v="0.48936342592592591"/>
    <s v="Shibor_3M"/>
    <n v="3.1"/>
    <n v="3.15"/>
    <n v="0"/>
    <d v="2012-07-24T00:00:00"/>
    <d v="2013-07-24T00:00:00"/>
    <x v="80"/>
  </r>
  <r>
    <n v="1736"/>
    <x v="24"/>
    <x v="8"/>
    <x v="1"/>
    <n v="0.4904398148148148"/>
    <s v="Shibor_3M"/>
    <n v="3.49"/>
    <n v="3.55"/>
    <n v="0"/>
    <d v="2012-07-24T00:00:00"/>
    <d v="2013-01-24T00:00:00"/>
    <x v="8"/>
  </r>
  <r>
    <n v="1737"/>
    <x v="24"/>
    <x v="11"/>
    <x v="1"/>
    <n v="0.49046296296296293"/>
    <s v="Shibor_3M"/>
    <n v="2.95"/>
    <n v="3"/>
    <n v="0"/>
    <d v="2012-07-24T00:00:00"/>
    <d v="2017-07-24T00:00:00"/>
    <x v="130"/>
  </r>
  <r>
    <n v="1738"/>
    <x v="24"/>
    <x v="6"/>
    <x v="1"/>
    <n v="0.49046296296296293"/>
    <s v="Shibor_3M"/>
    <n v="3.07"/>
    <n v="3.13"/>
    <n v="0"/>
    <d v="2012-07-24T00:00:00"/>
    <d v="2022-07-24T00:00:00"/>
    <x v="64"/>
  </r>
  <r>
    <n v="1739"/>
    <x v="24"/>
    <x v="0"/>
    <x v="1"/>
    <n v="0.49046296296296293"/>
    <s v="Shibor_3M"/>
    <n v="2.95"/>
    <n v="3.01"/>
    <n v="0"/>
    <d v="2012-07-24T00:00:00"/>
    <d v="2015-07-24T00:00:00"/>
    <x v="123"/>
  </r>
  <r>
    <n v="1740"/>
    <x v="24"/>
    <x v="2"/>
    <x v="1"/>
    <n v="0.49046296296296293"/>
    <s v="Shibor_3M"/>
    <n v="2.94"/>
    <n v="3"/>
    <n v="0"/>
    <d v="2012-07-24T00:00:00"/>
    <d v="2016-07-24T00:00:00"/>
    <x v="105"/>
  </r>
  <r>
    <n v="1741"/>
    <x v="24"/>
    <x v="4"/>
    <x v="1"/>
    <n v="0.4904513888888889"/>
    <s v="Shibor_3M"/>
    <n v="2.97"/>
    <n v="3.03"/>
    <n v="0"/>
    <d v="2012-07-24T00:00:00"/>
    <d v="2014-07-24T00:00:00"/>
    <x v="99"/>
  </r>
  <r>
    <n v="1742"/>
    <x v="24"/>
    <x v="1"/>
    <x v="1"/>
    <n v="0.4904398148148148"/>
    <s v="Shibor_3M"/>
    <n v="3.15"/>
    <n v="3.21"/>
    <n v="0"/>
    <d v="2012-07-24T00:00:00"/>
    <d v="2013-07-24T00:00:00"/>
    <x v="49"/>
  </r>
  <r>
    <n v="1743"/>
    <x v="24"/>
    <x v="5"/>
    <x v="1"/>
    <n v="0.4904513888888889"/>
    <s v="Shibor_3M"/>
    <n v="3.28"/>
    <n v="3.34"/>
    <n v="0"/>
    <d v="2012-07-24T00:00:00"/>
    <d v="2013-04-24T00:00:00"/>
    <x v="6"/>
  </r>
  <r>
    <n v="1744"/>
    <x v="24"/>
    <x v="7"/>
    <x v="1"/>
    <n v="0.4904513888888889"/>
    <s v="Shibor_3M"/>
    <n v="3.02"/>
    <n v="3.08"/>
    <n v="0"/>
    <d v="2012-07-24T00:00:00"/>
    <d v="2019-07-24T00:00:00"/>
    <x v="81"/>
  </r>
  <r>
    <n v="1745"/>
    <x v="24"/>
    <x v="2"/>
    <x v="3"/>
    <n v="0.48715277777777777"/>
    <s v="Shibor_3M"/>
    <n v="2.93"/>
    <n v="3.03"/>
    <n v="0"/>
    <d v="2012-07-24T00:00:00"/>
    <d v="2016-07-24T00:00:00"/>
    <x v="123"/>
  </r>
  <r>
    <n v="1746"/>
    <x v="24"/>
    <x v="5"/>
    <x v="3"/>
    <n v="0.48715277777777777"/>
    <s v="Shibor_3M"/>
    <n v="3.25"/>
    <n v="3.35"/>
    <n v="0"/>
    <d v="2012-07-24T00:00:00"/>
    <d v="2013-04-24T00:00:00"/>
    <x v="23"/>
  </r>
  <r>
    <n v="1747"/>
    <x v="24"/>
    <x v="5"/>
    <x v="6"/>
    <n v="0.48834490740740738"/>
    <s v="Shibor_3M"/>
    <n v="3.26"/>
    <n v="3.36"/>
    <n v="0"/>
    <d v="2012-07-24T00:00:00"/>
    <d v="2013-04-24T00:00:00"/>
    <x v="6"/>
  </r>
  <r>
    <n v="1748"/>
    <x v="24"/>
    <x v="0"/>
    <x v="3"/>
    <n v="0.48716435185185186"/>
    <s v="Shibor_3M"/>
    <n v="2.93"/>
    <n v="3.03"/>
    <n v="0"/>
    <d v="2012-07-24T00:00:00"/>
    <d v="2015-07-24T00:00:00"/>
    <x v="123"/>
  </r>
  <r>
    <n v="1749"/>
    <x v="24"/>
    <x v="8"/>
    <x v="3"/>
    <n v="0.48715277777777777"/>
    <s v="Shibor_3M"/>
    <n v="3.48"/>
    <n v="3.54"/>
    <n v="0"/>
    <d v="2012-07-24T00:00:00"/>
    <d v="2013-01-24T00:00:00"/>
    <x v="44"/>
  </r>
  <r>
    <n v="1750"/>
    <x v="24"/>
    <x v="4"/>
    <x v="3"/>
    <n v="0.48715277777777777"/>
    <s v="Shibor_3M"/>
    <n v="2.95"/>
    <n v="3.05"/>
    <n v="0"/>
    <d v="2012-07-24T00:00:00"/>
    <d v="2014-07-24T00:00:00"/>
    <x v="99"/>
  </r>
  <r>
    <n v="1751"/>
    <x v="24"/>
    <x v="11"/>
    <x v="3"/>
    <n v="0.48715277777777777"/>
    <s v="Shibor_3M"/>
    <n v="3.16"/>
    <n v="3.24"/>
    <n v="0"/>
    <d v="2012-07-24T00:00:00"/>
    <d v="2017-07-24T00:00:00"/>
    <x v="57"/>
  </r>
  <r>
    <n v="1752"/>
    <x v="24"/>
    <x v="1"/>
    <x v="3"/>
    <n v="0.48715277777777777"/>
    <s v="Shibor_3M"/>
    <n v="3.16"/>
    <n v="3.24"/>
    <n v="0"/>
    <d v="2012-07-24T00:00:00"/>
    <d v="2013-07-24T00:00:00"/>
    <x v="57"/>
  </r>
  <r>
    <n v="1753"/>
    <x v="24"/>
    <x v="7"/>
    <x v="6"/>
    <n v="0.48834490740740738"/>
    <s v="Shibor_3M"/>
    <n v="2.99"/>
    <n v="3.09"/>
    <n v="0"/>
    <d v="2012-07-24T00:00:00"/>
    <d v="2019-07-24T00:00:00"/>
    <x v="91"/>
  </r>
  <r>
    <n v="1754"/>
    <x v="24"/>
    <x v="1"/>
    <x v="6"/>
    <n v="0.48834490740740738"/>
    <s v="Shibor_3M"/>
    <n v="3.13"/>
    <n v="3.23"/>
    <n v="0"/>
    <d v="2012-07-24T00:00:00"/>
    <d v="2013-07-24T00:00:00"/>
    <x v="49"/>
  </r>
  <r>
    <n v="1755"/>
    <x v="24"/>
    <x v="4"/>
    <x v="6"/>
    <n v="0.48834490740740738"/>
    <s v="Shibor_3M"/>
    <n v="2.95"/>
    <n v="3.05"/>
    <n v="0"/>
    <d v="2012-07-24T00:00:00"/>
    <d v="2014-07-24T00:00:00"/>
    <x v="99"/>
  </r>
  <r>
    <n v="1756"/>
    <x v="24"/>
    <x v="8"/>
    <x v="2"/>
    <n v="0.48935185185185182"/>
    <s v="Shibor_3M"/>
    <n v="3.45"/>
    <n v="3.5"/>
    <n v="0"/>
    <d v="2012-07-24T00:00:00"/>
    <d v="2013-01-24T00:00:00"/>
    <x v="108"/>
  </r>
  <r>
    <n v="1757"/>
    <x v="24"/>
    <x v="6"/>
    <x v="6"/>
    <n v="0.48834490740740738"/>
    <s v="Shibor_3M"/>
    <n v="3.04"/>
    <n v="3.14"/>
    <n v="0"/>
    <d v="2012-07-24T00:00:00"/>
    <d v="2022-07-24T00:00:00"/>
    <x v="69"/>
  </r>
  <r>
    <n v="1758"/>
    <x v="24"/>
    <x v="11"/>
    <x v="6"/>
    <n v="0.48834490740740738"/>
    <s v="Shibor_3M"/>
    <n v="2.93"/>
    <n v="3.03"/>
    <n v="0"/>
    <d v="2012-07-24T00:00:00"/>
    <d v="2017-07-24T00:00:00"/>
    <x v="123"/>
  </r>
  <r>
    <n v="1759"/>
    <x v="24"/>
    <x v="8"/>
    <x v="6"/>
    <n v="0.48834490740740738"/>
    <s v="Shibor_3M"/>
    <n v="3.47"/>
    <n v="3.57"/>
    <n v="0"/>
    <d v="2012-07-24T00:00:00"/>
    <d v="2013-01-24T00:00:00"/>
    <x v="8"/>
  </r>
  <r>
    <n v="1760"/>
    <x v="24"/>
    <x v="0"/>
    <x v="6"/>
    <n v="0.48834490740740738"/>
    <s v="Shibor_3M"/>
    <n v="2.93"/>
    <n v="3.03"/>
    <n v="0"/>
    <d v="2012-07-24T00:00:00"/>
    <d v="2015-07-24T00:00:00"/>
    <x v="123"/>
  </r>
  <r>
    <n v="1761"/>
    <x v="24"/>
    <x v="2"/>
    <x v="6"/>
    <n v="0.48834490740740738"/>
    <s v="Shibor_3M"/>
    <n v="2.93"/>
    <n v="3.03"/>
    <n v="0"/>
    <d v="2012-07-24T00:00:00"/>
    <d v="2016-07-24T00:00:00"/>
    <x v="123"/>
  </r>
  <r>
    <n v="1762"/>
    <x v="24"/>
    <x v="4"/>
    <x v="2"/>
    <n v="0.67759259259259252"/>
    <s v="Shibor_3M"/>
    <n v="2.93"/>
    <n v="3.02"/>
    <n v="0"/>
    <d v="2012-07-24T00:00:00"/>
    <d v="2014-07-24T00:00:00"/>
    <x v="130"/>
  </r>
  <r>
    <n v="1763"/>
    <x v="24"/>
    <x v="6"/>
    <x v="2"/>
    <n v="0.67759259259259252"/>
    <s v="Shibor_3M"/>
    <n v="2.9"/>
    <n v="3"/>
    <n v="0"/>
    <d v="2012-07-24T00:00:00"/>
    <d v="2022-07-24T00:00:00"/>
    <x v="122"/>
  </r>
  <r>
    <n v="1764"/>
    <x v="24"/>
    <x v="5"/>
    <x v="2"/>
    <n v="0.67759259259259252"/>
    <s v="Shibor_3M"/>
    <n v="3.2"/>
    <n v="3.28"/>
    <n v="0"/>
    <d v="2012-07-24T00:00:00"/>
    <d v="2013-04-24T00:00:00"/>
    <x v="10"/>
  </r>
  <r>
    <n v="1765"/>
    <x v="24"/>
    <x v="7"/>
    <x v="2"/>
    <n v="0.67759259259259252"/>
    <s v="Shibor_3M"/>
    <n v="2.9"/>
    <n v="3"/>
    <n v="0"/>
    <d v="2012-07-24T00:00:00"/>
    <d v="2019-07-24T00:00:00"/>
    <x v="122"/>
  </r>
  <r>
    <n v="1766"/>
    <x v="24"/>
    <x v="2"/>
    <x v="2"/>
    <n v="0.67759259259259252"/>
    <s v="Shibor_3M"/>
    <n v="2.9"/>
    <n v="3"/>
    <n v="0"/>
    <d v="2012-07-24T00:00:00"/>
    <d v="2016-07-24T00:00:00"/>
    <x v="122"/>
  </r>
  <r>
    <n v="1767"/>
    <x v="24"/>
    <x v="11"/>
    <x v="2"/>
    <n v="0.67759259259259252"/>
    <s v="Shibor_3M"/>
    <n v="2.9"/>
    <n v="3"/>
    <n v="0"/>
    <d v="2012-07-24T00:00:00"/>
    <d v="2017-07-24T00:00:00"/>
    <x v="122"/>
  </r>
  <r>
    <n v="1768"/>
    <x v="24"/>
    <x v="1"/>
    <x v="2"/>
    <n v="0.67759259259259252"/>
    <s v="Shibor_3M"/>
    <n v="3.1"/>
    <n v="3.15"/>
    <n v="0"/>
    <d v="2012-07-24T00:00:00"/>
    <d v="2013-07-24T00:00:00"/>
    <x v="80"/>
  </r>
  <r>
    <n v="1769"/>
    <x v="24"/>
    <x v="0"/>
    <x v="2"/>
    <n v="0.67759259259259252"/>
    <s v="Shibor_3M"/>
    <n v="2.9"/>
    <n v="3"/>
    <n v="0"/>
    <d v="2012-07-24T00:00:00"/>
    <d v="2015-07-24T00:00:00"/>
    <x v="122"/>
  </r>
  <r>
    <n v="1770"/>
    <x v="24"/>
    <x v="8"/>
    <x v="1"/>
    <n v="0.68584490740740733"/>
    <s v="Shibor_3M"/>
    <n v="3.47"/>
    <n v="3.53"/>
    <n v="0"/>
    <d v="2012-07-24T00:00:00"/>
    <d v="2013-01-24T00:00:00"/>
    <x v="13"/>
  </r>
  <r>
    <n v="1771"/>
    <x v="24"/>
    <x v="11"/>
    <x v="1"/>
    <n v="0.68586805555555552"/>
    <s v="Shibor_3M"/>
    <n v="2.85"/>
    <n v="2.91"/>
    <n v="0"/>
    <d v="2012-07-24T00:00:00"/>
    <d v="2017-07-24T00:00:00"/>
    <x v="144"/>
  </r>
  <r>
    <n v="1772"/>
    <x v="24"/>
    <x v="4"/>
    <x v="1"/>
    <n v="0.68585648148148148"/>
    <s v="Shibor_3M"/>
    <n v="2.96"/>
    <n v="3.02"/>
    <n v="0"/>
    <d v="2012-07-24T00:00:00"/>
    <d v="2014-07-24T00:00:00"/>
    <x v="114"/>
  </r>
  <r>
    <n v="1773"/>
    <x v="24"/>
    <x v="0"/>
    <x v="1"/>
    <n v="0.68586805555555552"/>
    <s v="Shibor_3M"/>
    <n v="2.94"/>
    <n v="3"/>
    <n v="0"/>
    <d v="2012-07-24T00:00:00"/>
    <d v="2015-07-24T00:00:00"/>
    <x v="105"/>
  </r>
  <r>
    <n v="1774"/>
    <x v="24"/>
    <x v="2"/>
    <x v="1"/>
    <n v="0.68586805555555552"/>
    <s v="Shibor_3M"/>
    <n v="2.94"/>
    <n v="3"/>
    <n v="0"/>
    <d v="2012-07-24T00:00:00"/>
    <d v="2016-07-24T00:00:00"/>
    <x v="105"/>
  </r>
  <r>
    <n v="1775"/>
    <x v="24"/>
    <x v="5"/>
    <x v="1"/>
    <n v="0.68585648148148148"/>
    <s v="Shibor_3M"/>
    <n v="3.26"/>
    <n v="3.32"/>
    <n v="0"/>
    <d v="2012-07-24T00:00:00"/>
    <d v="2013-04-24T00:00:00"/>
    <x v="3"/>
  </r>
  <r>
    <n v="1776"/>
    <x v="24"/>
    <x v="7"/>
    <x v="1"/>
    <n v="0.68585648148148148"/>
    <s v="Shibor_3M"/>
    <n v="3.02"/>
    <n v="3.08"/>
    <n v="0"/>
    <d v="2012-07-24T00:00:00"/>
    <d v="2019-07-24T00:00:00"/>
    <x v="81"/>
  </r>
  <r>
    <n v="1777"/>
    <x v="24"/>
    <x v="1"/>
    <x v="1"/>
    <n v="0.68585648148148148"/>
    <s v="Shibor_3M"/>
    <n v="3.14"/>
    <n v="3.2"/>
    <n v="0"/>
    <d v="2012-07-24T00:00:00"/>
    <d v="2013-07-24T00:00:00"/>
    <x v="56"/>
  </r>
  <r>
    <n v="1778"/>
    <x v="24"/>
    <x v="6"/>
    <x v="1"/>
    <n v="0.68585648148148148"/>
    <s v="Shibor_3M"/>
    <n v="3.07"/>
    <n v="3.13"/>
    <n v="0"/>
    <d v="2012-07-24T00:00:00"/>
    <d v="2022-07-24T00:00:00"/>
    <x v="64"/>
  </r>
  <r>
    <n v="1779"/>
    <x v="24"/>
    <x v="2"/>
    <x v="2"/>
    <n v="0.67363425925925924"/>
    <s v="Shibor_3M"/>
    <n v="2.9"/>
    <n v="3"/>
    <n v="0"/>
    <d v="2012-07-24T00:00:00"/>
    <d v="2016-07-24T00:00:00"/>
    <x v="122"/>
  </r>
  <r>
    <n v="1780"/>
    <x v="24"/>
    <x v="11"/>
    <x v="2"/>
    <n v="0.67363425925925924"/>
    <s v="Shibor_3M"/>
    <n v="2.9"/>
    <n v="3"/>
    <n v="0"/>
    <d v="2012-07-24T00:00:00"/>
    <d v="2017-07-24T00:00:00"/>
    <x v="122"/>
  </r>
  <r>
    <n v="1781"/>
    <x v="24"/>
    <x v="7"/>
    <x v="2"/>
    <n v="0.67363425925925924"/>
    <s v="Shibor_3M"/>
    <n v="2.9"/>
    <n v="3"/>
    <n v="0"/>
    <d v="2012-07-24T00:00:00"/>
    <d v="2019-07-24T00:00:00"/>
    <x v="122"/>
  </r>
  <r>
    <n v="1782"/>
    <x v="24"/>
    <x v="0"/>
    <x v="2"/>
    <n v="0.67363425925925924"/>
    <s v="Shibor_3M"/>
    <n v="2.9"/>
    <n v="3"/>
    <n v="0"/>
    <d v="2012-07-24T00:00:00"/>
    <d v="2015-07-24T00:00:00"/>
    <x v="122"/>
  </r>
  <r>
    <n v="1783"/>
    <x v="24"/>
    <x v="1"/>
    <x v="2"/>
    <n v="0.67362268518518509"/>
    <s v="Shibor_3M"/>
    <n v="3.1"/>
    <n v="3.15"/>
    <n v="0"/>
    <d v="2012-07-24T00:00:00"/>
    <d v="2013-07-24T00:00:00"/>
    <x v="80"/>
  </r>
  <r>
    <n v="1784"/>
    <x v="24"/>
    <x v="8"/>
    <x v="2"/>
    <n v="0.67362268518518509"/>
    <s v="Shibor_3M"/>
    <n v="3.45"/>
    <n v="3.5"/>
    <n v="0"/>
    <d v="2012-07-24T00:00:00"/>
    <d v="2013-01-24T00:00:00"/>
    <x v="108"/>
  </r>
  <r>
    <n v="1785"/>
    <x v="24"/>
    <x v="4"/>
    <x v="2"/>
    <n v="0.67362268518518509"/>
    <s v="Shibor_3M"/>
    <n v="2.93"/>
    <n v="3.02"/>
    <n v="0"/>
    <d v="2012-07-24T00:00:00"/>
    <d v="2014-07-24T00:00:00"/>
    <x v="130"/>
  </r>
  <r>
    <n v="1786"/>
    <x v="24"/>
    <x v="6"/>
    <x v="2"/>
    <n v="0.67362268518518509"/>
    <s v="Shibor_3M"/>
    <n v="2.9"/>
    <n v="3"/>
    <n v="0"/>
    <d v="2012-07-24T00:00:00"/>
    <d v="2022-07-24T00:00:00"/>
    <x v="122"/>
  </r>
  <r>
    <n v="1787"/>
    <x v="24"/>
    <x v="5"/>
    <x v="2"/>
    <n v="0.67363425925925924"/>
    <s v="Shibor_3M"/>
    <n v="3.2"/>
    <n v="3.28"/>
    <n v="0"/>
    <d v="2012-07-24T00:00:00"/>
    <d v="2013-04-24T00:00:00"/>
    <x v="10"/>
  </r>
  <r>
    <n v="1788"/>
    <x v="24"/>
    <x v="8"/>
    <x v="3"/>
    <n v="0.6756712962962963"/>
    <s v="Shibor_3M"/>
    <n v="3.47"/>
    <n v="3.57"/>
    <n v="0"/>
    <d v="2012-07-24T00:00:00"/>
    <d v="2013-01-24T00:00:00"/>
    <x v="8"/>
  </r>
  <r>
    <n v="1789"/>
    <x v="24"/>
    <x v="4"/>
    <x v="3"/>
    <n v="0.6756712962962963"/>
    <s v="Shibor_3M"/>
    <n v="2.98"/>
    <n v="3.03"/>
    <n v="0"/>
    <d v="2012-07-24T00:00:00"/>
    <d v="2014-07-24T00:00:00"/>
    <x v="113"/>
  </r>
  <r>
    <n v="1790"/>
    <x v="24"/>
    <x v="8"/>
    <x v="2"/>
    <n v="0.6775810185185186"/>
    <s v="Shibor_3M"/>
    <n v="3.45"/>
    <n v="3.5"/>
    <n v="0"/>
    <d v="2012-07-24T00:00:00"/>
    <d v="2013-01-24T00:00:00"/>
    <x v="108"/>
  </r>
  <r>
    <n v="1791"/>
    <x v="24"/>
    <x v="0"/>
    <x v="3"/>
    <n v="0.6756712962962963"/>
    <s v="Shibor_3M"/>
    <n v="2.91"/>
    <n v="3.01"/>
    <n v="0"/>
    <d v="2012-07-24T00:00:00"/>
    <d v="2015-07-24T00:00:00"/>
    <x v="117"/>
  </r>
  <r>
    <n v="1792"/>
    <x v="24"/>
    <x v="11"/>
    <x v="3"/>
    <n v="0.67565972222222215"/>
    <s v="Shibor_3M"/>
    <n v="2.93"/>
    <n v="3.03"/>
    <n v="0"/>
    <d v="2012-07-24T00:00:00"/>
    <d v="2017-07-24T00:00:00"/>
    <x v="123"/>
  </r>
  <r>
    <n v="1793"/>
    <x v="24"/>
    <x v="1"/>
    <x v="3"/>
    <n v="0.67565972222222215"/>
    <s v="Shibor_3M"/>
    <n v="3.13"/>
    <n v="3.23"/>
    <n v="0"/>
    <d v="2012-07-24T00:00:00"/>
    <d v="2013-07-24T00:00:00"/>
    <x v="49"/>
  </r>
  <r>
    <n v="1794"/>
    <x v="24"/>
    <x v="2"/>
    <x v="3"/>
    <n v="0.67565972222222215"/>
    <s v="Shibor_3M"/>
    <n v="2.91"/>
    <n v="3.01"/>
    <n v="0"/>
    <d v="2012-07-24T00:00:00"/>
    <d v="2016-07-24T00:00:00"/>
    <x v="117"/>
  </r>
  <r>
    <n v="1795"/>
    <x v="24"/>
    <x v="5"/>
    <x v="3"/>
    <n v="0.67565972222222215"/>
    <s v="Shibor_3M"/>
    <n v="3.25"/>
    <n v="3.35"/>
    <n v="0"/>
    <d v="2012-07-24T00:00:00"/>
    <d v="2013-04-24T00:00:00"/>
    <x v="23"/>
  </r>
  <r>
    <n v="1796"/>
    <x v="25"/>
    <x v="11"/>
    <x v="2"/>
    <n v="0.48853009259259261"/>
    <s v="Shibor_3M"/>
    <n v="2.9"/>
    <n v="3"/>
    <n v="0"/>
    <d v="2012-07-21T00:00:00"/>
    <d v="2017-07-21T00:00:00"/>
    <x v="122"/>
  </r>
  <r>
    <n v="1797"/>
    <x v="25"/>
    <x v="5"/>
    <x v="2"/>
    <n v="0.48851851851851852"/>
    <s v="Shibor_3M"/>
    <n v="3.2"/>
    <n v="3.28"/>
    <n v="0"/>
    <d v="2012-07-21T00:00:00"/>
    <d v="2013-04-21T00:00:00"/>
    <x v="10"/>
  </r>
  <r>
    <n v="1798"/>
    <x v="25"/>
    <x v="0"/>
    <x v="2"/>
    <n v="0.48853009259259261"/>
    <s v="Shibor_3M"/>
    <n v="2.9"/>
    <n v="3"/>
    <n v="0"/>
    <d v="2012-07-21T00:00:00"/>
    <d v="2015-07-21T00:00:00"/>
    <x v="122"/>
  </r>
  <r>
    <n v="1799"/>
    <x v="25"/>
    <x v="2"/>
    <x v="2"/>
    <n v="0.48853009259259261"/>
    <s v="Shibor_3M"/>
    <n v="2.9"/>
    <n v="3"/>
    <n v="0"/>
    <d v="2012-07-21T00:00:00"/>
    <d v="2016-07-21T00:00:00"/>
    <x v="122"/>
  </r>
  <r>
    <n v="1800"/>
    <x v="25"/>
    <x v="6"/>
    <x v="2"/>
    <n v="0.48849537037037033"/>
    <s v="Shibor_3M"/>
    <n v="2.9"/>
    <n v="3"/>
    <n v="0"/>
    <d v="2012-07-21T00:00:00"/>
    <d v="2022-07-21T00:00:00"/>
    <x v="122"/>
  </r>
  <r>
    <n v="1801"/>
    <x v="25"/>
    <x v="1"/>
    <x v="2"/>
    <n v="0.48849537037037033"/>
    <s v="Shibor_3M"/>
    <n v="3.1"/>
    <n v="3.15"/>
    <n v="0"/>
    <d v="2012-07-21T00:00:00"/>
    <d v="2013-07-21T00:00:00"/>
    <x v="80"/>
  </r>
  <r>
    <n v="1802"/>
    <x v="25"/>
    <x v="7"/>
    <x v="2"/>
    <n v="0.48851851851851852"/>
    <s v="Shibor_3M"/>
    <n v="2.9"/>
    <n v="3"/>
    <n v="0"/>
    <d v="2012-07-21T00:00:00"/>
    <d v="2019-07-21T00:00:00"/>
    <x v="122"/>
  </r>
  <r>
    <n v="1803"/>
    <x v="25"/>
    <x v="4"/>
    <x v="2"/>
    <n v="0.48849537037037033"/>
    <s v="Shibor_3M"/>
    <n v="2.93"/>
    <n v="3.02"/>
    <n v="0"/>
    <d v="2012-07-21T00:00:00"/>
    <d v="2014-07-21T00:00:00"/>
    <x v="130"/>
  </r>
  <r>
    <n v="1804"/>
    <x v="25"/>
    <x v="1"/>
    <x v="1"/>
    <n v="0.49337962962962961"/>
    <s v="Shibor_3M"/>
    <n v="3.14"/>
    <n v="3.2"/>
    <n v="0"/>
    <d v="2012-07-21T00:00:00"/>
    <d v="2013-07-21T00:00:00"/>
    <x v="56"/>
  </r>
  <r>
    <n v="1805"/>
    <x v="25"/>
    <x v="11"/>
    <x v="1"/>
    <n v="0.49341435185185184"/>
    <s v="Shibor_3M"/>
    <n v="2.95"/>
    <n v="3"/>
    <n v="0"/>
    <d v="2012-07-21T00:00:00"/>
    <d v="2017-07-21T00:00:00"/>
    <x v="130"/>
  </r>
  <r>
    <n v="1806"/>
    <x v="25"/>
    <x v="6"/>
    <x v="1"/>
    <n v="0.4934027777777778"/>
    <s v="Shibor_3M"/>
    <n v="3.04"/>
    <n v="3.1"/>
    <n v="0"/>
    <d v="2012-07-21T00:00:00"/>
    <d v="2022-07-21T00:00:00"/>
    <x v="86"/>
  </r>
  <r>
    <n v="1807"/>
    <x v="25"/>
    <x v="0"/>
    <x v="1"/>
    <n v="0.49341435185185184"/>
    <s v="Shibor_3M"/>
    <n v="2.93"/>
    <n v="2.99"/>
    <n v="0"/>
    <d v="2012-07-21T00:00:00"/>
    <d v="2015-07-21T00:00:00"/>
    <x v="117"/>
  </r>
  <r>
    <n v="1808"/>
    <x v="25"/>
    <x v="2"/>
    <x v="1"/>
    <n v="0.49341435185185184"/>
    <s v="Shibor_3M"/>
    <n v="2.93"/>
    <n v="2.99"/>
    <n v="0"/>
    <d v="2012-07-21T00:00:00"/>
    <d v="2016-07-21T00:00:00"/>
    <x v="117"/>
  </r>
  <r>
    <n v="1809"/>
    <x v="25"/>
    <x v="8"/>
    <x v="1"/>
    <n v="0.49337962962962961"/>
    <s v="Shibor_3M"/>
    <n v="3.47"/>
    <n v="3.53"/>
    <n v="0"/>
    <d v="2012-07-21T00:00:00"/>
    <d v="2013-01-21T00:00:00"/>
    <x v="13"/>
  </r>
  <r>
    <n v="1810"/>
    <x v="25"/>
    <x v="4"/>
    <x v="1"/>
    <n v="0.49337962962962961"/>
    <s v="Shibor_3M"/>
    <n v="2.95"/>
    <n v="3.01"/>
    <n v="0"/>
    <d v="2012-07-21T00:00:00"/>
    <d v="2014-07-21T00:00:00"/>
    <x v="123"/>
  </r>
  <r>
    <n v="1811"/>
    <x v="25"/>
    <x v="5"/>
    <x v="1"/>
    <n v="0.49339120370370365"/>
    <s v="Shibor_3M"/>
    <n v="3.27"/>
    <n v="3.33"/>
    <n v="0"/>
    <d v="2012-07-21T00:00:00"/>
    <d v="2013-04-21T00:00:00"/>
    <x v="23"/>
  </r>
  <r>
    <n v="1812"/>
    <x v="25"/>
    <x v="7"/>
    <x v="1"/>
    <n v="0.49339120370370365"/>
    <s v="Shibor_3M"/>
    <n v="3"/>
    <n v="3.06"/>
    <n v="0"/>
    <d v="2012-07-21T00:00:00"/>
    <d v="2019-07-21T00:00:00"/>
    <x v="90"/>
  </r>
  <r>
    <n v="1813"/>
    <x v="25"/>
    <x v="0"/>
    <x v="6"/>
    <n v="0.48420138888888892"/>
    <s v="Shibor_3M"/>
    <n v="2.93"/>
    <n v="3.03"/>
    <n v="0"/>
    <d v="2012-07-21T00:00:00"/>
    <d v="2015-07-21T00:00:00"/>
    <x v="123"/>
  </r>
  <r>
    <n v="1814"/>
    <x v="25"/>
    <x v="2"/>
    <x v="6"/>
    <n v="0.48420138888888892"/>
    <s v="Shibor_3M"/>
    <n v="2.93"/>
    <n v="3.03"/>
    <n v="0"/>
    <d v="2012-07-21T00:00:00"/>
    <d v="2016-07-21T00:00:00"/>
    <x v="123"/>
  </r>
  <r>
    <n v="1815"/>
    <x v="25"/>
    <x v="1"/>
    <x v="6"/>
    <n v="0.48420138888888892"/>
    <s v="Shibor_3M"/>
    <n v="3.12"/>
    <n v="3.22"/>
    <n v="0"/>
    <d v="2012-07-21T00:00:00"/>
    <d v="2013-07-21T00:00:00"/>
    <x v="56"/>
  </r>
  <r>
    <n v="1816"/>
    <x v="25"/>
    <x v="4"/>
    <x v="6"/>
    <n v="0.48420138888888892"/>
    <s v="Shibor_3M"/>
    <n v="2.94"/>
    <n v="3.04"/>
    <n v="0"/>
    <d v="2012-07-21T00:00:00"/>
    <d v="2014-07-21T00:00:00"/>
    <x v="114"/>
  </r>
  <r>
    <n v="1817"/>
    <x v="25"/>
    <x v="7"/>
    <x v="6"/>
    <n v="0.48418981481481477"/>
    <s v="Shibor_3M"/>
    <n v="2.99"/>
    <n v="3.09"/>
    <n v="0"/>
    <d v="2012-07-21T00:00:00"/>
    <d v="2019-07-21T00:00:00"/>
    <x v="91"/>
  </r>
  <r>
    <n v="1818"/>
    <x v="25"/>
    <x v="5"/>
    <x v="6"/>
    <n v="0.48418981481481477"/>
    <s v="Shibor_3M"/>
    <n v="3.26"/>
    <n v="3.36"/>
    <n v="0"/>
    <d v="2012-07-21T00:00:00"/>
    <d v="2013-04-21T00:00:00"/>
    <x v="6"/>
  </r>
  <r>
    <n v="1819"/>
    <x v="25"/>
    <x v="11"/>
    <x v="6"/>
    <n v="0.48420138888888892"/>
    <s v="Shibor_3M"/>
    <n v="2.93"/>
    <n v="3.03"/>
    <n v="0"/>
    <d v="2012-07-21T00:00:00"/>
    <d v="2017-07-21T00:00:00"/>
    <x v="123"/>
  </r>
  <r>
    <n v="1820"/>
    <x v="25"/>
    <x v="8"/>
    <x v="6"/>
    <n v="0.48420138888888892"/>
    <s v="Shibor_3M"/>
    <n v="3.47"/>
    <n v="3.57"/>
    <n v="0"/>
    <d v="2012-07-21T00:00:00"/>
    <d v="2013-01-21T00:00:00"/>
    <x v="8"/>
  </r>
  <r>
    <n v="1821"/>
    <x v="25"/>
    <x v="6"/>
    <x v="6"/>
    <n v="0.48420138888888892"/>
    <s v="Shibor_3M"/>
    <n v="3.04"/>
    <n v="3.14"/>
    <n v="0"/>
    <d v="2012-07-21T00:00:00"/>
    <d v="2022-07-21T00:00:00"/>
    <x v="69"/>
  </r>
  <r>
    <n v="1822"/>
    <x v="25"/>
    <x v="8"/>
    <x v="3"/>
    <n v="0.48517361111111112"/>
    <s v="Shibor_3M"/>
    <n v="3.45"/>
    <n v="3.55"/>
    <n v="0"/>
    <d v="2012-07-21T00:00:00"/>
    <d v="2013-01-21T00:00:00"/>
    <x v="13"/>
  </r>
  <r>
    <n v="1823"/>
    <x v="25"/>
    <x v="4"/>
    <x v="3"/>
    <n v="0.48517361111111112"/>
    <s v="Shibor_3M"/>
    <n v="2.94"/>
    <n v="3.04"/>
    <n v="0"/>
    <d v="2012-07-21T00:00:00"/>
    <d v="2014-07-21T00:00:00"/>
    <x v="114"/>
  </r>
  <r>
    <n v="1824"/>
    <x v="25"/>
    <x v="8"/>
    <x v="2"/>
    <n v="0.48848379629629629"/>
    <s v="Shibor_3M"/>
    <n v="3.45"/>
    <n v="3.5"/>
    <n v="0"/>
    <d v="2012-07-21T00:00:00"/>
    <d v="2013-01-21T00:00:00"/>
    <x v="108"/>
  </r>
  <r>
    <n v="1825"/>
    <x v="25"/>
    <x v="0"/>
    <x v="3"/>
    <n v="0.48517361111111112"/>
    <s v="Shibor_3M"/>
    <n v="2.91"/>
    <n v="3.01"/>
    <n v="0"/>
    <d v="2012-07-21T00:00:00"/>
    <d v="2015-07-21T00:00:00"/>
    <x v="117"/>
  </r>
  <r>
    <n v="1826"/>
    <x v="25"/>
    <x v="11"/>
    <x v="3"/>
    <n v="0.48515046296296299"/>
    <s v="Shibor_3M"/>
    <n v="2.93"/>
    <n v="3.03"/>
    <n v="0"/>
    <d v="2012-07-21T00:00:00"/>
    <d v="2017-07-21T00:00:00"/>
    <x v="123"/>
  </r>
  <r>
    <n v="1827"/>
    <x v="25"/>
    <x v="1"/>
    <x v="3"/>
    <n v="0.48515046296296299"/>
    <s v="Shibor_3M"/>
    <n v="3.12"/>
    <n v="3.22"/>
    <n v="0"/>
    <d v="2012-07-21T00:00:00"/>
    <d v="2013-07-21T00:00:00"/>
    <x v="56"/>
  </r>
  <r>
    <n v="1828"/>
    <x v="25"/>
    <x v="2"/>
    <x v="3"/>
    <n v="0.48516203703703703"/>
    <s v="Shibor_3M"/>
    <n v="2.91"/>
    <n v="3.01"/>
    <n v="0"/>
    <d v="2012-07-21T00:00:00"/>
    <d v="2016-07-21T00:00:00"/>
    <x v="117"/>
  </r>
  <r>
    <n v="1829"/>
    <x v="25"/>
    <x v="5"/>
    <x v="3"/>
    <n v="0.48515046296296299"/>
    <s v="Shibor_3M"/>
    <n v="3.25"/>
    <n v="3.35"/>
    <n v="0"/>
    <d v="2012-07-21T00:00:00"/>
    <d v="2013-04-21T00:00:00"/>
    <x v="23"/>
  </r>
  <r>
    <n v="1830"/>
    <x v="25"/>
    <x v="7"/>
    <x v="1"/>
    <n v="0.68412037037037043"/>
    <s v="Shibor_3M"/>
    <n v="3"/>
    <n v="3.06"/>
    <n v="0"/>
    <d v="2012-07-21T00:00:00"/>
    <d v="2019-07-21T00:00:00"/>
    <x v="90"/>
  </r>
  <r>
    <n v="1831"/>
    <x v="25"/>
    <x v="0"/>
    <x v="1"/>
    <n v="0.68412037037037043"/>
    <s v="Shibor_3M"/>
    <n v="2.93"/>
    <n v="2.99"/>
    <n v="0"/>
    <d v="2012-07-21T00:00:00"/>
    <d v="2015-07-21T00:00:00"/>
    <x v="117"/>
  </r>
  <r>
    <n v="1832"/>
    <x v="25"/>
    <x v="6"/>
    <x v="1"/>
    <n v="0.68412037037037043"/>
    <s v="Shibor_3M"/>
    <n v="3.04"/>
    <n v="3.1"/>
    <n v="0"/>
    <d v="2012-07-21T00:00:00"/>
    <d v="2022-07-21T00:00:00"/>
    <x v="86"/>
  </r>
  <r>
    <n v="1833"/>
    <x v="25"/>
    <x v="5"/>
    <x v="1"/>
    <n v="0.68412037037037043"/>
    <s v="Shibor_3M"/>
    <n v="3.27"/>
    <n v="3.33"/>
    <n v="0"/>
    <d v="2012-07-21T00:00:00"/>
    <d v="2013-04-21T00:00:00"/>
    <x v="23"/>
  </r>
  <r>
    <n v="1834"/>
    <x v="25"/>
    <x v="1"/>
    <x v="1"/>
    <n v="0.68410879629629628"/>
    <s v="Shibor_3M"/>
    <n v="3.14"/>
    <n v="3.2"/>
    <n v="0"/>
    <d v="2012-07-21T00:00:00"/>
    <d v="2013-07-21T00:00:00"/>
    <x v="56"/>
  </r>
  <r>
    <n v="1835"/>
    <x v="25"/>
    <x v="4"/>
    <x v="1"/>
    <n v="0.68410879629629628"/>
    <s v="Shibor_3M"/>
    <n v="2.95"/>
    <n v="3.01"/>
    <n v="0"/>
    <d v="2012-07-21T00:00:00"/>
    <d v="2014-07-21T00:00:00"/>
    <x v="123"/>
  </r>
  <r>
    <n v="1836"/>
    <x v="25"/>
    <x v="2"/>
    <x v="1"/>
    <n v="0.68412037037037043"/>
    <s v="Shibor_3M"/>
    <n v="2.93"/>
    <n v="2.99"/>
    <n v="0"/>
    <d v="2012-07-21T00:00:00"/>
    <d v="2016-07-21T00:00:00"/>
    <x v="117"/>
  </r>
  <r>
    <n v="1837"/>
    <x v="25"/>
    <x v="11"/>
    <x v="1"/>
    <n v="0.68412037037037043"/>
    <s v="Shibor_3M"/>
    <n v="2.95"/>
    <n v="3"/>
    <n v="0"/>
    <d v="2012-07-21T00:00:00"/>
    <d v="2017-07-21T00:00:00"/>
    <x v="130"/>
  </r>
  <r>
    <n v="1838"/>
    <x v="25"/>
    <x v="8"/>
    <x v="2"/>
    <n v="0.68452546296296291"/>
    <s v="Shibor_3M"/>
    <n v="3.45"/>
    <n v="3.5"/>
    <n v="0"/>
    <d v="2012-07-21T00:00:00"/>
    <d v="2013-01-21T00:00:00"/>
    <x v="108"/>
  </r>
  <r>
    <n v="1839"/>
    <x v="25"/>
    <x v="11"/>
    <x v="2"/>
    <n v="0.68457175925925917"/>
    <s v="Shibor_3M"/>
    <n v="2.9"/>
    <n v="3"/>
    <n v="0"/>
    <d v="2012-07-21T00:00:00"/>
    <d v="2017-07-21T00:00:00"/>
    <x v="122"/>
  </r>
  <r>
    <n v="1840"/>
    <x v="25"/>
    <x v="7"/>
    <x v="2"/>
    <n v="0.68456018518518524"/>
    <s v="Shibor_3M"/>
    <n v="2.9"/>
    <n v="3"/>
    <n v="0"/>
    <d v="2012-07-21T00:00:00"/>
    <d v="2019-07-21T00:00:00"/>
    <x v="122"/>
  </r>
  <r>
    <n v="1841"/>
    <x v="25"/>
    <x v="0"/>
    <x v="2"/>
    <n v="0.68457175925925917"/>
    <s v="Shibor_3M"/>
    <n v="2.9"/>
    <n v="3"/>
    <n v="0"/>
    <d v="2012-07-21T00:00:00"/>
    <d v="2015-07-21T00:00:00"/>
    <x v="122"/>
  </r>
  <r>
    <n v="1842"/>
    <x v="25"/>
    <x v="2"/>
    <x v="2"/>
    <n v="0.68457175925925917"/>
    <s v="Shibor_3M"/>
    <n v="2.9"/>
    <n v="3"/>
    <n v="0"/>
    <d v="2012-07-21T00:00:00"/>
    <d v="2016-07-21T00:00:00"/>
    <x v="122"/>
  </r>
  <r>
    <n v="1843"/>
    <x v="25"/>
    <x v="6"/>
    <x v="2"/>
    <n v="0.68454861111111109"/>
    <s v="Shibor_3M"/>
    <n v="2.9"/>
    <n v="3"/>
    <n v="0"/>
    <d v="2012-07-21T00:00:00"/>
    <d v="2022-07-21T00:00:00"/>
    <x v="122"/>
  </r>
  <r>
    <n v="1844"/>
    <x v="25"/>
    <x v="1"/>
    <x v="2"/>
    <n v="0.68453703703703705"/>
    <s v="Shibor_3M"/>
    <n v="3.1"/>
    <n v="3.15"/>
    <n v="0"/>
    <d v="2012-07-21T00:00:00"/>
    <d v="2013-07-21T00:00:00"/>
    <x v="80"/>
  </r>
  <r>
    <n v="1845"/>
    <x v="25"/>
    <x v="5"/>
    <x v="2"/>
    <n v="0.68456018518518524"/>
    <s v="Shibor_3M"/>
    <n v="3.2"/>
    <n v="3.28"/>
    <n v="0"/>
    <d v="2012-07-21T00:00:00"/>
    <d v="2013-04-21T00:00:00"/>
    <x v="10"/>
  </r>
  <r>
    <n v="1846"/>
    <x v="25"/>
    <x v="4"/>
    <x v="2"/>
    <n v="0.68454861111111109"/>
    <s v="Shibor_3M"/>
    <n v="2.93"/>
    <n v="3.02"/>
    <n v="0"/>
    <d v="2012-07-21T00:00:00"/>
    <d v="2014-07-21T00:00:00"/>
    <x v="130"/>
  </r>
  <r>
    <n v="1847"/>
    <x v="25"/>
    <x v="5"/>
    <x v="2"/>
    <n v="0.67385416666666664"/>
    <s v="Shibor_3M"/>
    <n v="3.2"/>
    <n v="3.28"/>
    <n v="0"/>
    <d v="2012-07-21T00:00:00"/>
    <d v="2013-04-21T00:00:00"/>
    <x v="10"/>
  </r>
  <r>
    <n v="1848"/>
    <x v="25"/>
    <x v="7"/>
    <x v="2"/>
    <n v="0.67384259259259249"/>
    <s v="Shibor_3M"/>
    <n v="2.9"/>
    <n v="3"/>
    <n v="0"/>
    <d v="2012-07-21T00:00:00"/>
    <d v="2019-07-21T00:00:00"/>
    <x v="122"/>
  </r>
  <r>
    <n v="1849"/>
    <x v="25"/>
    <x v="2"/>
    <x v="2"/>
    <n v="0.67387731481481483"/>
    <s v="Shibor_3M"/>
    <n v="2.9"/>
    <n v="3"/>
    <n v="0"/>
    <d v="2012-07-21T00:00:00"/>
    <d v="2016-07-21T00:00:00"/>
    <x v="122"/>
  </r>
  <r>
    <n v="1850"/>
    <x v="25"/>
    <x v="11"/>
    <x v="2"/>
    <n v="0.67387731481481483"/>
    <s v="Shibor_3M"/>
    <n v="2.9"/>
    <n v="3"/>
    <n v="0"/>
    <d v="2012-07-21T00:00:00"/>
    <d v="2017-07-21T00:00:00"/>
    <x v="122"/>
  </r>
  <r>
    <n v="1851"/>
    <x v="25"/>
    <x v="4"/>
    <x v="2"/>
    <n v="0.67383101851851857"/>
    <s v="Shibor_3M"/>
    <n v="2.93"/>
    <n v="3.02"/>
    <n v="0"/>
    <d v="2012-07-21T00:00:00"/>
    <d v="2014-07-21T00:00:00"/>
    <x v="130"/>
  </r>
  <r>
    <n v="1852"/>
    <x v="25"/>
    <x v="8"/>
    <x v="2"/>
    <n v="0.67381944444444442"/>
    <s v="Shibor_3M"/>
    <n v="3.45"/>
    <n v="3.5"/>
    <n v="0"/>
    <d v="2012-07-21T00:00:00"/>
    <d v="2013-01-21T00:00:00"/>
    <x v="108"/>
  </r>
  <r>
    <n v="1853"/>
    <x v="25"/>
    <x v="6"/>
    <x v="2"/>
    <n v="0.67383101851851857"/>
    <s v="Shibor_3M"/>
    <n v="2.9"/>
    <n v="3"/>
    <n v="0"/>
    <d v="2012-07-21T00:00:00"/>
    <d v="2022-07-21T00:00:00"/>
    <x v="122"/>
  </r>
  <r>
    <n v="1854"/>
    <x v="25"/>
    <x v="1"/>
    <x v="2"/>
    <n v="0.67383101851851857"/>
    <s v="Shibor_3M"/>
    <n v="3.1"/>
    <n v="3.15"/>
    <n v="0"/>
    <d v="2012-07-21T00:00:00"/>
    <d v="2013-07-21T00:00:00"/>
    <x v="80"/>
  </r>
  <r>
    <n v="1855"/>
    <x v="25"/>
    <x v="0"/>
    <x v="2"/>
    <n v="0.67387731481481483"/>
    <s v="Shibor_3M"/>
    <n v="2.9"/>
    <n v="3"/>
    <n v="0"/>
    <d v="2012-07-21T00:00:00"/>
    <d v="2015-07-21T00:00:00"/>
    <x v="122"/>
  </r>
  <r>
    <n v="1856"/>
    <x v="25"/>
    <x v="8"/>
    <x v="3"/>
    <n v="0.68011574074074066"/>
    <s v="Shibor_3M"/>
    <n v="3.48"/>
    <n v="3.53"/>
    <n v="0"/>
    <d v="2012-07-21T00:00:00"/>
    <d v="2013-01-21T00:00:00"/>
    <x v="67"/>
  </r>
  <r>
    <n v="1857"/>
    <x v="25"/>
    <x v="4"/>
    <x v="3"/>
    <n v="0.68011574074074066"/>
    <s v="Shibor_3M"/>
    <n v="2.94"/>
    <n v="3.04"/>
    <n v="0"/>
    <d v="2012-07-21T00:00:00"/>
    <d v="2014-07-21T00:00:00"/>
    <x v="114"/>
  </r>
  <r>
    <n v="1858"/>
    <x v="25"/>
    <x v="8"/>
    <x v="1"/>
    <n v="0.68409722222222225"/>
    <s v="Shibor_3M"/>
    <n v="3.47"/>
    <n v="3.53"/>
    <n v="0"/>
    <d v="2012-07-21T00:00:00"/>
    <d v="2013-01-21T00:00:00"/>
    <x v="13"/>
  </r>
  <r>
    <n v="1859"/>
    <x v="25"/>
    <x v="0"/>
    <x v="3"/>
    <n v="0.68011574074074066"/>
    <s v="Shibor_3M"/>
    <n v="2.91"/>
    <n v="3.01"/>
    <n v="0"/>
    <d v="2012-07-21T00:00:00"/>
    <d v="2015-07-21T00:00:00"/>
    <x v="117"/>
  </r>
  <r>
    <n v="1860"/>
    <x v="25"/>
    <x v="11"/>
    <x v="3"/>
    <n v="0.68009259259259258"/>
    <s v="Shibor_3M"/>
    <n v="2.94"/>
    <n v="3.04"/>
    <n v="0"/>
    <d v="2012-07-21T00:00:00"/>
    <d v="2017-07-21T00:00:00"/>
    <x v="114"/>
  </r>
  <r>
    <n v="1861"/>
    <x v="25"/>
    <x v="1"/>
    <x v="3"/>
    <n v="0.68009259259259258"/>
    <s v="Shibor_3M"/>
    <n v="3.18"/>
    <n v="3.25"/>
    <n v="0"/>
    <d v="2012-07-21T00:00:00"/>
    <d v="2013-07-21T00:00:00"/>
    <x v="89"/>
  </r>
  <r>
    <n v="1862"/>
    <x v="25"/>
    <x v="2"/>
    <x v="3"/>
    <n v="0.68010416666666673"/>
    <s v="Shibor_3M"/>
    <n v="2.91"/>
    <n v="3.01"/>
    <n v="0"/>
    <d v="2012-07-21T00:00:00"/>
    <d v="2016-07-21T00:00:00"/>
    <x v="117"/>
  </r>
  <r>
    <n v="1863"/>
    <x v="25"/>
    <x v="5"/>
    <x v="3"/>
    <n v="0.68010416666666673"/>
    <s v="Shibor_3M"/>
    <n v="3.25"/>
    <n v="3.35"/>
    <n v="0"/>
    <d v="2012-07-21T00:00:00"/>
    <d v="2013-04-21T00:00:00"/>
    <x v="23"/>
  </r>
  <r>
    <n v="1864"/>
    <x v="26"/>
    <x v="4"/>
    <x v="6"/>
    <n v="0.49629629629629629"/>
    <s v="Shibor_3M"/>
    <n v="2.94"/>
    <n v="3.04"/>
    <n v="0"/>
    <d v="2012-07-20T00:00:00"/>
    <d v="2014-07-20T00:00:00"/>
    <x v="114"/>
  </r>
  <r>
    <n v="1865"/>
    <x v="26"/>
    <x v="0"/>
    <x v="6"/>
    <n v="0.49629629629629629"/>
    <s v="Shibor_3M"/>
    <n v="2.91"/>
    <n v="3.01"/>
    <n v="0"/>
    <d v="2012-07-20T00:00:00"/>
    <d v="2015-07-20T00:00:00"/>
    <x v="117"/>
  </r>
  <r>
    <n v="1866"/>
    <x v="26"/>
    <x v="6"/>
    <x v="6"/>
    <n v="0.49629629629629629"/>
    <s v="Shibor_3M"/>
    <n v="3.02"/>
    <n v="3.12"/>
    <n v="0"/>
    <d v="2012-07-20T00:00:00"/>
    <d v="2022-07-20T00:00:00"/>
    <x v="86"/>
  </r>
  <r>
    <n v="1867"/>
    <x v="26"/>
    <x v="1"/>
    <x v="6"/>
    <n v="0.49629629629629629"/>
    <s v="Shibor_3M"/>
    <n v="3.12"/>
    <n v="3.22"/>
    <n v="0"/>
    <d v="2012-07-20T00:00:00"/>
    <d v="2013-07-20T00:00:00"/>
    <x v="56"/>
  </r>
  <r>
    <n v="1868"/>
    <x v="26"/>
    <x v="8"/>
    <x v="6"/>
    <n v="0.49627314814814816"/>
    <s v="Shibor_3M"/>
    <n v="3.47"/>
    <n v="3.57"/>
    <n v="0"/>
    <d v="2012-07-20T00:00:00"/>
    <d v="2013-01-20T00:00:00"/>
    <x v="8"/>
  </r>
  <r>
    <n v="1869"/>
    <x v="26"/>
    <x v="7"/>
    <x v="6"/>
    <n v="0.49627314814814816"/>
    <s v="Shibor_3M"/>
    <n v="2.97"/>
    <n v="3.07"/>
    <n v="0"/>
    <d v="2012-07-20T00:00:00"/>
    <d v="2019-07-20T00:00:00"/>
    <x v="116"/>
  </r>
  <r>
    <n v="1870"/>
    <x v="26"/>
    <x v="2"/>
    <x v="6"/>
    <n v="0.4962847222222222"/>
    <s v="Shibor_3M"/>
    <n v="2.91"/>
    <n v="3.01"/>
    <n v="0"/>
    <d v="2012-07-20T00:00:00"/>
    <d v="2016-07-20T00:00:00"/>
    <x v="117"/>
  </r>
  <r>
    <n v="1871"/>
    <x v="26"/>
    <x v="11"/>
    <x v="6"/>
    <n v="0.49627314814814816"/>
    <s v="Shibor_3M"/>
    <n v="2.91"/>
    <n v="3.01"/>
    <n v="0"/>
    <d v="2012-07-20T00:00:00"/>
    <d v="2017-07-20T00:00:00"/>
    <x v="117"/>
  </r>
  <r>
    <n v="1872"/>
    <x v="26"/>
    <x v="1"/>
    <x v="1"/>
    <n v="0.49740740740740735"/>
    <s v="Shibor_3M"/>
    <n v="3.14"/>
    <n v="3.2"/>
    <n v="0"/>
    <d v="2012-07-20T00:00:00"/>
    <d v="2013-07-20T00:00:00"/>
    <x v="56"/>
  </r>
  <r>
    <n v="1873"/>
    <x v="26"/>
    <x v="11"/>
    <x v="1"/>
    <n v="0.4974189814814815"/>
    <s v="Shibor_3M"/>
    <n v="2.95"/>
    <n v="3.01"/>
    <n v="0"/>
    <d v="2012-07-20T00:00:00"/>
    <d v="2017-07-20T00:00:00"/>
    <x v="123"/>
  </r>
  <r>
    <n v="1874"/>
    <x v="26"/>
    <x v="8"/>
    <x v="1"/>
    <n v="0.49740740740740735"/>
    <s v="Shibor_3M"/>
    <n v="3.49"/>
    <n v="3.55"/>
    <n v="0"/>
    <d v="2012-07-20T00:00:00"/>
    <d v="2013-01-20T00:00:00"/>
    <x v="8"/>
  </r>
  <r>
    <n v="1875"/>
    <x v="26"/>
    <x v="0"/>
    <x v="1"/>
    <n v="0.4974189814814815"/>
    <s v="Shibor_3M"/>
    <n v="2.93"/>
    <n v="2.99"/>
    <n v="0"/>
    <d v="2012-07-20T00:00:00"/>
    <d v="2015-07-20T00:00:00"/>
    <x v="117"/>
  </r>
  <r>
    <n v="1876"/>
    <x v="26"/>
    <x v="2"/>
    <x v="1"/>
    <n v="0.4974189814814815"/>
    <s v="Shibor_3M"/>
    <n v="2.94"/>
    <n v="3"/>
    <n v="0"/>
    <d v="2012-07-20T00:00:00"/>
    <d v="2016-07-20T00:00:00"/>
    <x v="105"/>
  </r>
  <r>
    <n v="1877"/>
    <x v="26"/>
    <x v="7"/>
    <x v="1"/>
    <n v="0.49740740740740735"/>
    <s v="Shibor_3M"/>
    <n v="3.02"/>
    <n v="3.08"/>
    <n v="0"/>
    <d v="2012-07-20T00:00:00"/>
    <d v="2019-07-20T00:00:00"/>
    <x v="81"/>
  </r>
  <r>
    <n v="1878"/>
    <x v="26"/>
    <x v="4"/>
    <x v="1"/>
    <n v="0.49740740740740735"/>
    <s v="Shibor_3M"/>
    <n v="2.96"/>
    <n v="3.02"/>
    <n v="0"/>
    <d v="2012-07-20T00:00:00"/>
    <d v="2014-07-20T00:00:00"/>
    <x v="114"/>
  </r>
  <r>
    <n v="1879"/>
    <x v="26"/>
    <x v="6"/>
    <x v="1"/>
    <n v="0.49740740740740735"/>
    <s v="Shibor_3M"/>
    <n v="3.07"/>
    <n v="3.13"/>
    <n v="0"/>
    <d v="2012-07-20T00:00:00"/>
    <d v="2022-07-20T00:00:00"/>
    <x v="64"/>
  </r>
  <r>
    <n v="1880"/>
    <x v="26"/>
    <x v="5"/>
    <x v="1"/>
    <n v="0.49740740740740735"/>
    <s v="Shibor_3M"/>
    <n v="3.28"/>
    <n v="3.34"/>
    <n v="0"/>
    <d v="2012-07-20T00:00:00"/>
    <d v="2013-04-20T00:00:00"/>
    <x v="6"/>
  </r>
  <r>
    <n v="1881"/>
    <x v="26"/>
    <x v="2"/>
    <x v="2"/>
    <n v="0.48906250000000001"/>
    <s v="Shibor_3M"/>
    <n v="2.9"/>
    <n v="3"/>
    <n v="0"/>
    <d v="2012-07-20T00:00:00"/>
    <d v="2016-07-20T00:00:00"/>
    <x v="122"/>
  </r>
  <r>
    <n v="1882"/>
    <x v="26"/>
    <x v="8"/>
    <x v="2"/>
    <n v="0.48903935185185188"/>
    <s v="Shibor_3M"/>
    <n v="3.45"/>
    <n v="3.5"/>
    <n v="0"/>
    <d v="2012-07-20T00:00:00"/>
    <d v="2013-01-20T00:00:00"/>
    <x v="108"/>
  </r>
  <r>
    <n v="1883"/>
    <x v="26"/>
    <x v="5"/>
    <x v="2"/>
    <n v="0.48906250000000001"/>
    <s v="Shibor_3M"/>
    <n v="3.2"/>
    <n v="3.28"/>
    <n v="0"/>
    <d v="2012-07-20T00:00:00"/>
    <d v="2013-04-20T00:00:00"/>
    <x v="10"/>
  </r>
  <r>
    <n v="1884"/>
    <x v="26"/>
    <x v="0"/>
    <x v="2"/>
    <n v="0.48906250000000001"/>
    <s v="Shibor_3M"/>
    <n v="2.9"/>
    <n v="3"/>
    <n v="0"/>
    <d v="2012-07-20T00:00:00"/>
    <d v="2015-07-20T00:00:00"/>
    <x v="122"/>
  </r>
  <r>
    <n v="1885"/>
    <x v="26"/>
    <x v="6"/>
    <x v="2"/>
    <n v="0.48903935185185188"/>
    <s v="Shibor_3M"/>
    <n v="2.9"/>
    <n v="3"/>
    <n v="0"/>
    <d v="2012-07-20T00:00:00"/>
    <d v="2022-07-20T00:00:00"/>
    <x v="122"/>
  </r>
  <r>
    <n v="1886"/>
    <x v="26"/>
    <x v="1"/>
    <x v="2"/>
    <n v="0.48903935185185188"/>
    <s v="Shibor_3M"/>
    <n v="3.1"/>
    <n v="3.15"/>
    <n v="0"/>
    <d v="2012-07-20T00:00:00"/>
    <d v="2013-07-20T00:00:00"/>
    <x v="80"/>
  </r>
  <r>
    <n v="1887"/>
    <x v="26"/>
    <x v="7"/>
    <x v="2"/>
    <n v="0.48903935185185188"/>
    <s v="Shibor_3M"/>
    <n v="2.9"/>
    <n v="3"/>
    <n v="0"/>
    <d v="2012-07-20T00:00:00"/>
    <d v="2019-07-20T00:00:00"/>
    <x v="122"/>
  </r>
  <r>
    <n v="1888"/>
    <x v="26"/>
    <x v="4"/>
    <x v="2"/>
    <n v="0.48903935185185188"/>
    <s v="Shibor_3M"/>
    <n v="2.93"/>
    <n v="3.02"/>
    <n v="0"/>
    <d v="2012-07-20T00:00:00"/>
    <d v="2014-07-20T00:00:00"/>
    <x v="130"/>
  </r>
  <r>
    <n v="1889"/>
    <x v="26"/>
    <x v="11"/>
    <x v="2"/>
    <n v="0.48906250000000001"/>
    <s v="Shibor_3M"/>
    <n v="2.9"/>
    <n v="3"/>
    <n v="0"/>
    <d v="2012-07-20T00:00:00"/>
    <d v="2017-07-20T00:00:00"/>
    <x v="122"/>
  </r>
  <r>
    <n v="1890"/>
    <x v="26"/>
    <x v="8"/>
    <x v="3"/>
    <n v="0.49071759259259262"/>
    <s v="Shibor_3M"/>
    <n v="3.5"/>
    <n v="3.55"/>
    <n v="0"/>
    <d v="2012-07-20T00:00:00"/>
    <d v="2013-01-20T00:00:00"/>
    <x v="115"/>
  </r>
  <r>
    <n v="1891"/>
    <x v="26"/>
    <x v="4"/>
    <x v="3"/>
    <n v="0.49071759259259262"/>
    <s v="Shibor_3M"/>
    <n v="2.97"/>
    <n v="3.05"/>
    <n v="0"/>
    <d v="2012-07-20T00:00:00"/>
    <d v="2014-07-20T00:00:00"/>
    <x v="97"/>
  </r>
  <r>
    <n v="1892"/>
    <x v="26"/>
    <x v="5"/>
    <x v="6"/>
    <n v="0.49627314814814816"/>
    <s v="Shibor_3M"/>
    <n v="3.25"/>
    <n v="3.35"/>
    <n v="0"/>
    <d v="2012-07-20T00:00:00"/>
    <d v="2013-04-20T00:00:00"/>
    <x v="23"/>
  </r>
  <r>
    <n v="1893"/>
    <x v="26"/>
    <x v="0"/>
    <x v="3"/>
    <n v="0.49071759259259262"/>
    <s v="Shibor_3M"/>
    <n v="2.94"/>
    <n v="3.02"/>
    <n v="0"/>
    <d v="2012-07-20T00:00:00"/>
    <d v="2015-07-20T00:00:00"/>
    <x v="123"/>
  </r>
  <r>
    <n v="1894"/>
    <x v="26"/>
    <x v="5"/>
    <x v="3"/>
    <n v="0.49070601851851853"/>
    <s v="Shibor_3M"/>
    <n v="3.28"/>
    <n v="3.36"/>
    <n v="0"/>
    <d v="2012-07-20T00:00:00"/>
    <d v="2013-04-20T00:00:00"/>
    <x v="148"/>
  </r>
  <r>
    <n v="1895"/>
    <x v="26"/>
    <x v="11"/>
    <x v="3"/>
    <n v="0.49070601851851853"/>
    <s v="Shibor_3M"/>
    <n v="2.95"/>
    <n v="3.05"/>
    <n v="0"/>
    <d v="2012-07-20T00:00:00"/>
    <d v="2017-07-20T00:00:00"/>
    <x v="99"/>
  </r>
  <r>
    <n v="1896"/>
    <x v="26"/>
    <x v="1"/>
    <x v="3"/>
    <n v="0.49070601851851853"/>
    <s v="Shibor_3M"/>
    <n v="3.15"/>
    <n v="3.2"/>
    <n v="0"/>
    <d v="2012-07-20T00:00:00"/>
    <d v="2013-07-20T00:00:00"/>
    <x v="93"/>
  </r>
  <r>
    <n v="1897"/>
    <x v="26"/>
    <x v="2"/>
    <x v="3"/>
    <n v="0.49070601851851853"/>
    <s v="Shibor_3M"/>
    <n v="2.95"/>
    <n v="3.05"/>
    <n v="0"/>
    <d v="2012-07-20T00:00:00"/>
    <d v="2016-07-20T00:00:00"/>
    <x v="99"/>
  </r>
  <r>
    <n v="1898"/>
    <x v="26"/>
    <x v="0"/>
    <x v="2"/>
    <n v="0.67857638888888883"/>
    <s v="Shibor_3M"/>
    <n v="2.9"/>
    <n v="3"/>
    <n v="0"/>
    <d v="2012-07-20T00:00:00"/>
    <d v="2015-07-20T00:00:00"/>
    <x v="122"/>
  </r>
  <r>
    <n v="1899"/>
    <x v="26"/>
    <x v="1"/>
    <x v="2"/>
    <n v="0.67856481481481479"/>
    <s v="Shibor_3M"/>
    <n v="3.1"/>
    <n v="3.15"/>
    <n v="0"/>
    <d v="2012-07-20T00:00:00"/>
    <d v="2013-07-20T00:00:00"/>
    <x v="80"/>
  </r>
  <r>
    <n v="1900"/>
    <x v="26"/>
    <x v="2"/>
    <x v="2"/>
    <n v="0.67857638888888883"/>
    <s v="Shibor_3M"/>
    <n v="2.9"/>
    <n v="3"/>
    <n v="0"/>
    <d v="2012-07-20T00:00:00"/>
    <d v="2016-07-20T00:00:00"/>
    <x v="122"/>
  </r>
  <r>
    <n v="1901"/>
    <x v="26"/>
    <x v="11"/>
    <x v="2"/>
    <n v="0.67857638888888883"/>
    <s v="Shibor_3M"/>
    <n v="2.9"/>
    <n v="3"/>
    <n v="0"/>
    <d v="2012-07-20T00:00:00"/>
    <d v="2017-07-20T00:00:00"/>
    <x v="122"/>
  </r>
  <r>
    <n v="1902"/>
    <x v="26"/>
    <x v="7"/>
    <x v="2"/>
    <n v="0.67856481481481479"/>
    <s v="Shibor_3M"/>
    <n v="2.9"/>
    <n v="3"/>
    <n v="0"/>
    <d v="2012-07-20T00:00:00"/>
    <d v="2019-07-20T00:00:00"/>
    <x v="122"/>
  </r>
  <r>
    <n v="1903"/>
    <x v="26"/>
    <x v="4"/>
    <x v="2"/>
    <n v="0.67856481481481479"/>
    <s v="Shibor_3M"/>
    <n v="2.93"/>
    <n v="3.02"/>
    <n v="0"/>
    <d v="2012-07-20T00:00:00"/>
    <d v="2014-07-20T00:00:00"/>
    <x v="130"/>
  </r>
  <r>
    <n v="1904"/>
    <x v="26"/>
    <x v="8"/>
    <x v="2"/>
    <n v="0.67856481481481479"/>
    <s v="Shibor_3M"/>
    <n v="3.45"/>
    <n v="3.5"/>
    <n v="0"/>
    <d v="2012-07-20T00:00:00"/>
    <d v="2013-01-20T00:00:00"/>
    <x v="108"/>
  </r>
  <r>
    <n v="1905"/>
    <x v="26"/>
    <x v="5"/>
    <x v="2"/>
    <n v="0.67856481481481479"/>
    <s v="Shibor_3M"/>
    <n v="3.2"/>
    <n v="3.28"/>
    <n v="0"/>
    <d v="2012-07-20T00:00:00"/>
    <d v="2013-04-20T00:00:00"/>
    <x v="10"/>
  </r>
  <r>
    <n v="1906"/>
    <x v="26"/>
    <x v="8"/>
    <x v="1"/>
    <n v="0.67989583333333325"/>
    <s v="Shibor_3M"/>
    <n v="3.49"/>
    <n v="3.55"/>
    <n v="0"/>
    <d v="2012-07-20T00:00:00"/>
    <d v="2013-01-20T00:00:00"/>
    <x v="8"/>
  </r>
  <r>
    <n v="1907"/>
    <x v="26"/>
    <x v="1"/>
    <x v="1"/>
    <n v="0.6799074074074074"/>
    <s v="Shibor_3M"/>
    <n v="3.14"/>
    <n v="3.2"/>
    <n v="0"/>
    <d v="2012-07-20T00:00:00"/>
    <d v="2013-07-20T00:00:00"/>
    <x v="56"/>
  </r>
  <r>
    <n v="1908"/>
    <x v="26"/>
    <x v="0"/>
    <x v="1"/>
    <n v="0.6799074074074074"/>
    <s v="Shibor_3M"/>
    <n v="2.95"/>
    <n v="3.01"/>
    <n v="0"/>
    <d v="2012-07-20T00:00:00"/>
    <d v="2015-07-20T00:00:00"/>
    <x v="123"/>
  </r>
  <r>
    <n v="1909"/>
    <x v="26"/>
    <x v="7"/>
    <x v="1"/>
    <n v="0.6799074074074074"/>
    <s v="Shibor_3M"/>
    <n v="3.03"/>
    <n v="3.09"/>
    <n v="0"/>
    <d v="2012-07-20T00:00:00"/>
    <d v="2019-07-20T00:00:00"/>
    <x v="95"/>
  </r>
  <r>
    <n v="1910"/>
    <x v="26"/>
    <x v="4"/>
    <x v="1"/>
    <n v="0.6799074074074074"/>
    <s v="Shibor_3M"/>
    <n v="2.97"/>
    <n v="3.03"/>
    <n v="0"/>
    <d v="2012-07-20T00:00:00"/>
    <d v="2014-07-20T00:00:00"/>
    <x v="99"/>
  </r>
  <r>
    <n v="1911"/>
    <x v="26"/>
    <x v="6"/>
    <x v="1"/>
    <n v="0.6799074074074074"/>
    <s v="Shibor_3M"/>
    <n v="3.07"/>
    <n v="3.13"/>
    <n v="0"/>
    <d v="2012-07-20T00:00:00"/>
    <d v="2022-07-20T00:00:00"/>
    <x v="64"/>
  </r>
  <r>
    <n v="1912"/>
    <x v="26"/>
    <x v="5"/>
    <x v="1"/>
    <n v="0.6799074074074074"/>
    <s v="Shibor_3M"/>
    <n v="3.28"/>
    <n v="3.34"/>
    <n v="0"/>
    <d v="2012-07-20T00:00:00"/>
    <d v="2013-04-20T00:00:00"/>
    <x v="6"/>
  </r>
  <r>
    <n v="1913"/>
    <x v="26"/>
    <x v="2"/>
    <x v="1"/>
    <n v="0.6799074074074074"/>
    <s v="Shibor_3M"/>
    <n v="2.95"/>
    <n v="3.01"/>
    <n v="0"/>
    <d v="2012-07-20T00:00:00"/>
    <d v="2016-07-20T00:00:00"/>
    <x v="123"/>
  </r>
  <r>
    <n v="1914"/>
    <x v="26"/>
    <x v="11"/>
    <x v="1"/>
    <n v="0.6799074074074074"/>
    <s v="Shibor_3M"/>
    <n v="2.96"/>
    <n v="3.01"/>
    <n v="0"/>
    <d v="2012-07-20T00:00:00"/>
    <d v="2017-07-20T00:00:00"/>
    <x v="103"/>
  </r>
  <r>
    <n v="1915"/>
    <x v="26"/>
    <x v="4"/>
    <x v="6"/>
    <n v="0.67245370370370372"/>
    <s v="Shibor_3M"/>
    <n v="2.95"/>
    <n v="3.05"/>
    <n v="0"/>
    <d v="2012-07-20T00:00:00"/>
    <d v="2014-07-20T00:00:00"/>
    <x v="99"/>
  </r>
  <r>
    <n v="1916"/>
    <x v="26"/>
    <x v="0"/>
    <x v="6"/>
    <n v="0.67245370370370372"/>
    <s v="Shibor_3M"/>
    <n v="2.93"/>
    <n v="3.03"/>
    <n v="0"/>
    <d v="2012-07-20T00:00:00"/>
    <d v="2015-07-20T00:00:00"/>
    <x v="123"/>
  </r>
  <r>
    <n v="1917"/>
    <x v="26"/>
    <x v="6"/>
    <x v="6"/>
    <n v="0.67245370370370372"/>
    <s v="Shibor_3M"/>
    <n v="3.04"/>
    <n v="3.14"/>
    <n v="0"/>
    <d v="2012-07-20T00:00:00"/>
    <d v="2022-07-20T00:00:00"/>
    <x v="69"/>
  </r>
  <r>
    <n v="1918"/>
    <x v="26"/>
    <x v="1"/>
    <x v="6"/>
    <n v="0.67245370370370372"/>
    <s v="Shibor_3M"/>
    <n v="3.12"/>
    <n v="3.22"/>
    <n v="0"/>
    <d v="2012-07-20T00:00:00"/>
    <d v="2013-07-20T00:00:00"/>
    <x v="56"/>
  </r>
  <r>
    <n v="1919"/>
    <x v="26"/>
    <x v="8"/>
    <x v="6"/>
    <n v="0.67245370370370372"/>
    <s v="Shibor_3M"/>
    <n v="3.47"/>
    <n v="3.57"/>
    <n v="0"/>
    <d v="2012-07-20T00:00:00"/>
    <d v="2013-01-20T00:00:00"/>
    <x v="8"/>
  </r>
  <r>
    <n v="1920"/>
    <x v="26"/>
    <x v="7"/>
    <x v="6"/>
    <n v="0.67245370370370372"/>
    <s v="Shibor_3M"/>
    <n v="2.99"/>
    <n v="3.09"/>
    <n v="0"/>
    <d v="2012-07-20T00:00:00"/>
    <d v="2019-07-20T00:00:00"/>
    <x v="91"/>
  </r>
  <r>
    <n v="1921"/>
    <x v="26"/>
    <x v="2"/>
    <x v="6"/>
    <n v="0.67245370370370372"/>
    <s v="Shibor_3M"/>
    <n v="2.93"/>
    <n v="3.03"/>
    <n v="0"/>
    <d v="2012-07-20T00:00:00"/>
    <d v="2016-07-20T00:00:00"/>
    <x v="123"/>
  </r>
  <r>
    <n v="1922"/>
    <x v="26"/>
    <x v="11"/>
    <x v="6"/>
    <n v="0.67245370370370372"/>
    <s v="Shibor_3M"/>
    <n v="2.93"/>
    <n v="3.03"/>
    <n v="0"/>
    <d v="2012-07-20T00:00:00"/>
    <d v="2017-07-20T00:00:00"/>
    <x v="123"/>
  </r>
  <r>
    <n v="1923"/>
    <x v="26"/>
    <x v="5"/>
    <x v="6"/>
    <n v="0.67245370370370372"/>
    <s v="Shibor_3M"/>
    <n v="3.26"/>
    <n v="3.36"/>
    <n v="0"/>
    <d v="2012-07-20T00:00:00"/>
    <d v="2013-04-20T00:00:00"/>
    <x v="6"/>
  </r>
  <r>
    <n v="1924"/>
    <x v="26"/>
    <x v="4"/>
    <x v="3"/>
    <n v="0.67655092592592592"/>
    <s v="Shibor_3M"/>
    <n v="2.95"/>
    <n v="3.05"/>
    <n v="0"/>
    <d v="2012-07-20T00:00:00"/>
    <d v="2014-07-20T00:00:00"/>
    <x v="99"/>
  </r>
  <r>
    <n v="1925"/>
    <x v="26"/>
    <x v="0"/>
    <x v="3"/>
    <n v="0.67655092592592592"/>
    <s v="Shibor_3M"/>
    <n v="2.92"/>
    <n v="3.02"/>
    <n v="0"/>
    <d v="2012-07-20T00:00:00"/>
    <d v="2015-07-20T00:00:00"/>
    <x v="105"/>
  </r>
  <r>
    <n v="1926"/>
    <x v="26"/>
    <x v="6"/>
    <x v="2"/>
    <n v="0.67856481481481479"/>
    <s v="Shibor_3M"/>
    <n v="2.9"/>
    <n v="3"/>
    <n v="0"/>
    <d v="2012-07-20T00:00:00"/>
    <d v="2022-07-20T00:00:00"/>
    <x v="122"/>
  </r>
  <r>
    <n v="1927"/>
    <x v="26"/>
    <x v="8"/>
    <x v="3"/>
    <n v="0.67655092592592592"/>
    <s v="Shibor_3M"/>
    <n v="3.5"/>
    <n v="3.55"/>
    <n v="0"/>
    <d v="2012-07-20T00:00:00"/>
    <d v="2013-01-20T00:00:00"/>
    <x v="115"/>
  </r>
  <r>
    <n v="1928"/>
    <x v="26"/>
    <x v="11"/>
    <x v="3"/>
    <n v="0.67652777777777784"/>
    <s v="Shibor_3M"/>
    <n v="2.95"/>
    <n v="3.05"/>
    <n v="0"/>
    <d v="2012-07-20T00:00:00"/>
    <d v="2017-07-20T00:00:00"/>
    <x v="99"/>
  </r>
  <r>
    <n v="1929"/>
    <x v="26"/>
    <x v="1"/>
    <x v="3"/>
    <n v="0.67652777777777784"/>
    <s v="Shibor_3M"/>
    <n v="3.14"/>
    <n v="3.2"/>
    <n v="0"/>
    <d v="2012-07-20T00:00:00"/>
    <d v="2013-07-20T00:00:00"/>
    <x v="56"/>
  </r>
  <r>
    <n v="1930"/>
    <x v="26"/>
    <x v="2"/>
    <x v="3"/>
    <n v="0.67653935185185177"/>
    <s v="Shibor_3M"/>
    <n v="2.92"/>
    <n v="3.02"/>
    <n v="0"/>
    <d v="2012-07-20T00:00:00"/>
    <d v="2016-07-20T00:00:00"/>
    <x v="105"/>
  </r>
  <r>
    <n v="1931"/>
    <x v="26"/>
    <x v="5"/>
    <x v="3"/>
    <n v="0.67653935185185177"/>
    <s v="Shibor_3M"/>
    <n v="3.27"/>
    <n v="3.37"/>
    <n v="0"/>
    <d v="2012-07-20T00:00:00"/>
    <d v="2013-04-20T00:00:00"/>
    <x v="24"/>
  </r>
  <r>
    <n v="1932"/>
    <x v="27"/>
    <x v="11"/>
    <x v="1"/>
    <n v="0.48671296296296296"/>
    <s v="Shibor_3M"/>
    <n v="2.92"/>
    <n v="2.98"/>
    <n v="0"/>
    <d v="2012-07-19T00:00:00"/>
    <d v="2017-07-19T00:00:00"/>
    <x v="122"/>
  </r>
  <r>
    <n v="1933"/>
    <x v="27"/>
    <x v="6"/>
    <x v="1"/>
    <n v="0.48671296296296296"/>
    <s v="Shibor_3M"/>
    <n v="3.03"/>
    <n v="3.09"/>
    <n v="0"/>
    <d v="2012-07-19T00:00:00"/>
    <d v="2022-07-19T00:00:00"/>
    <x v="95"/>
  </r>
  <r>
    <n v="1934"/>
    <x v="27"/>
    <x v="0"/>
    <x v="1"/>
    <n v="0.48671296296296296"/>
    <s v="Shibor_3M"/>
    <n v="2.9"/>
    <n v="2.96"/>
    <n v="0"/>
    <d v="2012-07-19T00:00:00"/>
    <d v="2015-07-19T00:00:00"/>
    <x v="137"/>
  </r>
  <r>
    <n v="1935"/>
    <x v="27"/>
    <x v="2"/>
    <x v="1"/>
    <n v="0.48671296296296296"/>
    <s v="Shibor_3M"/>
    <n v="2.91"/>
    <n v="2.97"/>
    <n v="0"/>
    <d v="2012-07-19T00:00:00"/>
    <d v="2016-07-19T00:00:00"/>
    <x v="131"/>
  </r>
  <r>
    <n v="1936"/>
    <x v="27"/>
    <x v="4"/>
    <x v="1"/>
    <n v="0.48670138888888892"/>
    <s v="Shibor_3M"/>
    <n v="2.93"/>
    <n v="2.99"/>
    <n v="0"/>
    <d v="2012-07-19T00:00:00"/>
    <d v="2014-07-19T00:00:00"/>
    <x v="117"/>
  </r>
  <r>
    <n v="1937"/>
    <x v="27"/>
    <x v="1"/>
    <x v="1"/>
    <n v="0.48670138888888892"/>
    <s v="Shibor_3M"/>
    <n v="3.11"/>
    <n v="3.17"/>
    <n v="0"/>
    <d v="2012-07-19T00:00:00"/>
    <d v="2013-07-19T00:00:00"/>
    <x v="58"/>
  </r>
  <r>
    <n v="1938"/>
    <x v="27"/>
    <x v="5"/>
    <x v="1"/>
    <n v="0.48671296296296296"/>
    <s v="Shibor_3M"/>
    <n v="3.26"/>
    <n v="3.32"/>
    <n v="0"/>
    <d v="2012-07-19T00:00:00"/>
    <d v="2013-04-19T00:00:00"/>
    <x v="3"/>
  </r>
  <r>
    <n v="1939"/>
    <x v="27"/>
    <x v="7"/>
    <x v="1"/>
    <n v="0.48670138888888892"/>
    <s v="Shibor_3M"/>
    <n v="2.98"/>
    <n v="3.04"/>
    <n v="0"/>
    <d v="2012-07-19T00:00:00"/>
    <d v="2019-07-19T00:00:00"/>
    <x v="97"/>
  </r>
  <r>
    <n v="1940"/>
    <x v="27"/>
    <x v="5"/>
    <x v="6"/>
    <n v="0.4952893518518518"/>
    <s v="Shibor_3M"/>
    <n v="3.23"/>
    <n v="3.33"/>
    <n v="0"/>
    <d v="2012-07-19T00:00:00"/>
    <d v="2013-04-19T00:00:00"/>
    <x v="9"/>
  </r>
  <r>
    <n v="1941"/>
    <x v="27"/>
    <x v="4"/>
    <x v="6"/>
    <n v="0.4952893518518518"/>
    <s v="Shibor_3M"/>
    <n v="2.91"/>
    <n v="3.01"/>
    <n v="0"/>
    <d v="2012-07-19T00:00:00"/>
    <d v="2014-07-19T00:00:00"/>
    <x v="117"/>
  </r>
  <r>
    <n v="1942"/>
    <x v="27"/>
    <x v="0"/>
    <x v="6"/>
    <n v="0.4952893518518518"/>
    <s v="Shibor_3M"/>
    <n v="2.89"/>
    <n v="2.99"/>
    <n v="0"/>
    <d v="2012-07-19T00:00:00"/>
    <d v="2015-07-19T00:00:00"/>
    <x v="131"/>
  </r>
  <r>
    <n v="1943"/>
    <x v="27"/>
    <x v="6"/>
    <x v="6"/>
    <n v="0.4952893518518518"/>
    <s v="Shibor_3M"/>
    <n v="2.98"/>
    <n v="3.08"/>
    <n v="0"/>
    <d v="2012-07-19T00:00:00"/>
    <d v="2022-07-19T00:00:00"/>
    <x v="90"/>
  </r>
  <r>
    <n v="1944"/>
    <x v="27"/>
    <x v="1"/>
    <x v="6"/>
    <n v="0.4952893518518518"/>
    <s v="Shibor_3M"/>
    <n v="3.1"/>
    <n v="3.2"/>
    <n v="0"/>
    <d v="2012-07-19T00:00:00"/>
    <d v="2013-07-19T00:00:00"/>
    <x v="51"/>
  </r>
  <r>
    <n v="1945"/>
    <x v="27"/>
    <x v="8"/>
    <x v="6"/>
    <n v="0.4952893518518518"/>
    <s v="Shibor_3M"/>
    <n v="3.45"/>
    <n v="3.55"/>
    <n v="0"/>
    <d v="2012-07-19T00:00:00"/>
    <d v="2013-01-19T00:00:00"/>
    <x v="13"/>
  </r>
  <r>
    <n v="1946"/>
    <x v="27"/>
    <x v="7"/>
    <x v="6"/>
    <n v="0.4952893518518518"/>
    <s v="Shibor_3M"/>
    <n v="2.93"/>
    <n v="3.03"/>
    <n v="0"/>
    <d v="2012-07-19T00:00:00"/>
    <d v="2019-07-19T00:00:00"/>
    <x v="123"/>
  </r>
  <r>
    <n v="1947"/>
    <x v="27"/>
    <x v="2"/>
    <x v="6"/>
    <n v="0.4952893518518518"/>
    <s v="Shibor_3M"/>
    <n v="2.89"/>
    <n v="2.99"/>
    <n v="0"/>
    <d v="2012-07-19T00:00:00"/>
    <d v="2016-07-19T00:00:00"/>
    <x v="131"/>
  </r>
  <r>
    <n v="1948"/>
    <x v="27"/>
    <x v="11"/>
    <x v="6"/>
    <n v="0.4952893518518518"/>
    <s v="Shibor_3M"/>
    <n v="2.89"/>
    <n v="2.99"/>
    <n v="0"/>
    <d v="2012-07-19T00:00:00"/>
    <d v="2017-07-19T00:00:00"/>
    <x v="131"/>
  </r>
  <r>
    <n v="1949"/>
    <x v="27"/>
    <x v="6"/>
    <x v="2"/>
    <n v="0.48268518518518522"/>
    <s v="Shibor_3M"/>
    <n v="2.9"/>
    <n v="3"/>
    <n v="0"/>
    <d v="2012-07-19T00:00:00"/>
    <d v="2022-07-19T00:00:00"/>
    <x v="122"/>
  </r>
  <r>
    <n v="1950"/>
    <x v="27"/>
    <x v="1"/>
    <x v="2"/>
    <n v="0.48268518518518522"/>
    <s v="Shibor_3M"/>
    <n v="3.1"/>
    <n v="3.15"/>
    <n v="0"/>
    <d v="2012-07-19T00:00:00"/>
    <d v="2013-07-19T00:00:00"/>
    <x v="80"/>
  </r>
  <r>
    <n v="1951"/>
    <x v="27"/>
    <x v="2"/>
    <x v="2"/>
    <n v="0.48269675925925926"/>
    <s v="Shibor_3M"/>
    <n v="2.9"/>
    <n v="3"/>
    <n v="0"/>
    <d v="2012-07-19T00:00:00"/>
    <d v="2016-07-19T00:00:00"/>
    <x v="122"/>
  </r>
  <r>
    <n v="1952"/>
    <x v="27"/>
    <x v="11"/>
    <x v="2"/>
    <n v="0.48269675925925926"/>
    <s v="Shibor_3M"/>
    <n v="2.9"/>
    <n v="3"/>
    <n v="0"/>
    <d v="2012-07-19T00:00:00"/>
    <d v="2017-07-19T00:00:00"/>
    <x v="122"/>
  </r>
  <r>
    <n v="1953"/>
    <x v="27"/>
    <x v="7"/>
    <x v="2"/>
    <n v="0.48268518518518522"/>
    <s v="Shibor_3M"/>
    <n v="2.9"/>
    <n v="3"/>
    <n v="0"/>
    <d v="2012-07-19T00:00:00"/>
    <d v="2019-07-19T00:00:00"/>
    <x v="122"/>
  </r>
  <r>
    <n v="1954"/>
    <x v="27"/>
    <x v="4"/>
    <x v="2"/>
    <n v="0.48268518518518522"/>
    <s v="Shibor_3M"/>
    <n v="2.93"/>
    <n v="3.02"/>
    <n v="0"/>
    <d v="2012-07-19T00:00:00"/>
    <d v="2014-07-19T00:00:00"/>
    <x v="130"/>
  </r>
  <r>
    <n v="1955"/>
    <x v="27"/>
    <x v="8"/>
    <x v="2"/>
    <n v="0.48268518518518522"/>
    <s v="Shibor_3M"/>
    <n v="3.45"/>
    <n v="3.5"/>
    <n v="0"/>
    <d v="2012-07-19T00:00:00"/>
    <d v="2013-01-19T00:00:00"/>
    <x v="108"/>
  </r>
  <r>
    <n v="1956"/>
    <x v="27"/>
    <x v="5"/>
    <x v="2"/>
    <n v="0.48268518518518522"/>
    <s v="Shibor_3M"/>
    <n v="3.2"/>
    <n v="3.28"/>
    <n v="0"/>
    <d v="2012-07-19T00:00:00"/>
    <d v="2013-04-19T00:00:00"/>
    <x v="10"/>
  </r>
  <r>
    <n v="1957"/>
    <x v="27"/>
    <x v="0"/>
    <x v="2"/>
    <n v="0.48269675925925926"/>
    <s v="Shibor_3M"/>
    <n v="2.9"/>
    <n v="3"/>
    <n v="0"/>
    <d v="2012-07-19T00:00:00"/>
    <d v="2015-07-19T00:00:00"/>
    <x v="122"/>
  </r>
  <r>
    <n v="1958"/>
    <x v="27"/>
    <x v="4"/>
    <x v="3"/>
    <n v="0.48575231481481485"/>
    <s v="Shibor_3M"/>
    <n v="2.94"/>
    <n v="3.04"/>
    <n v="0"/>
    <d v="2012-07-19T00:00:00"/>
    <d v="2014-07-19T00:00:00"/>
    <x v="114"/>
  </r>
  <r>
    <n v="1959"/>
    <x v="27"/>
    <x v="2"/>
    <x v="3"/>
    <n v="0.48575231481481485"/>
    <s v="Shibor_3M"/>
    <n v="2.9"/>
    <n v="3"/>
    <n v="0"/>
    <d v="2012-07-19T00:00:00"/>
    <d v="2016-07-19T00:00:00"/>
    <x v="122"/>
  </r>
  <r>
    <n v="1960"/>
    <x v="27"/>
    <x v="8"/>
    <x v="1"/>
    <n v="0.48670138888888892"/>
    <s v="Shibor_3M"/>
    <n v="3.46"/>
    <n v="3.52"/>
    <n v="0"/>
    <d v="2012-07-19T00:00:00"/>
    <d v="2013-01-19T00:00:00"/>
    <x v="38"/>
  </r>
  <r>
    <n v="1961"/>
    <x v="27"/>
    <x v="0"/>
    <x v="3"/>
    <n v="0.48576388888888888"/>
    <s v="Shibor_3M"/>
    <n v="2.9"/>
    <n v="3"/>
    <n v="0"/>
    <d v="2012-07-19T00:00:00"/>
    <d v="2015-07-19T00:00:00"/>
    <x v="122"/>
  </r>
  <r>
    <n v="1962"/>
    <x v="27"/>
    <x v="11"/>
    <x v="3"/>
    <n v="0.48574074074074075"/>
    <s v="Shibor_3M"/>
    <n v="2.92"/>
    <n v="3.07"/>
    <n v="0"/>
    <d v="2012-07-19T00:00:00"/>
    <d v="2017-07-19T00:00:00"/>
    <x v="101"/>
  </r>
  <r>
    <n v="1963"/>
    <x v="27"/>
    <x v="1"/>
    <x v="3"/>
    <n v="0.48574074074074075"/>
    <s v="Shibor_3M"/>
    <n v="3.14"/>
    <n v="3.21"/>
    <n v="0"/>
    <d v="2012-07-19T00:00:00"/>
    <d v="2013-07-19T00:00:00"/>
    <x v="93"/>
  </r>
  <r>
    <n v="1964"/>
    <x v="27"/>
    <x v="5"/>
    <x v="3"/>
    <n v="0.48575231481481485"/>
    <s v="Shibor_3M"/>
    <n v="3.25"/>
    <n v="3.32"/>
    <n v="0"/>
    <d v="2012-07-19T00:00:00"/>
    <d v="2013-04-19T00:00:00"/>
    <x v="37"/>
  </r>
  <r>
    <n v="1965"/>
    <x v="27"/>
    <x v="8"/>
    <x v="3"/>
    <n v="0.48575231481481485"/>
    <s v="Shibor_3M"/>
    <n v="3.48"/>
    <n v="3.58"/>
    <n v="0"/>
    <d v="2012-07-19T00:00:00"/>
    <d v="2013-01-19T00:00:00"/>
    <x v="134"/>
  </r>
  <r>
    <n v="1966"/>
    <x v="27"/>
    <x v="0"/>
    <x v="3"/>
    <n v="0.67954861111111109"/>
    <s v="Shibor_3M"/>
    <n v="2.91"/>
    <n v="3.01"/>
    <n v="0"/>
    <d v="2012-07-19T00:00:00"/>
    <d v="2015-07-19T00:00:00"/>
    <x v="117"/>
  </r>
  <r>
    <n v="1967"/>
    <x v="27"/>
    <x v="5"/>
    <x v="3"/>
    <n v="0.67952546296296301"/>
    <s v="Shibor_3M"/>
    <n v="3.26"/>
    <n v="3.33"/>
    <n v="0"/>
    <d v="2012-07-19T00:00:00"/>
    <d v="2013-04-19T00:00:00"/>
    <x v="68"/>
  </r>
  <r>
    <n v="1968"/>
    <x v="27"/>
    <x v="8"/>
    <x v="3"/>
    <n v="0.67954861111111109"/>
    <s v="Shibor_3M"/>
    <n v="3.46"/>
    <n v="3.56"/>
    <n v="0"/>
    <d v="2012-07-19T00:00:00"/>
    <d v="2013-01-19T00:00:00"/>
    <x v="44"/>
  </r>
  <r>
    <n v="1969"/>
    <x v="27"/>
    <x v="4"/>
    <x v="3"/>
    <n v="0.67954861111111109"/>
    <s v="Shibor_3M"/>
    <n v="2.96"/>
    <n v="3.06"/>
    <n v="0"/>
    <d v="2012-07-19T00:00:00"/>
    <d v="2014-07-19T00:00:00"/>
    <x v="97"/>
  </r>
  <r>
    <n v="1970"/>
    <x v="27"/>
    <x v="2"/>
    <x v="3"/>
    <n v="0.67952546296296301"/>
    <s v="Shibor_3M"/>
    <n v="2.91"/>
    <n v="3.01"/>
    <n v="0"/>
    <d v="2012-07-19T00:00:00"/>
    <d v="2016-07-19T00:00:00"/>
    <x v="117"/>
  </r>
  <r>
    <n v="1971"/>
    <x v="27"/>
    <x v="0"/>
    <x v="2"/>
    <n v="0.67386574074074079"/>
    <s v="Shibor_3M"/>
    <n v="2.9"/>
    <n v="3"/>
    <n v="0"/>
    <d v="2012-07-19T00:00:00"/>
    <d v="2015-07-19T00:00:00"/>
    <x v="122"/>
  </r>
  <r>
    <n v="1972"/>
    <x v="27"/>
    <x v="11"/>
    <x v="3"/>
    <n v="0.67952546296296301"/>
    <s v="Shibor_3M"/>
    <n v="2.97"/>
    <n v="3.02"/>
    <n v="0"/>
    <d v="2012-07-19T00:00:00"/>
    <d v="2017-07-19T00:00:00"/>
    <x v="101"/>
  </r>
  <r>
    <n v="1973"/>
    <x v="27"/>
    <x v="1"/>
    <x v="3"/>
    <n v="0.67952546296296301"/>
    <s v="Shibor_3M"/>
    <n v="3.15"/>
    <n v="3.2"/>
    <n v="0"/>
    <d v="2012-07-19T00:00:00"/>
    <d v="2013-07-19T00:00:00"/>
    <x v="93"/>
  </r>
  <r>
    <n v="1974"/>
    <x v="27"/>
    <x v="5"/>
    <x v="6"/>
    <n v="0.68010416666666673"/>
    <s v="Shibor_3M"/>
    <n v="3.25"/>
    <n v="3.35"/>
    <n v="0"/>
    <d v="2012-07-19T00:00:00"/>
    <d v="2013-04-19T00:00:00"/>
    <x v="23"/>
  </r>
  <r>
    <n v="1975"/>
    <x v="27"/>
    <x v="4"/>
    <x v="6"/>
    <n v="0.68010416666666673"/>
    <s v="Shibor_3M"/>
    <n v="2.93"/>
    <n v="3.03"/>
    <n v="0"/>
    <d v="2012-07-19T00:00:00"/>
    <d v="2014-07-19T00:00:00"/>
    <x v="123"/>
  </r>
  <r>
    <n v="1976"/>
    <x v="27"/>
    <x v="0"/>
    <x v="6"/>
    <n v="0.68010416666666673"/>
    <s v="Shibor_3M"/>
    <n v="2.91"/>
    <n v="3.01"/>
    <n v="0"/>
    <d v="2012-07-19T00:00:00"/>
    <d v="2015-07-19T00:00:00"/>
    <x v="117"/>
  </r>
  <r>
    <n v="1977"/>
    <x v="27"/>
    <x v="6"/>
    <x v="6"/>
    <n v="0.68010416666666673"/>
    <s v="Shibor_3M"/>
    <n v="3"/>
    <n v="3.1"/>
    <n v="0"/>
    <d v="2012-07-19T00:00:00"/>
    <d v="2022-07-19T00:00:00"/>
    <x v="81"/>
  </r>
  <r>
    <n v="1978"/>
    <x v="27"/>
    <x v="1"/>
    <x v="6"/>
    <n v="0.68010416666666673"/>
    <s v="Shibor_3M"/>
    <n v="3.12"/>
    <n v="3.22"/>
    <n v="0"/>
    <d v="2012-07-19T00:00:00"/>
    <d v="2013-07-19T00:00:00"/>
    <x v="56"/>
  </r>
  <r>
    <n v="1979"/>
    <x v="27"/>
    <x v="8"/>
    <x v="6"/>
    <n v="0.68010416666666673"/>
    <s v="Shibor_3M"/>
    <n v="3.47"/>
    <n v="3.57"/>
    <n v="0"/>
    <d v="2012-07-19T00:00:00"/>
    <d v="2013-01-19T00:00:00"/>
    <x v="8"/>
  </r>
  <r>
    <n v="1980"/>
    <x v="27"/>
    <x v="7"/>
    <x v="6"/>
    <n v="0.68010416666666673"/>
    <s v="Shibor_3M"/>
    <n v="2.95"/>
    <n v="3.05"/>
    <n v="0"/>
    <d v="2012-07-19T00:00:00"/>
    <d v="2019-07-19T00:00:00"/>
    <x v="99"/>
  </r>
  <r>
    <n v="1981"/>
    <x v="27"/>
    <x v="2"/>
    <x v="6"/>
    <n v="0.68010416666666673"/>
    <s v="Shibor_3M"/>
    <n v="2.91"/>
    <n v="3.01"/>
    <n v="0"/>
    <d v="2012-07-19T00:00:00"/>
    <d v="2016-07-19T00:00:00"/>
    <x v="117"/>
  </r>
  <r>
    <n v="1982"/>
    <x v="27"/>
    <x v="11"/>
    <x v="6"/>
    <n v="0.68010416666666673"/>
    <s v="Shibor_3M"/>
    <n v="2.91"/>
    <n v="3.01"/>
    <n v="0"/>
    <d v="2012-07-19T00:00:00"/>
    <d v="2017-07-19T00:00:00"/>
    <x v="117"/>
  </r>
  <r>
    <n v="1983"/>
    <x v="27"/>
    <x v="5"/>
    <x v="1"/>
    <n v="0.67287037037037034"/>
    <s v="Shibor_3M"/>
    <n v="3.27"/>
    <n v="3.33"/>
    <n v="0"/>
    <d v="2012-07-19T00:00:00"/>
    <d v="2013-04-19T00:00:00"/>
    <x v="23"/>
  </r>
  <r>
    <n v="1984"/>
    <x v="27"/>
    <x v="7"/>
    <x v="1"/>
    <n v="0.67287037037037034"/>
    <s v="Shibor_3M"/>
    <n v="3"/>
    <n v="3.06"/>
    <n v="0"/>
    <d v="2012-07-19T00:00:00"/>
    <d v="2019-07-19T00:00:00"/>
    <x v="90"/>
  </r>
  <r>
    <n v="1985"/>
    <x v="27"/>
    <x v="11"/>
    <x v="1"/>
    <n v="0.67287037037037034"/>
    <s v="Shibor_3M"/>
    <n v="2.94"/>
    <n v="3"/>
    <n v="0"/>
    <d v="2012-07-19T00:00:00"/>
    <d v="2017-07-19T00:00:00"/>
    <x v="105"/>
  </r>
  <r>
    <n v="1986"/>
    <x v="27"/>
    <x v="6"/>
    <x v="1"/>
    <n v="0.67287037037037034"/>
    <s v="Shibor_3M"/>
    <n v="3.05"/>
    <n v="3.11"/>
    <n v="0"/>
    <d v="2012-07-19T00:00:00"/>
    <d v="2022-07-19T00:00:00"/>
    <x v="70"/>
  </r>
  <r>
    <n v="1987"/>
    <x v="27"/>
    <x v="1"/>
    <x v="1"/>
    <n v="0.6728587962962963"/>
    <s v="Shibor_3M"/>
    <n v="3.14"/>
    <n v="3.2"/>
    <n v="0"/>
    <d v="2012-07-19T00:00:00"/>
    <d v="2013-07-19T00:00:00"/>
    <x v="56"/>
  </r>
  <r>
    <n v="1988"/>
    <x v="27"/>
    <x v="8"/>
    <x v="1"/>
    <n v="0.6728587962962963"/>
    <s v="Shibor_3M"/>
    <n v="3.47"/>
    <n v="3.53"/>
    <n v="0"/>
    <d v="2012-07-19T00:00:00"/>
    <d v="2013-01-19T00:00:00"/>
    <x v="13"/>
  </r>
  <r>
    <n v="1989"/>
    <x v="27"/>
    <x v="0"/>
    <x v="1"/>
    <n v="0.67287037037037034"/>
    <s v="Shibor_3M"/>
    <n v="2.93"/>
    <n v="2.99"/>
    <n v="0"/>
    <d v="2012-07-19T00:00:00"/>
    <d v="2015-07-19T00:00:00"/>
    <x v="117"/>
  </r>
  <r>
    <n v="1990"/>
    <x v="27"/>
    <x v="4"/>
    <x v="1"/>
    <n v="0.6728587962962963"/>
    <s v="Shibor_3M"/>
    <n v="2.95"/>
    <n v="3.01"/>
    <n v="0"/>
    <d v="2012-07-19T00:00:00"/>
    <d v="2014-07-19T00:00:00"/>
    <x v="123"/>
  </r>
  <r>
    <n v="1991"/>
    <x v="27"/>
    <x v="2"/>
    <x v="1"/>
    <n v="0.67287037037037034"/>
    <s v="Shibor_3M"/>
    <n v="2.94"/>
    <n v="3"/>
    <n v="0"/>
    <d v="2012-07-19T00:00:00"/>
    <d v="2016-07-19T00:00:00"/>
    <x v="105"/>
  </r>
  <r>
    <n v="1992"/>
    <x v="27"/>
    <x v="4"/>
    <x v="2"/>
    <n v="0.67385416666666664"/>
    <s v="Shibor_3M"/>
    <n v="2.93"/>
    <n v="3.02"/>
    <n v="0"/>
    <d v="2012-07-19T00:00:00"/>
    <d v="2014-07-19T00:00:00"/>
    <x v="130"/>
  </r>
  <r>
    <n v="1993"/>
    <x v="27"/>
    <x v="6"/>
    <x v="2"/>
    <n v="0.67385416666666664"/>
    <s v="Shibor_3M"/>
    <n v="2.9"/>
    <n v="3"/>
    <n v="0"/>
    <d v="2012-07-19T00:00:00"/>
    <d v="2022-07-19T00:00:00"/>
    <x v="122"/>
  </r>
  <r>
    <n v="1994"/>
    <x v="27"/>
    <x v="2"/>
    <x v="2"/>
    <n v="0.67386574074074079"/>
    <s v="Shibor_3M"/>
    <n v="2.9"/>
    <n v="3"/>
    <n v="0"/>
    <d v="2012-07-19T00:00:00"/>
    <d v="2016-07-19T00:00:00"/>
    <x v="122"/>
  </r>
  <r>
    <n v="1995"/>
    <x v="27"/>
    <x v="11"/>
    <x v="2"/>
    <n v="0.67386574074074079"/>
    <s v="Shibor_3M"/>
    <n v="2.9"/>
    <n v="3"/>
    <n v="0"/>
    <d v="2012-07-19T00:00:00"/>
    <d v="2017-07-19T00:00:00"/>
    <x v="122"/>
  </r>
  <r>
    <n v="1996"/>
    <x v="27"/>
    <x v="5"/>
    <x v="2"/>
    <n v="0.67385416666666664"/>
    <s v="Shibor_3M"/>
    <n v="3.2"/>
    <n v="3.28"/>
    <n v="0"/>
    <d v="2012-07-19T00:00:00"/>
    <d v="2013-04-19T00:00:00"/>
    <x v="10"/>
  </r>
  <r>
    <n v="1997"/>
    <x v="27"/>
    <x v="7"/>
    <x v="2"/>
    <n v="0.67385416666666664"/>
    <s v="Shibor_3M"/>
    <n v="2.9"/>
    <n v="3"/>
    <n v="0"/>
    <d v="2012-07-19T00:00:00"/>
    <d v="2019-07-19T00:00:00"/>
    <x v="122"/>
  </r>
  <r>
    <n v="1998"/>
    <x v="27"/>
    <x v="1"/>
    <x v="2"/>
    <n v="0.67385416666666664"/>
    <s v="Shibor_3M"/>
    <n v="3.1"/>
    <n v="3.15"/>
    <n v="0"/>
    <d v="2012-07-19T00:00:00"/>
    <d v="2013-07-19T00:00:00"/>
    <x v="80"/>
  </r>
  <r>
    <n v="1999"/>
    <x v="27"/>
    <x v="8"/>
    <x v="2"/>
    <n v="0.67385416666666664"/>
    <s v="Shibor_3M"/>
    <n v="3.45"/>
    <n v="3.5"/>
    <n v="0"/>
    <d v="2012-07-19T00:00:00"/>
    <d v="2013-01-19T00:00:00"/>
    <x v="108"/>
  </r>
  <r>
    <n v="2000"/>
    <x v="28"/>
    <x v="4"/>
    <x v="2"/>
    <n v="0.49469907407407404"/>
    <s v="Shibor_3M"/>
    <n v="2.93"/>
    <n v="3.02"/>
    <n v="0"/>
    <d v="2012-07-18T00:00:00"/>
    <d v="2014-07-18T00:00:00"/>
    <x v="130"/>
  </r>
  <r>
    <n v="2001"/>
    <x v="28"/>
    <x v="5"/>
    <x v="2"/>
    <n v="0.49471064814814819"/>
    <s v="Shibor_3M"/>
    <n v="3.2"/>
    <n v="3.28"/>
    <n v="0"/>
    <d v="2012-07-18T00:00:00"/>
    <d v="2013-04-18T00:00:00"/>
    <x v="10"/>
  </r>
  <r>
    <n v="2002"/>
    <x v="28"/>
    <x v="7"/>
    <x v="2"/>
    <n v="0.49471064814814819"/>
    <s v="Shibor_3M"/>
    <n v="2.9"/>
    <n v="3"/>
    <n v="0"/>
    <d v="2012-07-18T00:00:00"/>
    <d v="2019-07-18T00:00:00"/>
    <x v="122"/>
  </r>
  <r>
    <n v="2003"/>
    <x v="28"/>
    <x v="6"/>
    <x v="2"/>
    <n v="0.49469907407407404"/>
    <s v="Shibor_3M"/>
    <n v="2.9"/>
    <n v="3"/>
    <n v="0"/>
    <d v="2012-07-18T00:00:00"/>
    <d v="2022-07-18T00:00:00"/>
    <x v="122"/>
  </r>
  <r>
    <n v="2004"/>
    <x v="28"/>
    <x v="0"/>
    <x v="1"/>
    <n v="0.49374999999999997"/>
    <s v="Shibor_3M"/>
    <n v="2.91"/>
    <n v="2.97"/>
    <n v="0"/>
    <d v="2012-07-18T00:00:00"/>
    <d v="2015-07-18T00:00:00"/>
    <x v="131"/>
  </r>
  <r>
    <n v="2005"/>
    <x v="28"/>
    <x v="8"/>
    <x v="2"/>
    <n v="0.49469907407407404"/>
    <s v="Shibor_3M"/>
    <n v="3.45"/>
    <n v="3.5"/>
    <n v="0"/>
    <d v="2012-07-18T00:00:00"/>
    <d v="2013-01-18T00:00:00"/>
    <x v="108"/>
  </r>
  <r>
    <n v="2006"/>
    <x v="28"/>
    <x v="1"/>
    <x v="2"/>
    <n v="0.49469907407407404"/>
    <s v="Shibor_3M"/>
    <n v="3.1"/>
    <n v="3.15"/>
    <n v="0"/>
    <d v="2012-07-18T00:00:00"/>
    <d v="2013-07-18T00:00:00"/>
    <x v="80"/>
  </r>
  <r>
    <n v="2007"/>
    <x v="28"/>
    <x v="8"/>
    <x v="2"/>
    <n v="0.49844907407407407"/>
    <s v="Shibor_3M"/>
    <n v="3.45"/>
    <n v="3.5"/>
    <n v="0"/>
    <d v="2012-07-18T00:00:00"/>
    <d v="2013-01-18T00:00:00"/>
    <x v="108"/>
  </r>
  <r>
    <n v="2008"/>
    <x v="28"/>
    <x v="6"/>
    <x v="2"/>
    <n v="0.49846064814814817"/>
    <s v="Shibor_3M"/>
    <n v="2.9"/>
    <n v="3"/>
    <n v="0"/>
    <d v="2012-07-18T00:00:00"/>
    <d v="2022-07-18T00:00:00"/>
    <x v="122"/>
  </r>
  <r>
    <n v="2009"/>
    <x v="28"/>
    <x v="4"/>
    <x v="2"/>
    <n v="0.49846064814814817"/>
    <s v="Shibor_3M"/>
    <n v="2.93"/>
    <n v="3.02"/>
    <n v="0"/>
    <d v="2012-07-18T00:00:00"/>
    <d v="2014-07-18T00:00:00"/>
    <x v="130"/>
  </r>
  <r>
    <n v="2010"/>
    <x v="28"/>
    <x v="1"/>
    <x v="2"/>
    <n v="0.49844907407407407"/>
    <s v="Shibor_3M"/>
    <n v="3.1"/>
    <n v="3.15"/>
    <n v="0"/>
    <d v="2012-07-18T00:00:00"/>
    <d v="2013-07-18T00:00:00"/>
    <x v="80"/>
  </r>
  <r>
    <n v="2011"/>
    <x v="28"/>
    <x v="11"/>
    <x v="2"/>
    <n v="0.49472222222222223"/>
    <s v="Shibor_3M"/>
    <n v="2.9"/>
    <n v="3"/>
    <n v="0"/>
    <d v="2012-07-18T00:00:00"/>
    <d v="2017-07-18T00:00:00"/>
    <x v="122"/>
  </r>
  <r>
    <n v="2012"/>
    <x v="28"/>
    <x v="2"/>
    <x v="2"/>
    <n v="0.49472222222222223"/>
    <s v="Shibor_3M"/>
    <n v="2.9"/>
    <n v="3"/>
    <n v="0"/>
    <d v="2012-07-18T00:00:00"/>
    <d v="2016-07-18T00:00:00"/>
    <x v="122"/>
  </r>
  <r>
    <n v="2013"/>
    <x v="28"/>
    <x v="0"/>
    <x v="2"/>
    <n v="0.49472222222222223"/>
    <s v="Shibor_3M"/>
    <n v="2.9"/>
    <n v="3"/>
    <n v="0"/>
    <d v="2012-07-18T00:00:00"/>
    <d v="2015-07-18T00:00:00"/>
    <x v="122"/>
  </r>
  <r>
    <n v="2014"/>
    <x v="28"/>
    <x v="2"/>
    <x v="1"/>
    <n v="0.49374999999999997"/>
    <s v="Shibor_3M"/>
    <n v="2.92"/>
    <n v="2.98"/>
    <n v="0"/>
    <d v="2012-07-18T00:00:00"/>
    <d v="2016-07-18T00:00:00"/>
    <x v="122"/>
  </r>
  <r>
    <n v="2015"/>
    <x v="28"/>
    <x v="5"/>
    <x v="3"/>
    <n v="0.48530092592592594"/>
    <s v="Shibor_3M"/>
    <n v="3.23"/>
    <n v="3.33"/>
    <n v="0"/>
    <d v="2012-07-18T00:00:00"/>
    <d v="2013-04-18T00:00:00"/>
    <x v="9"/>
  </r>
  <r>
    <n v="2016"/>
    <x v="28"/>
    <x v="2"/>
    <x v="3"/>
    <n v="0.48530092592592594"/>
    <s v="Shibor_3M"/>
    <n v="2.92"/>
    <n v="2.98"/>
    <n v="0"/>
    <d v="2012-07-18T00:00:00"/>
    <d v="2016-07-18T00:00:00"/>
    <x v="122"/>
  </r>
  <r>
    <n v="2017"/>
    <x v="28"/>
    <x v="0"/>
    <x v="3"/>
    <n v="0.48531250000000004"/>
    <s v="Shibor_3M"/>
    <n v="2.9"/>
    <n v="2.98"/>
    <n v="0"/>
    <d v="2012-07-18T00:00:00"/>
    <d v="2015-07-18T00:00:00"/>
    <x v="149"/>
  </r>
  <r>
    <n v="2018"/>
    <x v="28"/>
    <x v="11"/>
    <x v="3"/>
    <n v="0.48530092592592594"/>
    <s v="Shibor_3M"/>
    <n v="2.94"/>
    <n v="2.99"/>
    <n v="0"/>
    <d v="2012-07-18T00:00:00"/>
    <d v="2017-07-18T00:00:00"/>
    <x v="128"/>
  </r>
  <r>
    <n v="2019"/>
    <x v="28"/>
    <x v="4"/>
    <x v="3"/>
    <n v="0.48530092592592594"/>
    <s v="Shibor_3M"/>
    <n v="2.93"/>
    <n v="2.99"/>
    <n v="0"/>
    <d v="2012-07-18T00:00:00"/>
    <d v="2014-07-18T00:00:00"/>
    <x v="117"/>
  </r>
  <r>
    <n v="2020"/>
    <x v="28"/>
    <x v="8"/>
    <x v="3"/>
    <n v="0.48530092592592594"/>
    <s v="Shibor_3M"/>
    <n v="3.43"/>
    <n v="3.53"/>
    <n v="0"/>
    <d v="2012-07-18T00:00:00"/>
    <d v="2013-01-18T00:00:00"/>
    <x v="18"/>
  </r>
  <r>
    <n v="2021"/>
    <x v="28"/>
    <x v="1"/>
    <x v="3"/>
    <n v="0.48530092592592594"/>
    <s v="Shibor_3M"/>
    <n v="3.1"/>
    <n v="3.18"/>
    <n v="0"/>
    <d v="2012-07-18T00:00:00"/>
    <d v="2013-07-18T00:00:00"/>
    <x v="150"/>
  </r>
  <r>
    <n v="2022"/>
    <x v="28"/>
    <x v="8"/>
    <x v="1"/>
    <n v="0.49373842592592593"/>
    <s v="Shibor_3M"/>
    <n v="3.48"/>
    <n v="3.54"/>
    <n v="0"/>
    <d v="2012-07-18T00:00:00"/>
    <d v="2013-01-18T00:00:00"/>
    <x v="44"/>
  </r>
  <r>
    <n v="2023"/>
    <x v="28"/>
    <x v="6"/>
    <x v="1"/>
    <n v="0.49374999999999997"/>
    <s v="Shibor_3M"/>
    <n v="3.04"/>
    <n v="3.1"/>
    <n v="0"/>
    <d v="2012-07-18T00:00:00"/>
    <d v="2022-07-18T00:00:00"/>
    <x v="86"/>
  </r>
  <r>
    <n v="2024"/>
    <x v="28"/>
    <x v="11"/>
    <x v="1"/>
    <n v="0.49374999999999997"/>
    <s v="Shibor_3M"/>
    <n v="2.92"/>
    <n v="2.98"/>
    <n v="0"/>
    <d v="2012-07-18T00:00:00"/>
    <d v="2017-07-18T00:00:00"/>
    <x v="122"/>
  </r>
  <r>
    <n v="2025"/>
    <x v="28"/>
    <x v="5"/>
    <x v="1"/>
    <n v="0.49373842592592593"/>
    <s v="Shibor_3M"/>
    <n v="3.27"/>
    <n v="3.33"/>
    <n v="0"/>
    <d v="2012-07-18T00:00:00"/>
    <d v="2013-04-18T00:00:00"/>
    <x v="23"/>
  </r>
  <r>
    <n v="2026"/>
    <x v="28"/>
    <x v="1"/>
    <x v="1"/>
    <n v="0.49373842592592593"/>
    <s v="Shibor_3M"/>
    <n v="3.13"/>
    <n v="3.19"/>
    <n v="0"/>
    <d v="2012-07-18T00:00:00"/>
    <d v="2013-07-18T00:00:00"/>
    <x v="71"/>
  </r>
  <r>
    <n v="2027"/>
    <x v="28"/>
    <x v="4"/>
    <x v="1"/>
    <n v="0.49373842592592593"/>
    <s v="Shibor_3M"/>
    <n v="2.92"/>
    <n v="2.98"/>
    <n v="0"/>
    <d v="2012-07-18T00:00:00"/>
    <d v="2014-07-18T00:00:00"/>
    <x v="122"/>
  </r>
  <r>
    <n v="2028"/>
    <x v="28"/>
    <x v="7"/>
    <x v="1"/>
    <n v="0.49373842592592593"/>
    <s v="Shibor_3M"/>
    <n v="2.98"/>
    <n v="3.04"/>
    <n v="0"/>
    <d v="2012-07-18T00:00:00"/>
    <d v="2019-07-18T00:00:00"/>
    <x v="97"/>
  </r>
  <r>
    <n v="2029"/>
    <x v="28"/>
    <x v="7"/>
    <x v="2"/>
    <n v="0.49846064814814817"/>
    <s v="Shibor_3M"/>
    <n v="2.9"/>
    <n v="3"/>
    <n v="0"/>
    <d v="2012-07-18T00:00:00"/>
    <d v="2019-07-18T00:00:00"/>
    <x v="122"/>
  </r>
  <r>
    <n v="2030"/>
    <x v="28"/>
    <x v="0"/>
    <x v="3"/>
    <n v="0.67395833333333333"/>
    <s v="Shibor_3M"/>
    <n v="2.9"/>
    <n v="2.98"/>
    <n v="0"/>
    <d v="2012-07-18T00:00:00"/>
    <d v="2015-07-18T00:00:00"/>
    <x v="149"/>
  </r>
  <r>
    <n v="2031"/>
    <x v="28"/>
    <x v="8"/>
    <x v="2"/>
    <n v="0.67423611111111115"/>
    <s v="Shibor_3M"/>
    <n v="3.45"/>
    <n v="3.5"/>
    <n v="0"/>
    <d v="2012-07-18T00:00:00"/>
    <d v="2013-01-18T00:00:00"/>
    <x v="108"/>
  </r>
  <r>
    <n v="2032"/>
    <x v="28"/>
    <x v="1"/>
    <x v="2"/>
    <n v="0.67423611111111115"/>
    <s v="Shibor_3M"/>
    <n v="3.1"/>
    <n v="3.15"/>
    <n v="0"/>
    <d v="2012-07-18T00:00:00"/>
    <d v="2013-07-18T00:00:00"/>
    <x v="80"/>
  </r>
  <r>
    <n v="2033"/>
    <x v="28"/>
    <x v="8"/>
    <x v="3"/>
    <n v="0.67394675925925929"/>
    <s v="Shibor_3M"/>
    <n v="3.46"/>
    <n v="3.52"/>
    <n v="0"/>
    <d v="2012-07-18T00:00:00"/>
    <d v="2013-01-18T00:00:00"/>
    <x v="38"/>
  </r>
  <r>
    <n v="2034"/>
    <x v="28"/>
    <x v="2"/>
    <x v="3"/>
    <n v="0.67393518518518514"/>
    <s v="Shibor_3M"/>
    <n v="2.92"/>
    <n v="2.98"/>
    <n v="0"/>
    <d v="2012-07-18T00:00:00"/>
    <d v="2016-07-18T00:00:00"/>
    <x v="122"/>
  </r>
  <r>
    <n v="2035"/>
    <x v="28"/>
    <x v="5"/>
    <x v="3"/>
    <n v="0.67393518518518514"/>
    <s v="Shibor_3M"/>
    <n v="2.94"/>
    <n v="2.99"/>
    <n v="0"/>
    <d v="2012-07-18T00:00:00"/>
    <d v="2013-04-18T00:00:00"/>
    <x v="128"/>
  </r>
  <r>
    <n v="2036"/>
    <x v="28"/>
    <x v="4"/>
    <x v="3"/>
    <n v="0.67394675925925929"/>
    <s v="Shibor_3M"/>
    <n v="2.94"/>
    <n v="2.99"/>
    <n v="0"/>
    <d v="2012-07-18T00:00:00"/>
    <d v="2014-07-18T00:00:00"/>
    <x v="128"/>
  </r>
  <r>
    <n v="2037"/>
    <x v="28"/>
    <x v="0"/>
    <x v="2"/>
    <n v="0.67424768518518519"/>
    <s v="Shibor_3M"/>
    <n v="2.9"/>
    <n v="3"/>
    <n v="0"/>
    <d v="2012-07-18T00:00:00"/>
    <d v="2015-07-18T00:00:00"/>
    <x v="122"/>
  </r>
  <r>
    <n v="2038"/>
    <x v="28"/>
    <x v="7"/>
    <x v="2"/>
    <n v="0.67424768518518519"/>
    <s v="Shibor_3M"/>
    <n v="2.9"/>
    <n v="3"/>
    <n v="0"/>
    <d v="2012-07-18T00:00:00"/>
    <d v="2019-07-18T00:00:00"/>
    <x v="122"/>
  </r>
  <r>
    <n v="2039"/>
    <x v="28"/>
    <x v="5"/>
    <x v="2"/>
    <n v="0.67424768518518519"/>
    <s v="Shibor_3M"/>
    <n v="3.2"/>
    <n v="3.28"/>
    <n v="0"/>
    <d v="2012-07-18T00:00:00"/>
    <d v="2013-04-18T00:00:00"/>
    <x v="10"/>
  </r>
  <r>
    <n v="2040"/>
    <x v="28"/>
    <x v="2"/>
    <x v="2"/>
    <n v="0.67424768518518519"/>
    <s v="Shibor_3M"/>
    <n v="2.9"/>
    <n v="3"/>
    <n v="0"/>
    <d v="2012-07-18T00:00:00"/>
    <d v="2016-07-18T00:00:00"/>
    <x v="122"/>
  </r>
  <r>
    <n v="2041"/>
    <x v="28"/>
    <x v="6"/>
    <x v="2"/>
    <n v="0.67423611111111115"/>
    <s v="Shibor_3M"/>
    <n v="2.9"/>
    <n v="3"/>
    <n v="0"/>
    <d v="2012-07-18T00:00:00"/>
    <d v="2022-07-18T00:00:00"/>
    <x v="122"/>
  </r>
  <r>
    <n v="2042"/>
    <x v="28"/>
    <x v="4"/>
    <x v="2"/>
    <n v="0.67423611111111115"/>
    <s v="Shibor_3M"/>
    <n v="2.93"/>
    <n v="3.02"/>
    <n v="0"/>
    <d v="2012-07-18T00:00:00"/>
    <d v="2014-07-18T00:00:00"/>
    <x v="130"/>
  </r>
  <r>
    <n v="2043"/>
    <x v="28"/>
    <x v="11"/>
    <x v="2"/>
    <n v="0.67424768518518519"/>
    <s v="Shibor_3M"/>
    <n v="2.9"/>
    <n v="3"/>
    <n v="0"/>
    <d v="2012-07-18T00:00:00"/>
    <d v="2017-07-18T00:00:00"/>
    <x v="122"/>
  </r>
  <r>
    <n v="2044"/>
    <x v="28"/>
    <x v="11"/>
    <x v="3"/>
    <n v="0.67392361111111121"/>
    <s v="Shibor_3M"/>
    <n v="2.95"/>
    <n v="3"/>
    <n v="0"/>
    <d v="2012-07-18T00:00:00"/>
    <d v="2017-07-18T00:00:00"/>
    <x v="130"/>
  </r>
  <r>
    <n v="2045"/>
    <x v="28"/>
    <x v="8"/>
    <x v="1"/>
    <n v="0.66630787037037031"/>
    <s v="Shibor_3M"/>
    <n v="3.48"/>
    <n v="3.54"/>
    <n v="0"/>
    <d v="2012-07-18T00:00:00"/>
    <d v="2013-01-18T00:00:00"/>
    <x v="44"/>
  </r>
  <r>
    <n v="2046"/>
    <x v="28"/>
    <x v="7"/>
    <x v="1"/>
    <n v="0.66631944444444446"/>
    <s v="Shibor_3M"/>
    <n v="3"/>
    <n v="3.06"/>
    <n v="0"/>
    <d v="2012-07-18T00:00:00"/>
    <d v="2019-07-18T00:00:00"/>
    <x v="90"/>
  </r>
  <r>
    <n v="2047"/>
    <x v="28"/>
    <x v="5"/>
    <x v="1"/>
    <n v="0.66631944444444446"/>
    <s v="Shibor_3M"/>
    <n v="3.27"/>
    <n v="3.33"/>
    <n v="0"/>
    <d v="2012-07-18T00:00:00"/>
    <d v="2013-04-18T00:00:00"/>
    <x v="23"/>
  </r>
  <r>
    <n v="2048"/>
    <x v="28"/>
    <x v="2"/>
    <x v="2"/>
    <n v="0.49847222222222221"/>
    <s v="Shibor_3M"/>
    <n v="2.9"/>
    <n v="3"/>
    <n v="0"/>
    <d v="2012-07-18T00:00:00"/>
    <d v="2016-07-18T00:00:00"/>
    <x v="122"/>
  </r>
  <r>
    <n v="2049"/>
    <x v="28"/>
    <x v="0"/>
    <x v="2"/>
    <n v="0.49847222222222221"/>
    <s v="Shibor_3M"/>
    <n v="2.9"/>
    <n v="3"/>
    <n v="0"/>
    <d v="2012-07-18T00:00:00"/>
    <d v="2015-07-18T00:00:00"/>
    <x v="122"/>
  </r>
  <r>
    <n v="2050"/>
    <x v="28"/>
    <x v="5"/>
    <x v="2"/>
    <n v="0.49847222222222221"/>
    <s v="Shibor_3M"/>
    <n v="3.2"/>
    <n v="3.28"/>
    <n v="0"/>
    <d v="2012-07-18T00:00:00"/>
    <d v="2013-04-18T00:00:00"/>
    <x v="10"/>
  </r>
  <r>
    <n v="2051"/>
    <x v="28"/>
    <x v="11"/>
    <x v="2"/>
    <n v="0.49847222222222221"/>
    <s v="Shibor_3M"/>
    <n v="2.9"/>
    <n v="3"/>
    <n v="0"/>
    <d v="2012-07-18T00:00:00"/>
    <d v="2017-07-18T00:00:00"/>
    <x v="122"/>
  </r>
  <r>
    <n v="2052"/>
    <x v="28"/>
    <x v="4"/>
    <x v="1"/>
    <n v="0.66631944444444446"/>
    <s v="Shibor_3M"/>
    <n v="2.94"/>
    <n v="3"/>
    <n v="0"/>
    <d v="2012-07-18T00:00:00"/>
    <d v="2014-07-18T00:00:00"/>
    <x v="105"/>
  </r>
  <r>
    <n v="2053"/>
    <x v="28"/>
    <x v="0"/>
    <x v="1"/>
    <n v="0.6663310185185185"/>
    <s v="Shibor_3M"/>
    <n v="2.92"/>
    <n v="2.98"/>
    <n v="0"/>
    <d v="2012-07-18T00:00:00"/>
    <d v="2015-07-18T00:00:00"/>
    <x v="122"/>
  </r>
  <r>
    <n v="2054"/>
    <x v="28"/>
    <x v="1"/>
    <x v="3"/>
    <n v="0.67392361111111121"/>
    <s v="Shibor_3M"/>
    <n v="3.12"/>
    <n v="3.18"/>
    <n v="0"/>
    <d v="2012-07-18T00:00:00"/>
    <d v="2013-07-18T00:00:00"/>
    <x v="51"/>
  </r>
  <r>
    <n v="2055"/>
    <x v="28"/>
    <x v="1"/>
    <x v="1"/>
    <n v="0.66631944444444446"/>
    <s v="Shibor_3M"/>
    <n v="3.13"/>
    <n v="3.19"/>
    <n v="0"/>
    <d v="2012-07-18T00:00:00"/>
    <d v="2013-07-18T00:00:00"/>
    <x v="71"/>
  </r>
  <r>
    <n v="2056"/>
    <x v="28"/>
    <x v="6"/>
    <x v="1"/>
    <n v="0.66631944444444446"/>
    <s v="Shibor_3M"/>
    <n v="3.04"/>
    <n v="3.1"/>
    <n v="0"/>
    <d v="2012-07-18T00:00:00"/>
    <d v="2022-07-18T00:00:00"/>
    <x v="86"/>
  </r>
  <r>
    <n v="2057"/>
    <x v="28"/>
    <x v="11"/>
    <x v="1"/>
    <n v="0.66631944444444446"/>
    <s v="Shibor_3M"/>
    <n v="2.93"/>
    <n v="2.99"/>
    <n v="0"/>
    <d v="2012-07-18T00:00:00"/>
    <d v="2017-07-18T00:00:00"/>
    <x v="117"/>
  </r>
  <r>
    <n v="2058"/>
    <x v="28"/>
    <x v="2"/>
    <x v="1"/>
    <n v="0.66631944444444446"/>
    <s v="Shibor_3M"/>
    <n v="2.93"/>
    <n v="2.99"/>
    <n v="0"/>
    <d v="2012-07-18T00:00:00"/>
    <d v="2016-07-18T00:00:00"/>
    <x v="117"/>
  </r>
  <r>
    <n v="2059"/>
    <x v="29"/>
    <x v="2"/>
    <x v="1"/>
    <n v="0.48782407407407408"/>
    <s v="Shibor_3M"/>
    <n v="2.89"/>
    <n v="2.95"/>
    <n v="0"/>
    <d v="2012-07-17T00:00:00"/>
    <d v="2016-07-17T00:00:00"/>
    <x v="141"/>
  </r>
  <r>
    <n v="2060"/>
    <x v="29"/>
    <x v="11"/>
    <x v="1"/>
    <n v="0.48782407407407408"/>
    <s v="Shibor_3M"/>
    <n v="2.89"/>
    <n v="2.95"/>
    <n v="0"/>
    <d v="2012-07-17T00:00:00"/>
    <d v="2017-07-17T00:00:00"/>
    <x v="141"/>
  </r>
  <r>
    <n v="2061"/>
    <x v="29"/>
    <x v="8"/>
    <x v="1"/>
    <n v="0.48782407407407408"/>
    <s v="Shibor_3M"/>
    <n v="3.49"/>
    <n v="3.55"/>
    <n v="0"/>
    <d v="2012-07-17T00:00:00"/>
    <d v="2013-01-17T00:00:00"/>
    <x v="8"/>
  </r>
  <r>
    <n v="2062"/>
    <x v="29"/>
    <x v="0"/>
    <x v="1"/>
    <n v="0.48782407407407408"/>
    <s v="Shibor_3M"/>
    <n v="2.89"/>
    <n v="2.95"/>
    <n v="0"/>
    <d v="2012-07-17T00:00:00"/>
    <d v="2015-07-17T00:00:00"/>
    <x v="141"/>
  </r>
  <r>
    <n v="2063"/>
    <x v="29"/>
    <x v="7"/>
    <x v="1"/>
    <n v="0.48782407407407408"/>
    <s v="Shibor_3M"/>
    <n v="2.93"/>
    <n v="2.99"/>
    <n v="0"/>
    <d v="2012-07-17T00:00:00"/>
    <d v="2019-07-17T00:00:00"/>
    <x v="117"/>
  </r>
  <r>
    <n v="2064"/>
    <x v="29"/>
    <x v="5"/>
    <x v="2"/>
    <n v="0.48238425925925926"/>
    <s v="Shibor_3M"/>
    <n v="3.2"/>
    <n v="3.28"/>
    <n v="0"/>
    <d v="2012-07-17T00:00:00"/>
    <d v="2013-04-17T00:00:00"/>
    <x v="10"/>
  </r>
  <r>
    <n v="2065"/>
    <x v="29"/>
    <x v="6"/>
    <x v="1"/>
    <n v="0.48782407407407408"/>
    <s v="Shibor_3M"/>
    <n v="2.99"/>
    <n v="3.05"/>
    <n v="0"/>
    <d v="2012-07-17T00:00:00"/>
    <d v="2022-07-17T00:00:00"/>
    <x v="116"/>
  </r>
  <r>
    <n v="2066"/>
    <x v="29"/>
    <x v="5"/>
    <x v="1"/>
    <n v="0.48782407407407408"/>
    <s v="Shibor_3M"/>
    <n v="3.28"/>
    <n v="3.34"/>
    <n v="0"/>
    <d v="2012-07-17T00:00:00"/>
    <d v="2013-04-17T00:00:00"/>
    <x v="6"/>
  </r>
  <r>
    <n v="2067"/>
    <x v="29"/>
    <x v="1"/>
    <x v="1"/>
    <n v="0.48782407407407408"/>
    <s v="Shibor_3M"/>
    <n v="3.14"/>
    <n v="3.2"/>
    <n v="0"/>
    <d v="2012-07-17T00:00:00"/>
    <d v="2013-07-17T00:00:00"/>
    <x v="56"/>
  </r>
  <r>
    <n v="2068"/>
    <x v="29"/>
    <x v="4"/>
    <x v="3"/>
    <n v="0.48837962962962966"/>
    <s v="Shibor_3M"/>
    <n v="2.88"/>
    <n v="2.98"/>
    <n v="0"/>
    <d v="2012-07-17T00:00:00"/>
    <d v="2014-07-17T00:00:00"/>
    <x v="137"/>
  </r>
  <r>
    <n v="2069"/>
    <x v="29"/>
    <x v="2"/>
    <x v="3"/>
    <n v="0.48836805555555557"/>
    <s v="Shibor_3M"/>
    <n v="2.88"/>
    <n v="2.98"/>
    <n v="0"/>
    <d v="2012-07-17T00:00:00"/>
    <d v="2016-07-17T00:00:00"/>
    <x v="137"/>
  </r>
  <r>
    <n v="2070"/>
    <x v="29"/>
    <x v="0"/>
    <x v="3"/>
    <n v="0.48837962962962966"/>
    <s v="Shibor_3M"/>
    <n v="2.85"/>
    <n v="2.95"/>
    <n v="0"/>
    <d v="2012-07-17T00:00:00"/>
    <d v="2015-07-17T00:00:00"/>
    <x v="145"/>
  </r>
  <r>
    <n v="2071"/>
    <x v="29"/>
    <x v="8"/>
    <x v="3"/>
    <n v="0.48837962962962966"/>
    <s v="Shibor_3M"/>
    <n v="3.4"/>
    <n v="3.5"/>
    <n v="0"/>
    <d v="2012-07-17T00:00:00"/>
    <d v="2013-01-17T00:00:00"/>
    <x v="43"/>
  </r>
  <r>
    <n v="2072"/>
    <x v="29"/>
    <x v="1"/>
    <x v="3"/>
    <n v="0.48835648148148153"/>
    <s v="Shibor_3M"/>
    <n v="3.08"/>
    <n v="3.16"/>
    <n v="0"/>
    <d v="2012-07-17T00:00:00"/>
    <d v="2013-07-17T00:00:00"/>
    <x v="66"/>
  </r>
  <r>
    <n v="2073"/>
    <x v="29"/>
    <x v="4"/>
    <x v="1"/>
    <n v="0.48782407407407408"/>
    <s v="Shibor_3M"/>
    <n v="2.91"/>
    <n v="2.97"/>
    <n v="0"/>
    <d v="2012-07-17T00:00:00"/>
    <d v="2014-07-17T00:00:00"/>
    <x v="131"/>
  </r>
  <r>
    <n v="2074"/>
    <x v="29"/>
    <x v="5"/>
    <x v="3"/>
    <n v="0.48835648148148153"/>
    <s v="Shibor_3M"/>
    <n v="3.21"/>
    <n v="3.31"/>
    <n v="0"/>
    <d v="2012-07-17T00:00:00"/>
    <d v="2013-04-17T00:00:00"/>
    <x v="16"/>
  </r>
  <r>
    <n v="2075"/>
    <x v="29"/>
    <x v="11"/>
    <x v="3"/>
    <n v="0.48835648148148153"/>
    <s v="Shibor_3M"/>
    <n v="2.9"/>
    <n v="2.98"/>
    <n v="0"/>
    <d v="2012-07-17T00:00:00"/>
    <d v="2017-07-17T00:00:00"/>
    <x v="149"/>
  </r>
  <r>
    <n v="2076"/>
    <x v="29"/>
    <x v="4"/>
    <x v="12"/>
    <n v="0.45481481481481478"/>
    <s v="Shibor_3M"/>
    <n v="3.27"/>
    <n v="3.35"/>
    <n v="0"/>
    <d v="2012-07-17T00:00:00"/>
    <d v="2014-07-17T00:00:00"/>
    <x v="151"/>
  </r>
  <r>
    <n v="2077"/>
    <x v="29"/>
    <x v="1"/>
    <x v="12"/>
    <n v="0.45481481481481478"/>
    <s v="Shibor_3M"/>
    <n v="3.41"/>
    <n v="3.49"/>
    <n v="0"/>
    <d v="2012-07-17T00:00:00"/>
    <d v="2013-07-17T00:00:00"/>
    <x v="43"/>
  </r>
  <r>
    <n v="2078"/>
    <x v="29"/>
    <x v="2"/>
    <x v="12"/>
    <n v="0.45482638888888888"/>
    <s v="Shibor_3M"/>
    <n v="3.26"/>
    <n v="3.36"/>
    <n v="0"/>
    <d v="2012-07-17T00:00:00"/>
    <d v="2016-07-17T00:00:00"/>
    <x v="6"/>
  </r>
  <r>
    <n v="2079"/>
    <x v="29"/>
    <x v="7"/>
    <x v="12"/>
    <n v="0.45481481481481478"/>
    <s v="Shibor_3M"/>
    <n v="3.25"/>
    <n v="3.44"/>
    <n v="0"/>
    <d v="2012-07-17T00:00:00"/>
    <d v="2019-07-17T00:00:00"/>
    <x v="36"/>
  </r>
  <r>
    <n v="2080"/>
    <x v="29"/>
    <x v="5"/>
    <x v="12"/>
    <n v="0.45481481481481478"/>
    <s v="Shibor_3M"/>
    <n v="3.57"/>
    <n v="3.67"/>
    <n v="0"/>
    <d v="2012-07-17T00:00:00"/>
    <d v="2013-04-17T00:00:00"/>
    <x v="35"/>
  </r>
  <r>
    <n v="2081"/>
    <x v="29"/>
    <x v="8"/>
    <x v="12"/>
    <n v="0.45478009259259261"/>
    <s v="Shibor_3M"/>
    <n v="3.74"/>
    <n v="3.84"/>
    <n v="0"/>
    <d v="2012-07-17T00:00:00"/>
    <d v="2013-01-17T00:00:00"/>
    <x v="152"/>
  </r>
  <r>
    <n v="2082"/>
    <x v="29"/>
    <x v="11"/>
    <x v="12"/>
    <n v="0.45481481481481478"/>
    <s v="Shibor_3M"/>
    <n v="3.25"/>
    <n v="3.35"/>
    <n v="0"/>
    <d v="2012-07-17T00:00:00"/>
    <d v="2017-07-17T00:00:00"/>
    <x v="23"/>
  </r>
  <r>
    <n v="2083"/>
    <x v="29"/>
    <x v="6"/>
    <x v="12"/>
    <n v="0.45481481481481478"/>
    <s v="Shibor_3M"/>
    <n v="3.31"/>
    <n v="3.5"/>
    <n v="0"/>
    <d v="2012-07-17T00:00:00"/>
    <d v="2022-07-17T00:00:00"/>
    <x v="65"/>
  </r>
  <r>
    <n v="2084"/>
    <x v="29"/>
    <x v="0"/>
    <x v="12"/>
    <n v="0.45482638888888888"/>
    <s v="Shibor_3M"/>
    <n v="3.26"/>
    <n v="3.36"/>
    <n v="0"/>
    <d v="2012-07-17T00:00:00"/>
    <d v="2015-07-17T00:00:00"/>
    <x v="6"/>
  </r>
  <r>
    <n v="2085"/>
    <x v="29"/>
    <x v="6"/>
    <x v="2"/>
    <n v="0.48238425925925926"/>
    <s v="Shibor_3M"/>
    <n v="2.75"/>
    <n v="2.83"/>
    <n v="0"/>
    <d v="2012-07-17T00:00:00"/>
    <d v="2022-07-17T00:00:00"/>
    <x v="153"/>
  </r>
  <r>
    <n v="2086"/>
    <x v="29"/>
    <x v="1"/>
    <x v="2"/>
    <n v="0.48238425925925926"/>
    <s v="Shibor_3M"/>
    <n v="3.08"/>
    <n v="3.15"/>
    <n v="0"/>
    <d v="2012-07-17T00:00:00"/>
    <d v="2013-07-17T00:00:00"/>
    <x v="84"/>
  </r>
  <r>
    <n v="2087"/>
    <x v="29"/>
    <x v="7"/>
    <x v="2"/>
    <n v="0.48238425925925926"/>
    <s v="Shibor_3M"/>
    <n v="2.75"/>
    <n v="2.83"/>
    <n v="0"/>
    <d v="2012-07-17T00:00:00"/>
    <d v="2019-07-17T00:00:00"/>
    <x v="153"/>
  </r>
  <r>
    <n v="2088"/>
    <x v="29"/>
    <x v="4"/>
    <x v="2"/>
    <n v="0.48238425925925926"/>
    <s v="Shibor_3M"/>
    <n v="2.8"/>
    <n v="2.9"/>
    <n v="0"/>
    <d v="2012-07-17T00:00:00"/>
    <d v="2014-07-17T00:00:00"/>
    <x v="154"/>
  </r>
  <r>
    <n v="2089"/>
    <x v="29"/>
    <x v="11"/>
    <x v="2"/>
    <n v="0.48238425925925926"/>
    <s v="Shibor_3M"/>
    <n v="2.78"/>
    <n v="2.85"/>
    <n v="0"/>
    <d v="2012-07-17T00:00:00"/>
    <d v="2017-07-17T00:00:00"/>
    <x v="155"/>
  </r>
  <r>
    <n v="2090"/>
    <x v="29"/>
    <x v="8"/>
    <x v="2"/>
    <n v="0.48237268518518522"/>
    <s v="Shibor_3M"/>
    <n v="3.45"/>
    <n v="3.5"/>
    <n v="0"/>
    <d v="2012-07-17T00:00:00"/>
    <d v="2013-01-17T00:00:00"/>
    <x v="108"/>
  </r>
  <r>
    <n v="2091"/>
    <x v="29"/>
    <x v="0"/>
    <x v="2"/>
    <n v="0.48238425925925926"/>
    <s v="Shibor_3M"/>
    <n v="2.78"/>
    <n v="2.85"/>
    <n v="0"/>
    <d v="2012-07-17T00:00:00"/>
    <d v="2015-07-17T00:00:00"/>
    <x v="155"/>
  </r>
  <r>
    <n v="2092"/>
    <x v="29"/>
    <x v="2"/>
    <x v="2"/>
    <n v="0.48238425925925926"/>
    <s v="Shibor_3M"/>
    <n v="2.78"/>
    <n v="2.85"/>
    <n v="0"/>
    <d v="2012-07-17T00:00:00"/>
    <d v="2016-07-17T00:00:00"/>
    <x v="155"/>
  </r>
  <r>
    <n v="2093"/>
    <x v="29"/>
    <x v="4"/>
    <x v="3"/>
    <n v="0.67704861111111114"/>
    <s v="Shibor_3M"/>
    <n v="2.91"/>
    <n v="3.01"/>
    <n v="0"/>
    <d v="2012-07-17T00:00:00"/>
    <d v="2014-07-17T00:00:00"/>
    <x v="117"/>
  </r>
  <r>
    <n v="2094"/>
    <x v="29"/>
    <x v="5"/>
    <x v="3"/>
    <n v="0.67702546296296295"/>
    <s v="Shibor_3M"/>
    <n v="3.23"/>
    <n v="3.31"/>
    <n v="0"/>
    <d v="2012-07-17T00:00:00"/>
    <d v="2013-04-17T00:00:00"/>
    <x v="25"/>
  </r>
  <r>
    <n v="2095"/>
    <x v="29"/>
    <x v="0"/>
    <x v="3"/>
    <n v="0.67706018518518529"/>
    <s v="Shibor_3M"/>
    <n v="2.89"/>
    <n v="2.99"/>
    <n v="0"/>
    <d v="2012-07-17T00:00:00"/>
    <d v="2015-07-17T00:00:00"/>
    <x v="131"/>
  </r>
  <r>
    <n v="2096"/>
    <x v="29"/>
    <x v="8"/>
    <x v="3"/>
    <n v="0.67704861111111114"/>
    <s v="Shibor_3M"/>
    <n v="3.44"/>
    <n v="3.5"/>
    <n v="0"/>
    <d v="2012-07-17T00:00:00"/>
    <d v="2013-01-17T00:00:00"/>
    <x v="4"/>
  </r>
  <r>
    <n v="2097"/>
    <x v="29"/>
    <x v="2"/>
    <x v="3"/>
    <n v="0.67702546296296295"/>
    <s v="Shibor_3M"/>
    <n v="2.88"/>
    <n v="2.98"/>
    <n v="0"/>
    <d v="2012-07-17T00:00:00"/>
    <d v="2016-07-17T00:00:00"/>
    <x v="137"/>
  </r>
  <r>
    <n v="2098"/>
    <x v="29"/>
    <x v="0"/>
    <x v="2"/>
    <n v="0.67606481481481484"/>
    <s v="Shibor_3M"/>
    <n v="2.78"/>
    <n v="2.85"/>
    <n v="0"/>
    <d v="2012-07-17T00:00:00"/>
    <d v="2015-07-17T00:00:00"/>
    <x v="155"/>
  </r>
  <r>
    <n v="2099"/>
    <x v="29"/>
    <x v="11"/>
    <x v="3"/>
    <n v="0.67702546296296295"/>
    <s v="Shibor_3M"/>
    <n v="2.9"/>
    <n v="2.95"/>
    <n v="0"/>
    <d v="2012-07-17T00:00:00"/>
    <d v="2017-07-17T00:00:00"/>
    <x v="140"/>
  </r>
  <r>
    <n v="2100"/>
    <x v="29"/>
    <x v="1"/>
    <x v="3"/>
    <n v="0.67702546296296295"/>
    <s v="Shibor_3M"/>
    <n v="3.1"/>
    <n v="3.16"/>
    <n v="0"/>
    <d v="2012-07-17T00:00:00"/>
    <d v="2013-07-17T00:00:00"/>
    <x v="78"/>
  </r>
  <r>
    <n v="2101"/>
    <x v="29"/>
    <x v="1"/>
    <x v="1"/>
    <n v="0.67891203703703706"/>
    <s v="Shibor_3M"/>
    <n v="3.14"/>
    <n v="3.2"/>
    <n v="0"/>
    <d v="2012-07-17T00:00:00"/>
    <d v="2013-07-17T00:00:00"/>
    <x v="56"/>
  </r>
  <r>
    <n v="2102"/>
    <x v="29"/>
    <x v="11"/>
    <x v="1"/>
    <n v="0.6789236111111111"/>
    <s v="Shibor_3M"/>
    <n v="2.89"/>
    <n v="2.95"/>
    <n v="0"/>
    <d v="2012-07-17T00:00:00"/>
    <d v="2017-07-17T00:00:00"/>
    <x v="141"/>
  </r>
  <r>
    <n v="2103"/>
    <x v="29"/>
    <x v="6"/>
    <x v="1"/>
    <n v="0.6789236111111111"/>
    <s v="Shibor_3M"/>
    <n v="2.99"/>
    <n v="3.05"/>
    <n v="0"/>
    <d v="2012-07-17T00:00:00"/>
    <d v="2022-07-17T00:00:00"/>
    <x v="116"/>
  </r>
  <r>
    <n v="2104"/>
    <x v="29"/>
    <x v="0"/>
    <x v="1"/>
    <n v="0.6789236111111111"/>
    <s v="Shibor_3M"/>
    <n v="2.89"/>
    <n v="2.95"/>
    <n v="0"/>
    <d v="2012-07-17T00:00:00"/>
    <d v="2015-07-17T00:00:00"/>
    <x v="141"/>
  </r>
  <r>
    <n v="2105"/>
    <x v="29"/>
    <x v="2"/>
    <x v="1"/>
    <n v="0.6789236111111111"/>
    <s v="Shibor_3M"/>
    <n v="2.89"/>
    <n v="2.95"/>
    <n v="0"/>
    <d v="2012-07-17T00:00:00"/>
    <d v="2016-07-17T00:00:00"/>
    <x v="141"/>
  </r>
  <r>
    <n v="2106"/>
    <x v="29"/>
    <x v="7"/>
    <x v="1"/>
    <n v="0.67891203703703706"/>
    <s v="Shibor_3M"/>
    <n v="2.93"/>
    <n v="2.99"/>
    <n v="0"/>
    <d v="2012-07-17T00:00:00"/>
    <d v="2019-07-17T00:00:00"/>
    <x v="117"/>
  </r>
  <r>
    <n v="2107"/>
    <x v="29"/>
    <x v="4"/>
    <x v="1"/>
    <n v="0.67891203703703706"/>
    <s v="Shibor_3M"/>
    <n v="2.91"/>
    <n v="2.97"/>
    <n v="0"/>
    <d v="2012-07-17T00:00:00"/>
    <d v="2014-07-17T00:00:00"/>
    <x v="131"/>
  </r>
  <r>
    <n v="2108"/>
    <x v="29"/>
    <x v="8"/>
    <x v="1"/>
    <n v="0.67891203703703706"/>
    <s v="Shibor_3M"/>
    <n v="3.49"/>
    <n v="3.55"/>
    <n v="0"/>
    <d v="2012-07-17T00:00:00"/>
    <d v="2013-01-17T00:00:00"/>
    <x v="8"/>
  </r>
  <r>
    <n v="2109"/>
    <x v="29"/>
    <x v="5"/>
    <x v="1"/>
    <n v="0.67891203703703706"/>
    <s v="Shibor_3M"/>
    <n v="3.28"/>
    <n v="3.34"/>
    <n v="0"/>
    <d v="2012-07-17T00:00:00"/>
    <d v="2013-04-17T00:00:00"/>
    <x v="6"/>
  </r>
  <r>
    <n v="2110"/>
    <x v="29"/>
    <x v="4"/>
    <x v="13"/>
    <n v="0.54622685185185182"/>
    <s v="Shibor_3M"/>
    <n v="2.88"/>
    <n v="2.96"/>
    <n v="0"/>
    <d v="2012-07-17T00:00:00"/>
    <d v="2014-07-17T00:00:00"/>
    <x v="141"/>
  </r>
  <r>
    <n v="2111"/>
    <x v="29"/>
    <x v="1"/>
    <x v="13"/>
    <n v="0.54622685185185182"/>
    <s v="Shibor_3M"/>
    <n v="3.06"/>
    <n v="3.16"/>
    <n v="0"/>
    <d v="2012-07-17T00:00:00"/>
    <d v="2013-07-17T00:00:00"/>
    <x v="50"/>
  </r>
  <r>
    <n v="2112"/>
    <x v="29"/>
    <x v="5"/>
    <x v="13"/>
    <n v="0.54622685185185182"/>
    <s v="Shibor_3M"/>
    <n v="3.24"/>
    <n v="3.31"/>
    <n v="0"/>
    <d v="2012-07-17T00:00:00"/>
    <d v="2013-04-17T00:00:00"/>
    <x v="156"/>
  </r>
  <r>
    <n v="2113"/>
    <x v="29"/>
    <x v="7"/>
    <x v="13"/>
    <n v="0.54622685185185182"/>
    <s v="Shibor_3M"/>
    <n v="2.93"/>
    <n v="3.03"/>
    <n v="0"/>
    <d v="2012-07-17T00:00:00"/>
    <d v="2019-07-17T00:00:00"/>
    <x v="123"/>
  </r>
  <r>
    <n v="2114"/>
    <x v="29"/>
    <x v="11"/>
    <x v="13"/>
    <n v="0.54622685185185182"/>
    <s v="Shibor_3M"/>
    <n v="2.88"/>
    <n v="2.95"/>
    <n v="0"/>
    <d v="2012-07-17T00:00:00"/>
    <d v="2017-07-17T00:00:00"/>
    <x v="138"/>
  </r>
  <r>
    <n v="2115"/>
    <x v="29"/>
    <x v="8"/>
    <x v="13"/>
    <n v="0.54621527777777779"/>
    <s v="Shibor_3M"/>
    <n v="3.45"/>
    <n v="3.53"/>
    <n v="0"/>
    <d v="2012-07-17T00:00:00"/>
    <d v="2013-01-17T00:00:00"/>
    <x v="38"/>
  </r>
  <r>
    <n v="2116"/>
    <x v="29"/>
    <x v="0"/>
    <x v="13"/>
    <n v="0.54622685185185182"/>
    <s v="Shibor_3M"/>
    <n v="2.83"/>
    <n v="2.92"/>
    <n v="0"/>
    <d v="2012-07-17T00:00:00"/>
    <d v="2015-07-17T00:00:00"/>
    <x v="157"/>
  </r>
  <r>
    <n v="2117"/>
    <x v="29"/>
    <x v="2"/>
    <x v="13"/>
    <n v="0.54622685185185182"/>
    <s v="Shibor_3M"/>
    <n v="2.88"/>
    <n v="2.95"/>
    <n v="0"/>
    <d v="2012-07-17T00:00:00"/>
    <d v="2016-07-17T00:00:00"/>
    <x v="138"/>
  </r>
  <r>
    <n v="2118"/>
    <x v="29"/>
    <x v="6"/>
    <x v="13"/>
    <n v="0.54622685185185182"/>
    <s v="Shibor_3M"/>
    <n v="2.98"/>
    <n v="3.1"/>
    <n v="0"/>
    <d v="2012-07-17T00:00:00"/>
    <d v="2022-07-17T00:00:00"/>
    <x v="91"/>
  </r>
  <r>
    <n v="2119"/>
    <x v="29"/>
    <x v="4"/>
    <x v="2"/>
    <n v="0.67605324074074069"/>
    <s v="Shibor_3M"/>
    <n v="2.8"/>
    <n v="2.9"/>
    <n v="0"/>
    <d v="2012-07-17T00:00:00"/>
    <d v="2014-07-17T00:00:00"/>
    <x v="154"/>
  </r>
  <r>
    <n v="2120"/>
    <x v="29"/>
    <x v="6"/>
    <x v="2"/>
    <n v="0.67605324074074069"/>
    <s v="Shibor_3M"/>
    <n v="2.75"/>
    <n v="2.83"/>
    <n v="0"/>
    <d v="2012-07-17T00:00:00"/>
    <d v="2022-07-17T00:00:00"/>
    <x v="153"/>
  </r>
  <r>
    <n v="2121"/>
    <x v="29"/>
    <x v="2"/>
    <x v="2"/>
    <n v="0.67606481481481484"/>
    <s v="Shibor_3M"/>
    <n v="2.78"/>
    <n v="2.85"/>
    <n v="0"/>
    <d v="2012-07-17T00:00:00"/>
    <d v="2016-07-17T00:00:00"/>
    <x v="155"/>
  </r>
  <r>
    <n v="2122"/>
    <x v="29"/>
    <x v="11"/>
    <x v="2"/>
    <n v="0.67606481481481484"/>
    <s v="Shibor_3M"/>
    <n v="2.78"/>
    <n v="2.85"/>
    <n v="0"/>
    <d v="2012-07-17T00:00:00"/>
    <d v="2017-07-17T00:00:00"/>
    <x v="155"/>
  </r>
  <r>
    <n v="2123"/>
    <x v="29"/>
    <x v="7"/>
    <x v="2"/>
    <n v="0.67605324074074069"/>
    <s v="Shibor_3M"/>
    <n v="2.75"/>
    <n v="2.83"/>
    <n v="0"/>
    <d v="2012-07-17T00:00:00"/>
    <d v="2019-07-17T00:00:00"/>
    <x v="153"/>
  </r>
  <r>
    <n v="2124"/>
    <x v="29"/>
    <x v="8"/>
    <x v="2"/>
    <n v="0.67603009259259261"/>
    <s v="Shibor_3M"/>
    <n v="3.45"/>
    <n v="3.5"/>
    <n v="0"/>
    <d v="2012-07-17T00:00:00"/>
    <d v="2013-01-17T00:00:00"/>
    <x v="108"/>
  </r>
  <r>
    <n v="2125"/>
    <x v="29"/>
    <x v="1"/>
    <x v="2"/>
    <n v="0.67605324074074069"/>
    <s v="Shibor_3M"/>
    <n v="3.08"/>
    <n v="3.15"/>
    <n v="0"/>
    <d v="2012-07-17T00:00:00"/>
    <d v="2013-07-17T00:00:00"/>
    <x v="84"/>
  </r>
  <r>
    <n v="2126"/>
    <x v="29"/>
    <x v="5"/>
    <x v="2"/>
    <n v="0.67605324074074069"/>
    <s v="Shibor_3M"/>
    <n v="3.2"/>
    <n v="3.28"/>
    <n v="0"/>
    <d v="2012-07-17T00:00:00"/>
    <d v="2013-04-17T00:00:00"/>
    <x v="10"/>
  </r>
  <r>
    <n v="2127"/>
    <x v="30"/>
    <x v="1"/>
    <x v="2"/>
    <n v="0.49265046296296294"/>
    <s v="Shibor_3M"/>
    <n v="3.08"/>
    <n v="3.15"/>
    <n v="0"/>
    <d v="2012-07-14T00:00:00"/>
    <d v="2013-07-14T00:00:00"/>
    <x v="84"/>
  </r>
  <r>
    <n v="2128"/>
    <x v="30"/>
    <x v="0"/>
    <x v="2"/>
    <n v="0.49265046296296294"/>
    <s v="Shibor_3M"/>
    <n v="2.78"/>
    <n v="2.85"/>
    <n v="0"/>
    <d v="2012-07-14T00:00:00"/>
    <d v="2015-07-14T00:00:00"/>
    <x v="155"/>
  </r>
  <r>
    <n v="2129"/>
    <x v="30"/>
    <x v="6"/>
    <x v="2"/>
    <n v="0.49265046296296294"/>
    <s v="Shibor_3M"/>
    <n v="2.75"/>
    <n v="2.83"/>
    <n v="0"/>
    <d v="2012-07-14T00:00:00"/>
    <d v="2022-07-14T00:00:00"/>
    <x v="153"/>
  </r>
  <r>
    <n v="2130"/>
    <x v="30"/>
    <x v="2"/>
    <x v="2"/>
    <n v="0.49743055555555554"/>
    <s v="Shibor_3M"/>
    <n v="2.78"/>
    <n v="2.85"/>
    <n v="0"/>
    <d v="2012-07-14T00:00:00"/>
    <d v="2016-07-14T00:00:00"/>
    <x v="155"/>
  </r>
  <r>
    <n v="2131"/>
    <x v="30"/>
    <x v="4"/>
    <x v="2"/>
    <n v="0.49266203703703698"/>
    <s v="Shibor_3M"/>
    <n v="2.8"/>
    <n v="2.9"/>
    <n v="0"/>
    <d v="2012-07-14T00:00:00"/>
    <d v="2014-07-14T00:00:00"/>
    <x v="154"/>
  </r>
  <r>
    <n v="2132"/>
    <x v="30"/>
    <x v="5"/>
    <x v="2"/>
    <n v="0.49265046296296294"/>
    <s v="Shibor_3M"/>
    <n v="3.2"/>
    <n v="3.28"/>
    <n v="0"/>
    <d v="2012-07-14T00:00:00"/>
    <d v="2013-04-14T00:00:00"/>
    <x v="10"/>
  </r>
  <r>
    <n v="2133"/>
    <x v="30"/>
    <x v="11"/>
    <x v="2"/>
    <n v="0.49265046296296294"/>
    <s v="Shibor_3M"/>
    <n v="2.78"/>
    <n v="2.85"/>
    <n v="0"/>
    <d v="2012-07-14T00:00:00"/>
    <d v="2017-07-14T00:00:00"/>
    <x v="155"/>
  </r>
  <r>
    <n v="2134"/>
    <x v="30"/>
    <x v="1"/>
    <x v="2"/>
    <n v="0.48956018518518518"/>
    <s v="Shibor_3M"/>
    <n v="3.08"/>
    <n v="3.15"/>
    <n v="0"/>
    <d v="2012-07-14T00:00:00"/>
    <d v="2013-07-14T00:00:00"/>
    <x v="84"/>
  </r>
  <r>
    <n v="2135"/>
    <x v="30"/>
    <x v="8"/>
    <x v="2"/>
    <n v="0.49265046296296294"/>
    <s v="Shibor_3M"/>
    <n v="3.45"/>
    <n v="3.5"/>
    <n v="0"/>
    <d v="2012-07-14T00:00:00"/>
    <d v="2013-01-14T00:00:00"/>
    <x v="108"/>
  </r>
  <r>
    <n v="2136"/>
    <x v="30"/>
    <x v="7"/>
    <x v="2"/>
    <n v="0.49265046296296294"/>
    <s v="Shibor_3M"/>
    <n v="2.75"/>
    <n v="2.83"/>
    <n v="0"/>
    <d v="2012-07-14T00:00:00"/>
    <d v="2019-07-14T00:00:00"/>
    <x v="153"/>
  </r>
  <r>
    <n v="2137"/>
    <x v="30"/>
    <x v="2"/>
    <x v="2"/>
    <n v="0.49265046296296294"/>
    <s v="Shibor_3M"/>
    <n v="2.78"/>
    <n v="2.85"/>
    <n v="0"/>
    <d v="2012-07-14T00:00:00"/>
    <d v="2016-07-14T00:00:00"/>
    <x v="155"/>
  </r>
  <r>
    <n v="2138"/>
    <x v="30"/>
    <x v="7"/>
    <x v="2"/>
    <n v="0.49743055555555554"/>
    <s v="Shibor_3M"/>
    <n v="2.75"/>
    <n v="2.83"/>
    <n v="0"/>
    <d v="2012-07-14T00:00:00"/>
    <d v="2019-07-14T00:00:00"/>
    <x v="153"/>
  </r>
  <r>
    <n v="2139"/>
    <x v="30"/>
    <x v="2"/>
    <x v="13"/>
    <n v="0.60837962962962966"/>
    <s v="Shibor_3M"/>
    <n v="2.8"/>
    <n v="2.91"/>
    <n v="0"/>
    <d v="2012-07-14T00:00:00"/>
    <d v="2016-07-14T00:00:00"/>
    <x v="158"/>
  </r>
  <r>
    <n v="2140"/>
    <x v="30"/>
    <x v="8"/>
    <x v="2"/>
    <n v="0.49746527777777777"/>
    <s v="Shibor_3M"/>
    <n v="3.45"/>
    <n v="3.5"/>
    <n v="0"/>
    <d v="2012-07-14T00:00:00"/>
    <d v="2013-01-14T00:00:00"/>
    <x v="108"/>
  </r>
  <r>
    <n v="2141"/>
    <x v="30"/>
    <x v="7"/>
    <x v="13"/>
    <n v="0.60837962962962966"/>
    <s v="Shibor_3M"/>
    <n v="2.88"/>
    <n v="2.97"/>
    <n v="0"/>
    <d v="2012-07-14T00:00:00"/>
    <d v="2019-07-14T00:00:00"/>
    <x v="140"/>
  </r>
  <r>
    <n v="2142"/>
    <x v="30"/>
    <x v="5"/>
    <x v="13"/>
    <n v="0.60837962962962966"/>
    <s v="Shibor_3M"/>
    <n v="3.24"/>
    <n v="3.31"/>
    <n v="0"/>
    <d v="2012-07-14T00:00:00"/>
    <d v="2013-04-14T00:00:00"/>
    <x v="156"/>
  </r>
  <r>
    <n v="2143"/>
    <x v="30"/>
    <x v="4"/>
    <x v="13"/>
    <n v="0.60837962962962966"/>
    <s v="Shibor_3M"/>
    <n v="2.84"/>
    <n v="2.91"/>
    <n v="0"/>
    <d v="2012-07-14T00:00:00"/>
    <d v="2014-07-14T00:00:00"/>
    <x v="157"/>
  </r>
  <r>
    <n v="2144"/>
    <x v="30"/>
    <x v="11"/>
    <x v="2"/>
    <n v="0.49746527777777777"/>
    <s v="Shibor_3M"/>
    <n v="2.78"/>
    <n v="2.85"/>
    <n v="0"/>
    <d v="2012-07-14T00:00:00"/>
    <d v="2017-07-14T00:00:00"/>
    <x v="155"/>
  </r>
  <r>
    <n v="2145"/>
    <x v="30"/>
    <x v="0"/>
    <x v="2"/>
    <n v="0.49745370370370368"/>
    <s v="Shibor_3M"/>
    <n v="2.78"/>
    <n v="2.85"/>
    <n v="0"/>
    <d v="2012-07-14T00:00:00"/>
    <d v="2015-07-14T00:00:00"/>
    <x v="155"/>
  </r>
  <r>
    <n v="2146"/>
    <x v="30"/>
    <x v="5"/>
    <x v="2"/>
    <n v="0.49743055555555554"/>
    <s v="Shibor_3M"/>
    <n v="3.2"/>
    <n v="3.28"/>
    <n v="0"/>
    <d v="2012-07-14T00:00:00"/>
    <d v="2013-04-14T00:00:00"/>
    <x v="10"/>
  </r>
  <r>
    <n v="2147"/>
    <x v="30"/>
    <x v="1"/>
    <x v="2"/>
    <n v="0.49745370370370368"/>
    <s v="Shibor_3M"/>
    <n v="3.08"/>
    <n v="3.15"/>
    <n v="0"/>
    <d v="2012-07-14T00:00:00"/>
    <d v="2013-07-14T00:00:00"/>
    <x v="84"/>
  </r>
  <r>
    <n v="2148"/>
    <x v="30"/>
    <x v="4"/>
    <x v="2"/>
    <n v="0.49746527777777777"/>
    <s v="Shibor_3M"/>
    <n v="2.8"/>
    <n v="2.9"/>
    <n v="0"/>
    <d v="2012-07-14T00:00:00"/>
    <d v="2014-07-14T00:00:00"/>
    <x v="154"/>
  </r>
  <r>
    <n v="2149"/>
    <x v="30"/>
    <x v="6"/>
    <x v="2"/>
    <n v="0.49745370370370368"/>
    <s v="Shibor_3M"/>
    <n v="2.75"/>
    <n v="2.83"/>
    <n v="0"/>
    <d v="2012-07-14T00:00:00"/>
    <d v="2022-07-14T00:00:00"/>
    <x v="153"/>
  </r>
  <r>
    <n v="2150"/>
    <x v="30"/>
    <x v="2"/>
    <x v="2"/>
    <n v="0.48956018518518518"/>
    <s v="Shibor_3M"/>
    <n v="2.78"/>
    <n v="2.85"/>
    <n v="0"/>
    <d v="2012-07-14T00:00:00"/>
    <d v="2016-07-14T00:00:00"/>
    <x v="155"/>
  </r>
  <r>
    <n v="2151"/>
    <x v="30"/>
    <x v="5"/>
    <x v="1"/>
    <n v="0.48258101851851848"/>
    <s v="Shibor_3M"/>
    <n v="3.29"/>
    <n v="3.35"/>
    <n v="0"/>
    <d v="2012-07-14T00:00:00"/>
    <d v="2013-04-14T00:00:00"/>
    <x v="24"/>
  </r>
  <r>
    <n v="2152"/>
    <x v="30"/>
    <x v="11"/>
    <x v="1"/>
    <n v="0.48258101851851848"/>
    <s v="Shibor_3M"/>
    <n v="2.85"/>
    <n v="2.91"/>
    <n v="0"/>
    <d v="2012-07-14T00:00:00"/>
    <d v="2017-07-14T00:00:00"/>
    <x v="144"/>
  </r>
  <r>
    <n v="2153"/>
    <x v="30"/>
    <x v="4"/>
    <x v="1"/>
    <n v="0.48258101851851848"/>
    <s v="Shibor_3M"/>
    <n v="2.89"/>
    <n v="2.95"/>
    <n v="0"/>
    <d v="2012-07-14T00:00:00"/>
    <d v="2014-07-14T00:00:00"/>
    <x v="141"/>
  </r>
  <r>
    <n v="2154"/>
    <x v="30"/>
    <x v="2"/>
    <x v="3"/>
    <n v="0.48873842592592592"/>
    <s v="Shibor_3M"/>
    <n v="2.83"/>
    <n v="2.9"/>
    <n v="0"/>
    <d v="2012-07-14T00:00:00"/>
    <d v="2016-07-14T00:00:00"/>
    <x v="159"/>
  </r>
  <r>
    <n v="2155"/>
    <x v="30"/>
    <x v="8"/>
    <x v="3"/>
    <n v="0.48872685185185188"/>
    <s v="Shibor_3M"/>
    <n v="3.42"/>
    <n v="3.5"/>
    <n v="0"/>
    <d v="2012-07-14T00:00:00"/>
    <d v="2013-01-14T00:00:00"/>
    <x v="46"/>
  </r>
  <r>
    <n v="2156"/>
    <x v="30"/>
    <x v="7"/>
    <x v="1"/>
    <n v="0.48258101851851848"/>
    <s v="Shibor_3M"/>
    <n v="2.91"/>
    <n v="2.97"/>
    <n v="0"/>
    <d v="2012-07-14T00:00:00"/>
    <d v="2019-07-14T00:00:00"/>
    <x v="131"/>
  </r>
  <r>
    <n v="2157"/>
    <x v="30"/>
    <x v="2"/>
    <x v="1"/>
    <n v="0.48258101851851848"/>
    <s v="Shibor_3M"/>
    <n v="2.85"/>
    <n v="2.91"/>
    <n v="0"/>
    <d v="2012-07-14T00:00:00"/>
    <d v="2016-07-14T00:00:00"/>
    <x v="144"/>
  </r>
  <r>
    <n v="2158"/>
    <x v="30"/>
    <x v="0"/>
    <x v="1"/>
    <n v="0.48258101851851848"/>
    <s v="Shibor_3M"/>
    <n v="2.85"/>
    <n v="2.91"/>
    <n v="0"/>
    <d v="2012-07-14T00:00:00"/>
    <d v="2015-07-14T00:00:00"/>
    <x v="144"/>
  </r>
  <r>
    <n v="2159"/>
    <x v="30"/>
    <x v="6"/>
    <x v="1"/>
    <n v="0.48258101851851848"/>
    <s v="Shibor_3M"/>
    <n v="3.1"/>
    <n v="3.16"/>
    <n v="0"/>
    <d v="2012-07-14T00:00:00"/>
    <d v="2022-07-14T00:00:00"/>
    <x v="78"/>
  </r>
  <r>
    <n v="2160"/>
    <x v="30"/>
    <x v="8"/>
    <x v="1"/>
    <n v="0.48258101851851848"/>
    <s v="Shibor_3M"/>
    <n v="3.49"/>
    <n v="3.55"/>
    <n v="0"/>
    <d v="2012-07-14T00:00:00"/>
    <d v="2013-01-14T00:00:00"/>
    <x v="8"/>
  </r>
  <r>
    <n v="2161"/>
    <x v="30"/>
    <x v="1"/>
    <x v="1"/>
    <n v="0.48258101851851848"/>
    <s v="Shibor_3M"/>
    <n v="3.14"/>
    <n v="3.2"/>
    <n v="0"/>
    <d v="2012-07-14T00:00:00"/>
    <d v="2013-07-14T00:00:00"/>
    <x v="56"/>
  </r>
  <r>
    <n v="2162"/>
    <x v="30"/>
    <x v="1"/>
    <x v="3"/>
    <n v="0.48873842592592592"/>
    <s v="Shibor_3M"/>
    <n v="3.09"/>
    <n v="3.16"/>
    <n v="0"/>
    <d v="2012-07-14T00:00:00"/>
    <d v="2013-07-14T00:00:00"/>
    <x v="80"/>
  </r>
  <r>
    <n v="2163"/>
    <x v="30"/>
    <x v="6"/>
    <x v="2"/>
    <n v="0.48956018518518518"/>
    <s v="Shibor_3M"/>
    <n v="2.75"/>
    <n v="2.83"/>
    <n v="0"/>
    <d v="2012-07-14T00:00:00"/>
    <d v="2022-07-14T00:00:00"/>
    <x v="153"/>
  </r>
  <r>
    <n v="2164"/>
    <x v="30"/>
    <x v="7"/>
    <x v="2"/>
    <n v="0.48953703703703705"/>
    <s v="Shibor_3M"/>
    <n v="2.75"/>
    <n v="2.83"/>
    <n v="0"/>
    <d v="2012-07-14T00:00:00"/>
    <d v="2019-07-14T00:00:00"/>
    <x v="153"/>
  </r>
  <r>
    <n v="2165"/>
    <x v="30"/>
    <x v="11"/>
    <x v="2"/>
    <n v="0.48956018518518518"/>
    <s v="Shibor_3M"/>
    <n v="2.78"/>
    <n v="2.85"/>
    <n v="0"/>
    <d v="2012-07-14T00:00:00"/>
    <d v="2017-07-14T00:00:00"/>
    <x v="155"/>
  </r>
  <r>
    <n v="2166"/>
    <x v="30"/>
    <x v="0"/>
    <x v="2"/>
    <n v="0.48956018518518518"/>
    <s v="Shibor_3M"/>
    <n v="2.78"/>
    <n v="2.85"/>
    <n v="0"/>
    <d v="2012-07-14T00:00:00"/>
    <d v="2015-07-14T00:00:00"/>
    <x v="155"/>
  </r>
  <r>
    <n v="2167"/>
    <x v="30"/>
    <x v="5"/>
    <x v="2"/>
    <n v="0.48956018518518518"/>
    <s v="Shibor_3M"/>
    <n v="3.2"/>
    <n v="3.28"/>
    <n v="0"/>
    <d v="2012-07-14T00:00:00"/>
    <d v="2013-04-14T00:00:00"/>
    <x v="10"/>
  </r>
  <r>
    <n v="2168"/>
    <x v="30"/>
    <x v="8"/>
    <x v="2"/>
    <n v="0.48953703703703705"/>
    <s v="Shibor_3M"/>
    <n v="3.45"/>
    <n v="3.5"/>
    <n v="0"/>
    <d v="2012-07-14T00:00:00"/>
    <d v="2013-01-14T00:00:00"/>
    <x v="108"/>
  </r>
  <r>
    <n v="2169"/>
    <x v="30"/>
    <x v="5"/>
    <x v="3"/>
    <n v="0.48873842592592592"/>
    <s v="Shibor_3M"/>
    <n v="3.21"/>
    <n v="3.28"/>
    <n v="0"/>
    <d v="2012-07-14T00:00:00"/>
    <d v="2013-04-14T00:00:00"/>
    <x v="75"/>
  </r>
  <r>
    <n v="2170"/>
    <x v="30"/>
    <x v="11"/>
    <x v="3"/>
    <n v="0.48873842592592592"/>
    <s v="Shibor_3M"/>
    <n v="2.85"/>
    <n v="2.9"/>
    <n v="0"/>
    <d v="2012-07-14T00:00:00"/>
    <d v="2017-07-14T00:00:00"/>
    <x v="157"/>
  </r>
  <r>
    <n v="2171"/>
    <x v="30"/>
    <x v="4"/>
    <x v="3"/>
    <n v="0.48873842592592592"/>
    <s v="Shibor_3M"/>
    <n v="2.83"/>
    <n v="2.91"/>
    <n v="0"/>
    <d v="2012-07-14T00:00:00"/>
    <d v="2014-07-14T00:00:00"/>
    <x v="160"/>
  </r>
  <r>
    <n v="2172"/>
    <x v="30"/>
    <x v="4"/>
    <x v="2"/>
    <n v="0.48953703703703705"/>
    <s v="Shibor_3M"/>
    <n v="2.8"/>
    <n v="2.9"/>
    <n v="0"/>
    <d v="2012-07-14T00:00:00"/>
    <d v="2014-07-14T00:00:00"/>
    <x v="154"/>
  </r>
  <r>
    <n v="2173"/>
    <x v="30"/>
    <x v="0"/>
    <x v="3"/>
    <n v="0.48873842592592592"/>
    <s v="Shibor_3M"/>
    <n v="2.83"/>
    <n v="2.9"/>
    <n v="0"/>
    <d v="2012-07-14T00:00:00"/>
    <d v="2015-07-14T00:00:00"/>
    <x v="159"/>
  </r>
  <r>
    <n v="2174"/>
    <x v="30"/>
    <x v="0"/>
    <x v="13"/>
    <n v="0.6083912037037037"/>
    <s v="Shibor_3M"/>
    <n v="2.83"/>
    <n v="2.92"/>
    <n v="0"/>
    <d v="2012-07-14T00:00:00"/>
    <d v="2015-07-14T00:00:00"/>
    <x v="157"/>
  </r>
  <r>
    <n v="2175"/>
    <x v="30"/>
    <x v="8"/>
    <x v="6"/>
    <n v="0.67957175925925928"/>
    <s v="Shibor_3M"/>
    <n v="3.45"/>
    <n v="3.55"/>
    <n v="0"/>
    <d v="2012-07-14T00:00:00"/>
    <d v="2013-01-14T00:00:00"/>
    <x v="13"/>
  </r>
  <r>
    <n v="2176"/>
    <x v="30"/>
    <x v="7"/>
    <x v="6"/>
    <n v="0.67957175925925928"/>
    <s v="Shibor_3M"/>
    <n v="2.89"/>
    <n v="2.99"/>
    <n v="0"/>
    <d v="2012-07-14T00:00:00"/>
    <d v="2019-07-14T00:00:00"/>
    <x v="131"/>
  </r>
  <r>
    <n v="2177"/>
    <x v="30"/>
    <x v="11"/>
    <x v="6"/>
    <n v="0.67957175925925928"/>
    <s v="Shibor_3M"/>
    <n v="2.81"/>
    <n v="2.91"/>
    <n v="0"/>
    <d v="2012-07-14T00:00:00"/>
    <d v="2017-07-14T00:00:00"/>
    <x v="161"/>
  </r>
  <r>
    <n v="2178"/>
    <x v="30"/>
    <x v="0"/>
    <x v="6"/>
    <n v="0.67958333333333332"/>
    <s v="Shibor_3M"/>
    <n v="2.81"/>
    <n v="2.91"/>
    <n v="0"/>
    <d v="2012-07-14T00:00:00"/>
    <d v="2015-07-14T00:00:00"/>
    <x v="161"/>
  </r>
  <r>
    <n v="2179"/>
    <x v="30"/>
    <x v="2"/>
    <x v="6"/>
    <n v="0.67958333333333332"/>
    <s v="Shibor_3M"/>
    <n v="2.81"/>
    <n v="2.91"/>
    <n v="0"/>
    <d v="2012-07-14T00:00:00"/>
    <d v="2016-07-14T00:00:00"/>
    <x v="161"/>
  </r>
  <r>
    <n v="2180"/>
    <x v="30"/>
    <x v="5"/>
    <x v="6"/>
    <n v="0.67957175925925928"/>
    <s v="Shibor_3M"/>
    <n v="3.23"/>
    <n v="3.33"/>
    <n v="0"/>
    <d v="2012-07-14T00:00:00"/>
    <d v="2013-04-14T00:00:00"/>
    <x v="9"/>
  </r>
  <r>
    <n v="2181"/>
    <x v="30"/>
    <x v="8"/>
    <x v="3"/>
    <n v="0.6743865740740741"/>
    <s v="Shibor_3M"/>
    <n v="3.45"/>
    <n v="3.5"/>
    <n v="0"/>
    <d v="2012-07-14T00:00:00"/>
    <d v="2013-01-14T00:00:00"/>
    <x v="108"/>
  </r>
  <r>
    <n v="2182"/>
    <x v="30"/>
    <x v="4"/>
    <x v="3"/>
    <n v="0.6743865740740741"/>
    <s v="Shibor_3M"/>
    <n v="2.83"/>
    <n v="2.93"/>
    <n v="0"/>
    <d v="2012-07-14T00:00:00"/>
    <d v="2014-07-14T00:00:00"/>
    <x v="144"/>
  </r>
  <r>
    <n v="2183"/>
    <x v="30"/>
    <x v="1"/>
    <x v="3"/>
    <n v="0.67439814814814814"/>
    <s v="Shibor_3M"/>
    <n v="3.09"/>
    <n v="3.14"/>
    <n v="0"/>
    <d v="2012-07-14T00:00:00"/>
    <d v="2013-07-14T00:00:00"/>
    <x v="84"/>
  </r>
  <r>
    <n v="2184"/>
    <x v="30"/>
    <x v="2"/>
    <x v="3"/>
    <n v="0.67439814814814814"/>
    <s v="Shibor_3M"/>
    <n v="2.83"/>
    <n v="2.92"/>
    <n v="0"/>
    <d v="2012-07-14T00:00:00"/>
    <d v="2016-07-14T00:00:00"/>
    <x v="157"/>
  </r>
  <r>
    <n v="2185"/>
    <x v="30"/>
    <x v="0"/>
    <x v="3"/>
    <n v="0.67439814814814814"/>
    <s v="Shibor_3M"/>
    <n v="2.83"/>
    <n v="2.93"/>
    <n v="0"/>
    <d v="2012-07-14T00:00:00"/>
    <d v="2015-07-14T00:00:00"/>
    <x v="144"/>
  </r>
  <r>
    <n v="2186"/>
    <x v="30"/>
    <x v="4"/>
    <x v="6"/>
    <n v="0.67958333333333332"/>
    <s v="Shibor_3M"/>
    <n v="2.82"/>
    <n v="2.92"/>
    <n v="0"/>
    <d v="2012-07-14T00:00:00"/>
    <d v="2014-07-14T00:00:00"/>
    <x v="160"/>
  </r>
  <r>
    <n v="2187"/>
    <x v="30"/>
    <x v="7"/>
    <x v="1"/>
    <n v="0.68350694444444438"/>
    <s v="Shibor_3M"/>
    <n v="2.91"/>
    <n v="2.97"/>
    <n v="0"/>
    <d v="2012-07-14T00:00:00"/>
    <d v="2019-07-14T00:00:00"/>
    <x v="131"/>
  </r>
  <r>
    <n v="2188"/>
    <x v="30"/>
    <x v="8"/>
    <x v="1"/>
    <n v="0.68350694444444438"/>
    <s v="Shibor_3M"/>
    <n v="3.44"/>
    <n v="3.5"/>
    <n v="0"/>
    <d v="2012-07-14T00:00:00"/>
    <d v="2013-01-14T00:00:00"/>
    <x v="4"/>
  </r>
  <r>
    <n v="2189"/>
    <x v="30"/>
    <x v="11"/>
    <x v="1"/>
    <n v="0.68350694444444438"/>
    <s v="Shibor_3M"/>
    <n v="2.84"/>
    <n v="2.9"/>
    <n v="0"/>
    <d v="2012-07-14T00:00:00"/>
    <d v="2017-07-14T00:00:00"/>
    <x v="160"/>
  </r>
  <r>
    <n v="2190"/>
    <x v="30"/>
    <x v="4"/>
    <x v="1"/>
    <n v="0.68350694444444438"/>
    <s v="Shibor_3M"/>
    <n v="2.86"/>
    <n v="2.92"/>
    <n v="0"/>
    <d v="2012-07-14T00:00:00"/>
    <d v="2014-07-14T00:00:00"/>
    <x v="162"/>
  </r>
  <r>
    <n v="2191"/>
    <x v="30"/>
    <x v="5"/>
    <x v="1"/>
    <n v="0.68350694444444438"/>
    <s v="Shibor_3M"/>
    <n v="3.23"/>
    <n v="3.29"/>
    <n v="0"/>
    <d v="2012-07-14T00:00:00"/>
    <d v="2013-04-14T00:00:00"/>
    <x v="16"/>
  </r>
  <r>
    <n v="2192"/>
    <x v="30"/>
    <x v="1"/>
    <x v="1"/>
    <n v="0.68350694444444438"/>
    <s v="Shibor_3M"/>
    <n v="3.1"/>
    <n v="3.16"/>
    <n v="0"/>
    <d v="2012-07-14T00:00:00"/>
    <d v="2013-07-14T00:00:00"/>
    <x v="78"/>
  </r>
  <r>
    <n v="2193"/>
    <x v="30"/>
    <x v="6"/>
    <x v="6"/>
    <n v="0.67958333333333332"/>
    <s v="Shibor_3M"/>
    <n v="2.95"/>
    <n v="3.05"/>
    <n v="0"/>
    <d v="2012-07-14T00:00:00"/>
    <d v="2022-07-14T00:00:00"/>
    <x v="99"/>
  </r>
  <r>
    <n v="2194"/>
    <x v="30"/>
    <x v="1"/>
    <x v="6"/>
    <n v="0.67958333333333332"/>
    <s v="Shibor_3M"/>
    <n v="3.08"/>
    <n v="3.18"/>
    <n v="0"/>
    <d v="2012-07-14T00:00:00"/>
    <d v="2013-07-14T00:00:00"/>
    <x v="78"/>
  </r>
  <r>
    <n v="2195"/>
    <x v="30"/>
    <x v="0"/>
    <x v="1"/>
    <n v="0.68350694444444438"/>
    <s v="Shibor_3M"/>
    <n v="2.85"/>
    <n v="2.91"/>
    <n v="0"/>
    <d v="2012-07-14T00:00:00"/>
    <d v="2015-07-14T00:00:00"/>
    <x v="144"/>
  </r>
  <r>
    <n v="2196"/>
    <x v="30"/>
    <x v="6"/>
    <x v="1"/>
    <n v="0.68350694444444438"/>
    <s v="Shibor_3M"/>
    <n v="2.97"/>
    <n v="3.03"/>
    <n v="0"/>
    <d v="2012-07-14T00:00:00"/>
    <d v="2022-07-14T00:00:00"/>
    <x v="99"/>
  </r>
  <r>
    <n v="2197"/>
    <x v="30"/>
    <x v="2"/>
    <x v="1"/>
    <n v="0.68350694444444438"/>
    <s v="Shibor_3M"/>
    <n v="2.84"/>
    <n v="2.9"/>
    <n v="0"/>
    <d v="2012-07-14T00:00:00"/>
    <d v="2016-07-14T00:00:00"/>
    <x v="160"/>
  </r>
  <r>
    <n v="2198"/>
    <x v="30"/>
    <x v="5"/>
    <x v="3"/>
    <n v="0.6743865740740741"/>
    <s v="Shibor_3M"/>
    <n v="3.23"/>
    <n v="3.29"/>
    <n v="0"/>
    <d v="2012-07-14T00:00:00"/>
    <d v="2013-04-14T00:00:00"/>
    <x v="16"/>
  </r>
  <r>
    <n v="2199"/>
    <x v="30"/>
    <x v="4"/>
    <x v="14"/>
    <n v="0.66629629629629628"/>
    <s v="Shibor_3M"/>
    <n v="2.92"/>
    <n v="2.96"/>
    <n v="0"/>
    <d v="2012-07-14T00:00:00"/>
    <d v="2014-07-14T00:00:00"/>
    <x v="149"/>
  </r>
  <r>
    <n v="2200"/>
    <x v="30"/>
    <x v="1"/>
    <x v="14"/>
    <n v="0.66629629629629628"/>
    <s v="Shibor_3M"/>
    <n v="3.15"/>
    <n v="3.19"/>
    <n v="0"/>
    <d v="2012-07-14T00:00:00"/>
    <d v="2013-07-14T00:00:00"/>
    <x v="56"/>
  </r>
  <r>
    <n v="2201"/>
    <x v="30"/>
    <x v="0"/>
    <x v="14"/>
    <n v="0.66629629629629628"/>
    <s v="Shibor_3M"/>
    <n v="2.88"/>
    <n v="2.92"/>
    <n v="0"/>
    <d v="2012-07-14T00:00:00"/>
    <d v="2015-07-14T00:00:00"/>
    <x v="163"/>
  </r>
  <r>
    <n v="2202"/>
    <x v="30"/>
    <x v="11"/>
    <x v="14"/>
    <n v="0.66629629629629628"/>
    <s v="Shibor_3M"/>
    <n v="2.88"/>
    <n v="2.92"/>
    <n v="0"/>
    <d v="2012-07-14T00:00:00"/>
    <d v="2017-07-14T00:00:00"/>
    <x v="163"/>
  </r>
  <r>
    <n v="2203"/>
    <x v="30"/>
    <x v="2"/>
    <x v="14"/>
    <n v="0.66629629629629628"/>
    <s v="Shibor_3M"/>
    <n v="2.88"/>
    <n v="2.92"/>
    <n v="0"/>
    <d v="2012-07-14T00:00:00"/>
    <d v="2016-07-14T00:00:00"/>
    <x v="163"/>
  </r>
  <r>
    <n v="2204"/>
    <x v="30"/>
    <x v="5"/>
    <x v="14"/>
    <n v="0.66629629629629628"/>
    <s v="Shibor_3M"/>
    <n v="3.3"/>
    <n v="3.34"/>
    <n v="0"/>
    <d v="2012-07-14T00:00:00"/>
    <d v="2013-04-14T00:00:00"/>
    <x v="148"/>
  </r>
  <r>
    <n v="2205"/>
    <x v="30"/>
    <x v="6"/>
    <x v="13"/>
    <n v="0.6083912037037037"/>
    <s v="Shibor_3M"/>
    <n v="2.93"/>
    <n v="3.05"/>
    <n v="0"/>
    <d v="2012-07-14T00:00:00"/>
    <d v="2022-07-14T00:00:00"/>
    <x v="114"/>
  </r>
  <r>
    <n v="2206"/>
    <x v="30"/>
    <x v="1"/>
    <x v="13"/>
    <n v="0.6083912037037037"/>
    <s v="Shibor_3M"/>
    <n v="3.11"/>
    <n v="3.18"/>
    <n v="0"/>
    <d v="2012-07-14T00:00:00"/>
    <d v="2013-07-14T00:00:00"/>
    <x v="92"/>
  </r>
  <r>
    <n v="2207"/>
    <x v="30"/>
    <x v="11"/>
    <x v="13"/>
    <n v="0.6083912037037037"/>
    <s v="Shibor_3M"/>
    <n v="2.83"/>
    <n v="2.91"/>
    <n v="0"/>
    <d v="2012-07-14T00:00:00"/>
    <d v="2017-07-14T00:00:00"/>
    <x v="160"/>
  </r>
  <r>
    <n v="2208"/>
    <x v="30"/>
    <x v="8"/>
    <x v="14"/>
    <n v="0.66629629629629628"/>
    <s v="Shibor_3M"/>
    <n v="3.5"/>
    <n v="3.54"/>
    <n v="0"/>
    <d v="2012-07-14T00:00:00"/>
    <d v="2013-01-14T00:00:00"/>
    <x v="8"/>
  </r>
  <r>
    <n v="2209"/>
    <x v="30"/>
    <x v="8"/>
    <x v="13"/>
    <n v="0.6083912037037037"/>
    <s v="Shibor_3M"/>
    <n v="3.45"/>
    <n v="3.53"/>
    <n v="0"/>
    <d v="2012-07-14T00:00:00"/>
    <d v="2013-01-14T00:00:00"/>
    <x v="38"/>
  </r>
  <r>
    <n v="2210"/>
    <x v="30"/>
    <x v="7"/>
    <x v="14"/>
    <n v="0.66629629629629628"/>
    <s v="Shibor_3M"/>
    <n v="2.94"/>
    <n v="2.98"/>
    <n v="0"/>
    <d v="2012-07-14T00:00:00"/>
    <d v="2019-07-14T00:00:00"/>
    <x v="117"/>
  </r>
  <r>
    <n v="2211"/>
    <x v="30"/>
    <x v="5"/>
    <x v="2"/>
    <n v="0.67396990740740748"/>
    <s v="Shibor_3M"/>
    <n v="3.2"/>
    <n v="3.28"/>
    <n v="0"/>
    <d v="2012-07-14T00:00:00"/>
    <d v="2013-04-14T00:00:00"/>
    <x v="10"/>
  </r>
  <r>
    <n v="2212"/>
    <x v="30"/>
    <x v="8"/>
    <x v="2"/>
    <n v="0.67396990740740748"/>
    <s v="Shibor_3M"/>
    <n v="3.45"/>
    <n v="3.5"/>
    <n v="0"/>
    <d v="2012-07-14T00:00:00"/>
    <d v="2013-01-14T00:00:00"/>
    <x v="108"/>
  </r>
  <r>
    <n v="2213"/>
    <x v="30"/>
    <x v="0"/>
    <x v="2"/>
    <n v="0.67396990740740748"/>
    <s v="Shibor_3M"/>
    <n v="2.78"/>
    <n v="2.85"/>
    <n v="0"/>
    <d v="2012-07-14T00:00:00"/>
    <d v="2015-07-14T00:00:00"/>
    <x v="155"/>
  </r>
  <r>
    <n v="2214"/>
    <x v="30"/>
    <x v="11"/>
    <x v="3"/>
    <n v="0.6743865740740741"/>
    <s v="Shibor_3M"/>
    <n v="2.85"/>
    <n v="2.91"/>
    <n v="0"/>
    <d v="2012-07-14T00:00:00"/>
    <d v="2017-07-14T00:00:00"/>
    <x v="144"/>
  </r>
  <r>
    <n v="2215"/>
    <x v="30"/>
    <x v="4"/>
    <x v="2"/>
    <n v="0.6739814814814814"/>
    <s v="Shibor_3M"/>
    <n v="2.8"/>
    <n v="2.9"/>
    <n v="0"/>
    <d v="2012-07-14T00:00:00"/>
    <d v="2014-07-14T00:00:00"/>
    <x v="154"/>
  </r>
  <r>
    <n v="2216"/>
    <x v="30"/>
    <x v="11"/>
    <x v="2"/>
    <n v="0.67396990740740748"/>
    <s v="Shibor_3M"/>
    <n v="2.78"/>
    <n v="2.85"/>
    <n v="0"/>
    <d v="2012-07-14T00:00:00"/>
    <d v="2017-07-14T00:00:00"/>
    <x v="155"/>
  </r>
  <r>
    <n v="2217"/>
    <x v="30"/>
    <x v="2"/>
    <x v="2"/>
    <n v="0.67394675925925929"/>
    <s v="Shibor_3M"/>
    <n v="2.78"/>
    <n v="2.85"/>
    <n v="0"/>
    <d v="2012-07-14T00:00:00"/>
    <d v="2016-07-14T00:00:00"/>
    <x v="155"/>
  </r>
  <r>
    <n v="2218"/>
    <x v="30"/>
    <x v="6"/>
    <x v="14"/>
    <n v="0.66629629629629628"/>
    <s v="Shibor_3M"/>
    <n v="3"/>
    <n v="3.04"/>
    <n v="0"/>
    <d v="2012-07-14T00:00:00"/>
    <d v="2022-07-14T00:00:00"/>
    <x v="116"/>
  </r>
  <r>
    <n v="2219"/>
    <x v="30"/>
    <x v="7"/>
    <x v="2"/>
    <n v="0.67394675925925929"/>
    <s v="Shibor_3M"/>
    <n v="2.75"/>
    <n v="2.83"/>
    <n v="0"/>
    <d v="2012-07-14T00:00:00"/>
    <d v="2019-07-14T00:00:00"/>
    <x v="153"/>
  </r>
  <r>
    <n v="2220"/>
    <x v="30"/>
    <x v="6"/>
    <x v="2"/>
    <n v="0.67396990740740748"/>
    <s v="Shibor_3M"/>
    <n v="2.75"/>
    <n v="2.83"/>
    <n v="0"/>
    <d v="2012-07-14T00:00:00"/>
    <d v="2022-07-14T00:00:00"/>
    <x v="153"/>
  </r>
  <r>
    <n v="2221"/>
    <x v="30"/>
    <x v="1"/>
    <x v="2"/>
    <n v="0.67396990740740748"/>
    <s v="Shibor_3M"/>
    <n v="3.08"/>
    <n v="3.15"/>
    <n v="0"/>
    <d v="2012-07-14T00:00:00"/>
    <d v="2013-07-14T00:00:00"/>
    <x v="84"/>
  </r>
  <r>
    <n v="2222"/>
    <x v="31"/>
    <x v="5"/>
    <x v="6"/>
    <n v="0.49122685185185189"/>
    <s v="Shibor_3M"/>
    <n v="3.29"/>
    <n v="3.39"/>
    <n v="0"/>
    <d v="2012-07-13T00:00:00"/>
    <d v="2013-04-13T00:00:00"/>
    <x v="5"/>
  </r>
  <r>
    <n v="2223"/>
    <x v="31"/>
    <x v="0"/>
    <x v="3"/>
    <n v="0.48653935185185188"/>
    <s v="Shibor_3M"/>
    <n v="2.89"/>
    <n v="2.96"/>
    <n v="0"/>
    <d v="2012-07-13T00:00:00"/>
    <d v="2015-07-13T00:00:00"/>
    <x v="140"/>
  </r>
  <r>
    <n v="2224"/>
    <x v="31"/>
    <x v="8"/>
    <x v="6"/>
    <n v="0.49122685185185189"/>
    <s v="Shibor_3M"/>
    <n v="3.5"/>
    <n v="3.6"/>
    <n v="0"/>
    <d v="2012-07-13T00:00:00"/>
    <d v="2013-01-13T00:00:00"/>
    <x v="7"/>
  </r>
  <r>
    <n v="2225"/>
    <x v="31"/>
    <x v="7"/>
    <x v="6"/>
    <n v="0.49122685185185189"/>
    <s v="Shibor_3M"/>
    <n v="3"/>
    <n v="3.1"/>
    <n v="0"/>
    <d v="2012-07-13T00:00:00"/>
    <d v="2019-07-13T00:00:00"/>
    <x v="81"/>
  </r>
  <r>
    <n v="2226"/>
    <x v="31"/>
    <x v="4"/>
    <x v="3"/>
    <n v="0.48653935185185188"/>
    <s v="Shibor_3M"/>
    <n v="2.91"/>
    <n v="2.98"/>
    <n v="0"/>
    <d v="2012-07-13T00:00:00"/>
    <d v="2014-07-13T00:00:00"/>
    <x v="125"/>
  </r>
  <r>
    <n v="2227"/>
    <x v="31"/>
    <x v="5"/>
    <x v="3"/>
    <n v="0.48652777777777773"/>
    <s v="Shibor_3M"/>
    <n v="3.26"/>
    <n v="3.36"/>
    <n v="0"/>
    <d v="2012-07-13T00:00:00"/>
    <d v="2013-04-13T00:00:00"/>
    <x v="6"/>
  </r>
  <r>
    <n v="2228"/>
    <x v="31"/>
    <x v="11"/>
    <x v="3"/>
    <n v="0.48652777777777773"/>
    <s v="Shibor_3M"/>
    <n v="2.92"/>
    <n v="2.97"/>
    <n v="0"/>
    <d v="2012-07-13T00:00:00"/>
    <d v="2017-07-13T00:00:00"/>
    <x v="125"/>
  </r>
  <r>
    <n v="2229"/>
    <x v="31"/>
    <x v="1"/>
    <x v="3"/>
    <n v="0.48653935185185188"/>
    <s v="Shibor_3M"/>
    <n v="3.12"/>
    <n v="3.2"/>
    <n v="0"/>
    <d v="2012-07-13T00:00:00"/>
    <d v="2013-07-13T00:00:00"/>
    <x v="71"/>
  </r>
  <r>
    <n v="2230"/>
    <x v="31"/>
    <x v="2"/>
    <x v="3"/>
    <n v="0.48653935185185188"/>
    <s v="Shibor_3M"/>
    <n v="2.88"/>
    <n v="2.98"/>
    <n v="0"/>
    <d v="2012-07-13T00:00:00"/>
    <d v="2016-07-13T00:00:00"/>
    <x v="137"/>
  </r>
  <r>
    <n v="2231"/>
    <x v="31"/>
    <x v="11"/>
    <x v="6"/>
    <n v="0.49123842592592593"/>
    <s v="Shibor_3M"/>
    <n v="2.9"/>
    <n v="3"/>
    <n v="0"/>
    <d v="2012-07-13T00:00:00"/>
    <d v="2017-07-13T00:00:00"/>
    <x v="122"/>
  </r>
  <r>
    <n v="2232"/>
    <x v="31"/>
    <x v="5"/>
    <x v="13"/>
    <n v="0.57446759259259261"/>
    <s v="Shibor_3M"/>
    <n v="3.29"/>
    <n v="3.35"/>
    <n v="0"/>
    <d v="2012-07-13T00:00:00"/>
    <d v="2013-04-13T00:00:00"/>
    <x v="24"/>
  </r>
  <r>
    <n v="2233"/>
    <x v="31"/>
    <x v="4"/>
    <x v="13"/>
    <n v="0.57446759259259261"/>
    <s v="Shibor_3M"/>
    <n v="2.93"/>
    <n v="3.01"/>
    <n v="0"/>
    <d v="2012-07-13T00:00:00"/>
    <d v="2014-07-13T00:00:00"/>
    <x v="105"/>
  </r>
  <r>
    <n v="2234"/>
    <x v="31"/>
    <x v="1"/>
    <x v="13"/>
    <n v="0.57446759259259261"/>
    <s v="Shibor_3M"/>
    <n v="3.14"/>
    <n v="3.22"/>
    <n v="0"/>
    <d v="2012-07-13T00:00:00"/>
    <d v="2013-07-13T00:00:00"/>
    <x v="127"/>
  </r>
  <r>
    <n v="2235"/>
    <x v="31"/>
    <x v="0"/>
    <x v="13"/>
    <n v="0.57446759259259261"/>
    <s v="Shibor_3M"/>
    <n v="2.91"/>
    <n v="2.99"/>
    <n v="0"/>
    <d v="2012-07-13T00:00:00"/>
    <d v="2015-07-13T00:00:00"/>
    <x v="122"/>
  </r>
  <r>
    <n v="2236"/>
    <x v="31"/>
    <x v="6"/>
    <x v="6"/>
    <n v="0.49123842592592593"/>
    <s v="Shibor_3M"/>
    <n v="3.05"/>
    <n v="3.15"/>
    <n v="0"/>
    <d v="2012-07-13T00:00:00"/>
    <d v="2022-07-13T00:00:00"/>
    <x v="64"/>
  </r>
  <r>
    <n v="2237"/>
    <x v="31"/>
    <x v="0"/>
    <x v="6"/>
    <n v="0.49123842592592593"/>
    <s v="Shibor_3M"/>
    <n v="2.9"/>
    <n v="3"/>
    <n v="0"/>
    <d v="2012-07-13T00:00:00"/>
    <d v="2015-07-13T00:00:00"/>
    <x v="122"/>
  </r>
  <r>
    <n v="2238"/>
    <x v="31"/>
    <x v="2"/>
    <x v="6"/>
    <n v="0.49123842592592593"/>
    <s v="Shibor_3M"/>
    <n v="2.9"/>
    <n v="3"/>
    <n v="0"/>
    <d v="2012-07-13T00:00:00"/>
    <d v="2016-07-13T00:00:00"/>
    <x v="122"/>
  </r>
  <r>
    <n v="2239"/>
    <x v="31"/>
    <x v="1"/>
    <x v="6"/>
    <n v="0.49123842592592593"/>
    <s v="Shibor_3M"/>
    <n v="3.13"/>
    <n v="3.23"/>
    <n v="0"/>
    <d v="2012-07-13T00:00:00"/>
    <d v="2013-07-13T00:00:00"/>
    <x v="49"/>
  </r>
  <r>
    <n v="2240"/>
    <x v="31"/>
    <x v="4"/>
    <x v="6"/>
    <n v="0.49123842592592593"/>
    <s v="Shibor_3M"/>
    <n v="2.91"/>
    <n v="3.01"/>
    <n v="0"/>
    <d v="2012-07-13T00:00:00"/>
    <d v="2014-07-13T00:00:00"/>
    <x v="117"/>
  </r>
  <r>
    <n v="2241"/>
    <x v="31"/>
    <x v="5"/>
    <x v="1"/>
    <n v="0.48145833333333332"/>
    <s v="Shibor_3M"/>
    <n v="3.3"/>
    <n v="3.36"/>
    <n v="0"/>
    <d v="2012-07-13T00:00:00"/>
    <d v="2013-04-13T00:00:00"/>
    <x v="41"/>
  </r>
  <r>
    <n v="2242"/>
    <x v="31"/>
    <x v="11"/>
    <x v="1"/>
    <n v="0.48145833333333332"/>
    <s v="Shibor_3M"/>
    <n v="2.94"/>
    <n v="3"/>
    <n v="0"/>
    <d v="2012-07-13T00:00:00"/>
    <d v="2017-07-13T00:00:00"/>
    <x v="105"/>
  </r>
  <r>
    <n v="2243"/>
    <x v="31"/>
    <x v="0"/>
    <x v="1"/>
    <n v="0.48145833333333332"/>
    <s v="Shibor_3M"/>
    <n v="2.94"/>
    <n v="3"/>
    <n v="0"/>
    <d v="2012-07-13T00:00:00"/>
    <d v="2015-07-13T00:00:00"/>
    <x v="105"/>
  </r>
  <r>
    <n v="2244"/>
    <x v="31"/>
    <x v="4"/>
    <x v="1"/>
    <n v="0.48145833333333332"/>
    <s v="Shibor_3M"/>
    <n v="2.96"/>
    <n v="3.02"/>
    <n v="0"/>
    <d v="2012-07-13T00:00:00"/>
    <d v="2014-07-13T00:00:00"/>
    <x v="114"/>
  </r>
  <r>
    <n v="2245"/>
    <x v="31"/>
    <x v="1"/>
    <x v="1"/>
    <n v="0.48145833333333332"/>
    <s v="Shibor_3M"/>
    <n v="3.16"/>
    <n v="3.22"/>
    <n v="0"/>
    <d v="2012-07-13T00:00:00"/>
    <d v="2013-07-13T00:00:00"/>
    <x v="55"/>
  </r>
  <r>
    <n v="2246"/>
    <x v="31"/>
    <x v="7"/>
    <x v="1"/>
    <n v="0.48144675925925928"/>
    <s v="Shibor_3M"/>
    <n v="3.01"/>
    <n v="3.07"/>
    <n v="0"/>
    <d v="2012-07-13T00:00:00"/>
    <d v="2019-07-13T00:00:00"/>
    <x v="91"/>
  </r>
  <r>
    <n v="2247"/>
    <x v="31"/>
    <x v="8"/>
    <x v="1"/>
    <n v="0.48144675925925928"/>
    <s v="Shibor_3M"/>
    <n v="3.51"/>
    <n v="3.57"/>
    <n v="0"/>
    <d v="2012-07-13T00:00:00"/>
    <d v="2013-01-13T00:00:00"/>
    <x v="61"/>
  </r>
  <r>
    <n v="2248"/>
    <x v="31"/>
    <x v="6"/>
    <x v="1"/>
    <n v="0.48145833333333332"/>
    <s v="Shibor_3M"/>
    <n v="3.06"/>
    <n v="3.12"/>
    <n v="0"/>
    <d v="2012-07-13T00:00:00"/>
    <d v="2022-07-13T00:00:00"/>
    <x v="69"/>
  </r>
  <r>
    <n v="2249"/>
    <x v="31"/>
    <x v="2"/>
    <x v="1"/>
    <n v="0.48145833333333332"/>
    <s v="Shibor_3M"/>
    <n v="2.94"/>
    <n v="3"/>
    <n v="0"/>
    <d v="2012-07-13T00:00:00"/>
    <d v="2016-07-13T00:00:00"/>
    <x v="105"/>
  </r>
  <r>
    <n v="2250"/>
    <x v="31"/>
    <x v="7"/>
    <x v="2"/>
    <n v="0.48626157407407411"/>
    <s v="Shibor_3M"/>
    <n v="2.9"/>
    <n v="3"/>
    <n v="0"/>
    <d v="2012-07-13T00:00:00"/>
    <d v="2019-07-13T00:00:00"/>
    <x v="122"/>
  </r>
  <r>
    <n v="2251"/>
    <x v="31"/>
    <x v="8"/>
    <x v="2"/>
    <n v="0.48628472222222219"/>
    <s v="Shibor_3M"/>
    <n v="3.5"/>
    <n v="3.55"/>
    <n v="0"/>
    <d v="2012-07-13T00:00:00"/>
    <d v="2013-01-13T00:00:00"/>
    <x v="115"/>
  </r>
  <r>
    <n v="2252"/>
    <x v="31"/>
    <x v="11"/>
    <x v="2"/>
    <n v="0.48627314814814815"/>
    <s v="Shibor_3M"/>
    <n v="2.9"/>
    <n v="3"/>
    <n v="0"/>
    <d v="2012-07-13T00:00:00"/>
    <d v="2017-07-13T00:00:00"/>
    <x v="122"/>
  </r>
  <r>
    <n v="2253"/>
    <x v="31"/>
    <x v="8"/>
    <x v="3"/>
    <n v="0.48652777777777773"/>
    <s v="Shibor_3M"/>
    <n v="3.5"/>
    <n v="3.55"/>
    <n v="0"/>
    <d v="2012-07-13T00:00:00"/>
    <d v="2013-01-13T00:00:00"/>
    <x v="115"/>
  </r>
  <r>
    <n v="2254"/>
    <x v="31"/>
    <x v="4"/>
    <x v="2"/>
    <n v="0.48628472222222219"/>
    <s v="Shibor_3M"/>
    <n v="2.92"/>
    <n v="3"/>
    <n v="0"/>
    <d v="2012-07-13T00:00:00"/>
    <d v="2014-07-13T00:00:00"/>
    <x v="117"/>
  </r>
  <r>
    <n v="2255"/>
    <x v="31"/>
    <x v="2"/>
    <x v="2"/>
    <n v="0.48626157407407411"/>
    <s v="Shibor_3M"/>
    <n v="2.9"/>
    <n v="3"/>
    <n v="0"/>
    <d v="2012-07-13T00:00:00"/>
    <d v="2016-07-13T00:00:00"/>
    <x v="122"/>
  </r>
  <r>
    <n v="2256"/>
    <x v="31"/>
    <x v="0"/>
    <x v="2"/>
    <n v="0.48626157407407411"/>
    <s v="Shibor_3M"/>
    <n v="2.9"/>
    <n v="3"/>
    <n v="0"/>
    <d v="2012-07-13T00:00:00"/>
    <d v="2015-07-13T00:00:00"/>
    <x v="122"/>
  </r>
  <r>
    <n v="2257"/>
    <x v="31"/>
    <x v="5"/>
    <x v="2"/>
    <n v="0.48626157407407411"/>
    <s v="Shibor_3M"/>
    <n v="3.3"/>
    <n v="3"/>
    <n v="0"/>
    <d v="2012-07-13T00:00:00"/>
    <d v="2013-04-13T00:00:00"/>
    <x v="27"/>
  </r>
  <r>
    <n v="2258"/>
    <x v="31"/>
    <x v="6"/>
    <x v="2"/>
    <n v="0.48626157407407411"/>
    <s v="Shibor_3M"/>
    <n v="2.9"/>
    <n v="3"/>
    <n v="0"/>
    <d v="2012-07-13T00:00:00"/>
    <d v="2022-07-13T00:00:00"/>
    <x v="122"/>
  </r>
  <r>
    <n v="2259"/>
    <x v="31"/>
    <x v="1"/>
    <x v="2"/>
    <n v="0.48626157407407411"/>
    <s v="Shibor_3M"/>
    <n v="3.18"/>
    <n v="3.25"/>
    <n v="0"/>
    <d v="2012-07-13T00:00:00"/>
    <d v="2013-07-13T00:00:00"/>
    <x v="89"/>
  </r>
  <r>
    <n v="2260"/>
    <x v="31"/>
    <x v="6"/>
    <x v="13"/>
    <n v="0.57446759259259261"/>
    <s v="Shibor_3M"/>
    <n v="3.01"/>
    <n v="3.13"/>
    <n v="0"/>
    <d v="2012-07-13T00:00:00"/>
    <d v="2022-07-13T00:00:00"/>
    <x v="109"/>
  </r>
  <r>
    <n v="2261"/>
    <x v="31"/>
    <x v="8"/>
    <x v="2"/>
    <n v="0.67467592592592596"/>
    <s v="Shibor_3M"/>
    <n v="3.5"/>
    <n v="3.55"/>
    <n v="0"/>
    <d v="2012-07-13T00:00:00"/>
    <d v="2013-01-13T00:00:00"/>
    <x v="115"/>
  </r>
  <r>
    <n v="2262"/>
    <x v="31"/>
    <x v="5"/>
    <x v="2"/>
    <n v="0.67466435185185192"/>
    <s v="Shibor_3M"/>
    <n v="3.3"/>
    <n v="3"/>
    <n v="0"/>
    <d v="2012-07-13T00:00:00"/>
    <d v="2013-04-13T00:00:00"/>
    <x v="27"/>
  </r>
  <r>
    <n v="2263"/>
    <x v="31"/>
    <x v="0"/>
    <x v="2"/>
    <n v="0.67467592592592596"/>
    <s v="Shibor_3M"/>
    <n v="2.9"/>
    <n v="3"/>
    <n v="0"/>
    <d v="2012-07-13T00:00:00"/>
    <d v="2015-07-13T00:00:00"/>
    <x v="122"/>
  </r>
  <r>
    <n v="2264"/>
    <x v="31"/>
    <x v="4"/>
    <x v="2"/>
    <n v="0.67467592592592596"/>
    <s v="Shibor_3M"/>
    <n v="2.92"/>
    <n v="3"/>
    <n v="0"/>
    <d v="2012-07-13T00:00:00"/>
    <d v="2014-07-13T00:00:00"/>
    <x v="117"/>
  </r>
  <r>
    <n v="2265"/>
    <x v="31"/>
    <x v="7"/>
    <x v="2"/>
    <n v="0.67466435185185192"/>
    <s v="Shibor_3M"/>
    <n v="2.9"/>
    <n v="3"/>
    <n v="0"/>
    <d v="2012-07-13T00:00:00"/>
    <d v="2019-07-13T00:00:00"/>
    <x v="122"/>
  </r>
  <r>
    <n v="2266"/>
    <x v="31"/>
    <x v="6"/>
    <x v="1"/>
    <n v="0.66903935185185182"/>
    <s v="Shibor_3M"/>
    <n v="3.06"/>
    <n v="3.12"/>
    <n v="0"/>
    <d v="2012-07-13T00:00:00"/>
    <d v="2022-07-13T00:00:00"/>
    <x v="69"/>
  </r>
  <r>
    <n v="2267"/>
    <x v="31"/>
    <x v="2"/>
    <x v="1"/>
    <n v="0.66903935185185182"/>
    <s v="Shibor_3M"/>
    <n v="2.94"/>
    <n v="3"/>
    <n v="0"/>
    <d v="2012-07-13T00:00:00"/>
    <d v="2016-07-13T00:00:00"/>
    <x v="105"/>
  </r>
  <r>
    <n v="2268"/>
    <x v="31"/>
    <x v="2"/>
    <x v="2"/>
    <n v="0.67466435185185192"/>
    <s v="Shibor_3M"/>
    <n v="2.9"/>
    <n v="3"/>
    <n v="0"/>
    <d v="2012-07-13T00:00:00"/>
    <d v="2016-07-13T00:00:00"/>
    <x v="122"/>
  </r>
  <r>
    <n v="2269"/>
    <x v="31"/>
    <x v="1"/>
    <x v="1"/>
    <n v="0.66903935185185182"/>
    <s v="Shibor_3M"/>
    <n v="3.16"/>
    <n v="3.22"/>
    <n v="0"/>
    <d v="2012-07-13T00:00:00"/>
    <d v="2013-07-13T00:00:00"/>
    <x v="55"/>
  </r>
  <r>
    <n v="2270"/>
    <x v="31"/>
    <x v="1"/>
    <x v="2"/>
    <n v="0.67467592592592596"/>
    <s v="Shibor_3M"/>
    <n v="3.18"/>
    <n v="3.25"/>
    <n v="0"/>
    <d v="2012-07-13T00:00:00"/>
    <d v="2013-07-13T00:00:00"/>
    <x v="89"/>
  </r>
  <r>
    <n v="2271"/>
    <x v="31"/>
    <x v="4"/>
    <x v="3"/>
    <n v="0.67511574074074077"/>
    <s v="Shibor_3M"/>
    <n v="2.85"/>
    <n v="2.95"/>
    <n v="0"/>
    <d v="2012-07-13T00:00:00"/>
    <d v="2014-07-13T00:00:00"/>
    <x v="145"/>
  </r>
  <r>
    <n v="2272"/>
    <x v="31"/>
    <x v="5"/>
    <x v="3"/>
    <n v="0.67511574074074077"/>
    <s v="Shibor_3M"/>
    <n v="3.24"/>
    <n v="3.34"/>
    <n v="0"/>
    <d v="2012-07-13T00:00:00"/>
    <d v="2013-04-13T00:00:00"/>
    <x v="3"/>
  </r>
  <r>
    <n v="2273"/>
    <x v="31"/>
    <x v="1"/>
    <x v="3"/>
    <n v="0.67512731481481481"/>
    <s v="Shibor_3M"/>
    <n v="3.14"/>
    <n v="3.24"/>
    <n v="0"/>
    <d v="2012-07-13T00:00:00"/>
    <d v="2013-07-13T00:00:00"/>
    <x v="55"/>
  </r>
  <r>
    <n v="2274"/>
    <x v="31"/>
    <x v="2"/>
    <x v="3"/>
    <n v="0.67512731481481481"/>
    <s v="Shibor_3M"/>
    <n v="2.82"/>
    <n v="2.92"/>
    <n v="0"/>
    <d v="2012-07-13T00:00:00"/>
    <d v="2016-07-13T00:00:00"/>
    <x v="160"/>
  </r>
  <r>
    <n v="2275"/>
    <x v="31"/>
    <x v="11"/>
    <x v="3"/>
    <n v="0.67511574074074077"/>
    <s v="Shibor_3M"/>
    <n v="2.82"/>
    <n v="2.87"/>
    <n v="0"/>
    <d v="2012-07-13T00:00:00"/>
    <d v="2017-07-13T00:00:00"/>
    <x v="164"/>
  </r>
  <r>
    <n v="2276"/>
    <x v="31"/>
    <x v="11"/>
    <x v="2"/>
    <n v="0.67467592592592596"/>
    <s v="Shibor_3M"/>
    <n v="2.9"/>
    <n v="3"/>
    <n v="0"/>
    <d v="2012-07-13T00:00:00"/>
    <d v="2017-07-13T00:00:00"/>
    <x v="122"/>
  </r>
  <r>
    <n v="2277"/>
    <x v="31"/>
    <x v="6"/>
    <x v="2"/>
    <n v="0.67467592592592596"/>
    <s v="Shibor_3M"/>
    <n v="2.9"/>
    <n v="3"/>
    <n v="0"/>
    <d v="2012-07-13T00:00:00"/>
    <d v="2022-07-13T00:00:00"/>
    <x v="122"/>
  </r>
  <r>
    <n v="2278"/>
    <x v="31"/>
    <x v="0"/>
    <x v="3"/>
    <n v="0.67511574074074077"/>
    <s v="Shibor_3M"/>
    <n v="2.82"/>
    <n v="2.87"/>
    <n v="0"/>
    <d v="2012-07-13T00:00:00"/>
    <d v="2015-07-13T00:00:00"/>
    <x v="164"/>
  </r>
  <r>
    <n v="2279"/>
    <x v="31"/>
    <x v="8"/>
    <x v="3"/>
    <n v="0.67510416666666673"/>
    <s v="Shibor_3M"/>
    <n v="3.46"/>
    <n v="3.56"/>
    <n v="0"/>
    <d v="2012-07-13T00:00:00"/>
    <d v="2013-01-13T00:00:00"/>
    <x v="44"/>
  </r>
  <r>
    <n v="2280"/>
    <x v="31"/>
    <x v="0"/>
    <x v="14"/>
    <n v="0.66641203703703711"/>
    <s v="Shibor_3M"/>
    <n v="3.12"/>
    <n v="3.16"/>
    <n v="0"/>
    <d v="2012-07-13T00:00:00"/>
    <d v="2015-07-13T00:00:00"/>
    <x v="150"/>
  </r>
  <r>
    <n v="2281"/>
    <x v="31"/>
    <x v="4"/>
    <x v="14"/>
    <n v="0.66641203703703711"/>
    <s v="Shibor_3M"/>
    <n v="3.14"/>
    <n v="3.18"/>
    <n v="0"/>
    <d v="2012-07-13T00:00:00"/>
    <d v="2014-07-13T00:00:00"/>
    <x v="71"/>
  </r>
  <r>
    <n v="2282"/>
    <x v="31"/>
    <x v="11"/>
    <x v="14"/>
    <n v="0.66641203703703711"/>
    <s v="Shibor_3M"/>
    <n v="3.12"/>
    <n v="3.16"/>
    <n v="0"/>
    <d v="2012-07-13T00:00:00"/>
    <d v="2017-07-13T00:00:00"/>
    <x v="150"/>
  </r>
  <r>
    <n v="2283"/>
    <x v="31"/>
    <x v="2"/>
    <x v="14"/>
    <n v="0.66641203703703711"/>
    <s v="Shibor_3M"/>
    <n v="3.12"/>
    <n v="3.16"/>
    <n v="0"/>
    <d v="2012-07-13T00:00:00"/>
    <d v="2016-07-13T00:00:00"/>
    <x v="150"/>
  </r>
  <r>
    <n v="2284"/>
    <x v="31"/>
    <x v="1"/>
    <x v="14"/>
    <n v="0.66641203703703711"/>
    <s v="Shibor_3M"/>
    <n v="3.3"/>
    <n v="3.34"/>
    <n v="0"/>
    <d v="2012-07-13T00:00:00"/>
    <d v="2013-07-13T00:00:00"/>
    <x v="148"/>
  </r>
  <r>
    <n v="2285"/>
    <x v="31"/>
    <x v="2"/>
    <x v="13"/>
    <n v="0.57446759259259261"/>
    <s v="Shibor_3M"/>
    <n v="2.9"/>
    <n v="2.99"/>
    <n v="0"/>
    <d v="2012-07-13T00:00:00"/>
    <d v="2016-07-13T00:00:00"/>
    <x v="125"/>
  </r>
  <r>
    <n v="2286"/>
    <x v="31"/>
    <x v="11"/>
    <x v="13"/>
    <n v="0.57446759259259261"/>
    <s v="Shibor_3M"/>
    <n v="2.9"/>
    <n v="2.98"/>
    <n v="0"/>
    <d v="2012-07-13T00:00:00"/>
    <d v="2017-07-13T00:00:00"/>
    <x v="149"/>
  </r>
  <r>
    <n v="2287"/>
    <x v="31"/>
    <x v="8"/>
    <x v="13"/>
    <n v="0.57447916666666665"/>
    <s v="Shibor_3M"/>
    <n v="3.49"/>
    <n v="3.57"/>
    <n v="0"/>
    <d v="2012-07-13T00:00:00"/>
    <d v="2013-01-13T00:00:00"/>
    <x v="134"/>
  </r>
  <r>
    <n v="2288"/>
    <x v="31"/>
    <x v="7"/>
    <x v="13"/>
    <n v="0.57446759259259261"/>
    <s v="Shibor_3M"/>
    <n v="2.96"/>
    <n v="3.07"/>
    <n v="0"/>
    <d v="2012-07-13T00:00:00"/>
    <d v="2019-07-13T00:00:00"/>
    <x v="165"/>
  </r>
  <r>
    <n v="2289"/>
    <x v="31"/>
    <x v="7"/>
    <x v="14"/>
    <n v="0.66641203703703711"/>
    <s v="Shibor_3M"/>
    <n v="3.2"/>
    <n v="3.24"/>
    <n v="0"/>
    <d v="2012-07-13T00:00:00"/>
    <d v="2019-07-13T00:00:00"/>
    <x v="166"/>
  </r>
  <r>
    <n v="2290"/>
    <x v="31"/>
    <x v="5"/>
    <x v="1"/>
    <n v="0.66902777777777789"/>
    <s v="Shibor_3M"/>
    <n v="3.3"/>
    <n v="3.36"/>
    <n v="0"/>
    <d v="2012-07-13T00:00:00"/>
    <d v="2013-04-13T00:00:00"/>
    <x v="41"/>
  </r>
  <r>
    <n v="2291"/>
    <x v="31"/>
    <x v="11"/>
    <x v="1"/>
    <n v="0.66902777777777789"/>
    <s v="Shibor_3M"/>
    <n v="2.94"/>
    <n v="3"/>
    <n v="0"/>
    <d v="2012-07-13T00:00:00"/>
    <d v="2017-07-13T00:00:00"/>
    <x v="105"/>
  </r>
  <r>
    <n v="2292"/>
    <x v="31"/>
    <x v="0"/>
    <x v="1"/>
    <n v="0.66903935185185182"/>
    <s v="Shibor_3M"/>
    <n v="2.94"/>
    <n v="3"/>
    <n v="0"/>
    <d v="2012-07-13T00:00:00"/>
    <d v="2015-07-13T00:00:00"/>
    <x v="105"/>
  </r>
  <r>
    <n v="2293"/>
    <x v="31"/>
    <x v="4"/>
    <x v="1"/>
    <n v="0.66903935185185182"/>
    <s v="Shibor_3M"/>
    <n v="2.96"/>
    <n v="3.02"/>
    <n v="0"/>
    <d v="2012-07-13T00:00:00"/>
    <d v="2014-07-13T00:00:00"/>
    <x v="114"/>
  </r>
  <r>
    <n v="2294"/>
    <x v="31"/>
    <x v="7"/>
    <x v="1"/>
    <n v="0.66902777777777789"/>
    <s v="Shibor_3M"/>
    <n v="3.01"/>
    <n v="3.07"/>
    <n v="0"/>
    <d v="2012-07-13T00:00:00"/>
    <d v="2019-07-13T00:00:00"/>
    <x v="91"/>
  </r>
  <r>
    <n v="2295"/>
    <x v="31"/>
    <x v="8"/>
    <x v="14"/>
    <n v="0.66641203703703711"/>
    <s v="Shibor_3M"/>
    <n v="3.62"/>
    <n v="3.66"/>
    <n v="0"/>
    <d v="2012-07-13T00:00:00"/>
    <d v="2013-01-13T00:00:00"/>
    <x v="167"/>
  </r>
  <r>
    <n v="2296"/>
    <x v="31"/>
    <x v="6"/>
    <x v="14"/>
    <n v="0.66641203703703711"/>
    <s v="Shibor_3M"/>
    <n v="3.24"/>
    <n v="3.28"/>
    <n v="0"/>
    <d v="2012-07-13T00:00:00"/>
    <d v="2022-07-13T00:00:00"/>
    <x v="16"/>
  </r>
  <r>
    <n v="2297"/>
    <x v="31"/>
    <x v="8"/>
    <x v="1"/>
    <n v="0.66902777777777789"/>
    <s v="Shibor_3M"/>
    <n v="3.51"/>
    <n v="3.57"/>
    <n v="0"/>
    <d v="2012-07-13T00:00:00"/>
    <d v="2013-01-13T00:00:00"/>
    <x v="61"/>
  </r>
  <r>
    <n v="2298"/>
    <x v="31"/>
    <x v="5"/>
    <x v="14"/>
    <n v="0.66641203703703711"/>
    <s v="Shibor_3M"/>
    <n v="3.42"/>
    <n v="3.46"/>
    <n v="0"/>
    <d v="2012-07-13T00:00:00"/>
    <d v="2013-04-13T00:00:00"/>
    <x v="168"/>
  </r>
  <r>
    <n v="2299"/>
    <x v="32"/>
    <x v="8"/>
    <x v="6"/>
    <n v="0.48583333333333334"/>
    <s v="Shibor_3M"/>
    <n v="3.61"/>
    <n v="3.71"/>
    <n v="0"/>
    <d v="2012-07-12T00:00:00"/>
    <d v="2013-01-12T00:00:00"/>
    <x v="169"/>
  </r>
  <r>
    <n v="2300"/>
    <x v="32"/>
    <x v="1"/>
    <x v="3"/>
    <n v="0.48550925925925931"/>
    <s v="Shibor_3M"/>
    <n v="3.27"/>
    <n v="3.34"/>
    <n v="0"/>
    <d v="2012-07-12T00:00:00"/>
    <d v="2013-07-12T00:00:00"/>
    <x v="121"/>
  </r>
  <r>
    <n v="2301"/>
    <x v="32"/>
    <x v="2"/>
    <x v="6"/>
    <n v="0.48583333333333334"/>
    <s v="Shibor_3M"/>
    <n v="3.06"/>
    <n v="3.16"/>
    <n v="0"/>
    <d v="2012-07-12T00:00:00"/>
    <d v="2016-07-12T00:00:00"/>
    <x v="50"/>
  </r>
  <r>
    <n v="2302"/>
    <x v="32"/>
    <x v="11"/>
    <x v="6"/>
    <n v="0.48583333333333334"/>
    <s v="Shibor_3M"/>
    <n v="3.06"/>
    <n v="3.16"/>
    <n v="0"/>
    <d v="2012-07-12T00:00:00"/>
    <d v="2017-07-12T00:00:00"/>
    <x v="50"/>
  </r>
  <r>
    <n v="2303"/>
    <x v="32"/>
    <x v="2"/>
    <x v="3"/>
    <n v="0.48550925925925931"/>
    <s v="Shibor_3M"/>
    <n v="3.04"/>
    <n v="3.14"/>
    <n v="0"/>
    <d v="2012-07-12T00:00:00"/>
    <d v="2016-07-12T00:00:00"/>
    <x v="69"/>
  </r>
  <r>
    <n v="2304"/>
    <x v="32"/>
    <x v="8"/>
    <x v="3"/>
    <n v="0.48549768518518516"/>
    <s v="Shibor_3M"/>
    <n v="3.6"/>
    <n v="3.68"/>
    <n v="0"/>
    <d v="2012-07-12T00:00:00"/>
    <d v="2013-01-12T00:00:00"/>
    <x v="167"/>
  </r>
  <r>
    <n v="2305"/>
    <x v="32"/>
    <x v="4"/>
    <x v="3"/>
    <n v="0.48549768518518516"/>
    <s v="Shibor_3M"/>
    <n v="3.05"/>
    <n v="3.14"/>
    <n v="0"/>
    <d v="2012-07-12T00:00:00"/>
    <d v="2014-07-12T00:00:00"/>
    <x v="77"/>
  </r>
  <r>
    <n v="2306"/>
    <x v="32"/>
    <x v="0"/>
    <x v="3"/>
    <n v="0.48550925925925931"/>
    <s v="Shibor_3M"/>
    <n v="3.04"/>
    <n v="3.14"/>
    <n v="0"/>
    <d v="2012-07-12T00:00:00"/>
    <d v="2015-07-12T00:00:00"/>
    <x v="69"/>
  </r>
  <r>
    <n v="2307"/>
    <x v="32"/>
    <x v="11"/>
    <x v="3"/>
    <n v="0.48549768518518516"/>
    <s v="Shibor_3M"/>
    <n v="3.06"/>
    <n v="3.12"/>
    <n v="0"/>
    <d v="2012-07-12T00:00:00"/>
    <d v="2017-07-12T00:00:00"/>
    <x v="69"/>
  </r>
  <r>
    <n v="2308"/>
    <x v="32"/>
    <x v="0"/>
    <x v="6"/>
    <n v="0.48583333333333334"/>
    <s v="Shibor_3M"/>
    <n v="3.07"/>
    <n v="3.17"/>
    <n v="0"/>
    <d v="2012-07-12T00:00:00"/>
    <d v="2015-07-12T00:00:00"/>
    <x v="66"/>
  </r>
  <r>
    <n v="2309"/>
    <x v="32"/>
    <x v="5"/>
    <x v="1"/>
    <n v="0.49083333333333329"/>
    <s v="Shibor_3M"/>
    <n v="3.42"/>
    <n v="3.48"/>
    <n v="0"/>
    <d v="2012-07-12T00:00:00"/>
    <d v="2013-04-12T00:00:00"/>
    <x v="43"/>
  </r>
  <r>
    <n v="2310"/>
    <x v="32"/>
    <x v="11"/>
    <x v="1"/>
    <n v="0.49083333333333329"/>
    <s v="Shibor_3M"/>
    <n v="3.08"/>
    <n v="3.14"/>
    <n v="0"/>
    <d v="2012-07-12T00:00:00"/>
    <d v="2017-07-12T00:00:00"/>
    <x v="50"/>
  </r>
  <r>
    <n v="2311"/>
    <x v="32"/>
    <x v="8"/>
    <x v="1"/>
    <n v="0.49083333333333329"/>
    <s v="Shibor_3M"/>
    <n v="3.63"/>
    <n v="3.69"/>
    <n v="0"/>
    <d v="2012-07-12T00:00:00"/>
    <d v="2013-01-12T00:00:00"/>
    <x v="169"/>
  </r>
  <r>
    <n v="2312"/>
    <x v="32"/>
    <x v="4"/>
    <x v="1"/>
    <n v="0.49083333333333329"/>
    <s v="Shibor_3M"/>
    <n v="3.09"/>
    <n v="3.15"/>
    <n v="0"/>
    <d v="2012-07-12T00:00:00"/>
    <d v="2014-07-12T00:00:00"/>
    <x v="66"/>
  </r>
  <r>
    <n v="2313"/>
    <x v="32"/>
    <x v="6"/>
    <x v="6"/>
    <n v="0.48584490740740738"/>
    <s v="Shibor_3M"/>
    <n v="3.2"/>
    <n v="3.3"/>
    <n v="0"/>
    <d v="2012-07-12T00:00:00"/>
    <d v="2022-07-12T00:00:00"/>
    <x v="21"/>
  </r>
  <r>
    <n v="2314"/>
    <x v="32"/>
    <x v="1"/>
    <x v="6"/>
    <n v="0.48583333333333334"/>
    <s v="Shibor_3M"/>
    <n v="3.25"/>
    <n v="3.35"/>
    <n v="0"/>
    <d v="2012-07-12T00:00:00"/>
    <d v="2013-07-12T00:00:00"/>
    <x v="23"/>
  </r>
  <r>
    <n v="2315"/>
    <x v="32"/>
    <x v="4"/>
    <x v="6"/>
    <n v="0.48583333333333334"/>
    <s v="Shibor_3M"/>
    <n v="3.07"/>
    <n v="3.17"/>
    <n v="0"/>
    <d v="2012-07-12T00:00:00"/>
    <d v="2014-07-12T00:00:00"/>
    <x v="66"/>
  </r>
  <r>
    <n v="2316"/>
    <x v="32"/>
    <x v="7"/>
    <x v="6"/>
    <n v="0.48583333333333334"/>
    <s v="Shibor_3M"/>
    <n v="3.15"/>
    <n v="3.25"/>
    <n v="0"/>
    <d v="2012-07-12T00:00:00"/>
    <d v="2019-07-12T00:00:00"/>
    <x v="57"/>
  </r>
  <r>
    <n v="2317"/>
    <x v="32"/>
    <x v="5"/>
    <x v="6"/>
    <n v="0.48583333333333334"/>
    <s v="Shibor_3M"/>
    <n v="3.4"/>
    <n v="3.5"/>
    <n v="0"/>
    <d v="2012-07-12T00:00:00"/>
    <d v="2013-04-12T00:00:00"/>
    <x v="43"/>
  </r>
  <r>
    <n v="2318"/>
    <x v="32"/>
    <x v="4"/>
    <x v="15"/>
    <n v="0.47818287037037038"/>
    <s v="Shibor_3M"/>
    <n v="3.07"/>
    <n v="3.13"/>
    <n v="0"/>
    <d v="2012-07-12T00:00:00"/>
    <d v="2014-07-12T00:00:00"/>
    <x v="64"/>
  </r>
  <r>
    <n v="2319"/>
    <x v="32"/>
    <x v="1"/>
    <x v="15"/>
    <n v="0.47818287037037038"/>
    <s v="Shibor_3M"/>
    <n v="3.28"/>
    <n v="3.34"/>
    <n v="0"/>
    <d v="2012-07-12T00:00:00"/>
    <d v="2013-07-12T00:00:00"/>
    <x v="6"/>
  </r>
  <r>
    <n v="2320"/>
    <x v="32"/>
    <x v="2"/>
    <x v="15"/>
    <n v="0.47818287037037038"/>
    <s v="Shibor_3M"/>
    <n v="3.05"/>
    <n v="3.13"/>
    <n v="0"/>
    <d v="2012-07-12T00:00:00"/>
    <d v="2016-07-12T00:00:00"/>
    <x v="69"/>
  </r>
  <r>
    <n v="2321"/>
    <x v="32"/>
    <x v="0"/>
    <x v="15"/>
    <n v="0.47818287037037038"/>
    <s v="Shibor_3M"/>
    <n v="3.05"/>
    <n v="3.13"/>
    <n v="0"/>
    <d v="2012-07-12T00:00:00"/>
    <d v="2015-07-12T00:00:00"/>
    <x v="69"/>
  </r>
  <r>
    <n v="2322"/>
    <x v="32"/>
    <x v="5"/>
    <x v="15"/>
    <n v="0.47818287037037038"/>
    <s v="Shibor_3M"/>
    <n v="3.4"/>
    <n v="3.48"/>
    <n v="0"/>
    <d v="2012-07-12T00:00:00"/>
    <d v="2013-04-12T00:00:00"/>
    <x v="168"/>
  </r>
  <r>
    <n v="2323"/>
    <x v="32"/>
    <x v="7"/>
    <x v="15"/>
    <n v="0.47818287037037038"/>
    <s v="Shibor_3M"/>
    <n v="3.14"/>
    <n v="3.22"/>
    <n v="0"/>
    <d v="2012-07-12T00:00:00"/>
    <d v="2019-07-12T00:00:00"/>
    <x v="127"/>
  </r>
  <r>
    <n v="2324"/>
    <x v="32"/>
    <x v="11"/>
    <x v="15"/>
    <n v="0.47818287037037038"/>
    <s v="Shibor_3M"/>
    <n v="3.06"/>
    <n v="3.12"/>
    <n v="0"/>
    <d v="2012-07-12T00:00:00"/>
    <d v="2017-07-12T00:00:00"/>
    <x v="69"/>
  </r>
  <r>
    <n v="2325"/>
    <x v="32"/>
    <x v="8"/>
    <x v="15"/>
    <n v="0.47818287037037038"/>
    <s v="Shibor_3M"/>
    <n v="3.6"/>
    <n v="3.66"/>
    <n v="0"/>
    <d v="2012-07-12T00:00:00"/>
    <d v="2013-01-12T00:00:00"/>
    <x v="170"/>
  </r>
  <r>
    <n v="2326"/>
    <x v="32"/>
    <x v="6"/>
    <x v="15"/>
    <n v="0.47818287037037038"/>
    <s v="Shibor_3M"/>
    <n v="3.17"/>
    <n v="3.27"/>
    <n v="0"/>
    <d v="2012-07-12T00:00:00"/>
    <d v="2022-07-12T00:00:00"/>
    <x v="0"/>
  </r>
  <r>
    <n v="2327"/>
    <x v="32"/>
    <x v="2"/>
    <x v="2"/>
    <n v="0.48253472222222221"/>
    <s v="Shibor_3M"/>
    <n v="3.15"/>
    <n v="3.2"/>
    <n v="0"/>
    <d v="2012-07-12T00:00:00"/>
    <d v="2016-07-12T00:00:00"/>
    <x v="93"/>
  </r>
  <r>
    <n v="2328"/>
    <x v="32"/>
    <x v="8"/>
    <x v="2"/>
    <n v="0.48256944444444444"/>
    <s v="Shibor_3M"/>
    <n v="3.6"/>
    <n v="3.7"/>
    <n v="0"/>
    <d v="2012-07-12T00:00:00"/>
    <d v="2013-01-12T00:00:00"/>
    <x v="60"/>
  </r>
  <r>
    <n v="2329"/>
    <x v="32"/>
    <x v="11"/>
    <x v="2"/>
    <n v="0.48255787037037035"/>
    <s v="Shibor_3M"/>
    <n v="3.15"/>
    <n v="3.2"/>
    <n v="0"/>
    <d v="2012-07-12T00:00:00"/>
    <d v="2017-07-12T00:00:00"/>
    <x v="93"/>
  </r>
  <r>
    <n v="2330"/>
    <x v="32"/>
    <x v="5"/>
    <x v="3"/>
    <n v="0.48549768518518516"/>
    <s v="Shibor_3M"/>
    <n v="3.4"/>
    <n v="3.48"/>
    <n v="0"/>
    <d v="2012-07-12T00:00:00"/>
    <d v="2013-04-12T00:00:00"/>
    <x v="168"/>
  </r>
  <r>
    <n v="2331"/>
    <x v="32"/>
    <x v="4"/>
    <x v="2"/>
    <n v="0.48256944444444444"/>
    <s v="Shibor_3M"/>
    <n v="3.26"/>
    <n v="3.31"/>
    <n v="0"/>
    <d v="2012-07-12T00:00:00"/>
    <d v="2014-07-12T00:00:00"/>
    <x v="37"/>
  </r>
  <r>
    <n v="2332"/>
    <x v="32"/>
    <x v="6"/>
    <x v="2"/>
    <n v="0.48255787037037035"/>
    <s v="Shibor_3M"/>
    <n v="3.15"/>
    <n v="3.2"/>
    <n v="0"/>
    <d v="2012-07-12T00:00:00"/>
    <d v="2022-07-12T00:00:00"/>
    <x v="93"/>
  </r>
  <r>
    <n v="2333"/>
    <x v="32"/>
    <x v="5"/>
    <x v="2"/>
    <n v="0.48254629629629631"/>
    <s v="Shibor_3M"/>
    <n v="3.48"/>
    <n v="3.55"/>
    <n v="0"/>
    <d v="2012-07-12T00:00:00"/>
    <d v="2013-04-12T00:00:00"/>
    <x v="48"/>
  </r>
  <r>
    <n v="2334"/>
    <x v="32"/>
    <x v="7"/>
    <x v="2"/>
    <n v="0.48253472222222221"/>
    <s v="Shibor_3M"/>
    <n v="3.15"/>
    <n v="3.2"/>
    <n v="0"/>
    <d v="2012-07-12T00:00:00"/>
    <d v="2019-07-12T00:00:00"/>
    <x v="93"/>
  </r>
  <r>
    <n v="2335"/>
    <x v="32"/>
    <x v="1"/>
    <x v="2"/>
    <n v="0.48255787037037035"/>
    <s v="Shibor_3M"/>
    <n v="3.35"/>
    <n v="3.4"/>
    <n v="0"/>
    <d v="2012-07-12T00:00:00"/>
    <d v="2013-07-12T00:00:00"/>
    <x v="30"/>
  </r>
  <r>
    <n v="2336"/>
    <x v="32"/>
    <x v="0"/>
    <x v="2"/>
    <n v="0.48255787037037035"/>
    <s v="Shibor_3M"/>
    <n v="3.15"/>
    <n v="3.2"/>
    <n v="0"/>
    <d v="2012-07-12T00:00:00"/>
    <d v="2015-07-12T00:00:00"/>
    <x v="93"/>
  </r>
  <r>
    <n v="2337"/>
    <x v="32"/>
    <x v="7"/>
    <x v="1"/>
    <n v="0.49083333333333329"/>
    <s v="Shibor_3M"/>
    <n v="3.17"/>
    <n v="3.23"/>
    <n v="0"/>
    <d v="2012-07-12T00:00:00"/>
    <d v="2019-07-12T00:00:00"/>
    <x v="57"/>
  </r>
  <r>
    <n v="2338"/>
    <x v="32"/>
    <x v="0"/>
    <x v="2"/>
    <n v="0.6746875"/>
    <s v="Shibor_3M"/>
    <n v="3.15"/>
    <n v="3.2"/>
    <n v="0"/>
    <d v="2012-07-12T00:00:00"/>
    <d v="2015-07-12T00:00:00"/>
    <x v="93"/>
  </r>
  <r>
    <n v="2339"/>
    <x v="32"/>
    <x v="4"/>
    <x v="2"/>
    <n v="0.6746875"/>
    <s v="Shibor_3M"/>
    <n v="3.26"/>
    <n v="3.31"/>
    <n v="0"/>
    <d v="2012-07-12T00:00:00"/>
    <d v="2014-07-12T00:00:00"/>
    <x v="37"/>
  </r>
  <r>
    <n v="2340"/>
    <x v="32"/>
    <x v="6"/>
    <x v="2"/>
    <n v="0.6746875"/>
    <s v="Shibor_3M"/>
    <n v="3.15"/>
    <n v="3.2"/>
    <n v="0"/>
    <d v="2012-07-12T00:00:00"/>
    <d v="2022-07-12T00:00:00"/>
    <x v="93"/>
  </r>
  <r>
    <n v="2341"/>
    <x v="32"/>
    <x v="1"/>
    <x v="2"/>
    <n v="0.6746875"/>
    <s v="Shibor_3M"/>
    <n v="3.35"/>
    <n v="3.4"/>
    <n v="0"/>
    <d v="2012-07-12T00:00:00"/>
    <d v="2013-07-12T00:00:00"/>
    <x v="30"/>
  </r>
  <r>
    <n v="2342"/>
    <x v="32"/>
    <x v="8"/>
    <x v="2"/>
    <n v="0.6746875"/>
    <s v="Shibor_3M"/>
    <n v="3.6"/>
    <n v="3.7"/>
    <n v="0"/>
    <d v="2012-07-12T00:00:00"/>
    <d v="2013-01-12T00:00:00"/>
    <x v="60"/>
  </r>
  <r>
    <n v="2343"/>
    <x v="32"/>
    <x v="2"/>
    <x v="2"/>
    <n v="0.67466435185185192"/>
    <s v="Shibor_3M"/>
    <n v="3.15"/>
    <n v="3.2"/>
    <n v="0"/>
    <d v="2012-07-12T00:00:00"/>
    <d v="2016-07-12T00:00:00"/>
    <x v="93"/>
  </r>
  <r>
    <n v="2344"/>
    <x v="32"/>
    <x v="0"/>
    <x v="3"/>
    <n v="0.67126157407407405"/>
    <s v="Shibor_3M"/>
    <n v="3.01"/>
    <n v="3.07"/>
    <n v="0"/>
    <d v="2012-07-12T00:00:00"/>
    <d v="2015-07-12T00:00:00"/>
    <x v="91"/>
  </r>
  <r>
    <n v="2345"/>
    <x v="32"/>
    <x v="5"/>
    <x v="2"/>
    <n v="0.67467592592592596"/>
    <s v="Shibor_3M"/>
    <n v="3.48"/>
    <n v="3.55"/>
    <n v="0"/>
    <d v="2012-07-12T00:00:00"/>
    <d v="2013-04-12T00:00:00"/>
    <x v="48"/>
  </r>
  <r>
    <n v="2346"/>
    <x v="32"/>
    <x v="7"/>
    <x v="2"/>
    <n v="0.67466435185185192"/>
    <s v="Shibor_3M"/>
    <n v="3.15"/>
    <n v="3.2"/>
    <n v="0"/>
    <d v="2012-07-12T00:00:00"/>
    <d v="2019-07-12T00:00:00"/>
    <x v="93"/>
  </r>
  <r>
    <n v="2347"/>
    <x v="32"/>
    <x v="11"/>
    <x v="2"/>
    <n v="0.6746875"/>
    <s v="Shibor_3M"/>
    <n v="3.15"/>
    <n v="3.2"/>
    <n v="0"/>
    <d v="2012-07-12T00:00:00"/>
    <d v="2017-07-12T00:00:00"/>
    <x v="93"/>
  </r>
  <r>
    <n v="2348"/>
    <x v="32"/>
    <x v="4"/>
    <x v="6"/>
    <n v="0.68184027777777778"/>
    <s v="Shibor_3M"/>
    <n v="3.02"/>
    <n v="3.12"/>
    <n v="0"/>
    <d v="2012-07-12T00:00:00"/>
    <d v="2014-07-12T00:00:00"/>
    <x v="86"/>
  </r>
  <r>
    <n v="2349"/>
    <x v="32"/>
    <x v="0"/>
    <x v="6"/>
    <n v="0.68184027777777778"/>
    <s v="Shibor_3M"/>
    <n v="3"/>
    <n v="3.1"/>
    <n v="0"/>
    <d v="2012-07-12T00:00:00"/>
    <d v="2015-07-12T00:00:00"/>
    <x v="81"/>
  </r>
  <r>
    <n v="2350"/>
    <x v="32"/>
    <x v="6"/>
    <x v="6"/>
    <n v="0.68184027777777778"/>
    <s v="Shibor_3M"/>
    <n v="3.15"/>
    <n v="3.25"/>
    <n v="0"/>
    <d v="2012-07-12T00:00:00"/>
    <d v="2022-07-12T00:00:00"/>
    <x v="57"/>
  </r>
  <r>
    <n v="2351"/>
    <x v="32"/>
    <x v="1"/>
    <x v="6"/>
    <n v="0.68184027777777778"/>
    <s v="Shibor_3M"/>
    <n v="3.22"/>
    <n v="3.32"/>
    <n v="0"/>
    <d v="2012-07-12T00:00:00"/>
    <d v="2013-07-12T00:00:00"/>
    <x v="25"/>
  </r>
  <r>
    <n v="2352"/>
    <x v="32"/>
    <x v="2"/>
    <x v="6"/>
    <n v="0.68184027777777778"/>
    <s v="Shibor_3M"/>
    <n v="3"/>
    <n v="3.1"/>
    <n v="0"/>
    <d v="2012-07-12T00:00:00"/>
    <d v="2016-07-12T00:00:00"/>
    <x v="81"/>
  </r>
  <r>
    <n v="2353"/>
    <x v="32"/>
    <x v="7"/>
    <x v="6"/>
    <n v="0.68184027777777778"/>
    <s v="Shibor_3M"/>
    <n v="3.1"/>
    <n v="3.2"/>
    <n v="0"/>
    <d v="2012-07-12T00:00:00"/>
    <d v="2019-07-12T00:00:00"/>
    <x v="51"/>
  </r>
  <r>
    <n v="2354"/>
    <x v="32"/>
    <x v="5"/>
    <x v="6"/>
    <n v="0.68184027777777778"/>
    <s v="Shibor_3M"/>
    <n v="3.35"/>
    <n v="3.45"/>
    <n v="0"/>
    <d v="2012-07-12T00:00:00"/>
    <d v="2013-04-12T00:00:00"/>
    <x v="20"/>
  </r>
  <r>
    <n v="2355"/>
    <x v="32"/>
    <x v="11"/>
    <x v="6"/>
    <n v="0.68184027777777778"/>
    <s v="Shibor_3M"/>
    <n v="3"/>
    <n v="3.1"/>
    <n v="0"/>
    <d v="2012-07-12T00:00:00"/>
    <d v="2017-07-12T00:00:00"/>
    <x v="81"/>
  </r>
  <r>
    <n v="2356"/>
    <x v="32"/>
    <x v="8"/>
    <x v="6"/>
    <n v="0.68184027777777778"/>
    <s v="Shibor_3M"/>
    <n v="3.55"/>
    <n v="3.65"/>
    <n v="0"/>
    <d v="2012-07-12T00:00:00"/>
    <d v="2013-01-12T00:00:00"/>
    <x v="22"/>
  </r>
  <r>
    <n v="2357"/>
    <x v="32"/>
    <x v="5"/>
    <x v="2"/>
    <n v="0.49444444444444446"/>
    <s v="Shibor_3M"/>
    <n v="3.48"/>
    <n v="3.55"/>
    <n v="0"/>
    <d v="2012-07-12T00:00:00"/>
    <d v="2013-04-12T00:00:00"/>
    <x v="48"/>
  </r>
  <r>
    <n v="2358"/>
    <x v="32"/>
    <x v="7"/>
    <x v="2"/>
    <n v="0.49443287037037037"/>
    <s v="Shibor_3M"/>
    <n v="3.15"/>
    <n v="3.2"/>
    <n v="0"/>
    <d v="2012-07-12T00:00:00"/>
    <d v="2019-07-12T00:00:00"/>
    <x v="93"/>
  </r>
  <r>
    <n v="2359"/>
    <x v="32"/>
    <x v="1"/>
    <x v="2"/>
    <n v="0.49444444444444446"/>
    <s v="Shibor_3M"/>
    <n v="3.35"/>
    <n v="3.4"/>
    <n v="0"/>
    <d v="2012-07-12T00:00:00"/>
    <d v="2013-07-12T00:00:00"/>
    <x v="30"/>
  </r>
  <r>
    <n v="2360"/>
    <x v="32"/>
    <x v="0"/>
    <x v="2"/>
    <n v="0.49444444444444446"/>
    <s v="Shibor_3M"/>
    <n v="3.15"/>
    <n v="3.2"/>
    <n v="0"/>
    <d v="2012-07-12T00:00:00"/>
    <d v="2015-07-12T00:00:00"/>
    <x v="93"/>
  </r>
  <r>
    <n v="2361"/>
    <x v="32"/>
    <x v="2"/>
    <x v="2"/>
    <n v="0.49442129629629633"/>
    <s v="Shibor_3M"/>
    <n v="3.15"/>
    <n v="3.2"/>
    <n v="0"/>
    <d v="2012-07-12T00:00:00"/>
    <d v="2016-07-12T00:00:00"/>
    <x v="93"/>
  </r>
  <r>
    <n v="2362"/>
    <x v="32"/>
    <x v="2"/>
    <x v="1"/>
    <n v="0.49084490740740744"/>
    <s v="Shibor_3M"/>
    <n v="3.08"/>
    <n v="3.14"/>
    <n v="0"/>
    <d v="2012-07-12T00:00:00"/>
    <d v="2016-07-12T00:00:00"/>
    <x v="50"/>
  </r>
  <r>
    <n v="2363"/>
    <x v="32"/>
    <x v="0"/>
    <x v="1"/>
    <n v="0.49084490740740744"/>
    <s v="Shibor_3M"/>
    <n v="3.09"/>
    <n v="3.15"/>
    <n v="0"/>
    <d v="2012-07-12T00:00:00"/>
    <d v="2015-07-12T00:00:00"/>
    <x v="66"/>
  </r>
  <r>
    <n v="2364"/>
    <x v="32"/>
    <x v="1"/>
    <x v="1"/>
    <n v="0.49084490740740744"/>
    <s v="Shibor_3M"/>
    <n v="3.27"/>
    <n v="3.33"/>
    <n v="0"/>
    <d v="2012-07-12T00:00:00"/>
    <d v="2013-07-12T00:00:00"/>
    <x v="23"/>
  </r>
  <r>
    <n v="2365"/>
    <x v="32"/>
    <x v="6"/>
    <x v="1"/>
    <n v="0.49084490740740744"/>
    <s v="Shibor_3M"/>
    <n v="3.22"/>
    <n v="3.28"/>
    <n v="0"/>
    <d v="2012-07-12T00:00:00"/>
    <d v="2022-07-12T00:00:00"/>
    <x v="21"/>
  </r>
  <r>
    <n v="2366"/>
    <x v="32"/>
    <x v="6"/>
    <x v="2"/>
    <n v="0.49444444444444446"/>
    <s v="Shibor_3M"/>
    <n v="3.15"/>
    <n v="3.2"/>
    <n v="0"/>
    <d v="2012-07-12T00:00:00"/>
    <d v="2022-07-12T00:00:00"/>
    <x v="93"/>
  </r>
  <r>
    <n v="2367"/>
    <x v="32"/>
    <x v="4"/>
    <x v="3"/>
    <n v="0.67125000000000001"/>
    <s v="Shibor_3M"/>
    <n v="3.03"/>
    <n v="3.13"/>
    <n v="0"/>
    <d v="2012-07-12T00:00:00"/>
    <d v="2014-07-12T00:00:00"/>
    <x v="70"/>
  </r>
  <r>
    <n v="2368"/>
    <x v="32"/>
    <x v="5"/>
    <x v="3"/>
    <n v="0.67123842592592586"/>
    <s v="Shibor_3M"/>
    <n v="3.37"/>
    <n v="3.45"/>
    <n v="0"/>
    <d v="2012-07-12T00:00:00"/>
    <d v="2013-04-12T00:00:00"/>
    <x v="11"/>
  </r>
  <r>
    <n v="2369"/>
    <x v="32"/>
    <x v="1"/>
    <x v="3"/>
    <n v="0.67126157407407405"/>
    <s v="Shibor_3M"/>
    <n v="3.25"/>
    <n v="3.33"/>
    <n v="0"/>
    <d v="2012-07-12T00:00:00"/>
    <d v="2013-07-12T00:00:00"/>
    <x v="3"/>
  </r>
  <r>
    <n v="2370"/>
    <x v="32"/>
    <x v="2"/>
    <x v="3"/>
    <n v="0.67126157407407405"/>
    <s v="Shibor_3M"/>
    <n v="3"/>
    <n v="3.09"/>
    <n v="0"/>
    <d v="2012-07-12T00:00:00"/>
    <d v="2016-07-12T00:00:00"/>
    <x v="94"/>
  </r>
  <r>
    <n v="2371"/>
    <x v="32"/>
    <x v="11"/>
    <x v="3"/>
    <n v="0.67123842592592586"/>
    <s v="Shibor_3M"/>
    <n v="3.01"/>
    <n v="3.06"/>
    <n v="0"/>
    <d v="2012-07-12T00:00:00"/>
    <d v="2017-07-12T00:00:00"/>
    <x v="106"/>
  </r>
  <r>
    <n v="2372"/>
    <x v="32"/>
    <x v="8"/>
    <x v="2"/>
    <n v="0.4944560185185185"/>
    <s v="Shibor_3M"/>
    <n v="3.6"/>
    <n v="3.7"/>
    <n v="0"/>
    <d v="2012-07-12T00:00:00"/>
    <d v="2013-01-12T00:00:00"/>
    <x v="60"/>
  </r>
  <r>
    <n v="2373"/>
    <x v="32"/>
    <x v="11"/>
    <x v="2"/>
    <n v="0.49444444444444446"/>
    <s v="Shibor_3M"/>
    <n v="3.15"/>
    <n v="3.2"/>
    <n v="0"/>
    <d v="2012-07-12T00:00:00"/>
    <d v="2017-07-12T00:00:00"/>
    <x v="93"/>
  </r>
  <r>
    <n v="2374"/>
    <x v="32"/>
    <x v="8"/>
    <x v="3"/>
    <n v="0.67123842592592586"/>
    <s v="Shibor_3M"/>
    <n v="3.6"/>
    <n v="3.65"/>
    <n v="0"/>
    <d v="2012-07-12T00:00:00"/>
    <d v="2013-01-12T00:00:00"/>
    <x v="171"/>
  </r>
  <r>
    <n v="2375"/>
    <x v="32"/>
    <x v="4"/>
    <x v="2"/>
    <n v="0.4944560185185185"/>
    <s v="Shibor_3M"/>
    <n v="3.26"/>
    <n v="3.31"/>
    <n v="0"/>
    <d v="2012-07-12T00:00:00"/>
    <d v="2014-07-12T00:00:00"/>
    <x v="37"/>
  </r>
  <r>
    <n v="2376"/>
    <x v="33"/>
    <x v="11"/>
    <x v="6"/>
    <n v="0.49621527777777774"/>
    <s v="Shibor_3M"/>
    <n v="3.1"/>
    <n v="3.2"/>
    <n v="0"/>
    <d v="2012-07-11T00:00:00"/>
    <d v="2017-07-11T00:00:00"/>
    <x v="51"/>
  </r>
  <r>
    <n v="2377"/>
    <x v="33"/>
    <x v="8"/>
    <x v="6"/>
    <n v="0.49621527777777774"/>
    <s v="Shibor_3M"/>
    <n v="3.64"/>
    <n v="3.74"/>
    <n v="0"/>
    <d v="2012-07-11T00:00:00"/>
    <d v="2013-01-11T00:00:00"/>
    <x v="172"/>
  </r>
  <r>
    <n v="2378"/>
    <x v="33"/>
    <x v="2"/>
    <x v="6"/>
    <n v="0.49621527777777774"/>
    <s v="Shibor_3M"/>
    <n v="3.1"/>
    <n v="3.2"/>
    <n v="0"/>
    <d v="2012-07-11T00:00:00"/>
    <d v="2016-07-11T00:00:00"/>
    <x v="51"/>
  </r>
  <r>
    <n v="2379"/>
    <x v="33"/>
    <x v="4"/>
    <x v="6"/>
    <n v="0.49621527777777774"/>
    <s v="Shibor_3M"/>
    <n v="3.12"/>
    <n v="3.22"/>
    <n v="0"/>
    <d v="2012-07-11T00:00:00"/>
    <d v="2014-07-11T00:00:00"/>
    <x v="56"/>
  </r>
  <r>
    <n v="2380"/>
    <x v="33"/>
    <x v="0"/>
    <x v="6"/>
    <n v="0.49621527777777774"/>
    <s v="Shibor_3M"/>
    <n v="3.1"/>
    <n v="3.2"/>
    <n v="0"/>
    <d v="2012-07-11T00:00:00"/>
    <d v="2015-07-11T00:00:00"/>
    <x v="51"/>
  </r>
  <r>
    <n v="2381"/>
    <x v="33"/>
    <x v="7"/>
    <x v="6"/>
    <n v="0.49621527777777774"/>
    <s v="Shibor_3M"/>
    <n v="3.17"/>
    <n v="3.27"/>
    <n v="0"/>
    <d v="2012-07-11T00:00:00"/>
    <d v="2019-07-11T00:00:00"/>
    <x v="0"/>
  </r>
  <r>
    <n v="2382"/>
    <x v="33"/>
    <x v="11"/>
    <x v="2"/>
    <n v="0.48731481481481481"/>
    <s v="Shibor_3M"/>
    <n v="3.15"/>
    <n v="3.2"/>
    <n v="0"/>
    <d v="2012-07-11T00:00:00"/>
    <d v="2017-07-11T00:00:00"/>
    <x v="93"/>
  </r>
  <r>
    <n v="2383"/>
    <x v="33"/>
    <x v="4"/>
    <x v="2"/>
    <n v="0.48731481481481481"/>
    <s v="Shibor_3M"/>
    <n v="3.26"/>
    <n v="3.31"/>
    <n v="0"/>
    <d v="2012-07-11T00:00:00"/>
    <d v="2014-07-11T00:00:00"/>
    <x v="37"/>
  </r>
  <r>
    <n v="2384"/>
    <x v="33"/>
    <x v="8"/>
    <x v="2"/>
    <n v="0.48731481481481481"/>
    <s v="Shibor_3M"/>
    <n v="3.6"/>
    <n v="3.7"/>
    <n v="0"/>
    <d v="2012-07-11T00:00:00"/>
    <d v="2013-01-11T00:00:00"/>
    <x v="60"/>
  </r>
  <r>
    <n v="2385"/>
    <x v="33"/>
    <x v="5"/>
    <x v="6"/>
    <n v="0.49621527777777774"/>
    <s v="Shibor_3M"/>
    <n v="3.42"/>
    <n v="3.52"/>
    <n v="0"/>
    <d v="2012-07-11T00:00:00"/>
    <d v="2013-04-11T00:00:00"/>
    <x v="4"/>
  </r>
  <r>
    <n v="2386"/>
    <x v="33"/>
    <x v="6"/>
    <x v="6"/>
    <n v="0.49621527777777774"/>
    <s v="Shibor_3M"/>
    <n v="3.22"/>
    <n v="3.32"/>
    <n v="0"/>
    <d v="2012-07-11T00:00:00"/>
    <d v="2022-07-11T00:00:00"/>
    <x v="25"/>
  </r>
  <r>
    <n v="2387"/>
    <x v="33"/>
    <x v="2"/>
    <x v="1"/>
    <n v="0.4990046296296296"/>
    <s v="Shibor_3M"/>
    <n v="3.12"/>
    <n v="3.18"/>
    <n v="0"/>
    <d v="2012-07-11T00:00:00"/>
    <d v="2016-07-11T00:00:00"/>
    <x v="51"/>
  </r>
  <r>
    <n v="2388"/>
    <x v="33"/>
    <x v="0"/>
    <x v="1"/>
    <n v="0.4990046296296296"/>
    <s v="Shibor_3M"/>
    <n v="3.12"/>
    <n v="3.18"/>
    <n v="0"/>
    <d v="2012-07-11T00:00:00"/>
    <d v="2015-07-11T00:00:00"/>
    <x v="51"/>
  </r>
  <r>
    <n v="2389"/>
    <x v="33"/>
    <x v="6"/>
    <x v="1"/>
    <n v="0.4990046296296296"/>
    <s v="Shibor_3M"/>
    <n v="3.25"/>
    <n v="3.31"/>
    <n v="0"/>
    <d v="2012-07-11T00:00:00"/>
    <d v="2022-07-11T00:00:00"/>
    <x v="9"/>
  </r>
  <r>
    <n v="2390"/>
    <x v="33"/>
    <x v="5"/>
    <x v="16"/>
    <n v="0.60614583333333327"/>
    <s v="Shibor_3M"/>
    <n v="3.49"/>
    <n v="3.55"/>
    <n v="0"/>
    <d v="2012-07-11T00:00:00"/>
    <d v="2013-04-11T00:00:00"/>
    <x v="8"/>
  </r>
  <r>
    <n v="2391"/>
    <x v="33"/>
    <x v="1"/>
    <x v="1"/>
    <n v="0.4990046296296296"/>
    <s v="Shibor_3M"/>
    <n v="3.31"/>
    <n v="3.37"/>
    <n v="0"/>
    <d v="2012-07-11T00:00:00"/>
    <d v="2013-07-11T00:00:00"/>
    <x v="5"/>
  </r>
  <r>
    <n v="2392"/>
    <x v="33"/>
    <x v="4"/>
    <x v="1"/>
    <n v="0.4990046296296296"/>
    <s v="Shibor_3M"/>
    <n v="3.15"/>
    <n v="3.21"/>
    <n v="0"/>
    <d v="2012-07-11T00:00:00"/>
    <d v="2014-07-11T00:00:00"/>
    <x v="49"/>
  </r>
  <r>
    <n v="2393"/>
    <x v="33"/>
    <x v="8"/>
    <x v="1"/>
    <n v="0.49899305555555556"/>
    <s v="Shibor_3M"/>
    <n v="3.65"/>
    <n v="3.71"/>
    <n v="0"/>
    <d v="2012-07-11T00:00:00"/>
    <d v="2013-01-11T00:00:00"/>
    <x v="173"/>
  </r>
  <r>
    <n v="2394"/>
    <x v="33"/>
    <x v="1"/>
    <x v="6"/>
    <n v="0.49621527777777774"/>
    <s v="Shibor_3M"/>
    <n v="3.28"/>
    <n v="3.38"/>
    <n v="0"/>
    <d v="2012-07-11T00:00:00"/>
    <d v="2013-07-11T00:00:00"/>
    <x v="41"/>
  </r>
  <r>
    <n v="2395"/>
    <x v="33"/>
    <x v="7"/>
    <x v="1"/>
    <n v="0.49899305555555556"/>
    <s v="Shibor_3M"/>
    <n v="3.19"/>
    <n v="3.25"/>
    <n v="0"/>
    <d v="2012-07-11T00:00:00"/>
    <d v="2019-07-11T00:00:00"/>
    <x v="0"/>
  </r>
  <r>
    <n v="2396"/>
    <x v="33"/>
    <x v="5"/>
    <x v="1"/>
    <n v="0.4990046296296296"/>
    <s v="Shibor_3M"/>
    <n v="3.43"/>
    <n v="3.49"/>
    <n v="0"/>
    <d v="2012-07-11T00:00:00"/>
    <d v="2013-04-11T00:00:00"/>
    <x v="46"/>
  </r>
  <r>
    <n v="2397"/>
    <x v="33"/>
    <x v="11"/>
    <x v="1"/>
    <n v="0.49899305555555556"/>
    <s v="Shibor_3M"/>
    <n v="3.12"/>
    <n v="3.18"/>
    <n v="0"/>
    <d v="2012-07-11T00:00:00"/>
    <d v="2017-07-11T00:00:00"/>
    <x v="51"/>
  </r>
  <r>
    <n v="2398"/>
    <x v="33"/>
    <x v="6"/>
    <x v="2"/>
    <n v="0.48280092592592588"/>
    <s v="Shibor_3M"/>
    <n v="3.15"/>
    <n v="3.2"/>
    <n v="0"/>
    <d v="2012-07-11T00:00:00"/>
    <d v="2022-07-11T00:00:00"/>
    <x v="93"/>
  </r>
  <r>
    <n v="2399"/>
    <x v="33"/>
    <x v="1"/>
    <x v="2"/>
    <n v="0.48280092592592588"/>
    <s v="Shibor_3M"/>
    <n v="3.35"/>
    <n v="3.4"/>
    <n v="0"/>
    <d v="2012-07-11T00:00:00"/>
    <d v="2013-07-11T00:00:00"/>
    <x v="30"/>
  </r>
  <r>
    <n v="2400"/>
    <x v="33"/>
    <x v="11"/>
    <x v="2"/>
    <n v="0.48280092592592588"/>
    <s v="Shibor_3M"/>
    <n v="3.15"/>
    <n v="3.2"/>
    <n v="0"/>
    <d v="2012-07-11T00:00:00"/>
    <d v="2017-07-11T00:00:00"/>
    <x v="93"/>
  </r>
  <r>
    <n v="2401"/>
    <x v="33"/>
    <x v="0"/>
    <x v="3"/>
    <n v="0.48700231481481482"/>
    <s v="Shibor_3M"/>
    <n v="3.11"/>
    <n v="3.21"/>
    <n v="0"/>
    <d v="2012-07-11T00:00:00"/>
    <d v="2015-07-11T00:00:00"/>
    <x v="71"/>
  </r>
  <r>
    <n v="2402"/>
    <x v="33"/>
    <x v="4"/>
    <x v="3"/>
    <n v="0.48700231481481482"/>
    <s v="Shibor_3M"/>
    <n v="3.15"/>
    <n v="3.25"/>
    <n v="0"/>
    <d v="2012-07-11T00:00:00"/>
    <d v="2014-07-11T00:00:00"/>
    <x v="57"/>
  </r>
  <r>
    <n v="2403"/>
    <x v="33"/>
    <x v="0"/>
    <x v="2"/>
    <n v="0.48280092592592588"/>
    <s v="Shibor_3M"/>
    <n v="3.15"/>
    <n v="3.2"/>
    <n v="0"/>
    <d v="2012-07-11T00:00:00"/>
    <d v="2015-07-11T00:00:00"/>
    <x v="93"/>
  </r>
  <r>
    <n v="2404"/>
    <x v="33"/>
    <x v="7"/>
    <x v="2"/>
    <n v="0.48278935185185184"/>
    <s v="Shibor_3M"/>
    <n v="3.15"/>
    <n v="3.2"/>
    <n v="0"/>
    <d v="2012-07-11T00:00:00"/>
    <d v="2019-07-11T00:00:00"/>
    <x v="93"/>
  </r>
  <r>
    <n v="2405"/>
    <x v="33"/>
    <x v="2"/>
    <x v="2"/>
    <n v="0.48278935185185184"/>
    <s v="Shibor_3M"/>
    <n v="3.15"/>
    <n v="3.2"/>
    <n v="0"/>
    <d v="2012-07-11T00:00:00"/>
    <d v="2016-07-11T00:00:00"/>
    <x v="93"/>
  </r>
  <r>
    <n v="2406"/>
    <x v="33"/>
    <x v="8"/>
    <x v="2"/>
    <n v="0.48280092592592588"/>
    <s v="Shibor_3M"/>
    <n v="3.6"/>
    <n v="3.7"/>
    <n v="0"/>
    <d v="2012-07-11T00:00:00"/>
    <d v="2013-01-11T00:00:00"/>
    <x v="60"/>
  </r>
  <r>
    <n v="2407"/>
    <x v="33"/>
    <x v="5"/>
    <x v="2"/>
    <n v="0.48280092592592588"/>
    <s v="Shibor_3M"/>
    <n v="3.48"/>
    <n v="3.55"/>
    <n v="0"/>
    <d v="2012-07-11T00:00:00"/>
    <d v="2013-04-11T00:00:00"/>
    <x v="48"/>
  </r>
  <r>
    <n v="2408"/>
    <x v="33"/>
    <x v="4"/>
    <x v="2"/>
    <n v="0.48280092592592588"/>
    <s v="Shibor_3M"/>
    <n v="3.26"/>
    <n v="3.31"/>
    <n v="0"/>
    <d v="2012-07-11T00:00:00"/>
    <d v="2014-07-11T00:00:00"/>
    <x v="37"/>
  </r>
  <r>
    <n v="2409"/>
    <x v="33"/>
    <x v="5"/>
    <x v="2"/>
    <n v="0.48730324074074072"/>
    <s v="Shibor_3M"/>
    <n v="3.48"/>
    <n v="3.55"/>
    <n v="0"/>
    <d v="2012-07-11T00:00:00"/>
    <d v="2013-04-11T00:00:00"/>
    <x v="48"/>
  </r>
  <r>
    <n v="2410"/>
    <x v="33"/>
    <x v="7"/>
    <x v="2"/>
    <n v="0.48730324074074072"/>
    <s v="Shibor_3M"/>
    <n v="3.15"/>
    <n v="3.2"/>
    <n v="0"/>
    <d v="2012-07-11T00:00:00"/>
    <d v="2019-07-11T00:00:00"/>
    <x v="93"/>
  </r>
  <r>
    <n v="2411"/>
    <x v="33"/>
    <x v="0"/>
    <x v="2"/>
    <n v="0.48730324074074072"/>
    <s v="Shibor_3M"/>
    <n v="3.15"/>
    <n v="3.2"/>
    <n v="0"/>
    <d v="2012-07-11T00:00:00"/>
    <d v="2015-07-11T00:00:00"/>
    <x v="93"/>
  </r>
  <r>
    <n v="2412"/>
    <x v="33"/>
    <x v="6"/>
    <x v="2"/>
    <n v="0.48730324074074072"/>
    <s v="Shibor_3M"/>
    <n v="3.15"/>
    <n v="3.2"/>
    <n v="0"/>
    <d v="2012-07-11T00:00:00"/>
    <d v="2022-07-11T00:00:00"/>
    <x v="93"/>
  </r>
  <r>
    <n v="2413"/>
    <x v="33"/>
    <x v="1"/>
    <x v="2"/>
    <n v="0.48730324074074072"/>
    <s v="Shibor_3M"/>
    <n v="3.35"/>
    <n v="3.4"/>
    <n v="0"/>
    <d v="2012-07-11T00:00:00"/>
    <d v="2013-07-11T00:00:00"/>
    <x v="30"/>
  </r>
  <r>
    <n v="2414"/>
    <x v="33"/>
    <x v="2"/>
    <x v="2"/>
    <n v="0.48730324074074072"/>
    <s v="Shibor_3M"/>
    <n v="3.15"/>
    <n v="3.2"/>
    <n v="0"/>
    <d v="2012-07-11T00:00:00"/>
    <d v="2016-07-11T00:00:00"/>
    <x v="93"/>
  </r>
  <r>
    <n v="2415"/>
    <x v="33"/>
    <x v="1"/>
    <x v="3"/>
    <n v="0.48700231481481482"/>
    <s v="Shibor_3M"/>
    <n v="3.3"/>
    <n v="3.35"/>
    <n v="0"/>
    <d v="2012-07-11T00:00:00"/>
    <d v="2013-07-11T00:00:00"/>
    <x v="39"/>
  </r>
  <r>
    <n v="2416"/>
    <x v="33"/>
    <x v="2"/>
    <x v="3"/>
    <n v="0.48700231481481482"/>
    <s v="Shibor_3M"/>
    <n v="3.11"/>
    <n v="3.21"/>
    <n v="0"/>
    <d v="2012-07-11T00:00:00"/>
    <d v="2016-07-11T00:00:00"/>
    <x v="71"/>
  </r>
  <r>
    <n v="2417"/>
    <x v="33"/>
    <x v="8"/>
    <x v="3"/>
    <n v="0.48700231481481482"/>
    <s v="Shibor_3M"/>
    <n v="3.64"/>
    <n v="3.7"/>
    <n v="0"/>
    <d v="2012-07-11T00:00:00"/>
    <d v="2013-01-11T00:00:00"/>
    <x v="174"/>
  </r>
  <r>
    <n v="2418"/>
    <x v="33"/>
    <x v="5"/>
    <x v="3"/>
    <n v="0.48700231481481482"/>
    <s v="Shibor_3M"/>
    <n v="3.41"/>
    <n v="3.5"/>
    <n v="0"/>
    <d v="2012-07-11T00:00:00"/>
    <d v="2013-04-11T00:00:00"/>
    <x v="33"/>
  </r>
  <r>
    <n v="2419"/>
    <x v="33"/>
    <x v="11"/>
    <x v="3"/>
    <n v="0.48700231481481482"/>
    <s v="Shibor_3M"/>
    <n v="3.14"/>
    <n v="3.2"/>
    <n v="0"/>
    <d v="2012-07-11T00:00:00"/>
    <d v="2017-07-11T00:00:00"/>
    <x v="56"/>
  </r>
  <r>
    <n v="2420"/>
    <x v="33"/>
    <x v="0"/>
    <x v="16"/>
    <n v="0.60614583333333327"/>
    <s v="Shibor_3M"/>
    <n v="3.17"/>
    <n v="3.23"/>
    <n v="0"/>
    <d v="2012-07-11T00:00:00"/>
    <d v="2015-07-11T00:00:00"/>
    <x v="57"/>
  </r>
  <r>
    <n v="2421"/>
    <x v="33"/>
    <x v="5"/>
    <x v="1"/>
    <n v="0.67554398148148154"/>
    <s v="Shibor_3M"/>
    <n v="3.42"/>
    <n v="3.48"/>
    <n v="0"/>
    <d v="2012-07-11T00:00:00"/>
    <d v="2013-04-11T00:00:00"/>
    <x v="43"/>
  </r>
  <r>
    <n v="2422"/>
    <x v="33"/>
    <x v="11"/>
    <x v="1"/>
    <n v="0.67554398148148154"/>
    <s v="Shibor_3M"/>
    <n v="3.12"/>
    <n v="3.18"/>
    <n v="0"/>
    <d v="2012-07-11T00:00:00"/>
    <d v="2017-07-11T00:00:00"/>
    <x v="51"/>
  </r>
  <r>
    <n v="2423"/>
    <x v="33"/>
    <x v="4"/>
    <x v="1"/>
    <n v="0.67555555555555558"/>
    <s v="Shibor_3M"/>
    <n v="3.13"/>
    <n v="3.19"/>
    <n v="0"/>
    <d v="2012-07-11T00:00:00"/>
    <d v="2014-07-11T00:00:00"/>
    <x v="71"/>
  </r>
  <r>
    <n v="2424"/>
    <x v="33"/>
    <x v="2"/>
    <x v="1"/>
    <n v="0.67555555555555558"/>
    <s v="Shibor_3M"/>
    <n v="3.12"/>
    <n v="3.18"/>
    <n v="0"/>
    <d v="2012-07-11T00:00:00"/>
    <d v="2016-07-11T00:00:00"/>
    <x v="51"/>
  </r>
  <r>
    <n v="2425"/>
    <x v="33"/>
    <x v="0"/>
    <x v="1"/>
    <n v="0.67555555555555558"/>
    <s v="Shibor_3M"/>
    <n v="3.12"/>
    <n v="3.18"/>
    <n v="0"/>
    <d v="2012-07-11T00:00:00"/>
    <d v="2015-07-11T00:00:00"/>
    <x v="51"/>
  </r>
  <r>
    <n v="2426"/>
    <x v="33"/>
    <x v="7"/>
    <x v="1"/>
    <n v="0.67553240740740739"/>
    <s v="Shibor_3M"/>
    <n v="3.19"/>
    <n v="3.25"/>
    <n v="0"/>
    <d v="2012-07-11T00:00:00"/>
    <d v="2019-07-11T00:00:00"/>
    <x v="0"/>
  </r>
  <r>
    <n v="2427"/>
    <x v="33"/>
    <x v="1"/>
    <x v="3"/>
    <n v="0.67516203703703714"/>
    <s v="Shibor_3M"/>
    <n v="3.31"/>
    <n v="3.36"/>
    <n v="0"/>
    <d v="2012-07-11T00:00:00"/>
    <d v="2013-07-11T00:00:00"/>
    <x v="119"/>
  </r>
  <r>
    <n v="2428"/>
    <x v="33"/>
    <x v="2"/>
    <x v="3"/>
    <n v="0.67516203703703714"/>
    <s v="Shibor_3M"/>
    <n v="3.11"/>
    <n v="3.2"/>
    <n v="0"/>
    <d v="2012-07-11T00:00:00"/>
    <d v="2016-07-11T00:00:00"/>
    <x v="52"/>
  </r>
  <r>
    <n v="2429"/>
    <x v="33"/>
    <x v="4"/>
    <x v="3"/>
    <n v="0.67516203703703714"/>
    <s v="Shibor_3M"/>
    <n v="3.1"/>
    <n v="3.2"/>
    <n v="0"/>
    <d v="2012-07-11T00:00:00"/>
    <d v="2014-07-11T00:00:00"/>
    <x v="51"/>
  </r>
  <r>
    <n v="2430"/>
    <x v="33"/>
    <x v="8"/>
    <x v="1"/>
    <n v="0.67553240740740739"/>
    <s v="Shibor_3M"/>
    <n v="3.64"/>
    <n v="3.7"/>
    <n v="0"/>
    <d v="2012-07-11T00:00:00"/>
    <d v="2013-01-11T00:00:00"/>
    <x v="174"/>
  </r>
  <r>
    <n v="2431"/>
    <x v="33"/>
    <x v="0"/>
    <x v="3"/>
    <n v="0.67516203703703714"/>
    <s v="Shibor_3M"/>
    <n v="3.11"/>
    <n v="3.2"/>
    <n v="0"/>
    <d v="2012-07-11T00:00:00"/>
    <d v="2015-07-11T00:00:00"/>
    <x v="52"/>
  </r>
  <r>
    <n v="2432"/>
    <x v="33"/>
    <x v="11"/>
    <x v="2"/>
    <n v="0.68155092592592592"/>
    <s v="Shibor_3M"/>
    <n v="3.15"/>
    <n v="3.2"/>
    <n v="0"/>
    <d v="2012-07-11T00:00:00"/>
    <d v="2017-07-11T00:00:00"/>
    <x v="93"/>
  </r>
  <r>
    <n v="2433"/>
    <x v="33"/>
    <x v="6"/>
    <x v="2"/>
    <n v="0.68155092592592592"/>
    <s v="Shibor_3M"/>
    <n v="3.15"/>
    <n v="3.2"/>
    <n v="0"/>
    <d v="2012-07-11T00:00:00"/>
    <d v="2022-07-11T00:00:00"/>
    <x v="93"/>
  </r>
  <r>
    <n v="2434"/>
    <x v="33"/>
    <x v="2"/>
    <x v="2"/>
    <n v="0.68155092592592592"/>
    <s v="Shibor_3M"/>
    <n v="3.15"/>
    <n v="3.2"/>
    <n v="0"/>
    <d v="2012-07-11T00:00:00"/>
    <d v="2016-07-11T00:00:00"/>
    <x v="93"/>
  </r>
  <r>
    <n v="2435"/>
    <x v="33"/>
    <x v="8"/>
    <x v="2"/>
    <n v="0.68156250000000007"/>
    <s v="Shibor_3M"/>
    <n v="3.6"/>
    <n v="3.7"/>
    <n v="0"/>
    <d v="2012-07-11T00:00:00"/>
    <d v="2013-01-11T00:00:00"/>
    <x v="60"/>
  </r>
  <r>
    <n v="2436"/>
    <x v="33"/>
    <x v="4"/>
    <x v="2"/>
    <n v="0.68156250000000007"/>
    <s v="Shibor_3M"/>
    <n v="3.26"/>
    <n v="3.31"/>
    <n v="0"/>
    <d v="2012-07-11T00:00:00"/>
    <d v="2014-07-11T00:00:00"/>
    <x v="37"/>
  </r>
  <r>
    <n v="2437"/>
    <x v="33"/>
    <x v="1"/>
    <x v="2"/>
    <n v="0.68155092592592592"/>
    <s v="Shibor_3M"/>
    <n v="3.35"/>
    <n v="3.4"/>
    <n v="0"/>
    <d v="2012-07-11T00:00:00"/>
    <d v="2013-07-11T00:00:00"/>
    <x v="30"/>
  </r>
  <r>
    <n v="2438"/>
    <x v="33"/>
    <x v="1"/>
    <x v="1"/>
    <n v="0.67555555555555558"/>
    <s v="Shibor_3M"/>
    <n v="3.3"/>
    <n v="3.36"/>
    <n v="0"/>
    <d v="2012-07-11T00:00:00"/>
    <d v="2013-07-11T00:00:00"/>
    <x v="41"/>
  </r>
  <r>
    <n v="2439"/>
    <x v="33"/>
    <x v="6"/>
    <x v="1"/>
    <n v="0.67555555555555558"/>
    <s v="Shibor_3M"/>
    <n v="3.24"/>
    <n v="3.3"/>
    <n v="0"/>
    <d v="2012-07-11T00:00:00"/>
    <d v="2022-07-11T00:00:00"/>
    <x v="25"/>
  </r>
  <r>
    <n v="2440"/>
    <x v="33"/>
    <x v="7"/>
    <x v="2"/>
    <n v="0.68155092592592592"/>
    <s v="Shibor_3M"/>
    <n v="3.15"/>
    <n v="3.2"/>
    <n v="0"/>
    <d v="2012-07-11T00:00:00"/>
    <d v="2019-07-11T00:00:00"/>
    <x v="93"/>
  </r>
  <r>
    <n v="2441"/>
    <x v="33"/>
    <x v="0"/>
    <x v="2"/>
    <n v="0.68155092592592592"/>
    <s v="Shibor_3M"/>
    <n v="3.15"/>
    <n v="3.2"/>
    <n v="0"/>
    <d v="2012-07-11T00:00:00"/>
    <d v="2015-07-11T00:00:00"/>
    <x v="93"/>
  </r>
  <r>
    <n v="2442"/>
    <x v="33"/>
    <x v="5"/>
    <x v="2"/>
    <n v="0.68155092592592592"/>
    <s v="Shibor_3M"/>
    <n v="3.48"/>
    <n v="3.55"/>
    <n v="0"/>
    <d v="2012-07-11T00:00:00"/>
    <d v="2013-04-11T00:00:00"/>
    <x v="48"/>
  </r>
  <r>
    <n v="2443"/>
    <x v="33"/>
    <x v="3"/>
    <x v="16"/>
    <n v="0.60615740740740742"/>
    <s v="Shibor_3M"/>
    <n v="3.2450000000000001"/>
    <n v="3.3050000000000002"/>
    <n v="0"/>
    <d v="2012-07-11T00:00:00"/>
    <d v="2021-07-11T00:00:00"/>
    <x v="156"/>
  </r>
  <r>
    <n v="2444"/>
    <x v="33"/>
    <x v="11"/>
    <x v="16"/>
    <n v="0.60615740740740742"/>
    <s v="Shibor_3M"/>
    <n v="3.19"/>
    <n v="3.25"/>
    <n v="0"/>
    <d v="2012-07-11T00:00:00"/>
    <d v="2017-07-11T00:00:00"/>
    <x v="0"/>
  </r>
  <r>
    <n v="2445"/>
    <x v="33"/>
    <x v="8"/>
    <x v="16"/>
    <n v="0.60615740740740742"/>
    <s v="Shibor_3M"/>
    <n v="3.63"/>
    <n v="3.73"/>
    <n v="0"/>
    <d v="2012-07-11T00:00:00"/>
    <d v="2013-01-11T00:00:00"/>
    <x v="173"/>
  </r>
  <r>
    <n v="2446"/>
    <x v="33"/>
    <x v="5"/>
    <x v="6"/>
    <n v="0.67162037037037037"/>
    <s v="Shibor_3M"/>
    <n v="3.42"/>
    <n v="3.52"/>
    <n v="0"/>
    <d v="2012-07-11T00:00:00"/>
    <d v="2013-04-11T00:00:00"/>
    <x v="4"/>
  </r>
  <r>
    <n v="2447"/>
    <x v="33"/>
    <x v="4"/>
    <x v="16"/>
    <n v="0.60615740740740742"/>
    <s v="Shibor_3M"/>
    <n v="3.17"/>
    <n v="3.23"/>
    <n v="0"/>
    <d v="2012-07-11T00:00:00"/>
    <d v="2014-07-11T00:00:00"/>
    <x v="57"/>
  </r>
  <r>
    <n v="2448"/>
    <x v="33"/>
    <x v="9"/>
    <x v="16"/>
    <n v="0.60615740740740742"/>
    <s v="Shibor_3M"/>
    <n v="3.21"/>
    <n v="3.27"/>
    <n v="0"/>
    <d v="2012-07-11T00:00:00"/>
    <d v="2018-07-11T00:00:00"/>
    <x v="10"/>
  </r>
  <r>
    <n v="2449"/>
    <x v="33"/>
    <x v="6"/>
    <x v="16"/>
    <n v="0.60614583333333327"/>
    <s v="Shibor_3M"/>
    <n v="3.25"/>
    <n v="3.31"/>
    <n v="0"/>
    <d v="2012-07-11T00:00:00"/>
    <d v="2022-07-11T00:00:00"/>
    <x v="9"/>
  </r>
  <r>
    <n v="2450"/>
    <x v="33"/>
    <x v="1"/>
    <x v="16"/>
    <n v="0.60614583333333327"/>
    <s v="Shibor_3M"/>
    <n v="3.36"/>
    <n v="3.42"/>
    <n v="0"/>
    <d v="2012-07-11T00:00:00"/>
    <d v="2013-07-11T00:00:00"/>
    <x v="59"/>
  </r>
  <r>
    <n v="2451"/>
    <x v="33"/>
    <x v="2"/>
    <x v="16"/>
    <n v="0.60614583333333327"/>
    <s v="Shibor_3M"/>
    <n v="3.18"/>
    <n v="3.24"/>
    <n v="0"/>
    <d v="2012-07-11T00:00:00"/>
    <d v="2016-07-11T00:00:00"/>
    <x v="88"/>
  </r>
  <r>
    <n v="2452"/>
    <x v="33"/>
    <x v="7"/>
    <x v="16"/>
    <n v="0.60614583333333327"/>
    <s v="Shibor_3M"/>
    <n v="3.23"/>
    <n v="3.29"/>
    <n v="0"/>
    <d v="2012-07-11T00:00:00"/>
    <d v="2019-07-11T00:00:00"/>
    <x v="16"/>
  </r>
  <r>
    <n v="2453"/>
    <x v="33"/>
    <x v="10"/>
    <x v="16"/>
    <n v="0.60614583333333327"/>
    <s v="Shibor_3M"/>
    <n v="3.24"/>
    <n v="3.3"/>
    <n v="0"/>
    <d v="2012-07-11T00:00:00"/>
    <d v="2020-07-11T00:00:00"/>
    <x v="25"/>
  </r>
  <r>
    <n v="2454"/>
    <x v="33"/>
    <x v="6"/>
    <x v="6"/>
    <n v="0.67164351851851845"/>
    <s v="Shibor_3M"/>
    <n v="3.22"/>
    <n v="3.32"/>
    <n v="0"/>
    <d v="2012-07-11T00:00:00"/>
    <d v="2022-07-11T00:00:00"/>
    <x v="25"/>
  </r>
  <r>
    <n v="2455"/>
    <x v="33"/>
    <x v="1"/>
    <x v="6"/>
    <n v="0.67164351851851845"/>
    <s v="Shibor_3M"/>
    <n v="3.28"/>
    <n v="3.38"/>
    <n v="0"/>
    <d v="2012-07-11T00:00:00"/>
    <d v="2013-07-11T00:00:00"/>
    <x v="41"/>
  </r>
  <r>
    <n v="2456"/>
    <x v="33"/>
    <x v="8"/>
    <x v="3"/>
    <n v="0.67515046296296299"/>
    <s v="Shibor_3M"/>
    <n v="3.64"/>
    <n v="3.7"/>
    <n v="0"/>
    <d v="2012-07-11T00:00:00"/>
    <d v="2013-01-11T00:00:00"/>
    <x v="174"/>
  </r>
  <r>
    <n v="2457"/>
    <x v="33"/>
    <x v="5"/>
    <x v="3"/>
    <n v="0.67515046296296299"/>
    <s v="Shibor_3M"/>
    <n v="3.42"/>
    <n v="3.5"/>
    <n v="0"/>
    <d v="2012-07-11T00:00:00"/>
    <d v="2013-04-11T00:00:00"/>
    <x v="46"/>
  </r>
  <r>
    <n v="2458"/>
    <x v="33"/>
    <x v="11"/>
    <x v="3"/>
    <n v="0.67515046296296299"/>
    <s v="Shibor_3M"/>
    <n v="3.06"/>
    <n v="3.16"/>
    <n v="0"/>
    <d v="2012-07-11T00:00:00"/>
    <d v="2017-07-11T00:00:00"/>
    <x v="50"/>
  </r>
  <r>
    <n v="2459"/>
    <x v="33"/>
    <x v="4"/>
    <x v="6"/>
    <n v="0.67164351851851845"/>
    <s v="Shibor_3M"/>
    <n v="3.12"/>
    <n v="3.22"/>
    <n v="0"/>
    <d v="2012-07-11T00:00:00"/>
    <d v="2014-07-11T00:00:00"/>
    <x v="56"/>
  </r>
  <r>
    <n v="2460"/>
    <x v="33"/>
    <x v="8"/>
    <x v="6"/>
    <n v="0.67164351851851845"/>
    <s v="Shibor_3M"/>
    <n v="3.64"/>
    <n v="3.74"/>
    <n v="0"/>
    <d v="2012-07-11T00:00:00"/>
    <d v="2013-01-11T00:00:00"/>
    <x v="172"/>
  </r>
  <r>
    <n v="2461"/>
    <x v="33"/>
    <x v="7"/>
    <x v="6"/>
    <n v="0.67163194444444452"/>
    <s v="Shibor_3M"/>
    <n v="3.17"/>
    <n v="3.27"/>
    <n v="0"/>
    <d v="2012-07-11T00:00:00"/>
    <d v="2019-07-11T00:00:00"/>
    <x v="0"/>
  </r>
  <r>
    <n v="2462"/>
    <x v="33"/>
    <x v="11"/>
    <x v="6"/>
    <n v="0.67164351851851845"/>
    <s v="Shibor_3M"/>
    <n v="3.1"/>
    <n v="3.2"/>
    <n v="0"/>
    <d v="2012-07-11T00:00:00"/>
    <d v="2017-07-11T00:00:00"/>
    <x v="51"/>
  </r>
  <r>
    <n v="2463"/>
    <x v="33"/>
    <x v="0"/>
    <x v="6"/>
    <n v="0.67164351851851845"/>
    <s v="Shibor_3M"/>
    <n v="3.1"/>
    <n v="3.2"/>
    <n v="0"/>
    <d v="2012-07-11T00:00:00"/>
    <d v="2015-07-11T00:00:00"/>
    <x v="51"/>
  </r>
  <r>
    <n v="2464"/>
    <x v="33"/>
    <x v="2"/>
    <x v="6"/>
    <n v="0.67164351851851845"/>
    <s v="Shibor_3M"/>
    <n v="3.1"/>
    <n v="3.2"/>
    <n v="0"/>
    <d v="2012-07-11T00:00:00"/>
    <d v="2016-07-11T00:00:00"/>
    <x v="51"/>
  </r>
  <r>
    <n v="2465"/>
    <x v="34"/>
    <x v="0"/>
    <x v="3"/>
    <n v="0.48736111111111113"/>
    <s v="Shibor_3M"/>
    <n v="3.11"/>
    <n v="3.21"/>
    <n v="0"/>
    <d v="2012-07-10T00:00:00"/>
    <d v="2015-07-10T00:00:00"/>
    <x v="71"/>
  </r>
  <r>
    <n v="2466"/>
    <x v="34"/>
    <x v="4"/>
    <x v="3"/>
    <n v="0.48736111111111113"/>
    <s v="Shibor_3M"/>
    <n v="3.12"/>
    <n v="3.22"/>
    <n v="0"/>
    <d v="2012-07-10T00:00:00"/>
    <d v="2014-07-10T00:00:00"/>
    <x v="56"/>
  </r>
  <r>
    <n v="2467"/>
    <x v="34"/>
    <x v="1"/>
    <x v="3"/>
    <n v="0.48737268518518517"/>
    <s v="Shibor_3M"/>
    <n v="3.3"/>
    <n v="3.35"/>
    <n v="0"/>
    <d v="2012-07-10T00:00:00"/>
    <d v="2013-07-10T00:00:00"/>
    <x v="39"/>
  </r>
  <r>
    <n v="2468"/>
    <x v="34"/>
    <x v="2"/>
    <x v="3"/>
    <n v="0.48736111111111113"/>
    <s v="Shibor_3M"/>
    <n v="3.11"/>
    <n v="3.2"/>
    <n v="0"/>
    <d v="2012-07-10T00:00:00"/>
    <d v="2016-07-10T00:00:00"/>
    <x v="52"/>
  </r>
  <r>
    <n v="2469"/>
    <x v="34"/>
    <x v="8"/>
    <x v="3"/>
    <n v="0.487337962962963"/>
    <s v="Shibor_3M"/>
    <n v="3.67"/>
    <n v="3.71"/>
    <n v="0"/>
    <d v="2012-07-10T00:00:00"/>
    <d v="2013-01-10T00:00:00"/>
    <x v="175"/>
  </r>
  <r>
    <n v="2470"/>
    <x v="34"/>
    <x v="4"/>
    <x v="2"/>
    <n v="0.48403935185185182"/>
    <s v="Shibor_3M"/>
    <n v="3.26"/>
    <n v="3.31"/>
    <n v="0"/>
    <d v="2012-07-10T00:00:00"/>
    <d v="2014-07-10T00:00:00"/>
    <x v="37"/>
  </r>
  <r>
    <n v="2471"/>
    <x v="34"/>
    <x v="5"/>
    <x v="3"/>
    <n v="0.48734953703703704"/>
    <s v="Shibor_3M"/>
    <n v="3.41"/>
    <n v="3.48"/>
    <n v="0"/>
    <d v="2012-07-10T00:00:00"/>
    <d v="2013-04-10T00:00:00"/>
    <x v="176"/>
  </r>
  <r>
    <n v="2472"/>
    <x v="34"/>
    <x v="11"/>
    <x v="3"/>
    <n v="0.48734953703703704"/>
    <s v="Shibor_3M"/>
    <n v="3.14"/>
    <n v="3.21"/>
    <n v="0"/>
    <d v="2012-07-10T00:00:00"/>
    <d v="2017-07-10T00:00:00"/>
    <x v="93"/>
  </r>
  <r>
    <n v="2473"/>
    <x v="34"/>
    <x v="7"/>
    <x v="6"/>
    <n v="0.49060185185185184"/>
    <s v="Shibor_3M"/>
    <n v="3.18"/>
    <n v="3.28"/>
    <n v="0"/>
    <d v="2012-07-10T00:00:00"/>
    <d v="2019-07-10T00:00:00"/>
    <x v="40"/>
  </r>
  <r>
    <n v="2474"/>
    <x v="34"/>
    <x v="1"/>
    <x v="6"/>
    <n v="0.49060185185185184"/>
    <s v="Shibor_3M"/>
    <n v="3.29"/>
    <n v="3.39"/>
    <n v="0"/>
    <d v="2012-07-10T00:00:00"/>
    <d v="2013-07-10T00:00:00"/>
    <x v="5"/>
  </r>
  <r>
    <n v="2475"/>
    <x v="34"/>
    <x v="4"/>
    <x v="6"/>
    <n v="0.49060185185185184"/>
    <s v="Shibor_3M"/>
    <n v="3.13"/>
    <n v="3.23"/>
    <n v="0"/>
    <d v="2012-07-10T00:00:00"/>
    <d v="2014-07-10T00:00:00"/>
    <x v="49"/>
  </r>
  <r>
    <n v="2476"/>
    <x v="34"/>
    <x v="5"/>
    <x v="6"/>
    <n v="0.49060185185185184"/>
    <s v="Shibor_3M"/>
    <n v="3.43"/>
    <n v="3.53"/>
    <n v="0"/>
    <d v="2012-07-10T00:00:00"/>
    <d v="2013-04-10T00:00:00"/>
    <x v="18"/>
  </r>
  <r>
    <n v="2477"/>
    <x v="34"/>
    <x v="6"/>
    <x v="6"/>
    <n v="0.49060185185185184"/>
    <s v="Shibor_3M"/>
    <n v="3.23"/>
    <n v="3.33"/>
    <n v="0"/>
    <d v="2012-07-10T00:00:00"/>
    <d v="2022-07-10T00:00:00"/>
    <x v="9"/>
  </r>
  <r>
    <n v="2478"/>
    <x v="34"/>
    <x v="11"/>
    <x v="6"/>
    <n v="0.49060185185185184"/>
    <s v="Shibor_3M"/>
    <n v="3.11"/>
    <n v="3.21"/>
    <n v="0"/>
    <d v="2012-07-10T00:00:00"/>
    <d v="2017-07-10T00:00:00"/>
    <x v="71"/>
  </r>
  <r>
    <n v="2479"/>
    <x v="34"/>
    <x v="8"/>
    <x v="6"/>
    <n v="0.49060185185185184"/>
    <s v="Shibor_3M"/>
    <n v="3.63"/>
    <n v="3.73"/>
    <n v="0"/>
    <d v="2012-07-10T00:00:00"/>
    <d v="2013-01-10T00:00:00"/>
    <x v="173"/>
  </r>
  <r>
    <n v="2480"/>
    <x v="34"/>
    <x v="0"/>
    <x v="6"/>
    <n v="0.49060185185185184"/>
    <s v="Shibor_3M"/>
    <n v="3.11"/>
    <n v="3.21"/>
    <n v="0"/>
    <d v="2012-07-10T00:00:00"/>
    <d v="2015-07-10T00:00:00"/>
    <x v="71"/>
  </r>
  <r>
    <n v="2481"/>
    <x v="34"/>
    <x v="2"/>
    <x v="6"/>
    <n v="0.49060185185185184"/>
    <s v="Shibor_3M"/>
    <n v="3.11"/>
    <n v="3.21"/>
    <n v="0"/>
    <d v="2012-07-10T00:00:00"/>
    <d v="2016-07-10T00:00:00"/>
    <x v="71"/>
  </r>
  <r>
    <n v="2482"/>
    <x v="34"/>
    <x v="8"/>
    <x v="17"/>
    <n v="0.47759259259259257"/>
    <s v="Shibor_3M"/>
    <n v="3.65"/>
    <n v="3.7"/>
    <n v="0"/>
    <d v="2012-07-10T00:00:00"/>
    <d v="2013-01-10T00:00:00"/>
    <x v="177"/>
  </r>
  <r>
    <n v="2483"/>
    <x v="34"/>
    <x v="6"/>
    <x v="17"/>
    <n v="0.47759259259259257"/>
    <s v="Shibor_3M"/>
    <n v="3.31"/>
    <n v="3.43"/>
    <n v="0"/>
    <d v="2012-07-10T00:00:00"/>
    <d v="2022-07-10T00:00:00"/>
    <x v="19"/>
  </r>
  <r>
    <n v="2484"/>
    <x v="34"/>
    <x v="1"/>
    <x v="17"/>
    <n v="0.47759259259259257"/>
    <s v="Shibor_3M"/>
    <n v="3.32"/>
    <n v="3.38"/>
    <n v="0"/>
    <d v="2012-07-10T00:00:00"/>
    <d v="2013-07-10T00:00:00"/>
    <x v="1"/>
  </r>
  <r>
    <n v="2485"/>
    <x v="34"/>
    <x v="5"/>
    <x v="17"/>
    <n v="0.47759259259259257"/>
    <s v="Shibor_3M"/>
    <n v="3.43"/>
    <n v="3.51"/>
    <n v="0"/>
    <d v="2012-07-10T00:00:00"/>
    <d v="2013-04-10T00:00:00"/>
    <x v="4"/>
  </r>
  <r>
    <n v="2486"/>
    <x v="34"/>
    <x v="2"/>
    <x v="17"/>
    <n v="0.47759259259259257"/>
    <s v="Shibor_3M"/>
    <n v="3.1"/>
    <n v="3.17"/>
    <n v="0"/>
    <d v="2012-07-10T00:00:00"/>
    <d v="2016-07-10T00:00:00"/>
    <x v="53"/>
  </r>
  <r>
    <n v="2487"/>
    <x v="34"/>
    <x v="0"/>
    <x v="17"/>
    <n v="0.47759259259259257"/>
    <s v="Shibor_3M"/>
    <n v="3.12"/>
    <n v="3.18"/>
    <n v="0"/>
    <d v="2012-07-10T00:00:00"/>
    <d v="2015-07-10T00:00:00"/>
    <x v="51"/>
  </r>
  <r>
    <n v="2488"/>
    <x v="34"/>
    <x v="7"/>
    <x v="17"/>
    <n v="0.47759259259259257"/>
    <s v="Shibor_3M"/>
    <n v="3.25"/>
    <n v="3.38"/>
    <n v="0"/>
    <d v="2012-07-10T00:00:00"/>
    <d v="2019-07-10T00:00:00"/>
    <x v="34"/>
  </r>
  <r>
    <n v="2489"/>
    <x v="34"/>
    <x v="11"/>
    <x v="17"/>
    <n v="0.47759259259259257"/>
    <s v="Shibor_3M"/>
    <n v="3.13"/>
    <n v="3.18"/>
    <n v="0"/>
    <d v="2012-07-10T00:00:00"/>
    <d v="2017-07-10T00:00:00"/>
    <x v="52"/>
  </r>
  <r>
    <n v="2490"/>
    <x v="34"/>
    <x v="4"/>
    <x v="17"/>
    <n v="0.47759259259259257"/>
    <s v="Shibor_3M"/>
    <n v="3.12"/>
    <n v="3.2"/>
    <n v="0"/>
    <d v="2012-07-10T00:00:00"/>
    <d v="2014-07-10T00:00:00"/>
    <x v="71"/>
  </r>
  <r>
    <n v="2491"/>
    <x v="34"/>
    <x v="8"/>
    <x v="2"/>
    <n v="0.48402777777777778"/>
    <s v="Shibor_3M"/>
    <n v="3.6"/>
    <n v="3.7"/>
    <n v="0"/>
    <d v="2012-07-10T00:00:00"/>
    <d v="2013-01-10T00:00:00"/>
    <x v="60"/>
  </r>
  <r>
    <n v="2492"/>
    <x v="34"/>
    <x v="11"/>
    <x v="2"/>
    <n v="0.48402777777777778"/>
    <s v="Shibor_3M"/>
    <n v="3.15"/>
    <n v="3.2"/>
    <n v="0"/>
    <d v="2012-07-10T00:00:00"/>
    <d v="2017-07-10T00:00:00"/>
    <x v="93"/>
  </r>
  <r>
    <n v="2493"/>
    <x v="34"/>
    <x v="0"/>
    <x v="2"/>
    <n v="0.48402777777777778"/>
    <s v="Shibor_3M"/>
    <n v="3.15"/>
    <n v="3.2"/>
    <n v="0"/>
    <d v="2012-07-10T00:00:00"/>
    <d v="2015-07-10T00:00:00"/>
    <x v="93"/>
  </r>
  <r>
    <n v="2494"/>
    <x v="34"/>
    <x v="5"/>
    <x v="2"/>
    <n v="0.48402777777777778"/>
    <s v="Shibor_3M"/>
    <n v="3.48"/>
    <n v="3.55"/>
    <n v="0"/>
    <d v="2012-07-10T00:00:00"/>
    <d v="2013-04-10T00:00:00"/>
    <x v="48"/>
  </r>
  <r>
    <n v="2495"/>
    <x v="34"/>
    <x v="7"/>
    <x v="2"/>
    <n v="0.48401620370370368"/>
    <s v="Shibor_3M"/>
    <n v="3.15"/>
    <n v="3.2"/>
    <n v="0"/>
    <d v="2012-07-10T00:00:00"/>
    <d v="2019-07-10T00:00:00"/>
    <x v="93"/>
  </r>
  <r>
    <n v="2496"/>
    <x v="34"/>
    <x v="2"/>
    <x v="2"/>
    <n v="0.48401620370370368"/>
    <s v="Shibor_3M"/>
    <n v="3.15"/>
    <n v="3.2"/>
    <n v="0"/>
    <d v="2012-07-10T00:00:00"/>
    <d v="2016-07-10T00:00:00"/>
    <x v="93"/>
  </r>
  <r>
    <n v="2497"/>
    <x v="34"/>
    <x v="6"/>
    <x v="2"/>
    <n v="0.48402777777777778"/>
    <s v="Shibor_3M"/>
    <n v="3.15"/>
    <n v="3.2"/>
    <n v="0"/>
    <d v="2012-07-10T00:00:00"/>
    <d v="2022-07-10T00:00:00"/>
    <x v="93"/>
  </r>
  <r>
    <n v="2498"/>
    <x v="34"/>
    <x v="1"/>
    <x v="2"/>
    <n v="0.48402777777777778"/>
    <s v="Shibor_3M"/>
    <n v="3.35"/>
    <n v="3.4"/>
    <n v="0"/>
    <d v="2012-07-10T00:00:00"/>
    <d v="2013-07-10T00:00:00"/>
    <x v="30"/>
  </r>
  <r>
    <n v="2499"/>
    <x v="34"/>
    <x v="0"/>
    <x v="3"/>
    <n v="0.67444444444444451"/>
    <s v="Shibor_3M"/>
    <n v="3.11"/>
    <n v="3.21"/>
    <n v="0"/>
    <d v="2012-07-10T00:00:00"/>
    <d v="2015-07-10T00:00:00"/>
    <x v="71"/>
  </r>
  <r>
    <n v="2500"/>
    <x v="34"/>
    <x v="11"/>
    <x v="3"/>
    <n v="0.67443287037037036"/>
    <s v="Shibor_3M"/>
    <n v="3.1"/>
    <n v="3.2"/>
    <n v="0"/>
    <d v="2012-07-10T00:00:00"/>
    <d v="2017-07-10T00:00:00"/>
    <x v="51"/>
  </r>
  <r>
    <n v="2501"/>
    <x v="34"/>
    <x v="1"/>
    <x v="3"/>
    <n v="0.67444444444444451"/>
    <s v="Shibor_3M"/>
    <n v="3.32"/>
    <n v="3.38"/>
    <n v="0"/>
    <d v="2012-07-10T00:00:00"/>
    <d v="2013-07-10T00:00:00"/>
    <x v="1"/>
  </r>
  <r>
    <n v="2502"/>
    <x v="34"/>
    <x v="2"/>
    <x v="3"/>
    <n v="0.67444444444444451"/>
    <s v="Shibor_3M"/>
    <n v="3.1"/>
    <n v="3.2"/>
    <n v="0"/>
    <d v="2012-07-10T00:00:00"/>
    <d v="2016-07-10T00:00:00"/>
    <x v="51"/>
  </r>
  <r>
    <n v="2503"/>
    <x v="34"/>
    <x v="5"/>
    <x v="3"/>
    <n v="0.67443287037037036"/>
    <s v="Shibor_3M"/>
    <n v="3.43"/>
    <n v="3.53"/>
    <n v="0"/>
    <d v="2012-07-10T00:00:00"/>
    <d v="2013-04-10T00:00:00"/>
    <x v="18"/>
  </r>
  <r>
    <n v="2504"/>
    <x v="34"/>
    <x v="4"/>
    <x v="2"/>
    <n v="0.67327546296296292"/>
    <s v="Shibor_3M"/>
    <n v="3.26"/>
    <n v="3.31"/>
    <n v="0"/>
    <d v="2012-07-10T00:00:00"/>
    <d v="2014-07-10T00:00:00"/>
    <x v="37"/>
  </r>
  <r>
    <n v="2505"/>
    <x v="34"/>
    <x v="8"/>
    <x v="3"/>
    <n v="0.67443287037037036"/>
    <s v="Shibor_3M"/>
    <n v="3.65"/>
    <n v="3.75"/>
    <n v="0"/>
    <d v="2012-07-10T00:00:00"/>
    <d v="2013-01-10T00:00:00"/>
    <x v="178"/>
  </r>
  <r>
    <n v="2506"/>
    <x v="34"/>
    <x v="4"/>
    <x v="3"/>
    <n v="0.67443287037037036"/>
    <s v="Shibor_3M"/>
    <n v="3.13"/>
    <n v="3.23"/>
    <n v="0"/>
    <d v="2012-07-10T00:00:00"/>
    <d v="2014-07-10T00:00:00"/>
    <x v="49"/>
  </r>
  <r>
    <n v="2507"/>
    <x v="34"/>
    <x v="5"/>
    <x v="6"/>
    <n v="0.68603009259259251"/>
    <s v="Shibor_3M"/>
    <n v="3.43"/>
    <n v="3.53"/>
    <n v="0"/>
    <d v="2012-07-10T00:00:00"/>
    <d v="2013-04-10T00:00:00"/>
    <x v="18"/>
  </r>
  <r>
    <n v="2508"/>
    <x v="34"/>
    <x v="4"/>
    <x v="6"/>
    <n v="0.68603009259259251"/>
    <s v="Shibor_3M"/>
    <n v="3.13"/>
    <n v="3.23"/>
    <n v="0"/>
    <d v="2012-07-10T00:00:00"/>
    <d v="2014-07-10T00:00:00"/>
    <x v="49"/>
  </r>
  <r>
    <n v="2509"/>
    <x v="34"/>
    <x v="0"/>
    <x v="6"/>
    <n v="0.68603009259259251"/>
    <s v="Shibor_3M"/>
    <n v="3.11"/>
    <n v="3.21"/>
    <n v="0"/>
    <d v="2012-07-10T00:00:00"/>
    <d v="2015-07-10T00:00:00"/>
    <x v="71"/>
  </r>
  <r>
    <n v="2510"/>
    <x v="34"/>
    <x v="6"/>
    <x v="6"/>
    <n v="0.68603009259259251"/>
    <s v="Shibor_3M"/>
    <n v="3.23"/>
    <n v="3.33"/>
    <n v="0"/>
    <d v="2012-07-10T00:00:00"/>
    <d v="2022-07-10T00:00:00"/>
    <x v="9"/>
  </r>
  <r>
    <n v="2511"/>
    <x v="34"/>
    <x v="1"/>
    <x v="6"/>
    <n v="0.68603009259259251"/>
    <s v="Shibor_3M"/>
    <n v="3.29"/>
    <n v="3.39"/>
    <n v="0"/>
    <d v="2012-07-10T00:00:00"/>
    <d v="2013-07-10T00:00:00"/>
    <x v="5"/>
  </r>
  <r>
    <n v="2512"/>
    <x v="34"/>
    <x v="8"/>
    <x v="6"/>
    <n v="0.68603009259259251"/>
    <s v="Shibor_3M"/>
    <n v="3.65"/>
    <n v="3.75"/>
    <n v="0"/>
    <d v="2012-07-10T00:00:00"/>
    <d v="2013-01-10T00:00:00"/>
    <x v="178"/>
  </r>
  <r>
    <n v="2513"/>
    <x v="34"/>
    <x v="7"/>
    <x v="6"/>
    <n v="0.68603009259259251"/>
    <s v="Shibor_3M"/>
    <n v="3.18"/>
    <n v="3.28"/>
    <n v="0"/>
    <d v="2012-07-10T00:00:00"/>
    <d v="2019-07-10T00:00:00"/>
    <x v="40"/>
  </r>
  <r>
    <n v="2514"/>
    <x v="34"/>
    <x v="2"/>
    <x v="6"/>
    <n v="0.68603009259259251"/>
    <s v="Shibor_3M"/>
    <n v="3.11"/>
    <n v="3.21"/>
    <n v="0"/>
    <d v="2012-07-10T00:00:00"/>
    <d v="2016-07-10T00:00:00"/>
    <x v="71"/>
  </r>
  <r>
    <n v="2515"/>
    <x v="34"/>
    <x v="11"/>
    <x v="6"/>
    <n v="0.68603009259259251"/>
    <s v="Shibor_3M"/>
    <n v="3.11"/>
    <n v="3.21"/>
    <n v="0"/>
    <d v="2012-07-10T00:00:00"/>
    <d v="2017-07-10T00:00:00"/>
    <x v="71"/>
  </r>
  <r>
    <n v="2516"/>
    <x v="34"/>
    <x v="0"/>
    <x v="1"/>
    <n v="0.49429398148148151"/>
    <s v="Shibor_3M"/>
    <n v="3.14"/>
    <n v="3.2"/>
    <n v="0"/>
    <d v="2012-07-10T00:00:00"/>
    <d v="2015-07-10T00:00:00"/>
    <x v="56"/>
  </r>
  <r>
    <n v="2517"/>
    <x v="34"/>
    <x v="4"/>
    <x v="1"/>
    <n v="0.49429398148148151"/>
    <s v="Shibor_3M"/>
    <n v="3.15"/>
    <n v="3.21"/>
    <n v="0"/>
    <d v="2012-07-10T00:00:00"/>
    <d v="2014-07-10T00:00:00"/>
    <x v="49"/>
  </r>
  <r>
    <n v="2518"/>
    <x v="34"/>
    <x v="6"/>
    <x v="1"/>
    <n v="0.49430555555555555"/>
    <s v="Shibor_3M"/>
    <n v="3.25"/>
    <n v="3.31"/>
    <n v="0"/>
    <d v="2012-07-10T00:00:00"/>
    <d v="2022-07-10T00:00:00"/>
    <x v="9"/>
  </r>
  <r>
    <n v="2519"/>
    <x v="34"/>
    <x v="2"/>
    <x v="1"/>
    <n v="0.49430555555555555"/>
    <s v="Shibor_3M"/>
    <n v="3.14"/>
    <n v="3.2"/>
    <n v="0"/>
    <d v="2012-07-10T00:00:00"/>
    <d v="2016-07-10T00:00:00"/>
    <x v="56"/>
  </r>
  <r>
    <n v="2520"/>
    <x v="34"/>
    <x v="7"/>
    <x v="1"/>
    <n v="0.49429398148148151"/>
    <s v="Shibor_3M"/>
    <n v="3.21"/>
    <n v="3.27"/>
    <n v="0"/>
    <d v="2012-07-10T00:00:00"/>
    <d v="2019-07-10T00:00:00"/>
    <x v="10"/>
  </r>
  <r>
    <n v="2521"/>
    <x v="34"/>
    <x v="8"/>
    <x v="1"/>
    <n v="0.49429398148148151"/>
    <s v="Shibor_3M"/>
    <n v="3.65"/>
    <n v="3.71"/>
    <n v="0"/>
    <d v="2012-07-10T00:00:00"/>
    <d v="2013-01-10T00:00:00"/>
    <x v="173"/>
  </r>
  <r>
    <n v="2522"/>
    <x v="34"/>
    <x v="5"/>
    <x v="1"/>
    <n v="0.49429398148148151"/>
    <s v="Shibor_3M"/>
    <n v="3.47"/>
    <n v="3.53"/>
    <n v="0"/>
    <d v="2012-07-10T00:00:00"/>
    <d v="2013-04-10T00:00:00"/>
    <x v="13"/>
  </r>
  <r>
    <n v="2523"/>
    <x v="34"/>
    <x v="11"/>
    <x v="1"/>
    <n v="0.49429398148148151"/>
    <s v="Shibor_3M"/>
    <n v="3.14"/>
    <n v="3.2"/>
    <n v="0"/>
    <d v="2012-07-10T00:00:00"/>
    <d v="2017-07-10T00:00:00"/>
    <x v="56"/>
  </r>
  <r>
    <n v="2524"/>
    <x v="34"/>
    <x v="1"/>
    <x v="1"/>
    <n v="0.49430555555555555"/>
    <s v="Shibor_3M"/>
    <n v="3.31"/>
    <n v="3.37"/>
    <n v="0"/>
    <d v="2012-07-10T00:00:00"/>
    <d v="2013-07-10T00:00:00"/>
    <x v="5"/>
  </r>
  <r>
    <n v="2525"/>
    <x v="34"/>
    <x v="2"/>
    <x v="2"/>
    <n v="0.67326388888888899"/>
    <s v="Shibor_3M"/>
    <n v="3.15"/>
    <n v="3.2"/>
    <n v="0"/>
    <d v="2012-07-10T00:00:00"/>
    <d v="2016-07-10T00:00:00"/>
    <x v="93"/>
  </r>
  <r>
    <n v="2526"/>
    <x v="34"/>
    <x v="11"/>
    <x v="2"/>
    <n v="0.67326388888888899"/>
    <s v="Shibor_3M"/>
    <n v="3.15"/>
    <n v="3.2"/>
    <n v="0"/>
    <d v="2012-07-10T00:00:00"/>
    <d v="2017-07-10T00:00:00"/>
    <x v="93"/>
  </r>
  <r>
    <n v="2527"/>
    <x v="34"/>
    <x v="8"/>
    <x v="2"/>
    <n v="0.67327546296296292"/>
    <s v="Shibor_3M"/>
    <n v="3.6"/>
    <n v="3.7"/>
    <n v="0"/>
    <d v="2012-07-10T00:00:00"/>
    <d v="2013-01-10T00:00:00"/>
    <x v="60"/>
  </r>
  <r>
    <n v="2528"/>
    <x v="34"/>
    <x v="7"/>
    <x v="2"/>
    <n v="0.67326388888888899"/>
    <s v="Shibor_3M"/>
    <n v="3.15"/>
    <n v="3.2"/>
    <n v="0"/>
    <d v="2012-07-10T00:00:00"/>
    <d v="2019-07-10T00:00:00"/>
    <x v="93"/>
  </r>
  <r>
    <n v="2529"/>
    <x v="34"/>
    <x v="0"/>
    <x v="2"/>
    <n v="0.67326388888888899"/>
    <s v="Shibor_3M"/>
    <n v="3.15"/>
    <n v="3.2"/>
    <n v="0"/>
    <d v="2012-07-10T00:00:00"/>
    <d v="2015-07-10T00:00:00"/>
    <x v="93"/>
  </r>
  <r>
    <n v="2530"/>
    <x v="34"/>
    <x v="5"/>
    <x v="2"/>
    <n v="0.67326388888888899"/>
    <s v="Shibor_3M"/>
    <n v="3.48"/>
    <n v="3.55"/>
    <n v="0"/>
    <d v="2012-07-10T00:00:00"/>
    <d v="2013-04-10T00:00:00"/>
    <x v="48"/>
  </r>
  <r>
    <n v="2531"/>
    <x v="34"/>
    <x v="6"/>
    <x v="2"/>
    <n v="0.67326388888888899"/>
    <s v="Shibor_3M"/>
    <n v="3.15"/>
    <n v="3.2"/>
    <n v="0"/>
    <d v="2012-07-10T00:00:00"/>
    <d v="2022-07-10T00:00:00"/>
    <x v="93"/>
  </r>
  <r>
    <n v="2532"/>
    <x v="34"/>
    <x v="1"/>
    <x v="2"/>
    <n v="0.67326388888888899"/>
    <s v="Shibor_3M"/>
    <n v="3.35"/>
    <n v="3.4"/>
    <n v="0"/>
    <d v="2012-07-10T00:00:00"/>
    <d v="2013-07-10T00:00:00"/>
    <x v="30"/>
  </r>
  <r>
    <n v="2533"/>
    <x v="35"/>
    <x v="2"/>
    <x v="2"/>
    <n v="0.49069444444444449"/>
    <s v="Shibor_3M"/>
    <n v="3.15"/>
    <n v="3.2"/>
    <n v="0"/>
    <d v="2012-07-07T00:00:00"/>
    <d v="2016-07-07T00:00:00"/>
    <x v="93"/>
  </r>
  <r>
    <n v="2534"/>
    <x v="35"/>
    <x v="6"/>
    <x v="6"/>
    <n v="0.48778935185185185"/>
    <s v="Shibor_3M"/>
    <n v="3.25"/>
    <n v="3.35"/>
    <n v="0"/>
    <d v="2012-07-07T00:00:00"/>
    <d v="2022-07-07T00:00:00"/>
    <x v="23"/>
  </r>
  <r>
    <n v="2535"/>
    <x v="35"/>
    <x v="11"/>
    <x v="2"/>
    <n v="0.49071759259259262"/>
    <s v="Shibor_3M"/>
    <n v="3.15"/>
    <n v="3.2"/>
    <n v="0"/>
    <d v="2012-07-07T00:00:00"/>
    <d v="2017-07-07T00:00:00"/>
    <x v="93"/>
  </r>
  <r>
    <n v="2536"/>
    <x v="35"/>
    <x v="7"/>
    <x v="2"/>
    <n v="0.49069444444444449"/>
    <s v="Shibor_3M"/>
    <n v="3.15"/>
    <n v="3.2"/>
    <n v="0"/>
    <d v="2012-07-07T00:00:00"/>
    <d v="2019-07-07T00:00:00"/>
    <x v="93"/>
  </r>
  <r>
    <n v="2537"/>
    <x v="35"/>
    <x v="1"/>
    <x v="6"/>
    <n v="0.48778935185185185"/>
    <s v="Shibor_3M"/>
    <n v="3.32"/>
    <n v="3.42"/>
    <n v="0"/>
    <d v="2012-07-07T00:00:00"/>
    <d v="2013-07-07T00:00:00"/>
    <x v="19"/>
  </r>
  <r>
    <n v="2538"/>
    <x v="35"/>
    <x v="2"/>
    <x v="6"/>
    <n v="0.48778935185185185"/>
    <s v="Shibor_3M"/>
    <n v="3.13"/>
    <n v="3.23"/>
    <n v="0"/>
    <d v="2012-07-07T00:00:00"/>
    <d v="2016-07-07T00:00:00"/>
    <x v="49"/>
  </r>
  <r>
    <n v="2539"/>
    <x v="35"/>
    <x v="11"/>
    <x v="6"/>
    <n v="0.48778935185185185"/>
    <s v="Shibor_3M"/>
    <n v="3.13"/>
    <n v="3.23"/>
    <n v="0"/>
    <d v="2012-07-07T00:00:00"/>
    <d v="2017-07-07T00:00:00"/>
    <x v="49"/>
  </r>
  <r>
    <n v="2540"/>
    <x v="35"/>
    <x v="4"/>
    <x v="6"/>
    <n v="0.48778935185185185"/>
    <s v="Shibor_3M"/>
    <n v="3.15"/>
    <n v="3.25"/>
    <n v="0"/>
    <d v="2012-07-07T00:00:00"/>
    <d v="2014-07-07T00:00:00"/>
    <x v="57"/>
  </r>
  <r>
    <n v="2541"/>
    <x v="35"/>
    <x v="0"/>
    <x v="6"/>
    <n v="0.48778935185185185"/>
    <s v="Shibor_3M"/>
    <n v="3.13"/>
    <n v="3.23"/>
    <n v="0"/>
    <d v="2012-07-07T00:00:00"/>
    <d v="2015-07-07T00:00:00"/>
    <x v="49"/>
  </r>
  <r>
    <n v="2542"/>
    <x v="35"/>
    <x v="8"/>
    <x v="2"/>
    <n v="0.49071759259259262"/>
    <s v="Shibor_3M"/>
    <n v="3.6"/>
    <n v="3.7"/>
    <n v="0"/>
    <d v="2012-07-07T00:00:00"/>
    <d v="2013-01-07T00:00:00"/>
    <x v="60"/>
  </r>
  <r>
    <n v="2543"/>
    <x v="35"/>
    <x v="8"/>
    <x v="13"/>
    <n v="0.64469907407407401"/>
    <s v="Shibor_3M"/>
    <n v="3.64"/>
    <n v="3.72"/>
    <n v="0"/>
    <d v="2012-07-07T00:00:00"/>
    <d v="2013-01-07T00:00:00"/>
    <x v="179"/>
  </r>
  <r>
    <n v="2544"/>
    <x v="35"/>
    <x v="2"/>
    <x v="13"/>
    <n v="0.64468749999999997"/>
    <s v="Shibor_3M"/>
    <n v="3.13"/>
    <n v="3.22"/>
    <n v="0"/>
    <d v="2012-07-07T00:00:00"/>
    <d v="2016-07-07T00:00:00"/>
    <x v="93"/>
  </r>
  <r>
    <n v="2545"/>
    <x v="35"/>
    <x v="4"/>
    <x v="13"/>
    <n v="0.64469907407407401"/>
    <s v="Shibor_3M"/>
    <n v="3.15"/>
    <n v="3.22"/>
    <n v="0"/>
    <d v="2012-07-07T00:00:00"/>
    <d v="2014-07-07T00:00:00"/>
    <x v="63"/>
  </r>
  <r>
    <n v="2546"/>
    <x v="35"/>
    <x v="7"/>
    <x v="13"/>
    <n v="0.64469907407407401"/>
    <s v="Shibor_3M"/>
    <n v="3.19"/>
    <n v="3.3"/>
    <n v="0"/>
    <d v="2012-07-07T00:00:00"/>
    <d v="2019-07-07T00:00:00"/>
    <x v="75"/>
  </r>
  <r>
    <n v="2547"/>
    <x v="35"/>
    <x v="4"/>
    <x v="2"/>
    <n v="0.49072916666666666"/>
    <s v="Shibor_3M"/>
    <n v="3.26"/>
    <n v="3.35"/>
    <n v="0"/>
    <d v="2012-07-07T00:00:00"/>
    <d v="2014-07-07T00:00:00"/>
    <x v="121"/>
  </r>
  <r>
    <n v="2548"/>
    <x v="35"/>
    <x v="0"/>
    <x v="2"/>
    <n v="0.49071759259259262"/>
    <s v="Shibor_3M"/>
    <n v="3.15"/>
    <n v="3.2"/>
    <n v="0"/>
    <d v="2012-07-07T00:00:00"/>
    <d v="2015-07-07T00:00:00"/>
    <x v="93"/>
  </r>
  <r>
    <n v="2549"/>
    <x v="35"/>
    <x v="5"/>
    <x v="2"/>
    <n v="0.49071759259259262"/>
    <s v="Shibor_3M"/>
    <n v="3.48"/>
    <n v="3.55"/>
    <n v="0"/>
    <d v="2012-07-07T00:00:00"/>
    <d v="2013-04-07T00:00:00"/>
    <x v="48"/>
  </r>
  <r>
    <n v="2550"/>
    <x v="35"/>
    <x v="6"/>
    <x v="2"/>
    <n v="0.49071759259259262"/>
    <s v="Shibor_3M"/>
    <n v="3.15"/>
    <n v="3.2"/>
    <n v="0"/>
    <d v="2012-07-07T00:00:00"/>
    <d v="2022-07-07T00:00:00"/>
    <x v="93"/>
  </r>
  <r>
    <n v="2551"/>
    <x v="35"/>
    <x v="1"/>
    <x v="2"/>
    <n v="0.49071759259259262"/>
    <s v="Shibor_3M"/>
    <n v="3.35"/>
    <n v="3.45"/>
    <n v="0"/>
    <d v="2012-07-07T00:00:00"/>
    <d v="2013-07-07T00:00:00"/>
    <x v="20"/>
  </r>
  <r>
    <n v="2552"/>
    <x v="35"/>
    <x v="7"/>
    <x v="1"/>
    <n v="0.4836805555555555"/>
    <s v="Shibor_3M"/>
    <n v="3.22"/>
    <n v="3.28"/>
    <n v="0"/>
    <d v="2012-07-07T00:00:00"/>
    <d v="2019-07-07T00:00:00"/>
    <x v="21"/>
  </r>
  <r>
    <n v="2553"/>
    <x v="35"/>
    <x v="8"/>
    <x v="1"/>
    <n v="0.4836805555555555"/>
    <s v="Shibor_3M"/>
    <n v="3.67"/>
    <n v="3.73"/>
    <n v="0"/>
    <d v="2012-07-07T00:00:00"/>
    <d v="2013-01-07T00:00:00"/>
    <x v="178"/>
  </r>
  <r>
    <n v="2554"/>
    <x v="35"/>
    <x v="5"/>
    <x v="1"/>
    <n v="0.4836805555555555"/>
    <s v="Shibor_3M"/>
    <n v="3.46"/>
    <n v="3.52"/>
    <n v="0"/>
    <d v="2012-07-07T00:00:00"/>
    <d v="2013-04-07T00:00:00"/>
    <x v="38"/>
  </r>
  <r>
    <n v="2555"/>
    <x v="35"/>
    <x v="11"/>
    <x v="1"/>
    <n v="0.4836805555555555"/>
    <s v="Shibor_3M"/>
    <n v="3.15"/>
    <n v="3.21"/>
    <n v="0"/>
    <d v="2012-07-07T00:00:00"/>
    <d v="2017-07-07T00:00:00"/>
    <x v="49"/>
  </r>
  <r>
    <n v="2556"/>
    <x v="35"/>
    <x v="1"/>
    <x v="1"/>
    <n v="0.4836805555555555"/>
    <s v="Shibor_3M"/>
    <n v="3.34"/>
    <n v="3.4"/>
    <n v="0"/>
    <d v="2012-07-07T00:00:00"/>
    <d v="2013-07-07T00:00:00"/>
    <x v="19"/>
  </r>
  <r>
    <n v="2557"/>
    <x v="35"/>
    <x v="0"/>
    <x v="1"/>
    <n v="0.4836805555555555"/>
    <s v="Shibor_3M"/>
    <n v="3.15"/>
    <n v="3.21"/>
    <n v="0"/>
    <d v="2012-07-07T00:00:00"/>
    <d v="2015-07-07T00:00:00"/>
    <x v="49"/>
  </r>
  <r>
    <n v="2558"/>
    <x v="35"/>
    <x v="4"/>
    <x v="1"/>
    <n v="0.4836805555555555"/>
    <s v="Shibor_3M"/>
    <n v="3.15"/>
    <n v="3.21"/>
    <n v="0"/>
    <d v="2012-07-07T00:00:00"/>
    <d v="2014-07-07T00:00:00"/>
    <x v="49"/>
  </r>
  <r>
    <n v="2559"/>
    <x v="35"/>
    <x v="6"/>
    <x v="1"/>
    <n v="0.4836805555555555"/>
    <s v="Shibor_3M"/>
    <n v="3.27"/>
    <n v="3.33"/>
    <n v="0"/>
    <d v="2012-07-07T00:00:00"/>
    <d v="2022-07-07T00:00:00"/>
    <x v="23"/>
  </r>
  <r>
    <n v="2560"/>
    <x v="35"/>
    <x v="2"/>
    <x v="1"/>
    <n v="0.4836805555555555"/>
    <s v="Shibor_3M"/>
    <n v="3.15"/>
    <n v="3.21"/>
    <n v="0"/>
    <d v="2012-07-07T00:00:00"/>
    <d v="2016-07-07T00:00:00"/>
    <x v="49"/>
  </r>
  <r>
    <n v="2561"/>
    <x v="35"/>
    <x v="8"/>
    <x v="3"/>
    <n v="0.48578703703703702"/>
    <s v="Shibor_3M"/>
    <n v="3.65"/>
    <n v="3.7"/>
    <n v="0"/>
    <d v="2012-07-07T00:00:00"/>
    <d v="2013-01-07T00:00:00"/>
    <x v="177"/>
  </r>
  <r>
    <n v="2562"/>
    <x v="35"/>
    <x v="5"/>
    <x v="6"/>
    <n v="0.48777777777777781"/>
    <s v="Shibor_3M"/>
    <n v="3.45"/>
    <n v="3.55"/>
    <n v="0"/>
    <d v="2012-07-07T00:00:00"/>
    <d v="2013-04-07T00:00:00"/>
    <x v="13"/>
  </r>
  <r>
    <n v="2563"/>
    <x v="35"/>
    <x v="5"/>
    <x v="3"/>
    <n v="0.48579861111111106"/>
    <s v="Shibor_3M"/>
    <n v="3.48"/>
    <n v="3.58"/>
    <n v="0"/>
    <d v="2012-07-07T00:00:00"/>
    <d v="2013-04-07T00:00:00"/>
    <x v="134"/>
  </r>
  <r>
    <n v="2564"/>
    <x v="35"/>
    <x v="8"/>
    <x v="6"/>
    <n v="0.48777777777777781"/>
    <s v="Shibor_3M"/>
    <n v="3.65"/>
    <n v="3.75"/>
    <n v="0"/>
    <d v="2012-07-07T00:00:00"/>
    <d v="2013-01-07T00:00:00"/>
    <x v="178"/>
  </r>
  <r>
    <n v="2565"/>
    <x v="35"/>
    <x v="7"/>
    <x v="6"/>
    <n v="0.48777777777777781"/>
    <s v="Shibor_3M"/>
    <n v="3.2"/>
    <n v="3.3"/>
    <n v="0"/>
    <d v="2012-07-07T00:00:00"/>
    <d v="2019-07-07T00:00:00"/>
    <x v="21"/>
  </r>
  <r>
    <n v="2566"/>
    <x v="35"/>
    <x v="11"/>
    <x v="3"/>
    <n v="0.48579861111111106"/>
    <s v="Shibor_3M"/>
    <n v="3.11"/>
    <n v="3.21"/>
    <n v="0"/>
    <d v="2012-07-07T00:00:00"/>
    <d v="2017-07-07T00:00:00"/>
    <x v="71"/>
  </r>
  <r>
    <n v="2567"/>
    <x v="35"/>
    <x v="0"/>
    <x v="3"/>
    <n v="0.48579861111111106"/>
    <s v="Shibor_3M"/>
    <n v="3.11"/>
    <n v="3.21"/>
    <n v="0"/>
    <d v="2012-07-07T00:00:00"/>
    <d v="2015-07-07T00:00:00"/>
    <x v="71"/>
  </r>
  <r>
    <n v="2568"/>
    <x v="35"/>
    <x v="4"/>
    <x v="3"/>
    <n v="0.48579861111111106"/>
    <s v="Shibor_3M"/>
    <n v="3.11"/>
    <n v="3.21"/>
    <n v="0"/>
    <d v="2012-07-07T00:00:00"/>
    <d v="2014-07-07T00:00:00"/>
    <x v="71"/>
  </r>
  <r>
    <n v="2569"/>
    <x v="35"/>
    <x v="1"/>
    <x v="3"/>
    <n v="0.48579861111111106"/>
    <s v="Shibor_3M"/>
    <n v="3.32"/>
    <n v="3.4"/>
    <n v="0"/>
    <d v="2012-07-07T00:00:00"/>
    <d v="2013-07-07T00:00:00"/>
    <x v="118"/>
  </r>
  <r>
    <n v="2570"/>
    <x v="35"/>
    <x v="2"/>
    <x v="3"/>
    <n v="0.48579861111111106"/>
    <s v="Shibor_3M"/>
    <n v="3.11"/>
    <n v="3.21"/>
    <n v="0"/>
    <d v="2012-07-07T00:00:00"/>
    <d v="2016-07-07T00:00:00"/>
    <x v="71"/>
  </r>
  <r>
    <n v="2571"/>
    <x v="35"/>
    <x v="5"/>
    <x v="13"/>
    <n v="0.64469907407407401"/>
    <s v="Shibor_3M"/>
    <n v="3.47"/>
    <n v="3.56"/>
    <n v="0"/>
    <d v="2012-07-07T00:00:00"/>
    <d v="2013-04-07T00:00:00"/>
    <x v="15"/>
  </r>
  <r>
    <n v="2572"/>
    <x v="35"/>
    <x v="0"/>
    <x v="2"/>
    <n v="0.68376157407407412"/>
    <s v="Shibor_3M"/>
    <n v="3.15"/>
    <n v="3.2"/>
    <n v="0"/>
    <d v="2012-07-07T00:00:00"/>
    <d v="2015-07-07T00:00:00"/>
    <x v="93"/>
  </r>
  <r>
    <n v="2573"/>
    <x v="35"/>
    <x v="5"/>
    <x v="2"/>
    <n v="0.68376157407407412"/>
    <s v="Shibor_3M"/>
    <n v="3.48"/>
    <n v="3.55"/>
    <n v="0"/>
    <d v="2012-07-07T00:00:00"/>
    <d v="2013-04-07T00:00:00"/>
    <x v="48"/>
  </r>
  <r>
    <n v="2574"/>
    <x v="35"/>
    <x v="6"/>
    <x v="2"/>
    <n v="0.68376157407407412"/>
    <s v="Shibor_3M"/>
    <n v="3.15"/>
    <n v="3.2"/>
    <n v="0"/>
    <d v="2012-07-07T00:00:00"/>
    <d v="2022-07-07T00:00:00"/>
    <x v="93"/>
  </r>
  <r>
    <n v="2575"/>
    <x v="35"/>
    <x v="1"/>
    <x v="2"/>
    <n v="0.68376157407407412"/>
    <s v="Shibor_3M"/>
    <n v="3.35"/>
    <n v="3.45"/>
    <n v="0"/>
    <d v="2012-07-07T00:00:00"/>
    <d v="2013-07-07T00:00:00"/>
    <x v="20"/>
  </r>
  <r>
    <n v="2576"/>
    <x v="35"/>
    <x v="7"/>
    <x v="2"/>
    <n v="0.68376157407407412"/>
    <s v="Shibor_3M"/>
    <n v="3.15"/>
    <n v="3.2"/>
    <n v="0"/>
    <d v="2012-07-07T00:00:00"/>
    <d v="2019-07-07T00:00:00"/>
    <x v="93"/>
  </r>
  <r>
    <n v="2577"/>
    <x v="35"/>
    <x v="11"/>
    <x v="2"/>
    <n v="0.68376157407407412"/>
    <s v="Shibor_3M"/>
    <n v="3.15"/>
    <n v="3.2"/>
    <n v="0"/>
    <d v="2012-07-07T00:00:00"/>
    <d v="2017-07-07T00:00:00"/>
    <x v="93"/>
  </r>
  <r>
    <n v="2578"/>
    <x v="35"/>
    <x v="5"/>
    <x v="1"/>
    <n v="0.6766550925925926"/>
    <s v="Shibor_3M"/>
    <n v="3.46"/>
    <n v="3.52"/>
    <n v="0"/>
    <d v="2012-07-07T00:00:00"/>
    <d v="2013-04-07T00:00:00"/>
    <x v="38"/>
  </r>
  <r>
    <n v="2579"/>
    <x v="35"/>
    <x v="2"/>
    <x v="2"/>
    <n v="0.68376157407407412"/>
    <s v="Shibor_3M"/>
    <n v="3.15"/>
    <n v="3.2"/>
    <n v="0"/>
    <d v="2012-07-07T00:00:00"/>
    <d v="2016-07-07T00:00:00"/>
    <x v="93"/>
  </r>
  <r>
    <n v="2580"/>
    <x v="35"/>
    <x v="8"/>
    <x v="2"/>
    <n v="0.68376157407407412"/>
    <s v="Shibor_3M"/>
    <n v="3.6"/>
    <n v="3.7"/>
    <n v="0"/>
    <d v="2012-07-07T00:00:00"/>
    <d v="2013-01-07T00:00:00"/>
    <x v="60"/>
  </r>
  <r>
    <n v="2581"/>
    <x v="35"/>
    <x v="4"/>
    <x v="2"/>
    <n v="0.68377314814814805"/>
    <s v="Shibor_3M"/>
    <n v="3.26"/>
    <n v="3.35"/>
    <n v="0"/>
    <d v="2012-07-07T00:00:00"/>
    <d v="2014-07-07T00:00:00"/>
    <x v="121"/>
  </r>
  <r>
    <n v="2582"/>
    <x v="35"/>
    <x v="4"/>
    <x v="6"/>
    <n v="0.6852893518518518"/>
    <s v="Shibor_3M"/>
    <n v="3.15"/>
    <n v="3.25"/>
    <n v="0"/>
    <d v="2012-07-07T00:00:00"/>
    <d v="2014-07-07T00:00:00"/>
    <x v="57"/>
  </r>
  <r>
    <n v="2583"/>
    <x v="35"/>
    <x v="0"/>
    <x v="6"/>
    <n v="0.6852893518518518"/>
    <s v="Shibor_3M"/>
    <n v="3.13"/>
    <n v="3.23"/>
    <n v="0"/>
    <d v="2012-07-07T00:00:00"/>
    <d v="2015-07-07T00:00:00"/>
    <x v="49"/>
  </r>
  <r>
    <n v="2584"/>
    <x v="35"/>
    <x v="6"/>
    <x v="6"/>
    <n v="0.6852893518518518"/>
    <s v="Shibor_3M"/>
    <n v="3.25"/>
    <n v="3.35"/>
    <n v="0"/>
    <d v="2012-07-07T00:00:00"/>
    <d v="2022-07-07T00:00:00"/>
    <x v="23"/>
  </r>
  <r>
    <n v="2585"/>
    <x v="35"/>
    <x v="1"/>
    <x v="6"/>
    <n v="0.6852893518518518"/>
    <s v="Shibor_3M"/>
    <n v="3.32"/>
    <n v="3.42"/>
    <n v="0"/>
    <d v="2012-07-07T00:00:00"/>
    <d v="2013-07-07T00:00:00"/>
    <x v="19"/>
  </r>
  <r>
    <n v="2586"/>
    <x v="35"/>
    <x v="2"/>
    <x v="6"/>
    <n v="0.6852893518518518"/>
    <s v="Shibor_3M"/>
    <n v="3.13"/>
    <n v="3.23"/>
    <n v="0"/>
    <d v="2012-07-07T00:00:00"/>
    <d v="2016-07-07T00:00:00"/>
    <x v="49"/>
  </r>
  <r>
    <n v="2587"/>
    <x v="35"/>
    <x v="7"/>
    <x v="6"/>
    <n v="0.6852893518518518"/>
    <s v="Shibor_3M"/>
    <n v="3.2"/>
    <n v="3.3"/>
    <n v="0"/>
    <d v="2012-07-07T00:00:00"/>
    <d v="2019-07-07T00:00:00"/>
    <x v="21"/>
  </r>
  <r>
    <n v="2588"/>
    <x v="35"/>
    <x v="5"/>
    <x v="6"/>
    <n v="0.6852893518518518"/>
    <s v="Shibor_3M"/>
    <n v="3.45"/>
    <n v="3.55"/>
    <n v="0"/>
    <d v="2012-07-07T00:00:00"/>
    <d v="2013-04-07T00:00:00"/>
    <x v="13"/>
  </r>
  <r>
    <n v="2589"/>
    <x v="35"/>
    <x v="11"/>
    <x v="6"/>
    <n v="0.6852893518518518"/>
    <s v="Shibor_3M"/>
    <n v="3.13"/>
    <n v="3.23"/>
    <n v="0"/>
    <d v="2012-07-07T00:00:00"/>
    <d v="2017-07-07T00:00:00"/>
    <x v="49"/>
  </r>
  <r>
    <n v="2590"/>
    <x v="35"/>
    <x v="8"/>
    <x v="6"/>
    <n v="0.6852893518518518"/>
    <s v="Shibor_3M"/>
    <n v="3.65"/>
    <n v="3.75"/>
    <n v="0"/>
    <d v="2012-07-07T00:00:00"/>
    <d v="2013-01-07T00:00:00"/>
    <x v="178"/>
  </r>
  <r>
    <n v="2591"/>
    <x v="35"/>
    <x v="5"/>
    <x v="3"/>
    <n v="0.67266203703703698"/>
    <s v="Shibor_3M"/>
    <n v="3.44"/>
    <n v="3.54"/>
    <n v="0"/>
    <d v="2012-07-07T00:00:00"/>
    <d v="2013-04-07T00:00:00"/>
    <x v="38"/>
  </r>
  <r>
    <n v="2592"/>
    <x v="35"/>
    <x v="11"/>
    <x v="3"/>
    <n v="0.67266203703703698"/>
    <s v="Shibor_3M"/>
    <n v="3.14"/>
    <n v="3.24"/>
    <n v="0"/>
    <d v="2012-07-07T00:00:00"/>
    <d v="2017-07-07T00:00:00"/>
    <x v="55"/>
  </r>
  <r>
    <n v="2593"/>
    <x v="35"/>
    <x v="4"/>
    <x v="3"/>
    <n v="0.67267361111111112"/>
    <s v="Shibor_3M"/>
    <n v="3.14"/>
    <n v="3.24"/>
    <n v="0"/>
    <d v="2012-07-07T00:00:00"/>
    <d v="2014-07-07T00:00:00"/>
    <x v="55"/>
  </r>
  <r>
    <n v="2594"/>
    <x v="35"/>
    <x v="0"/>
    <x v="3"/>
    <n v="0.67267361111111112"/>
    <s v="Shibor_3M"/>
    <n v="3.14"/>
    <n v="3.24"/>
    <n v="0"/>
    <d v="2012-07-07T00:00:00"/>
    <d v="2015-07-07T00:00:00"/>
    <x v="55"/>
  </r>
  <r>
    <n v="2595"/>
    <x v="35"/>
    <x v="8"/>
    <x v="3"/>
    <n v="0.67266203703703698"/>
    <s v="Shibor_3M"/>
    <n v="3.68"/>
    <n v="3.78"/>
    <n v="0"/>
    <d v="2012-07-07T00:00:00"/>
    <d v="2013-01-07T00:00:00"/>
    <x v="180"/>
  </r>
  <r>
    <n v="2596"/>
    <x v="35"/>
    <x v="1"/>
    <x v="13"/>
    <n v="0.64469907407407401"/>
    <s v="Shibor_3M"/>
    <n v="3.31"/>
    <n v="3.4"/>
    <n v="0"/>
    <d v="2012-07-07T00:00:00"/>
    <d v="2013-07-07T00:00:00"/>
    <x v="104"/>
  </r>
  <r>
    <n v="2597"/>
    <x v="35"/>
    <x v="0"/>
    <x v="13"/>
    <n v="0.64469907407407401"/>
    <s v="Shibor_3M"/>
    <n v="3.13"/>
    <n v="3.22"/>
    <n v="0"/>
    <d v="2012-07-07T00:00:00"/>
    <d v="2015-07-07T00:00:00"/>
    <x v="93"/>
  </r>
  <r>
    <n v="2598"/>
    <x v="35"/>
    <x v="11"/>
    <x v="13"/>
    <n v="0.64469907407407401"/>
    <s v="Shibor_3M"/>
    <n v="3.13"/>
    <n v="3.22"/>
    <n v="0"/>
    <d v="2012-07-07T00:00:00"/>
    <d v="2017-07-07T00:00:00"/>
    <x v="93"/>
  </r>
  <r>
    <n v="2599"/>
    <x v="35"/>
    <x v="6"/>
    <x v="13"/>
    <n v="0.64469907407407401"/>
    <s v="Shibor_3M"/>
    <n v="3.22"/>
    <n v="3.35"/>
    <n v="0"/>
    <d v="2012-07-07T00:00:00"/>
    <d v="2022-07-07T00:00:00"/>
    <x v="37"/>
  </r>
  <r>
    <n v="2600"/>
    <x v="35"/>
    <x v="2"/>
    <x v="3"/>
    <n v="0.67268518518518527"/>
    <s v="Shibor_3M"/>
    <n v="3.14"/>
    <n v="3.24"/>
    <n v="0"/>
    <d v="2012-07-07T00:00:00"/>
    <d v="2016-07-07T00:00:00"/>
    <x v="55"/>
  </r>
  <r>
    <n v="2601"/>
    <x v="35"/>
    <x v="8"/>
    <x v="1"/>
    <n v="0.6766550925925926"/>
    <s v="Shibor_3M"/>
    <n v="3.68"/>
    <n v="3.74"/>
    <n v="0"/>
    <d v="2012-07-07T00:00:00"/>
    <d v="2013-01-07T00:00:00"/>
    <x v="181"/>
  </r>
  <r>
    <n v="2602"/>
    <x v="35"/>
    <x v="1"/>
    <x v="1"/>
    <n v="0.6766550925925926"/>
    <s v="Shibor_3M"/>
    <n v="3.33"/>
    <n v="3.39"/>
    <n v="0"/>
    <d v="2012-07-07T00:00:00"/>
    <d v="2013-07-07T00:00:00"/>
    <x v="45"/>
  </r>
  <r>
    <n v="2603"/>
    <x v="35"/>
    <x v="11"/>
    <x v="1"/>
    <n v="0.6766550925925926"/>
    <s v="Shibor_3M"/>
    <n v="3.15"/>
    <n v="3.21"/>
    <n v="0"/>
    <d v="2012-07-07T00:00:00"/>
    <d v="2017-07-07T00:00:00"/>
    <x v="49"/>
  </r>
  <r>
    <n v="2604"/>
    <x v="35"/>
    <x v="7"/>
    <x v="1"/>
    <n v="0.6766550925925926"/>
    <s v="Shibor_3M"/>
    <n v="3.22"/>
    <n v="3.28"/>
    <n v="0"/>
    <d v="2012-07-07T00:00:00"/>
    <d v="2019-07-07T00:00:00"/>
    <x v="21"/>
  </r>
  <r>
    <n v="2605"/>
    <x v="35"/>
    <x v="6"/>
    <x v="1"/>
    <n v="0.6766550925925926"/>
    <s v="Shibor_3M"/>
    <n v="3.26"/>
    <n v="3.32"/>
    <n v="0"/>
    <d v="2012-07-07T00:00:00"/>
    <d v="2022-07-07T00:00:00"/>
    <x v="3"/>
  </r>
  <r>
    <n v="2606"/>
    <x v="35"/>
    <x v="4"/>
    <x v="1"/>
    <n v="0.6766550925925926"/>
    <s v="Shibor_3M"/>
    <n v="3.16"/>
    <n v="3.22"/>
    <n v="0"/>
    <d v="2012-07-07T00:00:00"/>
    <d v="2014-07-07T00:00:00"/>
    <x v="55"/>
  </r>
  <r>
    <n v="2607"/>
    <x v="35"/>
    <x v="1"/>
    <x v="3"/>
    <n v="0.67268518518518527"/>
    <s v="Shibor_3M"/>
    <n v="3.32"/>
    <n v="3.42"/>
    <n v="0"/>
    <d v="2012-07-07T00:00:00"/>
    <d v="2013-07-07T00:00:00"/>
    <x v="19"/>
  </r>
  <r>
    <n v="2608"/>
    <x v="35"/>
    <x v="2"/>
    <x v="1"/>
    <n v="0.6766550925925926"/>
    <s v="Shibor_3M"/>
    <n v="3.15"/>
    <n v="3.21"/>
    <n v="0"/>
    <d v="2012-07-07T00:00:00"/>
    <d v="2016-07-07T00:00:00"/>
    <x v="49"/>
  </r>
  <r>
    <n v="2609"/>
    <x v="35"/>
    <x v="0"/>
    <x v="1"/>
    <n v="0.6766550925925926"/>
    <s v="Shibor_3M"/>
    <n v="3.15"/>
    <n v="3.21"/>
    <n v="0"/>
    <d v="2012-07-07T00:00:00"/>
    <d v="2015-07-07T00:00:00"/>
    <x v="49"/>
  </r>
  <r>
    <n v="2610"/>
    <x v="36"/>
    <x v="2"/>
    <x v="1"/>
    <n v="0.48556712962962961"/>
    <s v="Shibor_3M"/>
    <n v="3.24"/>
    <n v="3.3"/>
    <n v="0"/>
    <d v="2012-07-06T00:00:00"/>
    <d v="2016-07-06T00:00:00"/>
    <x v="25"/>
  </r>
  <r>
    <n v="2611"/>
    <x v="36"/>
    <x v="0"/>
    <x v="1"/>
    <n v="0.48556712962962961"/>
    <s v="Shibor_3M"/>
    <n v="3.23"/>
    <n v="3.29"/>
    <n v="0"/>
    <d v="2012-07-06T00:00:00"/>
    <d v="2015-07-06T00:00:00"/>
    <x v="16"/>
  </r>
  <r>
    <n v="2612"/>
    <x v="36"/>
    <x v="1"/>
    <x v="1"/>
    <n v="0.48556712962962961"/>
    <s v="Shibor_3M"/>
    <n v="3.41"/>
    <n v="3.47"/>
    <n v="0"/>
    <d v="2012-07-06T00:00:00"/>
    <d v="2013-07-06T00:00:00"/>
    <x v="87"/>
  </r>
  <r>
    <n v="2613"/>
    <x v="36"/>
    <x v="6"/>
    <x v="1"/>
    <n v="0.48556712962962961"/>
    <s v="Shibor_3M"/>
    <n v="3.36"/>
    <n v="3.42"/>
    <n v="0"/>
    <d v="2012-07-06T00:00:00"/>
    <d v="2022-07-06T00:00:00"/>
    <x v="59"/>
  </r>
  <r>
    <n v="2614"/>
    <x v="36"/>
    <x v="11"/>
    <x v="1"/>
    <n v="0.48555555555555557"/>
    <s v="Shibor_3M"/>
    <n v="3.24"/>
    <n v="3.3"/>
    <n v="0"/>
    <d v="2012-07-06T00:00:00"/>
    <d v="2017-07-06T00:00:00"/>
    <x v="25"/>
  </r>
  <r>
    <n v="2615"/>
    <x v="36"/>
    <x v="7"/>
    <x v="1"/>
    <n v="0.48555555555555557"/>
    <s v="Shibor_3M"/>
    <n v="3.3"/>
    <n v="3.36"/>
    <n v="0"/>
    <d v="2012-07-06T00:00:00"/>
    <d v="2019-07-06T00:00:00"/>
    <x v="41"/>
  </r>
  <r>
    <n v="2616"/>
    <x v="36"/>
    <x v="4"/>
    <x v="1"/>
    <n v="0.48556712962962961"/>
    <s v="Shibor_3M"/>
    <n v="3.24"/>
    <n v="3.3"/>
    <n v="0"/>
    <d v="2012-07-06T00:00:00"/>
    <d v="2014-07-06T00:00:00"/>
    <x v="25"/>
  </r>
  <r>
    <n v="2617"/>
    <x v="36"/>
    <x v="5"/>
    <x v="1"/>
    <n v="0.48556712962962961"/>
    <s v="Shibor_3M"/>
    <n v="3.54"/>
    <n v="3.6"/>
    <n v="0"/>
    <d v="2012-07-06T00:00:00"/>
    <d v="2013-04-06T00:00:00"/>
    <x v="28"/>
  </r>
  <r>
    <n v="2618"/>
    <x v="36"/>
    <x v="2"/>
    <x v="2"/>
    <n v="0.48863425925925924"/>
    <s v="Shibor_3M"/>
    <n v="3.25"/>
    <n v="3.3"/>
    <n v="0"/>
    <d v="2012-07-06T00:00:00"/>
    <d v="2016-07-06T00:00:00"/>
    <x v="182"/>
  </r>
  <r>
    <n v="2619"/>
    <x v="36"/>
    <x v="1"/>
    <x v="2"/>
    <n v="0.48864583333333328"/>
    <s v="Shibor_3M"/>
    <n v="2.4500000000000002"/>
    <n v="3.5"/>
    <n v="0"/>
    <d v="2012-07-06T00:00:00"/>
    <d v="2013-07-06T00:00:00"/>
    <x v="130"/>
  </r>
  <r>
    <n v="2620"/>
    <x v="36"/>
    <x v="0"/>
    <x v="2"/>
    <n v="0.48864583333333328"/>
    <s v="Shibor_3M"/>
    <n v="3.25"/>
    <n v="3.3"/>
    <n v="0"/>
    <d v="2012-07-06T00:00:00"/>
    <d v="2015-07-06T00:00:00"/>
    <x v="182"/>
  </r>
  <r>
    <n v="2621"/>
    <x v="36"/>
    <x v="11"/>
    <x v="2"/>
    <n v="0.48864583333333328"/>
    <s v="Shibor_3M"/>
    <n v="3.25"/>
    <n v="3.3"/>
    <n v="0"/>
    <d v="2012-07-06T00:00:00"/>
    <d v="2017-07-06T00:00:00"/>
    <x v="182"/>
  </r>
  <r>
    <n v="2622"/>
    <x v="36"/>
    <x v="6"/>
    <x v="2"/>
    <n v="0.48864583333333328"/>
    <s v="Shibor_3M"/>
    <n v="3.25"/>
    <n v="3.3"/>
    <n v="0"/>
    <d v="2012-07-06T00:00:00"/>
    <d v="2022-07-06T00:00:00"/>
    <x v="182"/>
  </r>
  <r>
    <n v="2623"/>
    <x v="36"/>
    <x v="5"/>
    <x v="2"/>
    <n v="0.48863425925925924"/>
    <s v="Shibor_3M"/>
    <n v="3.48"/>
    <n v="3.55"/>
    <n v="0"/>
    <d v="2012-07-06T00:00:00"/>
    <d v="2013-04-06T00:00:00"/>
    <x v="48"/>
  </r>
  <r>
    <n v="2624"/>
    <x v="36"/>
    <x v="7"/>
    <x v="2"/>
    <n v="0.48863425925925924"/>
    <s v="Shibor_3M"/>
    <n v="3.25"/>
    <n v="3.3"/>
    <n v="0"/>
    <d v="2012-07-06T00:00:00"/>
    <d v="2019-07-06T00:00:00"/>
    <x v="182"/>
  </r>
  <r>
    <n v="2625"/>
    <x v="36"/>
    <x v="4"/>
    <x v="2"/>
    <n v="0.48864583333333328"/>
    <s v="Shibor_3M"/>
    <n v="3.28"/>
    <n v="3.35"/>
    <n v="0"/>
    <d v="2012-07-06T00:00:00"/>
    <d v="2014-07-06T00:00:00"/>
    <x v="34"/>
  </r>
  <r>
    <n v="2626"/>
    <x v="36"/>
    <x v="8"/>
    <x v="2"/>
    <n v="0.48864583333333328"/>
    <s v="Shibor_3M"/>
    <n v="2.75"/>
    <n v="3.8"/>
    <n v="0"/>
    <d v="2012-07-06T00:00:00"/>
    <d v="2013-01-06T00:00:00"/>
    <x v="182"/>
  </r>
  <r>
    <n v="2627"/>
    <x v="36"/>
    <x v="6"/>
    <x v="2"/>
    <n v="0.48244212962962968"/>
    <s v="Shibor_3M"/>
    <n v="3.25"/>
    <n v="3.3"/>
    <n v="0"/>
    <d v="2012-07-06T00:00:00"/>
    <d v="2022-07-06T00:00:00"/>
    <x v="182"/>
  </r>
  <r>
    <n v="2628"/>
    <x v="36"/>
    <x v="1"/>
    <x v="2"/>
    <n v="0.48244212962962968"/>
    <s v="Shibor_3M"/>
    <n v="2.4500000000000002"/>
    <n v="3.5"/>
    <n v="0"/>
    <d v="2012-07-06T00:00:00"/>
    <d v="2013-07-06T00:00:00"/>
    <x v="130"/>
  </r>
  <r>
    <n v="2629"/>
    <x v="36"/>
    <x v="8"/>
    <x v="2"/>
    <n v="0.48246527777777781"/>
    <s v="Shibor_3M"/>
    <n v="2.75"/>
    <n v="3.8"/>
    <n v="0"/>
    <d v="2012-07-06T00:00:00"/>
    <d v="2013-01-06T00:00:00"/>
    <x v="182"/>
  </r>
  <r>
    <n v="2630"/>
    <x v="36"/>
    <x v="11"/>
    <x v="2"/>
    <n v="0.48245370370370372"/>
    <s v="Shibor_3M"/>
    <n v="3.25"/>
    <n v="3.3"/>
    <n v="0"/>
    <d v="2012-07-06T00:00:00"/>
    <d v="2017-07-06T00:00:00"/>
    <x v="182"/>
  </r>
  <r>
    <n v="2631"/>
    <x v="36"/>
    <x v="7"/>
    <x v="2"/>
    <n v="0.48243055555555553"/>
    <s v="Shibor_3M"/>
    <n v="3.25"/>
    <n v="3.3"/>
    <n v="0"/>
    <d v="2012-07-06T00:00:00"/>
    <d v="2019-07-06T00:00:00"/>
    <x v="182"/>
  </r>
  <r>
    <n v="2632"/>
    <x v="36"/>
    <x v="2"/>
    <x v="2"/>
    <n v="0.48243055555555553"/>
    <s v="Shibor_3M"/>
    <n v="3.25"/>
    <n v="3.3"/>
    <n v="0"/>
    <d v="2012-07-06T00:00:00"/>
    <d v="2016-07-06T00:00:00"/>
    <x v="182"/>
  </r>
  <r>
    <n v="2633"/>
    <x v="36"/>
    <x v="0"/>
    <x v="2"/>
    <n v="0.48244212962962968"/>
    <s v="Shibor_3M"/>
    <n v="3.25"/>
    <n v="3.3"/>
    <n v="0"/>
    <d v="2012-07-06T00:00:00"/>
    <d v="2015-07-06T00:00:00"/>
    <x v="182"/>
  </r>
  <r>
    <n v="2634"/>
    <x v="36"/>
    <x v="5"/>
    <x v="2"/>
    <n v="0.48243055555555553"/>
    <s v="Shibor_3M"/>
    <n v="3.48"/>
    <n v="3.55"/>
    <n v="0"/>
    <d v="2012-07-06T00:00:00"/>
    <d v="2013-04-06T00:00:00"/>
    <x v="48"/>
  </r>
  <r>
    <n v="2635"/>
    <x v="36"/>
    <x v="4"/>
    <x v="2"/>
    <n v="0.48246527777777781"/>
    <s v="Shibor_3M"/>
    <n v="3.28"/>
    <n v="3.35"/>
    <n v="0"/>
    <d v="2012-07-06T00:00:00"/>
    <d v="2014-07-06T00:00:00"/>
    <x v="34"/>
  </r>
  <r>
    <n v="2636"/>
    <x v="36"/>
    <x v="2"/>
    <x v="3"/>
    <n v="0.48281250000000003"/>
    <s v="Shibor_3M"/>
    <n v="3.21"/>
    <n v="3.31"/>
    <n v="0"/>
    <d v="2012-07-06T00:00:00"/>
    <d v="2016-07-06T00:00:00"/>
    <x v="16"/>
  </r>
  <r>
    <n v="2637"/>
    <x v="36"/>
    <x v="5"/>
    <x v="3"/>
    <n v="0.48280092592592588"/>
    <s v="Shibor_3M"/>
    <n v="3.51"/>
    <n v="3.61"/>
    <n v="0"/>
    <d v="2012-07-06T00:00:00"/>
    <d v="2013-04-06T00:00:00"/>
    <x v="26"/>
  </r>
  <r>
    <n v="2638"/>
    <x v="36"/>
    <x v="8"/>
    <x v="1"/>
    <n v="0.48555555555555557"/>
    <s v="Shibor_3M"/>
    <n v="3.74"/>
    <n v="3.8"/>
    <n v="0"/>
    <d v="2012-07-06T00:00:00"/>
    <d v="2013-01-06T00:00:00"/>
    <x v="183"/>
  </r>
  <r>
    <n v="2639"/>
    <x v="36"/>
    <x v="1"/>
    <x v="3"/>
    <n v="0.48281250000000003"/>
    <s v="Shibor_3M"/>
    <n v="3.38"/>
    <n v="3.48"/>
    <n v="0"/>
    <d v="2012-07-06T00:00:00"/>
    <d v="2013-07-06T00:00:00"/>
    <x v="12"/>
  </r>
  <r>
    <n v="2640"/>
    <x v="36"/>
    <x v="11"/>
    <x v="3"/>
    <n v="0.48278935185185184"/>
    <s v="Shibor_3M"/>
    <n v="3.21"/>
    <n v="3.31"/>
    <n v="0"/>
    <d v="2012-07-06T00:00:00"/>
    <d v="2017-07-06T00:00:00"/>
    <x v="16"/>
  </r>
  <r>
    <n v="2641"/>
    <x v="36"/>
    <x v="8"/>
    <x v="3"/>
    <n v="0.48278935185185184"/>
    <s v="Shibor_3M"/>
    <n v="3.72"/>
    <n v="3.82"/>
    <n v="0"/>
    <d v="2012-07-06T00:00:00"/>
    <d v="2013-01-06T00:00:00"/>
    <x v="183"/>
  </r>
  <r>
    <n v="2642"/>
    <x v="36"/>
    <x v="0"/>
    <x v="3"/>
    <n v="0.48280092592592588"/>
    <s v="Shibor_3M"/>
    <n v="3.21"/>
    <n v="3.31"/>
    <n v="0"/>
    <d v="2012-07-06T00:00:00"/>
    <d v="2015-07-06T00:00:00"/>
    <x v="16"/>
  </r>
  <r>
    <n v="2643"/>
    <x v="36"/>
    <x v="4"/>
    <x v="3"/>
    <n v="0.48280092592592588"/>
    <s v="Shibor_3M"/>
    <n v="3.21"/>
    <n v="3.31"/>
    <n v="0"/>
    <d v="2012-07-06T00:00:00"/>
    <d v="2014-07-06T00:00:00"/>
    <x v="16"/>
  </r>
  <r>
    <n v="2644"/>
    <x v="36"/>
    <x v="2"/>
    <x v="1"/>
    <n v="0.68343750000000003"/>
    <s v="Shibor_3M"/>
    <n v="3.24"/>
    <n v="3.3"/>
    <n v="0"/>
    <d v="2012-07-06T00:00:00"/>
    <d v="2016-07-06T00:00:00"/>
    <x v="25"/>
  </r>
  <r>
    <n v="2645"/>
    <x v="36"/>
    <x v="0"/>
    <x v="1"/>
    <n v="0.68343750000000003"/>
    <s v="Shibor_3M"/>
    <n v="3.23"/>
    <n v="3.29"/>
    <n v="0"/>
    <d v="2012-07-06T00:00:00"/>
    <d v="2015-07-06T00:00:00"/>
    <x v="16"/>
  </r>
  <r>
    <n v="2646"/>
    <x v="36"/>
    <x v="1"/>
    <x v="1"/>
    <n v="0.68343750000000003"/>
    <s v="Shibor_3M"/>
    <n v="3.41"/>
    <n v="3.47"/>
    <n v="0"/>
    <d v="2012-07-06T00:00:00"/>
    <d v="2013-07-06T00:00:00"/>
    <x v="87"/>
  </r>
  <r>
    <n v="2647"/>
    <x v="36"/>
    <x v="6"/>
    <x v="1"/>
    <n v="0.68343750000000003"/>
    <s v="Shibor_3M"/>
    <n v="3.36"/>
    <n v="3.42"/>
    <n v="0"/>
    <d v="2012-07-06T00:00:00"/>
    <d v="2022-07-06T00:00:00"/>
    <x v="59"/>
  </r>
  <r>
    <n v="2648"/>
    <x v="36"/>
    <x v="11"/>
    <x v="1"/>
    <n v="0.68343750000000003"/>
    <s v="Shibor_3M"/>
    <n v="3.24"/>
    <n v="3.3"/>
    <n v="0"/>
    <d v="2012-07-06T00:00:00"/>
    <d v="2017-07-06T00:00:00"/>
    <x v="25"/>
  </r>
  <r>
    <n v="2649"/>
    <x v="36"/>
    <x v="7"/>
    <x v="1"/>
    <n v="0.68342592592592588"/>
    <s v="Shibor_3M"/>
    <n v="3.3"/>
    <n v="3.36"/>
    <n v="0"/>
    <d v="2012-07-06T00:00:00"/>
    <d v="2019-07-06T00:00:00"/>
    <x v="41"/>
  </r>
  <r>
    <n v="2650"/>
    <x v="36"/>
    <x v="4"/>
    <x v="1"/>
    <n v="0.68343750000000003"/>
    <s v="Shibor_3M"/>
    <n v="3.24"/>
    <n v="3.3"/>
    <n v="0"/>
    <d v="2012-07-06T00:00:00"/>
    <d v="2014-07-06T00:00:00"/>
    <x v="25"/>
  </r>
  <r>
    <n v="2651"/>
    <x v="36"/>
    <x v="5"/>
    <x v="1"/>
    <n v="0.68343750000000003"/>
    <s v="Shibor_3M"/>
    <n v="3.54"/>
    <n v="3.6"/>
    <n v="0"/>
    <d v="2012-07-06T00:00:00"/>
    <d v="2013-04-06T00:00:00"/>
    <x v="28"/>
  </r>
  <r>
    <n v="2652"/>
    <x v="36"/>
    <x v="5"/>
    <x v="6"/>
    <n v="0.68576388888888884"/>
    <s v="Shibor_3M"/>
    <n v="3.53"/>
    <n v="3.63"/>
    <n v="0"/>
    <d v="2012-07-06T00:00:00"/>
    <d v="2013-04-06T00:00:00"/>
    <x v="139"/>
  </r>
  <r>
    <n v="2653"/>
    <x v="36"/>
    <x v="4"/>
    <x v="6"/>
    <n v="0.68576388888888884"/>
    <s v="Shibor_3M"/>
    <n v="3.24"/>
    <n v="3.34"/>
    <n v="0"/>
    <d v="2012-07-06T00:00:00"/>
    <d v="2014-07-06T00:00:00"/>
    <x v="3"/>
  </r>
  <r>
    <n v="2654"/>
    <x v="36"/>
    <x v="0"/>
    <x v="6"/>
    <n v="0.68576388888888884"/>
    <s v="Shibor_3M"/>
    <n v="3.23"/>
    <n v="3.33"/>
    <n v="0"/>
    <d v="2012-07-06T00:00:00"/>
    <d v="2015-07-06T00:00:00"/>
    <x v="9"/>
  </r>
  <r>
    <n v="2655"/>
    <x v="36"/>
    <x v="6"/>
    <x v="6"/>
    <n v="0.68576388888888884"/>
    <s v="Shibor_3M"/>
    <n v="3.33"/>
    <n v="3.43"/>
    <n v="0"/>
    <d v="2012-07-06T00:00:00"/>
    <d v="2022-07-06T00:00:00"/>
    <x v="17"/>
  </r>
  <r>
    <n v="2656"/>
    <x v="36"/>
    <x v="1"/>
    <x v="6"/>
    <n v="0.68576388888888884"/>
    <s v="Shibor_3M"/>
    <n v="3.39"/>
    <n v="3.49"/>
    <n v="0"/>
    <d v="2012-07-06T00:00:00"/>
    <d v="2013-07-06T00:00:00"/>
    <x v="87"/>
  </r>
  <r>
    <n v="2657"/>
    <x v="36"/>
    <x v="8"/>
    <x v="6"/>
    <n v="0.68576388888888884"/>
    <s v="Shibor_3M"/>
    <n v="3.71"/>
    <n v="3.81"/>
    <n v="0"/>
    <d v="2012-07-06T00:00:00"/>
    <d v="2013-01-06T00:00:00"/>
    <x v="184"/>
  </r>
  <r>
    <n v="2658"/>
    <x v="36"/>
    <x v="7"/>
    <x v="6"/>
    <n v="0.68576388888888884"/>
    <s v="Shibor_3M"/>
    <n v="3.28"/>
    <n v="3.38"/>
    <n v="0"/>
    <d v="2012-07-06T00:00:00"/>
    <d v="2019-07-06T00:00:00"/>
    <x v="41"/>
  </r>
  <r>
    <n v="2659"/>
    <x v="36"/>
    <x v="2"/>
    <x v="6"/>
    <n v="0.68576388888888884"/>
    <s v="Shibor_3M"/>
    <n v="3.23"/>
    <n v="3.33"/>
    <n v="0"/>
    <d v="2012-07-06T00:00:00"/>
    <d v="2016-07-06T00:00:00"/>
    <x v="9"/>
  </r>
  <r>
    <n v="2660"/>
    <x v="36"/>
    <x v="11"/>
    <x v="6"/>
    <n v="0.68576388888888884"/>
    <s v="Shibor_3M"/>
    <n v="3.23"/>
    <n v="3.33"/>
    <n v="0"/>
    <d v="2012-07-06T00:00:00"/>
    <d v="2017-07-06T00:00:00"/>
    <x v="9"/>
  </r>
  <r>
    <n v="2661"/>
    <x v="36"/>
    <x v="7"/>
    <x v="6"/>
    <n v="0.49807870370370372"/>
    <s v="Shibor_3M"/>
    <n v="3.28"/>
    <n v="3.38"/>
    <n v="0"/>
    <d v="2012-07-06T00:00:00"/>
    <d v="2019-07-06T00:00:00"/>
    <x v="41"/>
  </r>
  <r>
    <n v="2662"/>
    <x v="36"/>
    <x v="5"/>
    <x v="6"/>
    <n v="0.49807870370370372"/>
    <s v="Shibor_3M"/>
    <n v="3.53"/>
    <n v="3.63"/>
    <n v="0"/>
    <d v="2012-07-06T00:00:00"/>
    <d v="2013-04-06T00:00:00"/>
    <x v="139"/>
  </r>
  <r>
    <n v="2663"/>
    <x v="36"/>
    <x v="11"/>
    <x v="6"/>
    <n v="0.49807870370370372"/>
    <s v="Shibor_3M"/>
    <n v="3.23"/>
    <n v="3.33"/>
    <n v="0"/>
    <d v="2012-07-06T00:00:00"/>
    <d v="2017-07-06T00:00:00"/>
    <x v="9"/>
  </r>
  <r>
    <n v="2664"/>
    <x v="36"/>
    <x v="8"/>
    <x v="6"/>
    <n v="0.49807870370370372"/>
    <s v="Shibor_3M"/>
    <n v="3.71"/>
    <n v="3.81"/>
    <n v="0"/>
    <d v="2012-07-06T00:00:00"/>
    <d v="2013-01-06T00:00:00"/>
    <x v="184"/>
  </r>
  <r>
    <n v="2665"/>
    <x v="36"/>
    <x v="4"/>
    <x v="6"/>
    <n v="0.49807870370370372"/>
    <s v="Shibor_3M"/>
    <n v="3.24"/>
    <n v="3.34"/>
    <n v="0"/>
    <d v="2012-07-06T00:00:00"/>
    <d v="2014-07-06T00:00:00"/>
    <x v="3"/>
  </r>
  <r>
    <n v="2666"/>
    <x v="36"/>
    <x v="0"/>
    <x v="6"/>
    <n v="0.49807870370370372"/>
    <s v="Shibor_3M"/>
    <n v="3.23"/>
    <n v="3.33"/>
    <n v="0"/>
    <d v="2012-07-06T00:00:00"/>
    <d v="2015-07-06T00:00:00"/>
    <x v="9"/>
  </r>
  <r>
    <n v="2667"/>
    <x v="36"/>
    <x v="6"/>
    <x v="6"/>
    <n v="0.49807870370370372"/>
    <s v="Shibor_3M"/>
    <n v="3.33"/>
    <n v="3.43"/>
    <n v="0"/>
    <d v="2012-07-06T00:00:00"/>
    <d v="2022-07-06T00:00:00"/>
    <x v="17"/>
  </r>
  <r>
    <n v="2668"/>
    <x v="36"/>
    <x v="1"/>
    <x v="6"/>
    <n v="0.49807870370370372"/>
    <s v="Shibor_3M"/>
    <n v="3.39"/>
    <n v="3.49"/>
    <n v="0"/>
    <d v="2012-07-06T00:00:00"/>
    <d v="2013-07-06T00:00:00"/>
    <x v="87"/>
  </r>
  <r>
    <n v="2669"/>
    <x v="36"/>
    <x v="2"/>
    <x v="6"/>
    <n v="0.49807870370370372"/>
    <s v="Shibor_3M"/>
    <n v="3.23"/>
    <n v="3.33"/>
    <n v="0"/>
    <d v="2012-07-06T00:00:00"/>
    <d v="2016-07-06T00:00:00"/>
    <x v="9"/>
  </r>
  <r>
    <n v="2670"/>
    <x v="36"/>
    <x v="2"/>
    <x v="3"/>
    <n v="0.67668981481481483"/>
    <s v="Shibor_3M"/>
    <n v="3.23"/>
    <n v="3.33"/>
    <n v="0"/>
    <d v="2012-07-06T00:00:00"/>
    <d v="2016-07-06T00:00:00"/>
    <x v="9"/>
  </r>
  <r>
    <n v="2671"/>
    <x v="36"/>
    <x v="5"/>
    <x v="3"/>
    <n v="0.67667824074074068"/>
    <s v="Shibor_3M"/>
    <n v="3.52"/>
    <n v="3.62"/>
    <n v="0"/>
    <d v="2012-07-06T00:00:00"/>
    <d v="2013-04-06T00:00:00"/>
    <x v="28"/>
  </r>
  <r>
    <n v="2672"/>
    <x v="36"/>
    <x v="8"/>
    <x v="1"/>
    <n v="0.68342592592592588"/>
    <s v="Shibor_3M"/>
    <n v="3.74"/>
    <n v="3.8"/>
    <n v="0"/>
    <d v="2012-07-06T00:00:00"/>
    <d v="2013-01-06T00:00:00"/>
    <x v="183"/>
  </r>
  <r>
    <n v="2673"/>
    <x v="36"/>
    <x v="1"/>
    <x v="3"/>
    <n v="0.67668981481481483"/>
    <s v="Shibor_3M"/>
    <n v="3.4"/>
    <n v="3.48"/>
    <n v="0"/>
    <d v="2012-07-06T00:00:00"/>
    <d v="2013-07-06T00:00:00"/>
    <x v="168"/>
  </r>
  <r>
    <n v="2674"/>
    <x v="36"/>
    <x v="0"/>
    <x v="3"/>
    <n v="0.67667824074074068"/>
    <s v="Shibor_3M"/>
    <n v="3.23"/>
    <n v="3.33"/>
    <n v="0"/>
    <d v="2012-07-06T00:00:00"/>
    <d v="2015-07-06T00:00:00"/>
    <x v="9"/>
  </r>
  <r>
    <n v="2675"/>
    <x v="36"/>
    <x v="4"/>
    <x v="3"/>
    <n v="0.67667824074074068"/>
    <s v="Shibor_3M"/>
    <n v="3.23"/>
    <n v="3.33"/>
    <n v="0"/>
    <d v="2012-07-06T00:00:00"/>
    <d v="2014-07-06T00:00:00"/>
    <x v="9"/>
  </r>
  <r>
    <n v="2676"/>
    <x v="36"/>
    <x v="11"/>
    <x v="3"/>
    <n v="0.67667824074074068"/>
    <s v="Shibor_3M"/>
    <n v="3.25"/>
    <n v="3.31"/>
    <n v="0"/>
    <d v="2012-07-06T00:00:00"/>
    <d v="2017-07-06T00:00:00"/>
    <x v="9"/>
  </r>
  <r>
    <n v="2677"/>
    <x v="36"/>
    <x v="8"/>
    <x v="3"/>
    <n v="0.67667824074074068"/>
    <s v="Shibor_3M"/>
    <n v="3.75"/>
    <n v="3.8"/>
    <n v="0"/>
    <d v="2012-07-06T00:00:00"/>
    <d v="2013-01-06T00:00:00"/>
    <x v="185"/>
  </r>
  <r>
    <n v="2678"/>
    <x v="37"/>
    <x v="7"/>
    <x v="6"/>
    <n v="0.48694444444444446"/>
    <s v="Shibor_3M"/>
    <n v="3.28"/>
    <n v="3.38"/>
    <n v="0"/>
    <d v="2012-07-05T00:00:00"/>
    <d v="2019-07-05T00:00:00"/>
    <x v="41"/>
  </r>
  <r>
    <n v="2679"/>
    <x v="37"/>
    <x v="8"/>
    <x v="6"/>
    <n v="0.4869560185185185"/>
    <s v="Shibor_3M"/>
    <n v="3.71"/>
    <n v="3.81"/>
    <n v="0"/>
    <d v="2012-07-05T00:00:00"/>
    <d v="2013-01-05T00:00:00"/>
    <x v="184"/>
  </r>
  <r>
    <n v="2680"/>
    <x v="37"/>
    <x v="11"/>
    <x v="6"/>
    <n v="0.4869560185185185"/>
    <s v="Shibor_3M"/>
    <n v="3.23"/>
    <n v="3.33"/>
    <n v="0"/>
    <d v="2012-07-05T00:00:00"/>
    <d v="2017-07-05T00:00:00"/>
    <x v="9"/>
  </r>
  <r>
    <n v="2681"/>
    <x v="37"/>
    <x v="5"/>
    <x v="6"/>
    <n v="0.48694444444444446"/>
    <s v="Shibor_3M"/>
    <n v="3.53"/>
    <n v="3.63"/>
    <n v="0"/>
    <d v="2012-07-05T00:00:00"/>
    <d v="2013-04-05T00:00:00"/>
    <x v="139"/>
  </r>
  <r>
    <n v="2682"/>
    <x v="37"/>
    <x v="1"/>
    <x v="1"/>
    <n v="0.48466435185185186"/>
    <s v="Shibor_3M"/>
    <n v="3.41"/>
    <n v="3.47"/>
    <n v="0"/>
    <d v="2012-07-05T00:00:00"/>
    <d v="2013-07-05T00:00:00"/>
    <x v="87"/>
  </r>
  <r>
    <n v="2683"/>
    <x v="37"/>
    <x v="11"/>
    <x v="1"/>
    <n v="0.48466435185185186"/>
    <s v="Shibor_3M"/>
    <n v="3.25"/>
    <n v="3.31"/>
    <n v="0"/>
    <d v="2012-07-05T00:00:00"/>
    <d v="2017-07-05T00:00:00"/>
    <x v="9"/>
  </r>
  <r>
    <n v="2684"/>
    <x v="37"/>
    <x v="5"/>
    <x v="1"/>
    <n v="0.48466435185185186"/>
    <s v="Shibor_3M"/>
    <n v="3.55"/>
    <n v="3.61"/>
    <n v="0"/>
    <d v="2012-07-05T00:00:00"/>
    <d v="2013-04-05T00:00:00"/>
    <x v="139"/>
  </r>
  <r>
    <n v="2685"/>
    <x v="37"/>
    <x v="6"/>
    <x v="6"/>
    <n v="0.48696759259259265"/>
    <s v="Shibor_3M"/>
    <n v="3.33"/>
    <n v="3.43"/>
    <n v="0"/>
    <d v="2012-07-05T00:00:00"/>
    <d v="2022-07-05T00:00:00"/>
    <x v="17"/>
  </r>
  <r>
    <n v="2686"/>
    <x v="37"/>
    <x v="0"/>
    <x v="3"/>
    <n v="0.48983796296296295"/>
    <s v="Shibor_3M"/>
    <n v="3.22"/>
    <n v="3.3"/>
    <n v="0"/>
    <d v="2012-07-05T00:00:00"/>
    <d v="2015-07-05T00:00:00"/>
    <x v="16"/>
  </r>
  <r>
    <n v="2687"/>
    <x v="37"/>
    <x v="2"/>
    <x v="3"/>
    <n v="0.48983796296296295"/>
    <s v="Shibor_3M"/>
    <n v="3.21"/>
    <n v="3.31"/>
    <n v="0"/>
    <d v="2012-07-05T00:00:00"/>
    <d v="2016-07-05T00:00:00"/>
    <x v="16"/>
  </r>
  <r>
    <n v="2688"/>
    <x v="37"/>
    <x v="1"/>
    <x v="6"/>
    <n v="0.48696759259259265"/>
    <s v="Shibor_3M"/>
    <n v="3.39"/>
    <n v="3.49"/>
    <n v="0"/>
    <d v="2012-07-05T00:00:00"/>
    <d v="2013-07-05T00:00:00"/>
    <x v="87"/>
  </r>
  <r>
    <n v="2689"/>
    <x v="37"/>
    <x v="2"/>
    <x v="6"/>
    <n v="0.4869560185185185"/>
    <s v="Shibor_3M"/>
    <n v="3.23"/>
    <n v="3.33"/>
    <n v="0"/>
    <d v="2012-07-05T00:00:00"/>
    <d v="2016-07-05T00:00:00"/>
    <x v="9"/>
  </r>
  <r>
    <n v="2690"/>
    <x v="37"/>
    <x v="0"/>
    <x v="6"/>
    <n v="0.48696759259259265"/>
    <s v="Shibor_3M"/>
    <n v="3.23"/>
    <n v="3.33"/>
    <n v="0"/>
    <d v="2012-07-05T00:00:00"/>
    <d v="2015-07-05T00:00:00"/>
    <x v="9"/>
  </r>
  <r>
    <n v="2691"/>
    <x v="37"/>
    <x v="4"/>
    <x v="6"/>
    <n v="0.48696759259259265"/>
    <s v="Shibor_3M"/>
    <n v="3.24"/>
    <n v="3.34"/>
    <n v="0"/>
    <d v="2012-07-05T00:00:00"/>
    <d v="2014-07-05T00:00:00"/>
    <x v="3"/>
  </r>
  <r>
    <n v="2692"/>
    <x v="37"/>
    <x v="6"/>
    <x v="1"/>
    <n v="0.48466435185185186"/>
    <s v="Shibor_3M"/>
    <n v="3.37"/>
    <n v="3.43"/>
    <n v="0"/>
    <d v="2012-07-05T00:00:00"/>
    <d v="2022-07-05T00:00:00"/>
    <x v="20"/>
  </r>
  <r>
    <n v="2693"/>
    <x v="37"/>
    <x v="6"/>
    <x v="2"/>
    <n v="0.4815740740740741"/>
    <s v="Shibor_3M"/>
    <n v="3.25"/>
    <n v="3.3"/>
    <n v="0"/>
    <d v="2012-07-05T00:00:00"/>
    <d v="2022-07-05T00:00:00"/>
    <x v="182"/>
  </r>
  <r>
    <n v="2694"/>
    <x v="37"/>
    <x v="11"/>
    <x v="2"/>
    <n v="0.4815740740740741"/>
    <s v="Shibor_3M"/>
    <n v="3.25"/>
    <n v="3.3"/>
    <n v="0"/>
    <d v="2012-07-05T00:00:00"/>
    <d v="2017-07-05T00:00:00"/>
    <x v="182"/>
  </r>
  <r>
    <n v="2695"/>
    <x v="37"/>
    <x v="2"/>
    <x v="2"/>
    <n v="0.4815740740740741"/>
    <s v="Shibor_3M"/>
    <n v="3.25"/>
    <n v="3.3"/>
    <n v="0"/>
    <d v="2012-07-05T00:00:00"/>
    <d v="2016-07-05T00:00:00"/>
    <x v="182"/>
  </r>
  <r>
    <n v="2696"/>
    <x v="37"/>
    <x v="1"/>
    <x v="2"/>
    <n v="0.4815740740740741"/>
    <s v="Shibor_3M"/>
    <n v="2.4500000000000002"/>
    <n v="3.5"/>
    <n v="0"/>
    <d v="2012-07-05T00:00:00"/>
    <d v="2013-07-05T00:00:00"/>
    <x v="130"/>
  </r>
  <r>
    <n v="2697"/>
    <x v="37"/>
    <x v="7"/>
    <x v="2"/>
    <n v="0.4815740740740741"/>
    <s v="Shibor_3M"/>
    <n v="3.25"/>
    <n v="3.3"/>
    <n v="0"/>
    <d v="2012-07-05T00:00:00"/>
    <d v="2019-07-05T00:00:00"/>
    <x v="182"/>
  </r>
  <r>
    <n v="2698"/>
    <x v="37"/>
    <x v="5"/>
    <x v="2"/>
    <n v="0.4815740740740741"/>
    <s v="Shibor_3M"/>
    <n v="3.48"/>
    <n v="3.55"/>
    <n v="0"/>
    <d v="2012-07-05T00:00:00"/>
    <d v="2013-04-05T00:00:00"/>
    <x v="48"/>
  </r>
  <r>
    <n v="2699"/>
    <x v="37"/>
    <x v="0"/>
    <x v="2"/>
    <n v="0.4815740740740741"/>
    <s v="Shibor_3M"/>
    <n v="3.25"/>
    <n v="3.3"/>
    <n v="0"/>
    <d v="2012-07-05T00:00:00"/>
    <d v="2015-07-05T00:00:00"/>
    <x v="182"/>
  </r>
  <r>
    <n v="2700"/>
    <x v="37"/>
    <x v="4"/>
    <x v="1"/>
    <n v="0.48466435185185186"/>
    <s v="Shibor_3M"/>
    <n v="3.26"/>
    <n v="3.32"/>
    <n v="0"/>
    <d v="2012-07-05T00:00:00"/>
    <d v="2014-07-05T00:00:00"/>
    <x v="3"/>
  </r>
  <r>
    <n v="2701"/>
    <x v="37"/>
    <x v="0"/>
    <x v="1"/>
    <n v="0.48466435185185186"/>
    <s v="Shibor_3M"/>
    <n v="3.25"/>
    <n v="3.31"/>
    <n v="0"/>
    <d v="2012-07-05T00:00:00"/>
    <d v="2015-07-05T00:00:00"/>
    <x v="9"/>
  </r>
  <r>
    <n v="2702"/>
    <x v="37"/>
    <x v="2"/>
    <x v="1"/>
    <n v="0.48466435185185186"/>
    <s v="Shibor_3M"/>
    <n v="3.25"/>
    <n v="3.31"/>
    <n v="0"/>
    <d v="2012-07-05T00:00:00"/>
    <d v="2016-07-05T00:00:00"/>
    <x v="9"/>
  </r>
  <r>
    <n v="2703"/>
    <x v="37"/>
    <x v="7"/>
    <x v="1"/>
    <n v="0.48464120370370373"/>
    <s v="Shibor_3M"/>
    <n v="3.32"/>
    <n v="3.38"/>
    <n v="0"/>
    <d v="2012-07-05T00:00:00"/>
    <d v="2019-07-05T00:00:00"/>
    <x v="1"/>
  </r>
  <r>
    <n v="2704"/>
    <x v="37"/>
    <x v="8"/>
    <x v="2"/>
    <n v="0.48158564814814814"/>
    <s v="Shibor_3M"/>
    <n v="2.75"/>
    <n v="3.8"/>
    <n v="0"/>
    <d v="2012-07-05T00:00:00"/>
    <d v="2013-01-05T00:00:00"/>
    <x v="182"/>
  </r>
  <r>
    <n v="2705"/>
    <x v="37"/>
    <x v="4"/>
    <x v="2"/>
    <n v="0.48158564814814814"/>
    <s v="Shibor_3M"/>
    <n v="3.28"/>
    <n v="3.35"/>
    <n v="0"/>
    <d v="2012-07-05T00:00:00"/>
    <d v="2014-07-05T00:00:00"/>
    <x v="34"/>
  </r>
  <r>
    <n v="2706"/>
    <x v="37"/>
    <x v="8"/>
    <x v="1"/>
    <n v="0.48464120370370373"/>
    <s v="Shibor_3M"/>
    <n v="3.74"/>
    <n v="3.8"/>
    <n v="0"/>
    <d v="2012-07-05T00:00:00"/>
    <d v="2013-01-05T00:00:00"/>
    <x v="183"/>
  </r>
  <r>
    <n v="2707"/>
    <x v="37"/>
    <x v="1"/>
    <x v="3"/>
    <n v="0.48983796296296295"/>
    <s v="Shibor_3M"/>
    <n v="3.4"/>
    <n v="3.46"/>
    <n v="0"/>
    <d v="2012-07-05T00:00:00"/>
    <d v="2013-07-05T00:00:00"/>
    <x v="12"/>
  </r>
  <r>
    <n v="2708"/>
    <x v="37"/>
    <x v="6"/>
    <x v="6"/>
    <n v="0.67797453703703703"/>
    <s v="Shibor_3M"/>
    <n v="3.33"/>
    <n v="3.43"/>
    <n v="0"/>
    <d v="2012-07-05T00:00:00"/>
    <d v="2022-07-05T00:00:00"/>
    <x v="17"/>
  </r>
  <r>
    <n v="2709"/>
    <x v="37"/>
    <x v="7"/>
    <x v="2"/>
    <n v="0.68568287037037035"/>
    <s v="Shibor_3M"/>
    <n v="3.25"/>
    <n v="3.3"/>
    <n v="0"/>
    <d v="2012-07-05T00:00:00"/>
    <d v="2019-07-05T00:00:00"/>
    <x v="182"/>
  </r>
  <r>
    <n v="2710"/>
    <x v="37"/>
    <x v="5"/>
    <x v="2"/>
    <n v="0.68568287037037035"/>
    <s v="Shibor_3M"/>
    <n v="3.48"/>
    <n v="3.55"/>
    <n v="0"/>
    <d v="2012-07-05T00:00:00"/>
    <d v="2013-04-05T00:00:00"/>
    <x v="48"/>
  </r>
  <r>
    <n v="2711"/>
    <x v="37"/>
    <x v="1"/>
    <x v="6"/>
    <n v="0.67797453703703703"/>
    <s v="Shibor_3M"/>
    <n v="3.39"/>
    <n v="3.49"/>
    <n v="0"/>
    <d v="2012-07-05T00:00:00"/>
    <d v="2013-07-05T00:00:00"/>
    <x v="87"/>
  </r>
  <r>
    <n v="2712"/>
    <x v="37"/>
    <x v="2"/>
    <x v="6"/>
    <n v="0.67797453703703703"/>
    <s v="Shibor_3M"/>
    <n v="3.23"/>
    <n v="3.33"/>
    <n v="0"/>
    <d v="2012-07-05T00:00:00"/>
    <d v="2016-07-05T00:00:00"/>
    <x v="9"/>
  </r>
  <r>
    <n v="2713"/>
    <x v="37"/>
    <x v="0"/>
    <x v="6"/>
    <n v="0.67797453703703703"/>
    <s v="Shibor_3M"/>
    <n v="3.23"/>
    <n v="3.33"/>
    <n v="0"/>
    <d v="2012-07-05T00:00:00"/>
    <d v="2015-07-05T00:00:00"/>
    <x v="9"/>
  </r>
  <r>
    <n v="2714"/>
    <x v="37"/>
    <x v="4"/>
    <x v="6"/>
    <n v="0.67797453703703703"/>
    <s v="Shibor_3M"/>
    <n v="3.24"/>
    <n v="3.34"/>
    <n v="0"/>
    <d v="2012-07-05T00:00:00"/>
    <d v="2014-07-05T00:00:00"/>
    <x v="3"/>
  </r>
  <r>
    <n v="2715"/>
    <x v="37"/>
    <x v="2"/>
    <x v="2"/>
    <n v="0.68568287037037035"/>
    <s v="Shibor_3M"/>
    <n v="3.25"/>
    <n v="3.3"/>
    <n v="0"/>
    <d v="2012-07-05T00:00:00"/>
    <d v="2016-07-05T00:00:00"/>
    <x v="182"/>
  </r>
  <r>
    <n v="2716"/>
    <x v="37"/>
    <x v="8"/>
    <x v="2"/>
    <n v="0.6856944444444445"/>
    <s v="Shibor_3M"/>
    <n v="2.75"/>
    <n v="3.8"/>
    <n v="0"/>
    <d v="2012-07-05T00:00:00"/>
    <d v="2013-01-05T00:00:00"/>
    <x v="182"/>
  </r>
  <r>
    <n v="2717"/>
    <x v="37"/>
    <x v="4"/>
    <x v="2"/>
    <n v="0.6856944444444445"/>
    <s v="Shibor_3M"/>
    <n v="3.28"/>
    <n v="3.35"/>
    <n v="0"/>
    <d v="2012-07-05T00:00:00"/>
    <d v="2014-07-05T00:00:00"/>
    <x v="34"/>
  </r>
  <r>
    <n v="2718"/>
    <x v="37"/>
    <x v="11"/>
    <x v="2"/>
    <n v="0.68568287037037035"/>
    <s v="Shibor_3M"/>
    <n v="3.25"/>
    <n v="3.3"/>
    <n v="0"/>
    <d v="2012-07-05T00:00:00"/>
    <d v="2017-07-05T00:00:00"/>
    <x v="182"/>
  </r>
  <r>
    <n v="2719"/>
    <x v="37"/>
    <x v="0"/>
    <x v="2"/>
    <n v="0.68568287037037035"/>
    <s v="Shibor_3M"/>
    <n v="3.25"/>
    <n v="3.3"/>
    <n v="0"/>
    <d v="2012-07-05T00:00:00"/>
    <d v="2015-07-05T00:00:00"/>
    <x v="182"/>
  </r>
  <r>
    <n v="2720"/>
    <x v="37"/>
    <x v="1"/>
    <x v="2"/>
    <n v="0.68568287037037035"/>
    <s v="Shibor_3M"/>
    <n v="2.4500000000000002"/>
    <n v="3.5"/>
    <n v="0"/>
    <d v="2012-07-05T00:00:00"/>
    <d v="2013-07-05T00:00:00"/>
    <x v="130"/>
  </r>
  <r>
    <n v="2721"/>
    <x v="37"/>
    <x v="6"/>
    <x v="2"/>
    <n v="0.68568287037037035"/>
    <s v="Shibor_3M"/>
    <n v="3.25"/>
    <n v="3.3"/>
    <n v="0"/>
    <d v="2012-07-05T00:00:00"/>
    <d v="2022-07-05T00:00:00"/>
    <x v="182"/>
  </r>
  <r>
    <n v="2722"/>
    <x v="37"/>
    <x v="11"/>
    <x v="6"/>
    <n v="0.67797453703703703"/>
    <s v="Shibor_3M"/>
    <n v="3.23"/>
    <n v="3.33"/>
    <n v="0"/>
    <d v="2012-07-05T00:00:00"/>
    <d v="2017-07-05T00:00:00"/>
    <x v="9"/>
  </r>
  <r>
    <n v="2723"/>
    <x v="37"/>
    <x v="0"/>
    <x v="3"/>
    <n v="0.67118055555555556"/>
    <s v="Shibor_3M"/>
    <n v="3.2"/>
    <n v="3.3"/>
    <n v="0"/>
    <d v="2012-07-05T00:00:00"/>
    <d v="2015-07-05T00:00:00"/>
    <x v="21"/>
  </r>
  <r>
    <n v="2724"/>
    <x v="37"/>
    <x v="2"/>
    <x v="3"/>
    <n v="0.67118055555555556"/>
    <s v="Shibor_3M"/>
    <n v="3.21"/>
    <n v="3.31"/>
    <n v="0"/>
    <d v="2012-07-05T00:00:00"/>
    <d v="2016-07-05T00:00:00"/>
    <x v="16"/>
  </r>
  <r>
    <n v="2725"/>
    <x v="37"/>
    <x v="1"/>
    <x v="3"/>
    <n v="0.67118055555555556"/>
    <s v="Shibor_3M"/>
    <n v="3.4"/>
    <n v="3.46"/>
    <n v="0"/>
    <d v="2012-07-05T00:00:00"/>
    <d v="2013-07-05T00:00:00"/>
    <x v="12"/>
  </r>
  <r>
    <n v="2726"/>
    <x v="37"/>
    <x v="4"/>
    <x v="3"/>
    <n v="0.48983796296296295"/>
    <s v="Shibor_3M"/>
    <n v="3.21"/>
    <n v="3.31"/>
    <n v="0"/>
    <d v="2012-07-05T00:00:00"/>
    <d v="2014-07-05T00:00:00"/>
    <x v="16"/>
  </r>
  <r>
    <n v="2727"/>
    <x v="37"/>
    <x v="8"/>
    <x v="3"/>
    <n v="0.48983796296296295"/>
    <s v="Shibor_3M"/>
    <n v="3.75"/>
    <n v="3.8"/>
    <n v="0"/>
    <d v="2012-07-05T00:00:00"/>
    <d v="2013-01-05T00:00:00"/>
    <x v="185"/>
  </r>
  <r>
    <n v="2728"/>
    <x v="37"/>
    <x v="11"/>
    <x v="3"/>
    <n v="0.48983796296296295"/>
    <s v="Shibor_3M"/>
    <n v="3.24"/>
    <n v="3.29"/>
    <n v="0"/>
    <d v="2012-07-05T00:00:00"/>
    <d v="2017-07-05T00:00:00"/>
    <x v="186"/>
  </r>
  <r>
    <n v="2729"/>
    <x v="37"/>
    <x v="5"/>
    <x v="3"/>
    <n v="0.48983796296296295"/>
    <s v="Shibor_3M"/>
    <n v="3.52"/>
    <n v="3.6"/>
    <n v="0"/>
    <d v="2012-07-05T00:00:00"/>
    <d v="2013-04-05T00:00:00"/>
    <x v="187"/>
  </r>
  <r>
    <n v="2730"/>
    <x v="37"/>
    <x v="5"/>
    <x v="6"/>
    <n v="0.67797453703703703"/>
    <s v="Shibor_3M"/>
    <n v="3.53"/>
    <n v="3.63"/>
    <n v="0"/>
    <d v="2012-07-05T00:00:00"/>
    <d v="2013-04-05T00:00:00"/>
    <x v="139"/>
  </r>
  <r>
    <n v="2731"/>
    <x v="37"/>
    <x v="7"/>
    <x v="6"/>
    <n v="0.67797453703703703"/>
    <s v="Shibor_3M"/>
    <n v="3.28"/>
    <n v="3.38"/>
    <n v="0"/>
    <d v="2012-07-05T00:00:00"/>
    <d v="2019-07-05T00:00:00"/>
    <x v="41"/>
  </r>
  <r>
    <n v="2732"/>
    <x v="37"/>
    <x v="8"/>
    <x v="6"/>
    <n v="0.67797453703703703"/>
    <s v="Shibor_3M"/>
    <n v="3.71"/>
    <n v="3.81"/>
    <n v="0"/>
    <d v="2012-07-05T00:00:00"/>
    <d v="2013-01-05T00:00:00"/>
    <x v="184"/>
  </r>
  <r>
    <n v="2733"/>
    <x v="37"/>
    <x v="4"/>
    <x v="3"/>
    <n v="0.67118055555555556"/>
    <s v="Shibor_3M"/>
    <n v="3.21"/>
    <n v="3.31"/>
    <n v="0"/>
    <d v="2012-07-05T00:00:00"/>
    <d v="2014-07-05T00:00:00"/>
    <x v="16"/>
  </r>
  <r>
    <n v="2734"/>
    <x v="37"/>
    <x v="8"/>
    <x v="3"/>
    <n v="0.67118055555555556"/>
    <s v="Shibor_3M"/>
    <n v="3.75"/>
    <n v="3.8"/>
    <n v="0"/>
    <d v="2012-07-05T00:00:00"/>
    <d v="2013-01-05T00:00:00"/>
    <x v="185"/>
  </r>
  <r>
    <n v="2735"/>
    <x v="37"/>
    <x v="11"/>
    <x v="3"/>
    <n v="0.67118055555555556"/>
    <s v="Shibor_3M"/>
    <n v="3.21"/>
    <n v="3.31"/>
    <n v="0"/>
    <d v="2012-07-05T00:00:00"/>
    <d v="2017-07-05T00:00:00"/>
    <x v="16"/>
  </r>
  <r>
    <n v="2736"/>
    <x v="37"/>
    <x v="5"/>
    <x v="3"/>
    <n v="0.67118055555555556"/>
    <s v="Shibor_3M"/>
    <n v="3.52"/>
    <n v="3.6"/>
    <n v="0"/>
    <d v="2012-07-05T00:00:00"/>
    <d v="2013-04-05T00:00:00"/>
    <x v="187"/>
  </r>
  <r>
    <n v="2737"/>
    <x v="38"/>
    <x v="6"/>
    <x v="1"/>
    <n v="0.49299768518518516"/>
    <s v="Shibor_3M"/>
    <n v="3.36"/>
    <n v="3.42"/>
    <n v="0"/>
    <d v="2012-07-04T00:00:00"/>
    <d v="2022-07-04T00:00:00"/>
    <x v="59"/>
  </r>
  <r>
    <n v="2738"/>
    <x v="38"/>
    <x v="2"/>
    <x v="1"/>
    <n v="0.49299768518518516"/>
    <s v="Shibor_3M"/>
    <n v="3.25"/>
    <n v="3.31"/>
    <n v="0"/>
    <d v="2012-07-04T00:00:00"/>
    <d v="2016-07-04T00:00:00"/>
    <x v="9"/>
  </r>
  <r>
    <n v="2739"/>
    <x v="38"/>
    <x v="1"/>
    <x v="1"/>
    <n v="0.49299768518518516"/>
    <s v="Shibor_3M"/>
    <n v="3.42"/>
    <n v="3.48"/>
    <n v="0"/>
    <d v="2012-07-04T00:00:00"/>
    <d v="2013-07-04T00:00:00"/>
    <x v="43"/>
  </r>
  <r>
    <n v="2740"/>
    <x v="38"/>
    <x v="5"/>
    <x v="1"/>
    <n v="0.49299768518518516"/>
    <s v="Shibor_3M"/>
    <n v="3.59"/>
    <n v="3.65"/>
    <n v="0"/>
    <d v="2012-07-04T00:00:00"/>
    <d v="2013-04-04T00:00:00"/>
    <x v="35"/>
  </r>
  <r>
    <n v="2741"/>
    <x v="38"/>
    <x v="11"/>
    <x v="1"/>
    <n v="0.49299768518518516"/>
    <s v="Shibor_3M"/>
    <n v="3.25"/>
    <n v="3.31"/>
    <n v="0"/>
    <d v="2012-07-04T00:00:00"/>
    <d v="2017-07-04T00:00:00"/>
    <x v="9"/>
  </r>
  <r>
    <n v="2742"/>
    <x v="38"/>
    <x v="11"/>
    <x v="6"/>
    <n v="0.49015046296296294"/>
    <s v="Shibor_3M"/>
    <n v="3.23"/>
    <n v="3.33"/>
    <n v="0"/>
    <d v="2012-07-04T00:00:00"/>
    <d v="2017-07-04T00:00:00"/>
    <x v="9"/>
  </r>
  <r>
    <n v="2743"/>
    <x v="38"/>
    <x v="8"/>
    <x v="6"/>
    <n v="0.49015046296296294"/>
    <s v="Shibor_3M"/>
    <n v="3.71"/>
    <n v="3.81"/>
    <n v="0"/>
    <d v="2012-07-04T00:00:00"/>
    <d v="2013-01-04T00:00:00"/>
    <x v="184"/>
  </r>
  <r>
    <n v="2744"/>
    <x v="38"/>
    <x v="2"/>
    <x v="6"/>
    <n v="0.49015046296296294"/>
    <s v="Shibor_3M"/>
    <n v="3.23"/>
    <n v="3.33"/>
    <n v="0"/>
    <d v="2012-07-04T00:00:00"/>
    <d v="2016-07-04T00:00:00"/>
    <x v="9"/>
  </r>
  <r>
    <n v="2745"/>
    <x v="38"/>
    <x v="7"/>
    <x v="1"/>
    <n v="0.49298611111111112"/>
    <s v="Shibor_3M"/>
    <n v="3.3"/>
    <n v="3.36"/>
    <n v="0"/>
    <d v="2012-07-04T00:00:00"/>
    <d v="2019-07-04T00:00:00"/>
    <x v="41"/>
  </r>
  <r>
    <n v="2746"/>
    <x v="38"/>
    <x v="8"/>
    <x v="1"/>
    <n v="0.49298611111111112"/>
    <s v="Shibor_3M"/>
    <n v="3.73"/>
    <n v="3.79"/>
    <n v="0"/>
    <d v="2012-07-04T00:00:00"/>
    <d v="2013-01-04T00:00:00"/>
    <x v="184"/>
  </r>
  <r>
    <n v="2747"/>
    <x v="38"/>
    <x v="4"/>
    <x v="1"/>
    <n v="0.49299768518518516"/>
    <s v="Shibor_3M"/>
    <n v="3.27"/>
    <n v="3.33"/>
    <n v="0"/>
    <d v="2012-07-04T00:00:00"/>
    <d v="2014-07-04T00:00:00"/>
    <x v="23"/>
  </r>
  <r>
    <n v="2748"/>
    <x v="38"/>
    <x v="1"/>
    <x v="13"/>
    <n v="0.57486111111111116"/>
    <s v="Shibor_3M"/>
    <n v="3.44"/>
    <n v="3.51"/>
    <n v="0"/>
    <d v="2012-07-04T00:00:00"/>
    <d v="2013-07-04T00:00:00"/>
    <x v="188"/>
  </r>
  <r>
    <n v="2749"/>
    <x v="38"/>
    <x v="0"/>
    <x v="13"/>
    <n v="0.57486111111111116"/>
    <s v="Shibor_3M"/>
    <n v="3.24"/>
    <n v="3.32"/>
    <n v="0"/>
    <d v="2012-07-04T00:00:00"/>
    <d v="2015-07-04T00:00:00"/>
    <x v="9"/>
  </r>
  <r>
    <n v="2750"/>
    <x v="38"/>
    <x v="6"/>
    <x v="13"/>
    <n v="0.57486111111111116"/>
    <s v="Shibor_3M"/>
    <n v="3.34"/>
    <n v="3.46"/>
    <n v="0"/>
    <d v="2012-07-04T00:00:00"/>
    <d v="2022-07-04T00:00:00"/>
    <x v="32"/>
  </r>
  <r>
    <n v="2751"/>
    <x v="38"/>
    <x v="8"/>
    <x v="13"/>
    <n v="0.57486111111111116"/>
    <s v="Shibor_3M"/>
    <n v="3.74"/>
    <n v="3.81"/>
    <n v="0"/>
    <d v="2012-07-04T00:00:00"/>
    <d v="2013-01-04T00:00:00"/>
    <x v="189"/>
  </r>
  <r>
    <n v="2752"/>
    <x v="38"/>
    <x v="11"/>
    <x v="13"/>
    <n v="0.57486111111111116"/>
    <s v="Shibor_3M"/>
    <n v="3.24"/>
    <n v="3.32"/>
    <n v="0"/>
    <d v="2012-07-04T00:00:00"/>
    <d v="2017-07-04T00:00:00"/>
    <x v="9"/>
  </r>
  <r>
    <n v="2753"/>
    <x v="38"/>
    <x v="5"/>
    <x v="13"/>
    <n v="0.57484953703703701"/>
    <s v="Shibor_3M"/>
    <n v="3.53"/>
    <n v="3.62"/>
    <n v="0"/>
    <d v="2012-07-04T00:00:00"/>
    <d v="2013-04-04T00:00:00"/>
    <x v="190"/>
  </r>
  <r>
    <n v="2754"/>
    <x v="38"/>
    <x v="0"/>
    <x v="1"/>
    <n v="0.49299768518518516"/>
    <s v="Shibor_3M"/>
    <n v="3.26"/>
    <n v="3.32"/>
    <n v="0"/>
    <d v="2012-07-04T00:00:00"/>
    <d v="2015-07-04T00:00:00"/>
    <x v="3"/>
  </r>
  <r>
    <n v="2755"/>
    <x v="38"/>
    <x v="2"/>
    <x v="13"/>
    <n v="0.57484953703703701"/>
    <s v="Shibor_3M"/>
    <n v="3.24"/>
    <n v="3.32"/>
    <n v="0"/>
    <d v="2012-07-04T00:00:00"/>
    <d v="2016-07-04T00:00:00"/>
    <x v="9"/>
  </r>
  <r>
    <n v="2756"/>
    <x v="38"/>
    <x v="4"/>
    <x v="13"/>
    <n v="0.57484953703703701"/>
    <s v="Shibor_3M"/>
    <n v="3.25"/>
    <n v="3.33"/>
    <n v="0"/>
    <d v="2012-07-04T00:00:00"/>
    <d v="2014-07-04T00:00:00"/>
    <x v="3"/>
  </r>
  <r>
    <n v="2757"/>
    <x v="38"/>
    <x v="7"/>
    <x v="13"/>
    <n v="0.57484953703703701"/>
    <s v="Shibor_3M"/>
    <n v="3.28"/>
    <n v="3.4"/>
    <n v="0"/>
    <d v="2012-07-04T00:00:00"/>
    <d v="2019-07-04T00:00:00"/>
    <x v="5"/>
  </r>
  <r>
    <n v="2758"/>
    <x v="38"/>
    <x v="7"/>
    <x v="6"/>
    <n v="0.49015046296296294"/>
    <s v="Shibor_3M"/>
    <n v="3.28"/>
    <n v="3.38"/>
    <n v="0"/>
    <d v="2012-07-04T00:00:00"/>
    <d v="2019-07-04T00:00:00"/>
    <x v="41"/>
  </r>
  <r>
    <n v="2759"/>
    <x v="38"/>
    <x v="2"/>
    <x v="3"/>
    <n v="0.48225694444444445"/>
    <s v="Shibor_3M"/>
    <n v="3.23"/>
    <n v="3.33"/>
    <n v="0"/>
    <d v="2012-07-04T00:00:00"/>
    <d v="2016-07-04T00:00:00"/>
    <x v="9"/>
  </r>
  <r>
    <n v="2760"/>
    <x v="38"/>
    <x v="1"/>
    <x v="3"/>
    <n v="0.48225694444444445"/>
    <s v="Shibor_3M"/>
    <n v="3.41"/>
    <n v="3.48"/>
    <n v="0"/>
    <d v="2012-07-04T00:00:00"/>
    <d v="2013-07-04T00:00:00"/>
    <x v="176"/>
  </r>
  <r>
    <n v="2761"/>
    <x v="38"/>
    <x v="0"/>
    <x v="2"/>
    <n v="0.4831597222222222"/>
    <s v="Shibor_3M"/>
    <n v="3.25"/>
    <n v="3.3"/>
    <n v="0"/>
    <d v="2012-07-04T00:00:00"/>
    <d v="2015-07-04T00:00:00"/>
    <x v="182"/>
  </r>
  <r>
    <n v="2762"/>
    <x v="38"/>
    <x v="6"/>
    <x v="2"/>
    <n v="0.4831597222222222"/>
    <s v="Shibor_3M"/>
    <n v="3.25"/>
    <n v="3.3"/>
    <n v="0"/>
    <d v="2012-07-04T00:00:00"/>
    <d v="2022-07-04T00:00:00"/>
    <x v="182"/>
  </r>
  <r>
    <n v="2763"/>
    <x v="38"/>
    <x v="1"/>
    <x v="2"/>
    <n v="0.4831597222222222"/>
    <s v="Shibor_3M"/>
    <n v="2.4500000000000002"/>
    <n v="3.5"/>
    <n v="0"/>
    <d v="2012-07-04T00:00:00"/>
    <d v="2013-07-04T00:00:00"/>
    <x v="130"/>
  </r>
  <r>
    <n v="2764"/>
    <x v="38"/>
    <x v="5"/>
    <x v="3"/>
    <n v="0.48223379629629631"/>
    <s v="Shibor_3M"/>
    <n v="3.52"/>
    <n v="3.62"/>
    <n v="0"/>
    <d v="2012-07-04T00:00:00"/>
    <d v="2013-04-04T00:00:00"/>
    <x v="28"/>
  </r>
  <r>
    <n v="2765"/>
    <x v="38"/>
    <x v="8"/>
    <x v="3"/>
    <n v="0.48222222222222227"/>
    <s v="Shibor_3M"/>
    <n v="3.75"/>
    <n v="3.8"/>
    <n v="0"/>
    <d v="2012-07-04T00:00:00"/>
    <d v="2013-01-04T00:00:00"/>
    <x v="185"/>
  </r>
  <r>
    <n v="2766"/>
    <x v="38"/>
    <x v="11"/>
    <x v="3"/>
    <n v="0.48223379629629631"/>
    <s v="Shibor_3M"/>
    <n v="3.23"/>
    <n v="3.32"/>
    <n v="0"/>
    <d v="2012-07-04T00:00:00"/>
    <d v="2017-07-04T00:00:00"/>
    <x v="182"/>
  </r>
  <r>
    <n v="2767"/>
    <x v="38"/>
    <x v="0"/>
    <x v="3"/>
    <n v="0.48224537037037035"/>
    <s v="Shibor_3M"/>
    <n v="3.22"/>
    <n v="3.3"/>
    <n v="0"/>
    <d v="2012-07-04T00:00:00"/>
    <d v="2015-07-04T00:00:00"/>
    <x v="16"/>
  </r>
  <r>
    <n v="2768"/>
    <x v="38"/>
    <x v="4"/>
    <x v="3"/>
    <n v="0.48224537037037035"/>
    <s v="Shibor_3M"/>
    <n v="3.22"/>
    <n v="3.32"/>
    <n v="0"/>
    <d v="2012-07-04T00:00:00"/>
    <d v="2014-07-04T00:00:00"/>
    <x v="25"/>
  </r>
  <r>
    <n v="2769"/>
    <x v="38"/>
    <x v="11"/>
    <x v="2"/>
    <n v="0.4831597222222222"/>
    <s v="Shibor_3M"/>
    <n v="3.25"/>
    <n v="3.3"/>
    <n v="0"/>
    <d v="2012-07-04T00:00:00"/>
    <d v="2017-07-04T00:00:00"/>
    <x v="182"/>
  </r>
  <r>
    <n v="2770"/>
    <x v="38"/>
    <x v="4"/>
    <x v="6"/>
    <n v="0.49015046296296294"/>
    <s v="Shibor_3M"/>
    <n v="3.25"/>
    <n v="3.35"/>
    <n v="0"/>
    <d v="2012-07-04T00:00:00"/>
    <d v="2014-07-04T00:00:00"/>
    <x v="23"/>
  </r>
  <r>
    <n v="2771"/>
    <x v="38"/>
    <x v="0"/>
    <x v="6"/>
    <n v="0.49015046296296294"/>
    <s v="Shibor_3M"/>
    <n v="3.24"/>
    <n v="3.34"/>
    <n v="0"/>
    <d v="2012-07-04T00:00:00"/>
    <d v="2015-07-04T00:00:00"/>
    <x v="3"/>
  </r>
  <r>
    <n v="2772"/>
    <x v="38"/>
    <x v="1"/>
    <x v="6"/>
    <n v="0.49015046296296294"/>
    <s v="Shibor_3M"/>
    <n v="3.4"/>
    <n v="3.5"/>
    <n v="0"/>
    <d v="2012-07-04T00:00:00"/>
    <d v="2013-07-04T00:00:00"/>
    <x v="43"/>
  </r>
  <r>
    <n v="2773"/>
    <x v="38"/>
    <x v="5"/>
    <x v="6"/>
    <n v="0.49015046296296294"/>
    <s v="Shibor_3M"/>
    <n v="3.53"/>
    <n v="3.63"/>
    <n v="0"/>
    <d v="2012-07-04T00:00:00"/>
    <d v="2013-04-04T00:00:00"/>
    <x v="139"/>
  </r>
  <r>
    <n v="2774"/>
    <x v="38"/>
    <x v="6"/>
    <x v="6"/>
    <n v="0.49015046296296294"/>
    <s v="Shibor_3M"/>
    <n v="3.33"/>
    <n v="3.43"/>
    <n v="0"/>
    <d v="2012-07-04T00:00:00"/>
    <d v="2022-07-04T00:00:00"/>
    <x v="17"/>
  </r>
  <r>
    <n v="2775"/>
    <x v="38"/>
    <x v="2"/>
    <x v="2"/>
    <n v="0.4831597222222222"/>
    <s v="Shibor_3M"/>
    <n v="3.25"/>
    <n v="3.3"/>
    <n v="0"/>
    <d v="2012-07-04T00:00:00"/>
    <d v="2016-07-04T00:00:00"/>
    <x v="182"/>
  </r>
  <r>
    <n v="2776"/>
    <x v="38"/>
    <x v="8"/>
    <x v="2"/>
    <n v="0.4831597222222222"/>
    <s v="Shibor_3M"/>
    <n v="2.75"/>
    <n v="3.8"/>
    <n v="0"/>
    <d v="2012-07-04T00:00:00"/>
    <d v="2013-01-04T00:00:00"/>
    <x v="182"/>
  </r>
  <r>
    <n v="2777"/>
    <x v="38"/>
    <x v="7"/>
    <x v="2"/>
    <n v="0.4831597222222222"/>
    <s v="Shibor_3M"/>
    <n v="3.25"/>
    <n v="3.3"/>
    <n v="0"/>
    <d v="2012-07-04T00:00:00"/>
    <d v="2019-07-04T00:00:00"/>
    <x v="182"/>
  </r>
  <r>
    <n v="2778"/>
    <x v="38"/>
    <x v="4"/>
    <x v="2"/>
    <n v="0.48317129629629635"/>
    <s v="Shibor_3M"/>
    <n v="3.28"/>
    <n v="3.35"/>
    <n v="0"/>
    <d v="2012-07-04T00:00:00"/>
    <d v="2014-07-04T00:00:00"/>
    <x v="34"/>
  </r>
  <r>
    <n v="2779"/>
    <x v="38"/>
    <x v="5"/>
    <x v="2"/>
    <n v="0.4831597222222222"/>
    <s v="Shibor_3M"/>
    <n v="3.48"/>
    <n v="3.55"/>
    <n v="0"/>
    <d v="2012-07-04T00:00:00"/>
    <d v="2013-04-04T00:00:00"/>
    <x v="48"/>
  </r>
  <r>
    <n v="2780"/>
    <x v="38"/>
    <x v="6"/>
    <x v="2"/>
    <n v="0.67962962962962958"/>
    <s v="Shibor_3M"/>
    <n v="3.25"/>
    <n v="3.3"/>
    <n v="0"/>
    <d v="2012-07-04T00:00:00"/>
    <d v="2022-07-04T00:00:00"/>
    <x v="182"/>
  </r>
  <r>
    <n v="2781"/>
    <x v="38"/>
    <x v="1"/>
    <x v="2"/>
    <n v="0.67962962962962958"/>
    <s v="Shibor_3M"/>
    <n v="2.4500000000000002"/>
    <n v="3.5"/>
    <n v="0"/>
    <d v="2012-07-04T00:00:00"/>
    <d v="2013-07-04T00:00:00"/>
    <x v="130"/>
  </r>
  <r>
    <n v="2782"/>
    <x v="38"/>
    <x v="11"/>
    <x v="2"/>
    <n v="0.67962962962962958"/>
    <s v="Shibor_3M"/>
    <n v="3.25"/>
    <n v="3.3"/>
    <n v="0"/>
    <d v="2012-07-04T00:00:00"/>
    <d v="2017-07-04T00:00:00"/>
    <x v="182"/>
  </r>
  <r>
    <n v="2783"/>
    <x v="38"/>
    <x v="7"/>
    <x v="2"/>
    <n v="0.67962962962962958"/>
    <s v="Shibor_3M"/>
    <n v="3.25"/>
    <n v="3.3"/>
    <n v="0"/>
    <d v="2012-07-04T00:00:00"/>
    <d v="2019-07-04T00:00:00"/>
    <x v="182"/>
  </r>
  <r>
    <n v="2784"/>
    <x v="38"/>
    <x v="2"/>
    <x v="2"/>
    <n v="0.67962962962962958"/>
    <s v="Shibor_3M"/>
    <n v="3.25"/>
    <n v="3.3"/>
    <n v="0"/>
    <d v="2012-07-04T00:00:00"/>
    <d v="2016-07-04T00:00:00"/>
    <x v="182"/>
  </r>
  <r>
    <n v="2785"/>
    <x v="38"/>
    <x v="2"/>
    <x v="3"/>
    <n v="0.67371527777777773"/>
    <s v="Shibor_3M"/>
    <n v="3.22"/>
    <n v="3.32"/>
    <n v="0"/>
    <d v="2012-07-04T00:00:00"/>
    <d v="2016-07-04T00:00:00"/>
    <x v="25"/>
  </r>
  <r>
    <n v="2786"/>
    <x v="38"/>
    <x v="0"/>
    <x v="3"/>
    <n v="0.67371527777777773"/>
    <s v="Shibor_3M"/>
    <n v="3.2"/>
    <n v="3.3"/>
    <n v="0"/>
    <d v="2012-07-04T00:00:00"/>
    <d v="2015-07-04T00:00:00"/>
    <x v="21"/>
  </r>
  <r>
    <n v="2787"/>
    <x v="38"/>
    <x v="1"/>
    <x v="3"/>
    <n v="0.67371527777777773"/>
    <s v="Shibor_3M"/>
    <n v="3.4"/>
    <n v="3.46"/>
    <n v="0"/>
    <d v="2012-07-04T00:00:00"/>
    <d v="2013-07-04T00:00:00"/>
    <x v="12"/>
  </r>
  <r>
    <n v="2788"/>
    <x v="38"/>
    <x v="0"/>
    <x v="2"/>
    <n v="0.67962962962962958"/>
    <s v="Shibor_3M"/>
    <n v="3.25"/>
    <n v="3.3"/>
    <n v="0"/>
    <d v="2012-07-04T00:00:00"/>
    <d v="2015-07-04T00:00:00"/>
    <x v="182"/>
  </r>
  <r>
    <n v="2789"/>
    <x v="38"/>
    <x v="5"/>
    <x v="2"/>
    <n v="0.67962962962962958"/>
    <s v="Shibor_3M"/>
    <n v="3.48"/>
    <n v="3.55"/>
    <n v="0"/>
    <d v="2012-07-04T00:00:00"/>
    <d v="2013-04-04T00:00:00"/>
    <x v="48"/>
  </r>
  <r>
    <n v="2790"/>
    <x v="38"/>
    <x v="8"/>
    <x v="2"/>
    <n v="0.67964120370370373"/>
    <s v="Shibor_3M"/>
    <n v="2.75"/>
    <n v="3.8"/>
    <n v="0"/>
    <d v="2012-07-04T00:00:00"/>
    <d v="2013-01-04T00:00:00"/>
    <x v="182"/>
  </r>
  <r>
    <n v="2791"/>
    <x v="38"/>
    <x v="1"/>
    <x v="1"/>
    <n v="0.68541666666666667"/>
    <s v="Shibor_3M"/>
    <n v="3.41"/>
    <n v="3.47"/>
    <n v="0"/>
    <d v="2012-07-04T00:00:00"/>
    <d v="2013-07-04T00:00:00"/>
    <x v="87"/>
  </r>
  <r>
    <n v="2792"/>
    <x v="38"/>
    <x v="6"/>
    <x v="1"/>
    <n v="0.68541666666666667"/>
    <s v="Shibor_3M"/>
    <n v="3.37"/>
    <n v="3.43"/>
    <n v="0"/>
    <d v="2012-07-04T00:00:00"/>
    <d v="2022-07-04T00:00:00"/>
    <x v="20"/>
  </r>
  <r>
    <n v="2793"/>
    <x v="38"/>
    <x v="11"/>
    <x v="1"/>
    <n v="0.68541666666666667"/>
    <s v="Shibor_3M"/>
    <n v="3.25"/>
    <n v="3.31"/>
    <n v="0"/>
    <d v="2012-07-04T00:00:00"/>
    <d v="2017-07-04T00:00:00"/>
    <x v="9"/>
  </r>
  <r>
    <n v="2794"/>
    <x v="38"/>
    <x v="4"/>
    <x v="1"/>
    <n v="0.68541666666666667"/>
    <s v="Shibor_3M"/>
    <n v="3.26"/>
    <n v="3.32"/>
    <n v="0"/>
    <d v="2012-07-04T00:00:00"/>
    <d v="2014-07-04T00:00:00"/>
    <x v="3"/>
  </r>
  <r>
    <n v="2795"/>
    <x v="38"/>
    <x v="5"/>
    <x v="1"/>
    <n v="0.68541666666666667"/>
    <s v="Shibor_3M"/>
    <n v="3.54"/>
    <n v="3.6"/>
    <n v="0"/>
    <d v="2012-07-04T00:00:00"/>
    <d v="2013-04-04T00:00:00"/>
    <x v="28"/>
  </r>
  <r>
    <n v="2796"/>
    <x v="38"/>
    <x v="8"/>
    <x v="1"/>
    <n v="0.68540509259259252"/>
    <s v="Shibor_3M"/>
    <n v="3.74"/>
    <n v="3.8"/>
    <n v="0"/>
    <d v="2012-07-04T00:00:00"/>
    <d v="2013-01-04T00:00:00"/>
    <x v="183"/>
  </r>
  <r>
    <n v="2797"/>
    <x v="38"/>
    <x v="4"/>
    <x v="2"/>
    <n v="0.67964120370370373"/>
    <s v="Shibor_3M"/>
    <n v="3.28"/>
    <n v="3.35"/>
    <n v="0"/>
    <d v="2012-07-04T00:00:00"/>
    <d v="2014-07-04T00:00:00"/>
    <x v="34"/>
  </r>
  <r>
    <n v="2798"/>
    <x v="38"/>
    <x v="7"/>
    <x v="1"/>
    <n v="0.68540509259259252"/>
    <s v="Shibor_3M"/>
    <n v="3.31"/>
    <n v="3.37"/>
    <n v="0"/>
    <d v="2012-07-04T00:00:00"/>
    <d v="2019-07-04T00:00:00"/>
    <x v="5"/>
  </r>
  <r>
    <n v="2799"/>
    <x v="38"/>
    <x v="2"/>
    <x v="1"/>
    <n v="0.68541666666666667"/>
    <s v="Shibor_3M"/>
    <n v="3.25"/>
    <n v="3.31"/>
    <n v="0"/>
    <d v="2012-07-04T00:00:00"/>
    <d v="2016-07-04T00:00:00"/>
    <x v="9"/>
  </r>
  <r>
    <n v="2800"/>
    <x v="38"/>
    <x v="0"/>
    <x v="1"/>
    <n v="0.68541666666666667"/>
    <s v="Shibor_3M"/>
    <n v="3.25"/>
    <n v="3.31"/>
    <n v="0"/>
    <d v="2012-07-04T00:00:00"/>
    <d v="2015-07-04T00:00:00"/>
    <x v="9"/>
  </r>
  <r>
    <n v="2801"/>
    <x v="38"/>
    <x v="4"/>
    <x v="2"/>
    <n v="0.6737037037037038"/>
    <s v="Shibor_3M"/>
    <n v="3.28"/>
    <n v="3.35"/>
    <n v="0"/>
    <d v="2012-07-04T00:00:00"/>
    <d v="2014-07-04T00:00:00"/>
    <x v="34"/>
  </r>
  <r>
    <n v="2802"/>
    <x v="38"/>
    <x v="0"/>
    <x v="14"/>
    <n v="0.6665740740740741"/>
    <s v="Shibor_3M"/>
    <n v="3.29"/>
    <n v="3.33"/>
    <n v="0"/>
    <d v="2012-07-04T00:00:00"/>
    <d v="2015-07-04T00:00:00"/>
    <x v="151"/>
  </r>
  <r>
    <n v="2803"/>
    <x v="38"/>
    <x v="4"/>
    <x v="14"/>
    <n v="0.6665740740740741"/>
    <s v="Shibor_3M"/>
    <n v="3.3"/>
    <n v="3.34"/>
    <n v="0"/>
    <d v="2012-07-04T00:00:00"/>
    <d v="2014-07-04T00:00:00"/>
    <x v="148"/>
  </r>
  <r>
    <n v="2804"/>
    <x v="38"/>
    <x v="2"/>
    <x v="14"/>
    <n v="0.6665740740740741"/>
    <s v="Shibor_3M"/>
    <n v="3.29"/>
    <n v="3.33"/>
    <n v="0"/>
    <d v="2012-07-04T00:00:00"/>
    <d v="2016-07-04T00:00:00"/>
    <x v="151"/>
  </r>
  <r>
    <n v="2805"/>
    <x v="38"/>
    <x v="8"/>
    <x v="3"/>
    <n v="0.67366898148148147"/>
    <s v="Shibor_3M"/>
    <n v="3.75"/>
    <n v="3.8"/>
    <n v="0"/>
    <d v="2012-07-04T00:00:00"/>
    <d v="2013-01-04T00:00:00"/>
    <x v="185"/>
  </r>
  <r>
    <n v="2806"/>
    <x v="38"/>
    <x v="11"/>
    <x v="14"/>
    <n v="0.6665740740740741"/>
    <s v="Shibor_3M"/>
    <n v="3.28"/>
    <n v="3.32"/>
    <n v="0"/>
    <d v="2012-07-04T00:00:00"/>
    <d v="2017-07-04T00:00:00"/>
    <x v="23"/>
  </r>
  <r>
    <n v="2807"/>
    <x v="38"/>
    <x v="6"/>
    <x v="14"/>
    <n v="0.6665740740740741"/>
    <s v="Shibor_3M"/>
    <n v="3.39"/>
    <n v="3.43"/>
    <n v="0"/>
    <d v="2012-07-04T00:00:00"/>
    <d v="2022-07-04T00:00:00"/>
    <x v="11"/>
  </r>
  <r>
    <n v="2808"/>
    <x v="38"/>
    <x v="7"/>
    <x v="14"/>
    <n v="0.6665740740740741"/>
    <s v="Shibor_3M"/>
    <n v="3.33"/>
    <n v="3.37"/>
    <n v="0"/>
    <d v="2012-07-04T00:00:00"/>
    <d v="2019-07-04T00:00:00"/>
    <x v="191"/>
  </r>
  <r>
    <n v="2809"/>
    <x v="38"/>
    <x v="8"/>
    <x v="14"/>
    <n v="0.6665740740740741"/>
    <s v="Shibor_3M"/>
    <n v="3.75"/>
    <n v="3.8"/>
    <n v="0"/>
    <d v="2012-07-04T00:00:00"/>
    <d v="2013-01-04T00:00:00"/>
    <x v="185"/>
  </r>
  <r>
    <n v="2810"/>
    <x v="38"/>
    <x v="1"/>
    <x v="14"/>
    <n v="0.6665740740740741"/>
    <s v="Shibor_3M"/>
    <n v="3.46"/>
    <n v="3.5"/>
    <n v="0"/>
    <d v="2012-07-04T00:00:00"/>
    <d v="2013-07-04T00:00:00"/>
    <x v="18"/>
  </r>
  <r>
    <n v="2811"/>
    <x v="38"/>
    <x v="5"/>
    <x v="14"/>
    <n v="0.6665740740740741"/>
    <s v="Shibor_3M"/>
    <n v="3.6"/>
    <n v="3.64"/>
    <n v="0"/>
    <d v="2012-07-04T00:00:00"/>
    <d v="2013-04-04T00:00:00"/>
    <x v="35"/>
  </r>
  <r>
    <n v="2812"/>
    <x v="38"/>
    <x v="11"/>
    <x v="3"/>
    <n v="0.67366898148148147"/>
    <s v="Shibor_3M"/>
    <n v="3.24"/>
    <n v="3.29"/>
    <n v="0"/>
    <d v="2012-07-04T00:00:00"/>
    <d v="2017-07-04T00:00:00"/>
    <x v="186"/>
  </r>
  <r>
    <n v="2813"/>
    <x v="38"/>
    <x v="11"/>
    <x v="2"/>
    <n v="0.67369212962962965"/>
    <s v="Shibor_3M"/>
    <n v="3.25"/>
    <n v="3.3"/>
    <n v="0"/>
    <d v="2012-07-04T00:00:00"/>
    <d v="2017-07-04T00:00:00"/>
    <x v="182"/>
  </r>
  <r>
    <n v="2814"/>
    <x v="38"/>
    <x v="6"/>
    <x v="2"/>
    <n v="0.67369212962962965"/>
    <s v="Shibor_3M"/>
    <n v="3.25"/>
    <n v="3.3"/>
    <n v="0"/>
    <d v="2012-07-04T00:00:00"/>
    <d v="2022-07-04T00:00:00"/>
    <x v="182"/>
  </r>
  <r>
    <n v="2815"/>
    <x v="38"/>
    <x v="2"/>
    <x v="2"/>
    <n v="0.67369212962962965"/>
    <s v="Shibor_3M"/>
    <n v="3.25"/>
    <n v="3.3"/>
    <n v="0"/>
    <d v="2012-07-04T00:00:00"/>
    <d v="2016-07-04T00:00:00"/>
    <x v="182"/>
  </r>
  <r>
    <n v="2816"/>
    <x v="38"/>
    <x v="8"/>
    <x v="2"/>
    <n v="0.6737037037037038"/>
    <s v="Shibor_3M"/>
    <n v="2.75"/>
    <n v="3.8"/>
    <n v="0"/>
    <d v="2012-07-04T00:00:00"/>
    <d v="2013-01-04T00:00:00"/>
    <x v="182"/>
  </r>
  <r>
    <n v="2817"/>
    <x v="38"/>
    <x v="7"/>
    <x v="2"/>
    <n v="0.67369212962962965"/>
    <s v="Shibor_3M"/>
    <n v="3.25"/>
    <n v="3.3"/>
    <n v="0"/>
    <d v="2012-07-04T00:00:00"/>
    <d v="2019-07-04T00:00:00"/>
    <x v="182"/>
  </r>
  <r>
    <n v="2818"/>
    <x v="38"/>
    <x v="4"/>
    <x v="3"/>
    <n v="0.6736805555555555"/>
    <s v="Shibor_3M"/>
    <n v="3.22"/>
    <n v="3.32"/>
    <n v="0"/>
    <d v="2012-07-04T00:00:00"/>
    <d v="2014-07-04T00:00:00"/>
    <x v="25"/>
  </r>
  <r>
    <n v="2819"/>
    <x v="38"/>
    <x v="5"/>
    <x v="3"/>
    <n v="0.6736805555555555"/>
    <s v="Shibor_3M"/>
    <n v="3.52"/>
    <n v="3.62"/>
    <n v="0"/>
    <d v="2012-07-04T00:00:00"/>
    <d v="2013-04-04T00:00:00"/>
    <x v="28"/>
  </r>
  <r>
    <n v="2820"/>
    <x v="38"/>
    <x v="5"/>
    <x v="2"/>
    <n v="0.67369212962962965"/>
    <s v="Shibor_3M"/>
    <n v="3.48"/>
    <n v="3.55"/>
    <n v="0"/>
    <d v="2012-07-04T00:00:00"/>
    <d v="2013-04-04T00:00:00"/>
    <x v="48"/>
  </r>
  <r>
    <n v="2821"/>
    <x v="38"/>
    <x v="1"/>
    <x v="2"/>
    <n v="0.67369212962962965"/>
    <s v="Shibor_3M"/>
    <n v="2.4500000000000002"/>
    <n v="3.5"/>
    <n v="0"/>
    <d v="2012-07-04T00:00:00"/>
    <d v="2013-07-04T00:00:00"/>
    <x v="130"/>
  </r>
  <r>
    <n v="2822"/>
    <x v="38"/>
    <x v="0"/>
    <x v="2"/>
    <n v="0.67369212962962965"/>
    <s v="Shibor_3M"/>
    <n v="3.25"/>
    <n v="3.3"/>
    <n v="0"/>
    <d v="2012-07-04T00:00:00"/>
    <d v="2015-07-04T00:00:00"/>
    <x v="182"/>
  </r>
  <r>
    <n v="2823"/>
    <x v="39"/>
    <x v="0"/>
    <x v="3"/>
    <n v="0.49091435185185189"/>
    <s v="Shibor_3M"/>
    <n v="3.25"/>
    <n v="3.35"/>
    <n v="0"/>
    <d v="2012-07-03T00:00:00"/>
    <d v="2015-07-03T00:00:00"/>
    <x v="23"/>
  </r>
  <r>
    <n v="2824"/>
    <x v="39"/>
    <x v="4"/>
    <x v="3"/>
    <n v="0.49090277777777774"/>
    <s v="Shibor_3M"/>
    <n v="3.27"/>
    <n v="3.37"/>
    <n v="0"/>
    <d v="2012-07-03T00:00:00"/>
    <d v="2014-07-03T00:00:00"/>
    <x v="24"/>
  </r>
  <r>
    <n v="2825"/>
    <x v="39"/>
    <x v="1"/>
    <x v="3"/>
    <n v="0.49091435185185189"/>
    <s v="Shibor_3M"/>
    <n v="3.46"/>
    <n v="3.54"/>
    <n v="0"/>
    <d v="2012-07-03T00:00:00"/>
    <d v="2013-07-03T00:00:00"/>
    <x v="13"/>
  </r>
  <r>
    <n v="2826"/>
    <x v="39"/>
    <x v="2"/>
    <x v="3"/>
    <n v="0.49091435185185189"/>
    <s v="Shibor_3M"/>
    <n v="3.25"/>
    <n v="3.35"/>
    <n v="0"/>
    <d v="2012-07-03T00:00:00"/>
    <d v="2016-07-03T00:00:00"/>
    <x v="23"/>
  </r>
  <r>
    <n v="2827"/>
    <x v="39"/>
    <x v="8"/>
    <x v="3"/>
    <n v="0.4908912037037037"/>
    <s v="Shibor_3M"/>
    <n v="3.75"/>
    <n v="3.85"/>
    <n v="0"/>
    <d v="2012-07-03T00:00:00"/>
    <d v="2013-01-03T00:00:00"/>
    <x v="192"/>
  </r>
  <r>
    <n v="2828"/>
    <x v="39"/>
    <x v="6"/>
    <x v="6"/>
    <n v="0.48423611111111109"/>
    <s v="Shibor_3M"/>
    <n v="3.33"/>
    <n v="3.43"/>
    <n v="0"/>
    <d v="2012-07-03T00:00:00"/>
    <d v="2022-07-03T00:00:00"/>
    <x v="17"/>
  </r>
  <r>
    <n v="2829"/>
    <x v="39"/>
    <x v="5"/>
    <x v="3"/>
    <n v="0.49090277777777774"/>
    <s v="Shibor_3M"/>
    <n v="3.57"/>
    <n v="3.66"/>
    <n v="0"/>
    <d v="2012-07-03T00:00:00"/>
    <d v="2013-04-03T00:00:00"/>
    <x v="193"/>
  </r>
  <r>
    <n v="2830"/>
    <x v="39"/>
    <x v="11"/>
    <x v="3"/>
    <n v="0.49090277777777774"/>
    <s v="Shibor_3M"/>
    <n v="3.26"/>
    <n v="3.35"/>
    <n v="0"/>
    <d v="2012-07-03T00:00:00"/>
    <d v="2017-07-03T00:00:00"/>
    <x v="121"/>
  </r>
  <r>
    <n v="2831"/>
    <x v="39"/>
    <x v="8"/>
    <x v="14"/>
    <n v="0.66646990740740741"/>
    <s v="Shibor_3M"/>
    <n v="3.77"/>
    <n v="3.81"/>
    <n v="0"/>
    <d v="2012-07-03T00:00:00"/>
    <d v="2013-01-03T00:00:00"/>
    <x v="152"/>
  </r>
  <r>
    <n v="2832"/>
    <x v="39"/>
    <x v="11"/>
    <x v="14"/>
    <n v="0.66646990740740741"/>
    <s v="Shibor_3M"/>
    <n v="3.26"/>
    <n v="3.3"/>
    <n v="0"/>
    <d v="2012-07-03T00:00:00"/>
    <d v="2017-07-03T00:00:00"/>
    <x v="194"/>
  </r>
  <r>
    <n v="2833"/>
    <x v="39"/>
    <x v="2"/>
    <x v="14"/>
    <n v="0.66646990740740741"/>
    <s v="Shibor_3M"/>
    <n v="3.27"/>
    <n v="3.31"/>
    <n v="0"/>
    <d v="2012-07-03T00:00:00"/>
    <d v="2016-07-03T00:00:00"/>
    <x v="3"/>
  </r>
  <r>
    <n v="2834"/>
    <x v="39"/>
    <x v="6"/>
    <x v="14"/>
    <n v="0.66646990740740741"/>
    <s v="Shibor_3M"/>
    <n v="3.37"/>
    <n v="3.41"/>
    <n v="0"/>
    <d v="2012-07-03T00:00:00"/>
    <d v="2022-07-03T00:00:00"/>
    <x v="195"/>
  </r>
  <r>
    <n v="2835"/>
    <x v="39"/>
    <x v="7"/>
    <x v="14"/>
    <n v="0.66646990740740741"/>
    <s v="Shibor_3M"/>
    <n v="3.31"/>
    <n v="3.35"/>
    <n v="0"/>
    <d v="2012-07-03T00:00:00"/>
    <d v="2019-07-03T00:00:00"/>
    <x v="41"/>
  </r>
  <r>
    <n v="2836"/>
    <x v="39"/>
    <x v="1"/>
    <x v="14"/>
    <n v="0.66646990740740741"/>
    <s v="Shibor_3M"/>
    <n v="3.43"/>
    <n v="3.47"/>
    <n v="0"/>
    <d v="2012-07-03T00:00:00"/>
    <d v="2013-07-03T00:00:00"/>
    <x v="43"/>
  </r>
  <r>
    <n v="2837"/>
    <x v="39"/>
    <x v="5"/>
    <x v="14"/>
    <n v="0.66646990740740741"/>
    <s v="Shibor_3M"/>
    <n v="3.58"/>
    <n v="3.62"/>
    <n v="0"/>
    <d v="2012-07-03T00:00:00"/>
    <d v="2013-04-03T00:00:00"/>
    <x v="31"/>
  </r>
  <r>
    <n v="2838"/>
    <x v="39"/>
    <x v="0"/>
    <x v="14"/>
    <n v="0.66646990740740741"/>
    <s v="Shibor_3M"/>
    <n v="3.27"/>
    <n v="3.31"/>
    <n v="0"/>
    <d v="2012-07-03T00:00:00"/>
    <d v="2015-07-03T00:00:00"/>
    <x v="3"/>
  </r>
  <r>
    <n v="2839"/>
    <x v="39"/>
    <x v="4"/>
    <x v="14"/>
    <n v="0.66646990740740741"/>
    <s v="Shibor_3M"/>
    <n v="3.28"/>
    <n v="3.32"/>
    <n v="0"/>
    <d v="2012-07-03T00:00:00"/>
    <d v="2014-07-03T00:00:00"/>
    <x v="23"/>
  </r>
  <r>
    <n v="2840"/>
    <x v="39"/>
    <x v="5"/>
    <x v="1"/>
    <n v="0.48214120370370367"/>
    <s v="Shibor_3M"/>
    <n v="3.59"/>
    <n v="3.65"/>
    <n v="0"/>
    <d v="2012-07-03T00:00:00"/>
    <d v="2013-04-03T00:00:00"/>
    <x v="35"/>
  </r>
  <r>
    <n v="2841"/>
    <x v="39"/>
    <x v="11"/>
    <x v="1"/>
    <n v="0.48214120370370367"/>
    <s v="Shibor_3M"/>
    <n v="3.27"/>
    <n v="3.33"/>
    <n v="0"/>
    <d v="2012-07-03T00:00:00"/>
    <d v="2017-07-03T00:00:00"/>
    <x v="23"/>
  </r>
  <r>
    <n v="2842"/>
    <x v="39"/>
    <x v="0"/>
    <x v="1"/>
    <n v="0.48214120370370367"/>
    <s v="Shibor_3M"/>
    <n v="3.28"/>
    <n v="3.34"/>
    <n v="0"/>
    <d v="2012-07-03T00:00:00"/>
    <d v="2015-07-03T00:00:00"/>
    <x v="6"/>
  </r>
  <r>
    <n v="2843"/>
    <x v="39"/>
    <x v="4"/>
    <x v="1"/>
    <n v="0.48214120370370367"/>
    <s v="Shibor_3M"/>
    <n v="3.29"/>
    <n v="3.35"/>
    <n v="0"/>
    <d v="2012-07-03T00:00:00"/>
    <d v="2014-07-03T00:00:00"/>
    <x v="24"/>
  </r>
  <r>
    <n v="2844"/>
    <x v="39"/>
    <x v="7"/>
    <x v="1"/>
    <n v="0.48211805555555554"/>
    <s v="Shibor_3M"/>
    <n v="3.32"/>
    <n v="3.38"/>
    <n v="0"/>
    <d v="2012-07-03T00:00:00"/>
    <d v="2019-07-03T00:00:00"/>
    <x v="1"/>
  </r>
  <r>
    <n v="2845"/>
    <x v="39"/>
    <x v="8"/>
    <x v="1"/>
    <n v="0.48211805555555554"/>
    <s v="Shibor_3M"/>
    <n v="3.77"/>
    <n v="3.83"/>
    <n v="0"/>
    <d v="2012-07-03T00:00:00"/>
    <d v="2013-01-03T00:00:00"/>
    <x v="192"/>
  </r>
  <r>
    <n v="2846"/>
    <x v="39"/>
    <x v="1"/>
    <x v="1"/>
    <n v="0.48214120370370367"/>
    <s v="Shibor_3M"/>
    <n v="3.43"/>
    <n v="3.49"/>
    <n v="0"/>
    <d v="2012-07-03T00:00:00"/>
    <d v="2013-07-03T00:00:00"/>
    <x v="46"/>
  </r>
  <r>
    <n v="2847"/>
    <x v="39"/>
    <x v="6"/>
    <x v="1"/>
    <n v="0.48214120370370367"/>
    <s v="Shibor_3M"/>
    <n v="3.38"/>
    <n v="3.44"/>
    <n v="0"/>
    <d v="2012-07-03T00:00:00"/>
    <d v="2022-07-03T00:00:00"/>
    <x v="11"/>
  </r>
  <r>
    <n v="2848"/>
    <x v="39"/>
    <x v="2"/>
    <x v="1"/>
    <n v="0.48214120370370367"/>
    <s v="Shibor_3M"/>
    <n v="3.28"/>
    <n v="3.34"/>
    <n v="0"/>
    <d v="2012-07-03T00:00:00"/>
    <d v="2016-07-03T00:00:00"/>
    <x v="6"/>
  </r>
  <r>
    <n v="2849"/>
    <x v="39"/>
    <x v="0"/>
    <x v="6"/>
    <n v="0.48423611111111109"/>
    <s v="Shibor_3M"/>
    <n v="3.25"/>
    <n v="3.35"/>
    <n v="0"/>
    <d v="2012-07-03T00:00:00"/>
    <d v="2015-07-03T00:00:00"/>
    <x v="23"/>
  </r>
  <r>
    <n v="2850"/>
    <x v="39"/>
    <x v="2"/>
    <x v="6"/>
    <n v="0.48423611111111109"/>
    <s v="Shibor_3M"/>
    <n v="3.25"/>
    <n v="3.35"/>
    <n v="0"/>
    <d v="2012-07-03T00:00:00"/>
    <d v="2016-07-03T00:00:00"/>
    <x v="23"/>
  </r>
  <r>
    <n v="2851"/>
    <x v="39"/>
    <x v="1"/>
    <x v="6"/>
    <n v="0.48423611111111109"/>
    <s v="Shibor_3M"/>
    <n v="3.41"/>
    <n v="3.51"/>
    <n v="0"/>
    <d v="2012-07-03T00:00:00"/>
    <d v="2013-07-03T00:00:00"/>
    <x v="46"/>
  </r>
  <r>
    <n v="2852"/>
    <x v="39"/>
    <x v="4"/>
    <x v="6"/>
    <n v="0.48423611111111109"/>
    <s v="Shibor_3M"/>
    <n v="3.27"/>
    <n v="3.37"/>
    <n v="0"/>
    <d v="2012-07-03T00:00:00"/>
    <d v="2014-07-03T00:00:00"/>
    <x v="24"/>
  </r>
  <r>
    <n v="2853"/>
    <x v="39"/>
    <x v="7"/>
    <x v="6"/>
    <n v="0.48423611111111109"/>
    <s v="Shibor_3M"/>
    <n v="3.28"/>
    <n v="3.38"/>
    <n v="0"/>
    <d v="2012-07-03T00:00:00"/>
    <d v="2019-07-03T00:00:00"/>
    <x v="41"/>
  </r>
  <r>
    <n v="2854"/>
    <x v="39"/>
    <x v="5"/>
    <x v="6"/>
    <n v="0.48423611111111109"/>
    <s v="Shibor_3M"/>
    <n v="3.57"/>
    <n v="3.67"/>
    <n v="0"/>
    <d v="2012-07-03T00:00:00"/>
    <d v="2013-04-03T00:00:00"/>
    <x v="35"/>
  </r>
  <r>
    <n v="2855"/>
    <x v="39"/>
    <x v="11"/>
    <x v="6"/>
    <n v="0.48423611111111109"/>
    <s v="Shibor_3M"/>
    <n v="3.25"/>
    <n v="3.35"/>
    <n v="0"/>
    <d v="2012-07-03T00:00:00"/>
    <d v="2017-07-03T00:00:00"/>
    <x v="23"/>
  </r>
  <r>
    <n v="2856"/>
    <x v="39"/>
    <x v="8"/>
    <x v="6"/>
    <n v="0.48423611111111109"/>
    <s v="Shibor_3M"/>
    <n v="3.75"/>
    <n v="3.85"/>
    <n v="0"/>
    <d v="2012-07-03T00:00:00"/>
    <d v="2013-01-03T00:00:00"/>
    <x v="192"/>
  </r>
  <r>
    <n v="2857"/>
    <x v="39"/>
    <x v="1"/>
    <x v="3"/>
    <n v="0.67556712962962961"/>
    <s v="Shibor_3M"/>
    <n v="3.44"/>
    <n v="3.49"/>
    <n v="0"/>
    <d v="2012-07-03T00:00:00"/>
    <d v="2013-07-03T00:00:00"/>
    <x v="47"/>
  </r>
  <r>
    <n v="2858"/>
    <x v="39"/>
    <x v="2"/>
    <x v="3"/>
    <n v="0.67556712962962961"/>
    <s v="Shibor_3M"/>
    <n v="3.25"/>
    <n v="3.35"/>
    <n v="0"/>
    <d v="2012-07-03T00:00:00"/>
    <d v="2016-07-03T00:00:00"/>
    <x v="23"/>
  </r>
  <r>
    <n v="2859"/>
    <x v="39"/>
    <x v="11"/>
    <x v="3"/>
    <n v="0.67556712962962961"/>
    <s v="Shibor_3M"/>
    <n v="3.25"/>
    <n v="3.35"/>
    <n v="0"/>
    <d v="2012-07-03T00:00:00"/>
    <d v="2017-07-03T00:00:00"/>
    <x v="23"/>
  </r>
  <r>
    <n v="2860"/>
    <x v="39"/>
    <x v="8"/>
    <x v="3"/>
    <n v="0.67556712962962961"/>
    <s v="Shibor_3M"/>
    <n v="3.74"/>
    <n v="3.84"/>
    <n v="0"/>
    <d v="2012-07-03T00:00:00"/>
    <d v="2013-01-03T00:00:00"/>
    <x v="152"/>
  </r>
  <r>
    <n v="2861"/>
    <x v="39"/>
    <x v="5"/>
    <x v="3"/>
    <n v="0.67556712962962961"/>
    <s v="Shibor_3M"/>
    <n v="3.54"/>
    <n v="3.64"/>
    <n v="0"/>
    <d v="2012-07-03T00:00:00"/>
    <d v="2013-04-03T00:00:00"/>
    <x v="42"/>
  </r>
  <r>
    <n v="2862"/>
    <x v="39"/>
    <x v="4"/>
    <x v="2"/>
    <n v="0.67501157407407408"/>
    <s v="Shibor_3M"/>
    <n v="3.28"/>
    <n v="3.35"/>
    <n v="0"/>
    <d v="2012-07-03T00:00:00"/>
    <d v="2014-07-03T00:00:00"/>
    <x v="34"/>
  </r>
  <r>
    <n v="2863"/>
    <x v="39"/>
    <x v="0"/>
    <x v="3"/>
    <n v="0.67556712962962961"/>
    <s v="Shibor_3M"/>
    <n v="3.27"/>
    <n v="3.32"/>
    <n v="0"/>
    <d v="2012-07-03T00:00:00"/>
    <d v="2015-07-03T00:00:00"/>
    <x v="68"/>
  </r>
  <r>
    <n v="2864"/>
    <x v="39"/>
    <x v="4"/>
    <x v="3"/>
    <n v="0.67556712962962961"/>
    <s v="Shibor_3M"/>
    <n v="3.25"/>
    <n v="3.35"/>
    <n v="0"/>
    <d v="2012-07-03T00:00:00"/>
    <d v="2014-07-03T00:00:00"/>
    <x v="23"/>
  </r>
  <r>
    <n v="2865"/>
    <x v="39"/>
    <x v="8"/>
    <x v="1"/>
    <n v="0.6852893518518518"/>
    <s v="Shibor_3M"/>
    <n v="3.77"/>
    <n v="3.83"/>
    <n v="0"/>
    <d v="2012-07-03T00:00:00"/>
    <d v="2013-01-03T00:00:00"/>
    <x v="192"/>
  </r>
  <r>
    <n v="2866"/>
    <x v="39"/>
    <x v="2"/>
    <x v="1"/>
    <n v="0.6853125000000001"/>
    <s v="Shibor_3M"/>
    <n v="3.27"/>
    <n v="3.33"/>
    <n v="0"/>
    <d v="2012-07-03T00:00:00"/>
    <d v="2016-07-03T00:00:00"/>
    <x v="23"/>
  </r>
  <r>
    <n v="2867"/>
    <x v="39"/>
    <x v="0"/>
    <x v="1"/>
    <n v="0.68530092592592595"/>
    <s v="Shibor_3M"/>
    <n v="3.28"/>
    <n v="3.34"/>
    <n v="0"/>
    <d v="2012-07-03T00:00:00"/>
    <d v="2015-07-03T00:00:00"/>
    <x v="6"/>
  </r>
  <r>
    <n v="2868"/>
    <x v="39"/>
    <x v="1"/>
    <x v="1"/>
    <n v="0.6853125000000001"/>
    <s v="Shibor_3M"/>
    <n v="3.45"/>
    <n v="3.51"/>
    <n v="0"/>
    <d v="2012-07-03T00:00:00"/>
    <d v="2013-07-03T00:00:00"/>
    <x v="18"/>
  </r>
  <r>
    <n v="2869"/>
    <x v="39"/>
    <x v="6"/>
    <x v="1"/>
    <n v="0.6853125000000001"/>
    <s v="Shibor_3M"/>
    <n v="3.38"/>
    <n v="3.44"/>
    <n v="0"/>
    <d v="2012-07-03T00:00:00"/>
    <d v="2022-07-03T00:00:00"/>
    <x v="11"/>
  </r>
  <r>
    <n v="2870"/>
    <x v="39"/>
    <x v="11"/>
    <x v="1"/>
    <n v="0.68530092592592595"/>
    <s v="Shibor_3M"/>
    <n v="3.27"/>
    <n v="3.33"/>
    <n v="0"/>
    <d v="2012-07-03T00:00:00"/>
    <d v="2017-07-03T00:00:00"/>
    <x v="23"/>
  </r>
  <r>
    <n v="2871"/>
    <x v="39"/>
    <x v="7"/>
    <x v="1"/>
    <n v="0.6852893518518518"/>
    <s v="Shibor_3M"/>
    <n v="3.32"/>
    <n v="3.38"/>
    <n v="0"/>
    <d v="2012-07-03T00:00:00"/>
    <d v="2019-07-03T00:00:00"/>
    <x v="1"/>
  </r>
  <r>
    <n v="2872"/>
    <x v="39"/>
    <x v="4"/>
    <x v="1"/>
    <n v="0.68530092592592595"/>
    <s v="Shibor_3M"/>
    <n v="3.29"/>
    <n v="3.35"/>
    <n v="0"/>
    <d v="2012-07-03T00:00:00"/>
    <d v="2014-07-03T00:00:00"/>
    <x v="24"/>
  </r>
  <r>
    <n v="2873"/>
    <x v="39"/>
    <x v="5"/>
    <x v="1"/>
    <n v="0.68530092592592595"/>
    <s v="Shibor_3M"/>
    <n v="3.59"/>
    <n v="3.65"/>
    <n v="0"/>
    <d v="2012-07-03T00:00:00"/>
    <d v="2013-04-03T00:00:00"/>
    <x v="35"/>
  </r>
  <r>
    <n v="2874"/>
    <x v="39"/>
    <x v="0"/>
    <x v="6"/>
    <n v="0.6721759259259259"/>
    <s v="Shibor_3M"/>
    <n v="3.25"/>
    <n v="3.35"/>
    <n v="0"/>
    <d v="2012-07-03T00:00:00"/>
    <d v="2015-07-03T00:00:00"/>
    <x v="23"/>
  </r>
  <r>
    <n v="2875"/>
    <x v="39"/>
    <x v="2"/>
    <x v="6"/>
    <n v="0.6721759259259259"/>
    <s v="Shibor_3M"/>
    <n v="3.25"/>
    <n v="3.35"/>
    <n v="0"/>
    <d v="2012-07-03T00:00:00"/>
    <d v="2016-07-03T00:00:00"/>
    <x v="23"/>
  </r>
  <r>
    <n v="2876"/>
    <x v="39"/>
    <x v="1"/>
    <x v="6"/>
    <n v="0.6721759259259259"/>
    <s v="Shibor_3M"/>
    <n v="3.41"/>
    <n v="3.51"/>
    <n v="0"/>
    <d v="2012-07-03T00:00:00"/>
    <d v="2013-07-03T00:00:00"/>
    <x v="46"/>
  </r>
  <r>
    <n v="2877"/>
    <x v="39"/>
    <x v="4"/>
    <x v="6"/>
    <n v="0.6721759259259259"/>
    <s v="Shibor_3M"/>
    <n v="3.27"/>
    <n v="3.37"/>
    <n v="0"/>
    <d v="2012-07-03T00:00:00"/>
    <d v="2014-07-03T00:00:00"/>
    <x v="24"/>
  </r>
  <r>
    <n v="2878"/>
    <x v="39"/>
    <x v="7"/>
    <x v="6"/>
    <n v="0.6721759259259259"/>
    <s v="Shibor_3M"/>
    <n v="3.28"/>
    <n v="3.38"/>
    <n v="0"/>
    <d v="2012-07-03T00:00:00"/>
    <d v="2019-07-03T00:00:00"/>
    <x v="41"/>
  </r>
  <r>
    <n v="2879"/>
    <x v="39"/>
    <x v="5"/>
    <x v="6"/>
    <n v="0.6721759259259259"/>
    <s v="Shibor_3M"/>
    <n v="3.57"/>
    <n v="3.67"/>
    <n v="0"/>
    <d v="2012-07-03T00:00:00"/>
    <d v="2013-04-03T00:00:00"/>
    <x v="35"/>
  </r>
  <r>
    <n v="2880"/>
    <x v="39"/>
    <x v="11"/>
    <x v="6"/>
    <n v="0.6721759259259259"/>
    <s v="Shibor_3M"/>
    <n v="3.25"/>
    <n v="3.35"/>
    <n v="0"/>
    <d v="2012-07-03T00:00:00"/>
    <d v="2017-07-03T00:00:00"/>
    <x v="23"/>
  </r>
  <r>
    <n v="2881"/>
    <x v="39"/>
    <x v="8"/>
    <x v="6"/>
    <n v="0.6721759259259259"/>
    <s v="Shibor_3M"/>
    <n v="3.75"/>
    <n v="3.85"/>
    <n v="0"/>
    <d v="2012-07-03T00:00:00"/>
    <d v="2013-01-03T00:00:00"/>
    <x v="192"/>
  </r>
  <r>
    <n v="2882"/>
    <x v="39"/>
    <x v="6"/>
    <x v="6"/>
    <n v="0.6721759259259259"/>
    <s v="Shibor_3M"/>
    <n v="3.33"/>
    <n v="3.43"/>
    <n v="0"/>
    <d v="2012-07-03T00:00:00"/>
    <d v="2022-07-03T00:00:00"/>
    <x v="17"/>
  </r>
  <r>
    <n v="2883"/>
    <x v="39"/>
    <x v="2"/>
    <x v="2"/>
    <n v="0.67499999999999993"/>
    <s v="Shibor_3M"/>
    <n v="3.25"/>
    <n v="3.3"/>
    <n v="0"/>
    <d v="2012-07-03T00:00:00"/>
    <d v="2016-07-03T00:00:00"/>
    <x v="182"/>
  </r>
  <r>
    <n v="2884"/>
    <x v="39"/>
    <x v="8"/>
    <x v="2"/>
    <n v="0.67499999999999993"/>
    <s v="Shibor_3M"/>
    <n v="2.75"/>
    <n v="3.8"/>
    <n v="0"/>
    <d v="2012-07-03T00:00:00"/>
    <d v="2013-01-03T00:00:00"/>
    <x v="182"/>
  </r>
  <r>
    <n v="2885"/>
    <x v="39"/>
    <x v="5"/>
    <x v="2"/>
    <n v="0.67499999999999993"/>
    <s v="Shibor_3M"/>
    <n v="3.48"/>
    <n v="3.55"/>
    <n v="0"/>
    <d v="2012-07-03T00:00:00"/>
    <d v="2013-04-03T00:00:00"/>
    <x v="48"/>
  </r>
  <r>
    <n v="2886"/>
    <x v="39"/>
    <x v="7"/>
    <x v="2"/>
    <n v="0.67499999999999993"/>
    <s v="Shibor_3M"/>
    <n v="3.25"/>
    <n v="3.3"/>
    <n v="0"/>
    <d v="2012-07-03T00:00:00"/>
    <d v="2019-07-03T00:00:00"/>
    <x v="182"/>
  </r>
  <r>
    <n v="2887"/>
    <x v="39"/>
    <x v="1"/>
    <x v="2"/>
    <n v="0.67499999999999993"/>
    <s v="Shibor_3M"/>
    <n v="2.4500000000000002"/>
    <n v="3.5"/>
    <n v="0"/>
    <d v="2012-07-03T00:00:00"/>
    <d v="2013-07-03T00:00:00"/>
    <x v="130"/>
  </r>
  <r>
    <n v="2888"/>
    <x v="39"/>
    <x v="0"/>
    <x v="2"/>
    <n v="0.67499999999999993"/>
    <s v="Shibor_3M"/>
    <n v="3.25"/>
    <n v="3.3"/>
    <n v="0"/>
    <d v="2012-07-03T00:00:00"/>
    <d v="2015-07-03T00:00:00"/>
    <x v="182"/>
  </r>
  <r>
    <n v="2889"/>
    <x v="39"/>
    <x v="11"/>
    <x v="2"/>
    <n v="0.67499999999999993"/>
    <s v="Shibor_3M"/>
    <n v="3.25"/>
    <n v="3.3"/>
    <n v="0"/>
    <d v="2012-07-03T00:00:00"/>
    <d v="2017-07-03T00:00:00"/>
    <x v="182"/>
  </r>
  <r>
    <n v="2890"/>
    <x v="39"/>
    <x v="6"/>
    <x v="2"/>
    <n v="0.67499999999999993"/>
    <s v="Shibor_3M"/>
    <n v="3.25"/>
    <n v="3.3"/>
    <n v="0"/>
    <d v="2012-07-03T00:00:00"/>
    <d v="2022-07-03T00:00:00"/>
    <x v="18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0" applyNumberFormats="0" applyBorderFormats="0" applyFontFormats="0" applyPatternFormats="0" applyAlignmentFormats="0" applyWidthHeightFormats="1" dataCaption="值" updatedVersion="4" minRefreshableVersion="3" useAutoFormatting="1" itemPrintTitles="1" createdVersion="4" indent="0" outline="1" outlineData="1" multipleFieldFilters="0">
  <location ref="A3:GC46" firstHeaderRow="1" firstDataRow="3" firstDataCol="1"/>
  <pivotFields count="12">
    <pivotField showAll="0"/>
    <pivotField axis="axisRow" numFmtId="14" showAll="0">
      <items count="41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Col" showAll="0">
      <items count="13">
        <item x="6"/>
        <item x="1"/>
        <item x="4"/>
        <item x="0"/>
        <item x="2"/>
        <item x="11"/>
        <item x="8"/>
        <item x="9"/>
        <item x="7"/>
        <item x="10"/>
        <item x="5"/>
        <item x="3"/>
        <item t="default"/>
      </items>
    </pivotField>
    <pivotField axis="axisCol" showAll="0">
      <items count="19">
        <item x="17"/>
        <item x="6"/>
        <item x="3"/>
        <item x="7"/>
        <item x="14"/>
        <item x="10"/>
        <item x="13"/>
        <item x="11"/>
        <item x="16"/>
        <item x="1"/>
        <item x="8"/>
        <item x="4"/>
        <item x="0"/>
        <item x="15"/>
        <item x="12"/>
        <item x="9"/>
        <item x="2"/>
        <item x="5"/>
        <item t="default"/>
      </items>
    </pivotField>
    <pivotField showAll="0"/>
    <pivotField showAll="0"/>
    <pivotField showAll="0"/>
    <pivotField showAll="0"/>
    <pivotField showAll="0"/>
    <pivotField numFmtId="14" showAll="0"/>
    <pivotField numFmtId="14" showAll="0"/>
    <pivotField dataField="1" showAll="0" defaultSubtotal="0"/>
  </pivotFields>
  <rowFields count="1">
    <field x="1"/>
  </rowFields>
  <rowItems count="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 t="grand">
      <x/>
    </i>
  </rowItems>
  <colFields count="2">
    <field x="2"/>
    <field x="3"/>
  </colFields>
  <colItems count="184">
    <i>
      <x/>
      <x/>
    </i>
    <i r="1">
      <x v="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t="default">
      <x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t="default">
      <x v="1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t="default">
      <x v="2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t="default">
      <x v="3"/>
    </i>
    <i>
      <x v="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t="default">
      <x v="4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t="default">
      <x v="5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t="default">
      <x v="6"/>
    </i>
    <i>
      <x v="7"/>
      <x v="8"/>
    </i>
    <i r="1">
      <x v="12"/>
    </i>
    <i r="1">
      <x v="15"/>
    </i>
    <i r="1">
      <x v="16"/>
    </i>
    <i t="default">
      <x v="7"/>
    </i>
    <i>
      <x v="8"/>
      <x/>
    </i>
    <i r="1">
      <x v="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t="default">
      <x v="8"/>
    </i>
    <i>
      <x v="9"/>
      <x v="8"/>
    </i>
    <i r="1">
      <x v="12"/>
    </i>
    <i r="1">
      <x v="15"/>
    </i>
    <i r="1">
      <x v="16"/>
    </i>
    <i t="default">
      <x v="9"/>
    </i>
    <i>
      <x v="1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6"/>
    </i>
    <i r="1">
      <x v="17"/>
    </i>
    <i t="default">
      <x v="10"/>
    </i>
    <i>
      <x v="11"/>
      <x v="8"/>
    </i>
    <i r="1">
      <x v="12"/>
    </i>
    <i r="1">
      <x v="15"/>
    </i>
    <i r="1">
      <x v="16"/>
    </i>
    <i t="default">
      <x v="11"/>
    </i>
    <i t="grand">
      <x/>
    </i>
  </colItems>
  <dataFields count="1">
    <dataField name="平均值项:中间价" fld="11" subtotal="average" baseField="1" baseItem="0" numFmtId="176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C46"/>
  <sheetViews>
    <sheetView topLeftCell="DJ2" workbookViewId="0">
      <selection activeCell="GK37" sqref="GK37"/>
    </sheetView>
  </sheetViews>
  <sheetFormatPr defaultRowHeight="13.5" x14ac:dyDescent="0.15"/>
  <cols>
    <col min="1" max="1" width="17.625" customWidth="1"/>
    <col min="2" max="2" width="9.75" bestFit="1" customWidth="1"/>
    <col min="3" max="3" width="16.625" bestFit="1" customWidth="1"/>
    <col min="4" max="9" width="9.75" bestFit="1" customWidth="1"/>
    <col min="10" max="10" width="14.5" customWidth="1"/>
    <col min="11" max="12" width="9.75" bestFit="1" customWidth="1"/>
    <col min="13" max="13" width="14.5" customWidth="1"/>
    <col min="14" max="14" width="18.625" bestFit="1" customWidth="1"/>
    <col min="15" max="15" width="23.25" customWidth="1"/>
    <col min="16" max="16" width="9.75" customWidth="1"/>
    <col min="17" max="17" width="14.5" customWidth="1"/>
    <col min="18" max="18" width="9.75" bestFit="1" customWidth="1"/>
    <col min="19" max="19" width="14.5" customWidth="1"/>
    <col min="20" max="20" width="9.75" customWidth="1"/>
    <col min="21" max="21" width="16.625" bestFit="1" customWidth="1"/>
    <col min="22" max="22" width="14.5" customWidth="1"/>
    <col min="23" max="28" width="9.75" bestFit="1" customWidth="1"/>
    <col min="29" max="29" width="14.5" customWidth="1"/>
    <col min="30" max="31" width="9.75" bestFit="1" customWidth="1"/>
    <col min="32" max="32" width="14.5" customWidth="1"/>
    <col min="33" max="33" width="18.625" bestFit="1" customWidth="1"/>
    <col min="34" max="34" width="23.25" bestFit="1" customWidth="1"/>
    <col min="35" max="35" width="9.75" bestFit="1" customWidth="1"/>
    <col min="36" max="36" width="14.5" customWidth="1"/>
    <col min="37" max="37" width="9.75" bestFit="1" customWidth="1"/>
    <col min="38" max="38" width="14.5" customWidth="1"/>
    <col min="39" max="39" width="9.75" bestFit="1" customWidth="1"/>
    <col min="40" max="40" width="16.625" bestFit="1" customWidth="1"/>
    <col min="41" max="41" width="14.5" customWidth="1"/>
    <col min="42" max="47" width="9.75" bestFit="1" customWidth="1"/>
    <col min="48" max="48" width="14.5" customWidth="1"/>
    <col min="49" max="50" width="9.75" bestFit="1" customWidth="1"/>
    <col min="51" max="51" width="14.5" customWidth="1"/>
    <col min="52" max="52" width="18.625" bestFit="1" customWidth="1"/>
    <col min="53" max="53" width="23.25" bestFit="1" customWidth="1"/>
    <col min="54" max="54" width="9.75" bestFit="1" customWidth="1"/>
    <col min="55" max="55" width="14.5" customWidth="1"/>
    <col min="56" max="56" width="9.75" bestFit="1" customWidth="1"/>
    <col min="57" max="57" width="14.5" customWidth="1"/>
    <col min="58" max="58" width="9.75" bestFit="1" customWidth="1"/>
    <col min="59" max="59" width="16.625" bestFit="1" customWidth="1"/>
    <col min="60" max="60" width="14.5" customWidth="1"/>
    <col min="61" max="66" width="9.75" bestFit="1" customWidth="1"/>
    <col min="67" max="67" width="14.5" customWidth="1"/>
    <col min="68" max="69" width="9.75" bestFit="1" customWidth="1"/>
    <col min="70" max="70" width="14.5" customWidth="1"/>
    <col min="71" max="71" width="18.625" bestFit="1" customWidth="1"/>
    <col min="72" max="72" width="23.25" bestFit="1" customWidth="1"/>
    <col min="73" max="73" width="9.75" bestFit="1" customWidth="1"/>
    <col min="74" max="74" width="14.5" customWidth="1"/>
    <col min="75" max="75" width="9.75" bestFit="1" customWidth="1"/>
    <col min="76" max="76" width="14.5" customWidth="1"/>
    <col min="77" max="77" width="9.75" bestFit="1" customWidth="1"/>
    <col min="78" max="78" width="16.625" bestFit="1" customWidth="1"/>
    <col min="79" max="79" width="14.5" customWidth="1"/>
    <col min="80" max="85" width="9.75" bestFit="1" customWidth="1"/>
    <col min="86" max="86" width="14.125" bestFit="1" customWidth="1"/>
    <col min="87" max="88" width="9.75" bestFit="1" customWidth="1"/>
    <col min="89" max="89" width="14.5" customWidth="1"/>
    <col min="90" max="90" width="18.625" bestFit="1" customWidth="1"/>
    <col min="91" max="91" width="23.25" bestFit="1" customWidth="1"/>
    <col min="92" max="92" width="9.75" bestFit="1" customWidth="1"/>
    <col min="93" max="93" width="14.5" customWidth="1"/>
    <col min="94" max="94" width="9.75" bestFit="1" customWidth="1"/>
    <col min="95" max="95" width="13.25" customWidth="1"/>
    <col min="96" max="96" width="9.75" bestFit="1" customWidth="1"/>
    <col min="97" max="97" width="16.625" bestFit="1" customWidth="1"/>
    <col min="98" max="98" width="14.5" customWidth="1"/>
    <col min="99" max="104" width="9.75" bestFit="1" customWidth="1"/>
    <col min="105" max="105" width="14.5" customWidth="1"/>
    <col min="106" max="107" width="9.75" bestFit="1" customWidth="1"/>
    <col min="108" max="108" width="14.5" customWidth="1"/>
    <col min="109" max="109" width="18.625" bestFit="1" customWidth="1"/>
    <col min="110" max="110" width="23.25" bestFit="1" customWidth="1"/>
    <col min="111" max="111" width="9.75" bestFit="1" customWidth="1"/>
    <col min="112" max="112" width="14.5" customWidth="1"/>
    <col min="113" max="113" width="9.75" bestFit="1" customWidth="1"/>
    <col min="114" max="114" width="14.5" customWidth="1"/>
    <col min="115" max="115" width="9.75" bestFit="1" customWidth="1"/>
    <col min="116" max="116" width="16.625" bestFit="1" customWidth="1"/>
    <col min="117" max="117" width="14.5" customWidth="1"/>
    <col min="118" max="123" width="9.75" bestFit="1" customWidth="1"/>
    <col min="124" max="124" width="14.5" customWidth="1"/>
    <col min="125" max="126" width="9.75" bestFit="1" customWidth="1"/>
    <col min="127" max="127" width="14.5" customWidth="1"/>
    <col min="128" max="128" width="18.625" bestFit="1" customWidth="1"/>
    <col min="129" max="129" width="23.25" bestFit="1" customWidth="1"/>
    <col min="130" max="130" width="9.75" bestFit="1" customWidth="1"/>
    <col min="131" max="131" width="14.5" customWidth="1"/>
    <col min="132" max="132" width="9.75" bestFit="1" customWidth="1"/>
    <col min="133" max="133" width="14.5" customWidth="1"/>
    <col min="134" max="134" width="9.75" bestFit="1" customWidth="1"/>
    <col min="135" max="135" width="14.5" customWidth="1"/>
    <col min="136" max="136" width="9.75" bestFit="1" customWidth="1"/>
    <col min="137" max="138" width="14.5" customWidth="1"/>
    <col min="139" max="139" width="9.75" bestFit="1" customWidth="1"/>
    <col min="140" max="140" width="16.625" bestFit="1" customWidth="1"/>
    <col min="141" max="146" width="9.75" bestFit="1" customWidth="1"/>
    <col min="147" max="147" width="14.5" customWidth="1"/>
    <col min="148" max="149" width="9.75" bestFit="1" customWidth="1"/>
    <col min="150" max="150" width="14.5" customWidth="1"/>
    <col min="151" max="151" width="18.625" bestFit="1" customWidth="1"/>
    <col min="152" max="152" width="23.25" bestFit="1" customWidth="1"/>
    <col min="153" max="153" width="9.75" bestFit="1" customWidth="1"/>
    <col min="154" max="154" width="13.25" customWidth="1"/>
    <col min="155" max="155" width="9.75" bestFit="1" customWidth="1"/>
    <col min="156" max="156" width="14.5" customWidth="1"/>
    <col min="157" max="157" width="9.75" bestFit="1" customWidth="1"/>
    <col min="158" max="158" width="14.5" customWidth="1"/>
    <col min="159" max="159" width="9.75" bestFit="1" customWidth="1"/>
    <col min="160" max="161" width="14.5" customWidth="1"/>
    <col min="162" max="162" width="9.75" bestFit="1" customWidth="1"/>
    <col min="163" max="163" width="16.625" bestFit="1" customWidth="1"/>
    <col min="164" max="164" width="14.5" customWidth="1"/>
    <col min="165" max="170" width="9.75" bestFit="1" customWidth="1"/>
    <col min="171" max="171" width="14.5" customWidth="1"/>
    <col min="172" max="173" width="9.75" bestFit="1" customWidth="1"/>
    <col min="174" max="174" width="14.125" bestFit="1" customWidth="1"/>
    <col min="175" max="175" width="18.625" bestFit="1" customWidth="1"/>
    <col min="176" max="176" width="23.25" bestFit="1" customWidth="1"/>
    <col min="177" max="177" width="14.5" customWidth="1"/>
    <col min="178" max="178" width="9.75" bestFit="1" customWidth="1"/>
    <col min="179" max="179" width="14.5" customWidth="1"/>
    <col min="180" max="180" width="9.75" bestFit="1" customWidth="1"/>
    <col min="181" max="181" width="14.5" customWidth="1"/>
    <col min="182" max="182" width="9.75" bestFit="1" customWidth="1"/>
    <col min="183" max="185" width="14.5" customWidth="1"/>
  </cols>
  <sheetData>
    <row r="3" spans="1:185" x14ac:dyDescent="0.15">
      <c r="A3" s="5" t="s">
        <v>59</v>
      </c>
      <c r="B3" s="5" t="s">
        <v>45</v>
      </c>
    </row>
    <row r="4" spans="1:185" x14ac:dyDescent="0.15">
      <c r="B4" t="s">
        <v>20</v>
      </c>
      <c r="S4" t="s">
        <v>46</v>
      </c>
      <c r="T4" t="s">
        <v>14</v>
      </c>
      <c r="AL4" t="s">
        <v>47</v>
      </c>
      <c r="AM4" t="s">
        <v>18</v>
      </c>
      <c r="BE4" t="s">
        <v>48</v>
      </c>
      <c r="BF4" t="s">
        <v>11</v>
      </c>
      <c r="BX4" t="s">
        <v>49</v>
      </c>
      <c r="BY4" t="s">
        <v>16</v>
      </c>
      <c r="CQ4" t="s">
        <v>50</v>
      </c>
      <c r="CR4" t="s">
        <v>25</v>
      </c>
      <c r="DJ4" t="s">
        <v>51</v>
      </c>
      <c r="DK4" t="s">
        <v>22</v>
      </c>
      <c r="EC4" t="s">
        <v>52</v>
      </c>
      <c r="ED4" t="s">
        <v>23</v>
      </c>
      <c r="EH4" t="s">
        <v>53</v>
      </c>
      <c r="EI4" t="s">
        <v>21</v>
      </c>
      <c r="EZ4" t="s">
        <v>54</v>
      </c>
      <c r="FA4" t="s">
        <v>24</v>
      </c>
      <c r="FE4" t="s">
        <v>55</v>
      </c>
      <c r="FF4" t="s">
        <v>19</v>
      </c>
      <c r="FW4" t="s">
        <v>56</v>
      </c>
      <c r="FX4" t="s">
        <v>17</v>
      </c>
      <c r="GB4" t="s">
        <v>57</v>
      </c>
      <c r="GC4" t="s">
        <v>44</v>
      </c>
    </row>
    <row r="5" spans="1:185" x14ac:dyDescent="0.15">
      <c r="A5" s="5" t="s">
        <v>43</v>
      </c>
      <c r="B5" t="s">
        <v>41</v>
      </c>
      <c r="C5" t="s">
        <v>30</v>
      </c>
      <c r="D5" t="s">
        <v>31</v>
      </c>
      <c r="E5" t="s">
        <v>38</v>
      </c>
      <c r="F5" t="s">
        <v>34</v>
      </c>
      <c r="G5" t="s">
        <v>37</v>
      </c>
      <c r="H5" t="s">
        <v>35</v>
      </c>
      <c r="I5" t="s">
        <v>40</v>
      </c>
      <c r="J5" t="s">
        <v>15</v>
      </c>
      <c r="K5" t="s">
        <v>32</v>
      </c>
      <c r="L5" t="s">
        <v>28</v>
      </c>
      <c r="M5" t="s">
        <v>12</v>
      </c>
      <c r="N5" t="s">
        <v>39</v>
      </c>
      <c r="O5" t="s">
        <v>36</v>
      </c>
      <c r="P5" t="s">
        <v>33</v>
      </c>
      <c r="Q5" t="s">
        <v>26</v>
      </c>
      <c r="R5" t="s">
        <v>29</v>
      </c>
      <c r="T5" t="s">
        <v>41</v>
      </c>
      <c r="U5" t="s">
        <v>30</v>
      </c>
      <c r="V5" t="s">
        <v>27</v>
      </c>
      <c r="W5" t="s">
        <v>31</v>
      </c>
      <c r="X5" t="s">
        <v>38</v>
      </c>
      <c r="Y5" t="s">
        <v>34</v>
      </c>
      <c r="Z5" t="s">
        <v>37</v>
      </c>
      <c r="AA5" t="s">
        <v>35</v>
      </c>
      <c r="AB5" t="s">
        <v>40</v>
      </c>
      <c r="AC5" t="s">
        <v>15</v>
      </c>
      <c r="AD5" t="s">
        <v>32</v>
      </c>
      <c r="AE5" t="s">
        <v>28</v>
      </c>
      <c r="AF5" t="s">
        <v>12</v>
      </c>
      <c r="AG5" t="s">
        <v>39</v>
      </c>
      <c r="AH5" t="s">
        <v>36</v>
      </c>
      <c r="AI5" t="s">
        <v>33</v>
      </c>
      <c r="AJ5" t="s">
        <v>26</v>
      </c>
      <c r="AK5" t="s">
        <v>29</v>
      </c>
      <c r="AM5" t="s">
        <v>41</v>
      </c>
      <c r="AN5" t="s">
        <v>30</v>
      </c>
      <c r="AO5" t="s">
        <v>27</v>
      </c>
      <c r="AP5" t="s">
        <v>31</v>
      </c>
      <c r="AQ5" t="s">
        <v>38</v>
      </c>
      <c r="AR5" t="s">
        <v>34</v>
      </c>
      <c r="AS5" t="s">
        <v>37</v>
      </c>
      <c r="AT5" t="s">
        <v>35</v>
      </c>
      <c r="AU5" t="s">
        <v>40</v>
      </c>
      <c r="AV5" t="s">
        <v>15</v>
      </c>
      <c r="AW5" t="s">
        <v>32</v>
      </c>
      <c r="AX5" t="s">
        <v>28</v>
      </c>
      <c r="AY5" t="s">
        <v>12</v>
      </c>
      <c r="AZ5" t="s">
        <v>39</v>
      </c>
      <c r="BA5" t="s">
        <v>36</v>
      </c>
      <c r="BB5" t="s">
        <v>33</v>
      </c>
      <c r="BC5" t="s">
        <v>26</v>
      </c>
      <c r="BD5" t="s">
        <v>29</v>
      </c>
      <c r="BF5" t="s">
        <v>41</v>
      </c>
      <c r="BG5" t="s">
        <v>30</v>
      </c>
      <c r="BH5" t="s">
        <v>27</v>
      </c>
      <c r="BI5" t="s">
        <v>31</v>
      </c>
      <c r="BJ5" t="s">
        <v>38</v>
      </c>
      <c r="BK5" t="s">
        <v>34</v>
      </c>
      <c r="BL5" t="s">
        <v>37</v>
      </c>
      <c r="BM5" t="s">
        <v>35</v>
      </c>
      <c r="BN5" t="s">
        <v>40</v>
      </c>
      <c r="BO5" t="s">
        <v>15</v>
      </c>
      <c r="BP5" t="s">
        <v>32</v>
      </c>
      <c r="BQ5" t="s">
        <v>28</v>
      </c>
      <c r="BR5" t="s">
        <v>12</v>
      </c>
      <c r="BS5" t="s">
        <v>39</v>
      </c>
      <c r="BT5" t="s">
        <v>36</v>
      </c>
      <c r="BU5" t="s">
        <v>33</v>
      </c>
      <c r="BV5" t="s">
        <v>26</v>
      </c>
      <c r="BW5" t="s">
        <v>29</v>
      </c>
      <c r="BY5" t="s">
        <v>41</v>
      </c>
      <c r="BZ5" t="s">
        <v>30</v>
      </c>
      <c r="CA5" t="s">
        <v>27</v>
      </c>
      <c r="CB5" t="s">
        <v>31</v>
      </c>
      <c r="CC5" t="s">
        <v>38</v>
      </c>
      <c r="CD5" t="s">
        <v>34</v>
      </c>
      <c r="CE5" t="s">
        <v>37</v>
      </c>
      <c r="CF5" t="s">
        <v>35</v>
      </c>
      <c r="CG5" t="s">
        <v>40</v>
      </c>
      <c r="CH5" t="s">
        <v>15</v>
      </c>
      <c r="CI5" t="s">
        <v>32</v>
      </c>
      <c r="CJ5" t="s">
        <v>28</v>
      </c>
      <c r="CK5" t="s">
        <v>12</v>
      </c>
      <c r="CL5" t="s">
        <v>39</v>
      </c>
      <c r="CM5" t="s">
        <v>36</v>
      </c>
      <c r="CN5" t="s">
        <v>33</v>
      </c>
      <c r="CO5" t="s">
        <v>26</v>
      </c>
      <c r="CP5" t="s">
        <v>29</v>
      </c>
      <c r="CR5" t="s">
        <v>41</v>
      </c>
      <c r="CS5" t="s">
        <v>30</v>
      </c>
      <c r="CT5" t="s">
        <v>27</v>
      </c>
      <c r="CU5" t="s">
        <v>31</v>
      </c>
      <c r="CV5" t="s">
        <v>38</v>
      </c>
      <c r="CW5" t="s">
        <v>34</v>
      </c>
      <c r="CX5" t="s">
        <v>37</v>
      </c>
      <c r="CY5" t="s">
        <v>35</v>
      </c>
      <c r="CZ5" t="s">
        <v>40</v>
      </c>
      <c r="DA5" t="s">
        <v>15</v>
      </c>
      <c r="DB5" t="s">
        <v>32</v>
      </c>
      <c r="DC5" t="s">
        <v>28</v>
      </c>
      <c r="DD5" t="s">
        <v>12</v>
      </c>
      <c r="DE5" t="s">
        <v>39</v>
      </c>
      <c r="DF5" t="s">
        <v>36</v>
      </c>
      <c r="DG5" t="s">
        <v>33</v>
      </c>
      <c r="DH5" t="s">
        <v>26</v>
      </c>
      <c r="DI5" t="s">
        <v>29</v>
      </c>
      <c r="DK5" t="s">
        <v>41</v>
      </c>
      <c r="DL5" t="s">
        <v>30</v>
      </c>
      <c r="DM5" t="s">
        <v>27</v>
      </c>
      <c r="DN5" t="s">
        <v>31</v>
      </c>
      <c r="DO5" t="s">
        <v>38</v>
      </c>
      <c r="DP5" t="s">
        <v>34</v>
      </c>
      <c r="DQ5" t="s">
        <v>37</v>
      </c>
      <c r="DR5" t="s">
        <v>35</v>
      </c>
      <c r="DS5" t="s">
        <v>40</v>
      </c>
      <c r="DT5" t="s">
        <v>15</v>
      </c>
      <c r="DU5" t="s">
        <v>32</v>
      </c>
      <c r="DV5" t="s">
        <v>28</v>
      </c>
      <c r="DW5" t="s">
        <v>12</v>
      </c>
      <c r="DX5" t="s">
        <v>39</v>
      </c>
      <c r="DY5" t="s">
        <v>36</v>
      </c>
      <c r="DZ5" t="s">
        <v>33</v>
      </c>
      <c r="EA5" t="s">
        <v>26</v>
      </c>
      <c r="EB5" t="s">
        <v>29</v>
      </c>
      <c r="ED5" t="s">
        <v>40</v>
      </c>
      <c r="EE5" t="s">
        <v>12</v>
      </c>
      <c r="EF5" t="s">
        <v>33</v>
      </c>
      <c r="EG5" t="s">
        <v>26</v>
      </c>
      <c r="EI5" t="s">
        <v>41</v>
      </c>
      <c r="EJ5" t="s">
        <v>30</v>
      </c>
      <c r="EK5" t="s">
        <v>31</v>
      </c>
      <c r="EL5" t="s">
        <v>38</v>
      </c>
      <c r="EM5" t="s">
        <v>34</v>
      </c>
      <c r="EN5" t="s">
        <v>37</v>
      </c>
      <c r="EO5" t="s">
        <v>35</v>
      </c>
      <c r="EP5" t="s">
        <v>40</v>
      </c>
      <c r="EQ5" t="s">
        <v>15</v>
      </c>
      <c r="ER5" t="s">
        <v>32</v>
      </c>
      <c r="ES5" t="s">
        <v>28</v>
      </c>
      <c r="ET5" t="s">
        <v>12</v>
      </c>
      <c r="EU5" t="s">
        <v>39</v>
      </c>
      <c r="EV5" t="s">
        <v>36</v>
      </c>
      <c r="EW5" t="s">
        <v>33</v>
      </c>
      <c r="EX5" t="s">
        <v>26</v>
      </c>
      <c r="EY5" t="s">
        <v>29</v>
      </c>
      <c r="FA5" t="s">
        <v>40</v>
      </c>
      <c r="FB5" t="s">
        <v>12</v>
      </c>
      <c r="FC5" t="s">
        <v>33</v>
      </c>
      <c r="FD5" t="s">
        <v>26</v>
      </c>
      <c r="FF5" t="s">
        <v>41</v>
      </c>
      <c r="FG5" t="s">
        <v>30</v>
      </c>
      <c r="FH5" t="s">
        <v>27</v>
      </c>
      <c r="FI5" t="s">
        <v>31</v>
      </c>
      <c r="FJ5" t="s">
        <v>38</v>
      </c>
      <c r="FK5" t="s">
        <v>34</v>
      </c>
      <c r="FL5" t="s">
        <v>37</v>
      </c>
      <c r="FM5" t="s">
        <v>35</v>
      </c>
      <c r="FN5" t="s">
        <v>40</v>
      </c>
      <c r="FO5" t="s">
        <v>15</v>
      </c>
      <c r="FP5" t="s">
        <v>32</v>
      </c>
      <c r="FQ5" t="s">
        <v>28</v>
      </c>
      <c r="FR5" t="s">
        <v>12</v>
      </c>
      <c r="FS5" t="s">
        <v>39</v>
      </c>
      <c r="FT5" t="s">
        <v>36</v>
      </c>
      <c r="FU5" t="s">
        <v>26</v>
      </c>
      <c r="FV5" t="s">
        <v>29</v>
      </c>
      <c r="FX5" t="s">
        <v>40</v>
      </c>
      <c r="FY5" t="s">
        <v>12</v>
      </c>
      <c r="FZ5" t="s">
        <v>33</v>
      </c>
      <c r="GA5" t="s">
        <v>26</v>
      </c>
    </row>
    <row r="6" spans="1:185" x14ac:dyDescent="0.15">
      <c r="A6" s="6">
        <v>41092</v>
      </c>
      <c r="B6" s="7"/>
      <c r="C6" s="7">
        <v>3.38</v>
      </c>
      <c r="D6" s="7"/>
      <c r="E6" s="7">
        <v>3.39</v>
      </c>
      <c r="F6" s="7"/>
      <c r="G6" s="7"/>
      <c r="H6" s="7"/>
      <c r="I6" s="7"/>
      <c r="J6" s="7">
        <v>3.41</v>
      </c>
      <c r="K6" s="7"/>
      <c r="L6" s="7"/>
      <c r="M6" s="7"/>
      <c r="N6" s="7"/>
      <c r="O6" s="7"/>
      <c r="P6" s="7"/>
      <c r="Q6" s="7">
        <v>3.2749999999999999</v>
      </c>
      <c r="R6" s="7"/>
      <c r="S6" s="7">
        <v>3.3741666666666661</v>
      </c>
      <c r="T6" s="7"/>
      <c r="U6" s="7">
        <v>3.46</v>
      </c>
      <c r="V6" s="7">
        <v>3.4824999999999999</v>
      </c>
      <c r="W6" s="7"/>
      <c r="X6" s="7">
        <v>3.45</v>
      </c>
      <c r="Y6" s="7"/>
      <c r="Z6" s="7"/>
      <c r="AA6" s="7"/>
      <c r="AB6" s="7"/>
      <c r="AC6" s="7">
        <v>3.4699999999999998</v>
      </c>
      <c r="AD6" s="7"/>
      <c r="AE6" s="7"/>
      <c r="AF6" s="7"/>
      <c r="AG6" s="7"/>
      <c r="AH6" s="7"/>
      <c r="AI6" s="7"/>
      <c r="AJ6" s="7">
        <v>2.9750000000000001</v>
      </c>
      <c r="AK6" s="7"/>
      <c r="AL6" s="7">
        <v>3.4062500000000004</v>
      </c>
      <c r="AM6" s="7"/>
      <c r="AN6" s="7">
        <v>3.3200000000000003</v>
      </c>
      <c r="AO6" s="7">
        <v>3.31</v>
      </c>
      <c r="AP6" s="7"/>
      <c r="AQ6" s="7">
        <v>3.3</v>
      </c>
      <c r="AR6" s="7"/>
      <c r="AS6" s="7"/>
      <c r="AT6" s="7"/>
      <c r="AU6" s="7"/>
      <c r="AV6" s="7">
        <v>3.3200000000000003</v>
      </c>
      <c r="AW6" s="7"/>
      <c r="AX6" s="7"/>
      <c r="AY6" s="7"/>
      <c r="AZ6" s="7"/>
      <c r="BA6" s="7"/>
      <c r="BB6" s="7"/>
      <c r="BC6" s="7">
        <v>3.3149999999999999</v>
      </c>
      <c r="BD6" s="7"/>
      <c r="BE6" s="7">
        <v>3.3143750000000005</v>
      </c>
      <c r="BF6" s="7"/>
      <c r="BG6" s="7">
        <v>3.3</v>
      </c>
      <c r="BH6" s="7">
        <v>3.2974999999999999</v>
      </c>
      <c r="BI6" s="7"/>
      <c r="BJ6" s="7">
        <v>3.29</v>
      </c>
      <c r="BK6" s="7"/>
      <c r="BL6" s="7"/>
      <c r="BM6" s="7"/>
      <c r="BN6" s="7"/>
      <c r="BO6" s="7">
        <v>3.3099999999999996</v>
      </c>
      <c r="BP6" s="7"/>
      <c r="BQ6" s="7"/>
      <c r="BR6" s="7"/>
      <c r="BS6" s="7"/>
      <c r="BT6" s="7"/>
      <c r="BU6" s="7"/>
      <c r="BV6" s="7">
        <v>3.2749999999999999</v>
      </c>
      <c r="BW6" s="7"/>
      <c r="BX6" s="7">
        <v>3.2974999999999994</v>
      </c>
      <c r="BY6" s="7"/>
      <c r="BZ6" s="7">
        <v>3.3</v>
      </c>
      <c r="CA6" s="7">
        <v>3.3</v>
      </c>
      <c r="CB6" s="7"/>
      <c r="CC6" s="7">
        <v>3.29</v>
      </c>
      <c r="CD6" s="7"/>
      <c r="CE6" s="7"/>
      <c r="CF6" s="7"/>
      <c r="CG6" s="7"/>
      <c r="CH6" s="7">
        <v>3.3049999999999997</v>
      </c>
      <c r="CI6" s="7"/>
      <c r="CJ6" s="7"/>
      <c r="CK6" s="7"/>
      <c r="CL6" s="7"/>
      <c r="CM6" s="7"/>
      <c r="CN6" s="7"/>
      <c r="CO6" s="7">
        <v>3.2749999999999999</v>
      </c>
      <c r="CP6" s="7"/>
      <c r="CQ6" s="7">
        <v>3.2968749999999996</v>
      </c>
      <c r="CR6" s="7"/>
      <c r="CS6" s="7">
        <v>3.3</v>
      </c>
      <c r="CT6" s="7">
        <v>3.3024999999999998</v>
      </c>
      <c r="CU6" s="7"/>
      <c r="CV6" s="7">
        <v>3.28</v>
      </c>
      <c r="CW6" s="7"/>
      <c r="CX6" s="7"/>
      <c r="CY6" s="7"/>
      <c r="CZ6" s="7"/>
      <c r="DA6" s="7">
        <v>3.3</v>
      </c>
      <c r="DB6" s="7"/>
      <c r="DC6" s="7"/>
      <c r="DD6" s="7"/>
      <c r="DE6" s="7"/>
      <c r="DF6" s="7"/>
      <c r="DG6" s="7"/>
      <c r="DH6" s="7">
        <v>3.2749999999999999</v>
      </c>
      <c r="DI6" s="7"/>
      <c r="DJ6" s="7">
        <v>3.2949999999999999</v>
      </c>
      <c r="DK6" s="7"/>
      <c r="DL6" s="7">
        <v>3.8</v>
      </c>
      <c r="DM6" s="7">
        <v>3.7949999999999999</v>
      </c>
      <c r="DN6" s="7"/>
      <c r="DO6" s="7">
        <v>3.79</v>
      </c>
      <c r="DP6" s="7"/>
      <c r="DQ6" s="7"/>
      <c r="DR6" s="7"/>
      <c r="DS6" s="7"/>
      <c r="DT6" s="7">
        <v>3.8</v>
      </c>
      <c r="DU6" s="7"/>
      <c r="DV6" s="7"/>
      <c r="DW6" s="7"/>
      <c r="DX6" s="7"/>
      <c r="DY6" s="7"/>
      <c r="DZ6" s="7"/>
      <c r="EA6" s="7">
        <v>3.2749999999999999</v>
      </c>
      <c r="EB6" s="7"/>
      <c r="EC6" s="7">
        <v>3.7318749999999996</v>
      </c>
      <c r="ED6" s="7"/>
      <c r="EE6" s="7"/>
      <c r="EF6" s="7"/>
      <c r="EG6" s="7"/>
      <c r="EH6" s="7"/>
      <c r="EI6" s="7"/>
      <c r="EJ6" s="7">
        <v>3.33</v>
      </c>
      <c r="EK6" s="7"/>
      <c r="EL6" s="7">
        <v>3.33</v>
      </c>
      <c r="EM6" s="7"/>
      <c r="EN6" s="7"/>
      <c r="EO6" s="7"/>
      <c r="EP6" s="7"/>
      <c r="EQ6" s="7">
        <v>3.3499999999999996</v>
      </c>
      <c r="ER6" s="7"/>
      <c r="ES6" s="7"/>
      <c r="ET6" s="7"/>
      <c r="EU6" s="7"/>
      <c r="EV6" s="7"/>
      <c r="EW6" s="7"/>
      <c r="EX6" s="7">
        <v>3.2749999999999999</v>
      </c>
      <c r="EY6" s="7"/>
      <c r="EZ6" s="7">
        <v>3.3274999999999992</v>
      </c>
      <c r="FA6" s="7"/>
      <c r="FB6" s="7"/>
      <c r="FC6" s="7"/>
      <c r="FD6" s="7"/>
      <c r="FE6" s="7"/>
      <c r="FF6" s="7"/>
      <c r="FG6" s="7">
        <v>3.62</v>
      </c>
      <c r="FH6" s="7">
        <v>3.6025</v>
      </c>
      <c r="FI6" s="7"/>
      <c r="FJ6" s="7">
        <v>3.6</v>
      </c>
      <c r="FK6" s="7"/>
      <c r="FL6" s="7"/>
      <c r="FM6" s="7"/>
      <c r="FN6" s="7"/>
      <c r="FO6" s="7">
        <v>3.62</v>
      </c>
      <c r="FP6" s="7"/>
      <c r="FQ6" s="7"/>
      <c r="FR6" s="7"/>
      <c r="FS6" s="7"/>
      <c r="FT6" s="7"/>
      <c r="FU6" s="7">
        <v>3.5149999999999997</v>
      </c>
      <c r="FV6" s="7"/>
      <c r="FW6" s="7">
        <v>3.6000000000000005</v>
      </c>
      <c r="FX6" s="7"/>
      <c r="FY6" s="7"/>
      <c r="FZ6" s="7"/>
      <c r="GA6" s="7"/>
      <c r="GB6" s="7"/>
      <c r="GC6" s="7">
        <v>3.4080147058823549</v>
      </c>
    </row>
    <row r="7" spans="1:185" x14ac:dyDescent="0.15">
      <c r="A7" s="6">
        <v>41093</v>
      </c>
      <c r="B7" s="7"/>
      <c r="C7" s="7">
        <v>3.38</v>
      </c>
      <c r="D7" s="7"/>
      <c r="E7" s="7">
        <v>3.41</v>
      </c>
      <c r="F7" s="7"/>
      <c r="G7" s="7">
        <v>3.4</v>
      </c>
      <c r="H7" s="7"/>
      <c r="I7" s="7"/>
      <c r="J7" s="7">
        <v>3.395</v>
      </c>
      <c r="K7" s="7"/>
      <c r="L7" s="7"/>
      <c r="M7" s="7"/>
      <c r="N7" s="7"/>
      <c r="O7" s="7"/>
      <c r="P7" s="7"/>
      <c r="Q7" s="7">
        <v>3.2749999999999999</v>
      </c>
      <c r="R7" s="7"/>
      <c r="S7" s="7">
        <v>3.3506249999999991</v>
      </c>
      <c r="T7" s="7"/>
      <c r="U7" s="7">
        <v>3.45</v>
      </c>
      <c r="V7" s="7">
        <v>3.4375</v>
      </c>
      <c r="W7" s="7"/>
      <c r="X7" s="7">
        <v>3.48</v>
      </c>
      <c r="Y7" s="7"/>
      <c r="Z7" s="7">
        <v>3.4749999999999996</v>
      </c>
      <c r="AA7" s="7"/>
      <c r="AB7" s="7"/>
      <c r="AC7" s="7">
        <v>3.4450000000000003</v>
      </c>
      <c r="AD7" s="7"/>
      <c r="AE7" s="7"/>
      <c r="AF7" s="7"/>
      <c r="AG7" s="7"/>
      <c r="AH7" s="7"/>
      <c r="AI7" s="7"/>
      <c r="AJ7" s="7">
        <v>2.9750000000000001</v>
      </c>
      <c r="AK7" s="7"/>
      <c r="AL7" s="7">
        <v>3.3095000000000008</v>
      </c>
      <c r="AM7" s="7"/>
      <c r="AN7" s="7">
        <v>3.3</v>
      </c>
      <c r="AO7" s="7">
        <v>3.27</v>
      </c>
      <c r="AP7" s="7"/>
      <c r="AQ7" s="7">
        <v>3.32</v>
      </c>
      <c r="AR7" s="7"/>
      <c r="AS7" s="7">
        <v>3.29</v>
      </c>
      <c r="AT7" s="7"/>
      <c r="AU7" s="7"/>
      <c r="AV7" s="7">
        <v>3.2949999999999999</v>
      </c>
      <c r="AW7" s="7"/>
      <c r="AX7" s="7"/>
      <c r="AY7" s="7"/>
      <c r="AZ7" s="7"/>
      <c r="BA7" s="7"/>
      <c r="BB7" s="7"/>
      <c r="BC7" s="7">
        <v>3.3149999999999999</v>
      </c>
      <c r="BD7" s="7"/>
      <c r="BE7" s="7">
        <v>3.2984999999999998</v>
      </c>
      <c r="BF7" s="7"/>
      <c r="BG7" s="7">
        <v>3.29</v>
      </c>
      <c r="BH7" s="7">
        <v>3.2549999999999999</v>
      </c>
      <c r="BI7" s="7"/>
      <c r="BJ7" s="7">
        <v>3.31</v>
      </c>
      <c r="BK7" s="7"/>
      <c r="BL7" s="7">
        <v>3.2800000000000002</v>
      </c>
      <c r="BM7" s="7"/>
      <c r="BN7" s="7"/>
      <c r="BO7" s="7">
        <v>3.2850000000000001</v>
      </c>
      <c r="BP7" s="7"/>
      <c r="BQ7" s="7"/>
      <c r="BR7" s="7"/>
      <c r="BS7" s="7"/>
      <c r="BT7" s="7"/>
      <c r="BU7" s="7"/>
      <c r="BV7" s="7">
        <v>3.2749999999999999</v>
      </c>
      <c r="BW7" s="7"/>
      <c r="BX7" s="7">
        <v>3.2784999999999997</v>
      </c>
      <c r="BY7" s="7"/>
      <c r="BZ7" s="7">
        <v>3.2800000000000002</v>
      </c>
      <c r="CA7" s="7">
        <v>3.2750000000000004</v>
      </c>
      <c r="CB7" s="7"/>
      <c r="CC7" s="7">
        <v>3.31</v>
      </c>
      <c r="CD7" s="7"/>
      <c r="CE7" s="7">
        <v>3.2800000000000002</v>
      </c>
      <c r="CF7" s="7"/>
      <c r="CG7" s="7"/>
      <c r="CH7" s="7">
        <v>3.2800000000000002</v>
      </c>
      <c r="CI7" s="7"/>
      <c r="CJ7" s="7"/>
      <c r="CK7" s="7"/>
      <c r="CL7" s="7"/>
      <c r="CM7" s="7"/>
      <c r="CN7" s="7"/>
      <c r="CO7" s="7">
        <v>3.2749999999999999</v>
      </c>
      <c r="CP7" s="7"/>
      <c r="CQ7" s="7">
        <v>3.2805</v>
      </c>
      <c r="CR7" s="7"/>
      <c r="CS7" s="7">
        <v>3.2800000000000002</v>
      </c>
      <c r="CT7" s="7">
        <v>3.27</v>
      </c>
      <c r="CU7" s="7"/>
      <c r="CV7" s="7">
        <v>3.3</v>
      </c>
      <c r="CW7" s="7"/>
      <c r="CX7" s="7">
        <v>3.2800000000000002</v>
      </c>
      <c r="CY7" s="7"/>
      <c r="CZ7" s="7"/>
      <c r="DA7" s="7">
        <v>3.2800000000000002</v>
      </c>
      <c r="DB7" s="7"/>
      <c r="DC7" s="7"/>
      <c r="DD7" s="7"/>
      <c r="DE7" s="7"/>
      <c r="DF7" s="7"/>
      <c r="DG7" s="7"/>
      <c r="DH7" s="7">
        <v>3.2749999999999999</v>
      </c>
      <c r="DI7" s="7"/>
      <c r="DJ7" s="7">
        <v>3.2785000000000002</v>
      </c>
      <c r="DK7" s="7"/>
      <c r="DL7" s="7">
        <v>3.76</v>
      </c>
      <c r="DM7" s="7">
        <v>3.7749999999999999</v>
      </c>
      <c r="DN7" s="7"/>
      <c r="DO7" s="7">
        <v>3.7749999999999999</v>
      </c>
      <c r="DP7" s="7"/>
      <c r="DQ7" s="7">
        <v>3.7750000000000004</v>
      </c>
      <c r="DR7" s="7"/>
      <c r="DS7" s="7"/>
      <c r="DT7" s="7">
        <v>3.7649999999999997</v>
      </c>
      <c r="DU7" s="7"/>
      <c r="DV7" s="7"/>
      <c r="DW7" s="7"/>
      <c r="DX7" s="7"/>
      <c r="DY7" s="7"/>
      <c r="DZ7" s="7"/>
      <c r="EA7" s="7">
        <v>3.2749999999999999</v>
      </c>
      <c r="EB7" s="7"/>
      <c r="EC7" s="7">
        <v>3.6214999999999997</v>
      </c>
      <c r="ED7" s="7"/>
      <c r="EE7" s="7"/>
      <c r="EF7" s="7"/>
      <c r="EG7" s="7"/>
      <c r="EH7" s="7"/>
      <c r="EI7" s="7"/>
      <c r="EJ7" s="7">
        <v>3.33</v>
      </c>
      <c r="EK7" s="7"/>
      <c r="EL7" s="7">
        <v>3.35</v>
      </c>
      <c r="EM7" s="7"/>
      <c r="EN7" s="7">
        <v>3.34</v>
      </c>
      <c r="EO7" s="7"/>
      <c r="EP7" s="7"/>
      <c r="EQ7" s="7">
        <v>3.335</v>
      </c>
      <c r="ER7" s="7"/>
      <c r="ES7" s="7"/>
      <c r="ET7" s="7"/>
      <c r="EU7" s="7"/>
      <c r="EV7" s="7"/>
      <c r="EW7" s="7"/>
      <c r="EX7" s="7">
        <v>3.2749999999999999</v>
      </c>
      <c r="EY7" s="7"/>
      <c r="EZ7" s="7">
        <v>3.3143749999999992</v>
      </c>
      <c r="FA7" s="7"/>
      <c r="FB7" s="7"/>
      <c r="FC7" s="7"/>
      <c r="FD7" s="7"/>
      <c r="FE7" s="7"/>
      <c r="FF7" s="7"/>
      <c r="FG7" s="7">
        <v>3.58</v>
      </c>
      <c r="FH7" s="7">
        <v>3.5700000000000003</v>
      </c>
      <c r="FI7" s="7"/>
      <c r="FJ7" s="7">
        <v>3.62</v>
      </c>
      <c r="FK7" s="7"/>
      <c r="FL7" s="7">
        <v>3.5750000000000002</v>
      </c>
      <c r="FM7" s="7"/>
      <c r="FN7" s="7"/>
      <c r="FO7" s="7">
        <v>3.5950000000000002</v>
      </c>
      <c r="FP7" s="7"/>
      <c r="FQ7" s="7"/>
      <c r="FR7" s="7"/>
      <c r="FS7" s="7"/>
      <c r="FT7" s="7"/>
      <c r="FU7" s="7">
        <v>3.5149999999999992</v>
      </c>
      <c r="FV7" s="7"/>
      <c r="FW7" s="7">
        <v>3.5649999999999999</v>
      </c>
      <c r="FX7" s="7"/>
      <c r="FY7" s="7"/>
      <c r="FZ7" s="7"/>
      <c r="GA7" s="7"/>
      <c r="GB7" s="7"/>
      <c r="GC7" s="7">
        <v>3.3679069767441874</v>
      </c>
    </row>
    <row r="8" spans="1:185" x14ac:dyDescent="0.15">
      <c r="A8" s="6">
        <v>41094</v>
      </c>
      <c r="B8" s="7"/>
      <c r="C8" s="7">
        <v>3.38</v>
      </c>
      <c r="D8" s="7"/>
      <c r="E8" s="7"/>
      <c r="F8" s="7"/>
      <c r="G8" s="7"/>
      <c r="H8" s="7"/>
      <c r="I8" s="7"/>
      <c r="J8" s="7">
        <v>3.4000000000000004</v>
      </c>
      <c r="K8" s="7"/>
      <c r="L8" s="7"/>
      <c r="M8" s="7"/>
      <c r="N8" s="7"/>
      <c r="O8" s="7"/>
      <c r="P8" s="7"/>
      <c r="Q8" s="7">
        <v>3.2749999999999999</v>
      </c>
      <c r="R8" s="7"/>
      <c r="S8" s="7">
        <v>3.3420000000000001</v>
      </c>
      <c r="T8" s="7"/>
      <c r="U8" s="7">
        <v>3.4400000000000004</v>
      </c>
      <c r="V8" s="7">
        <v>3.4299999999999997</v>
      </c>
      <c r="W8" s="7"/>
      <c r="X8" s="7"/>
      <c r="Y8" s="7"/>
      <c r="Z8" s="7"/>
      <c r="AA8" s="7"/>
      <c r="AB8" s="7"/>
      <c r="AC8" s="7">
        <v>3.4400000000000004</v>
      </c>
      <c r="AD8" s="7"/>
      <c r="AE8" s="7"/>
      <c r="AF8" s="7"/>
      <c r="AG8" s="7"/>
      <c r="AH8" s="7"/>
      <c r="AI8" s="7"/>
      <c r="AJ8" s="7">
        <v>2.9750000000000001</v>
      </c>
      <c r="AK8" s="7"/>
      <c r="AL8" s="7">
        <v>3.3042857142857147</v>
      </c>
      <c r="AM8" s="7"/>
      <c r="AN8" s="7">
        <v>3.29</v>
      </c>
      <c r="AO8" s="7">
        <v>3.26</v>
      </c>
      <c r="AP8" s="7"/>
      <c r="AQ8" s="7"/>
      <c r="AR8" s="7"/>
      <c r="AS8" s="7"/>
      <c r="AT8" s="7"/>
      <c r="AU8" s="7"/>
      <c r="AV8" s="7">
        <v>3.29</v>
      </c>
      <c r="AW8" s="7"/>
      <c r="AX8" s="7"/>
      <c r="AY8" s="7"/>
      <c r="AZ8" s="7"/>
      <c r="BA8" s="7"/>
      <c r="BB8" s="7"/>
      <c r="BC8" s="7">
        <v>3.3149999999999999</v>
      </c>
      <c r="BD8" s="7"/>
      <c r="BE8" s="7">
        <v>3.2885714285714291</v>
      </c>
      <c r="BF8" s="7"/>
      <c r="BG8" s="7">
        <v>3.2800000000000002</v>
      </c>
      <c r="BH8" s="7">
        <v>3.2549999999999999</v>
      </c>
      <c r="BI8" s="7"/>
      <c r="BJ8" s="7"/>
      <c r="BK8" s="7"/>
      <c r="BL8" s="7"/>
      <c r="BM8" s="7"/>
      <c r="BN8" s="7"/>
      <c r="BO8" s="7">
        <v>3.2800000000000002</v>
      </c>
      <c r="BP8" s="7"/>
      <c r="BQ8" s="7"/>
      <c r="BR8" s="7"/>
      <c r="BS8" s="7"/>
      <c r="BT8" s="7"/>
      <c r="BU8" s="7"/>
      <c r="BV8" s="7">
        <v>3.2749999999999999</v>
      </c>
      <c r="BW8" s="7"/>
      <c r="BX8" s="7">
        <v>3.2714285714285714</v>
      </c>
      <c r="BY8" s="7"/>
      <c r="BZ8" s="7">
        <v>3.2800000000000002</v>
      </c>
      <c r="CA8" s="7">
        <v>3.26</v>
      </c>
      <c r="CB8" s="7"/>
      <c r="CC8" s="7"/>
      <c r="CD8" s="7"/>
      <c r="CE8" s="7"/>
      <c r="CF8" s="7"/>
      <c r="CG8" s="7"/>
      <c r="CH8" s="7">
        <v>3.2800000000000002</v>
      </c>
      <c r="CI8" s="7"/>
      <c r="CJ8" s="7"/>
      <c r="CK8" s="7"/>
      <c r="CL8" s="7"/>
      <c r="CM8" s="7"/>
      <c r="CN8" s="7"/>
      <c r="CO8" s="7">
        <v>3.2749999999999999</v>
      </c>
      <c r="CP8" s="7"/>
      <c r="CQ8" s="7">
        <v>3.2728571428571422</v>
      </c>
      <c r="CR8" s="7"/>
      <c r="CS8" s="7">
        <v>3.2800000000000002</v>
      </c>
      <c r="CT8" s="7">
        <v>3.2625000000000002</v>
      </c>
      <c r="CU8" s="7"/>
      <c r="CV8" s="7"/>
      <c r="CW8" s="7"/>
      <c r="CX8" s="7"/>
      <c r="CY8" s="7"/>
      <c r="CZ8" s="7"/>
      <c r="DA8" s="7">
        <v>3.2800000000000002</v>
      </c>
      <c r="DB8" s="7"/>
      <c r="DC8" s="7"/>
      <c r="DD8" s="7"/>
      <c r="DE8" s="7"/>
      <c r="DF8" s="7"/>
      <c r="DG8" s="7"/>
      <c r="DH8" s="7">
        <v>3.2749999999999999</v>
      </c>
      <c r="DI8" s="7"/>
      <c r="DJ8" s="7">
        <v>3.2735714285714286</v>
      </c>
      <c r="DK8" s="7"/>
      <c r="DL8" s="7">
        <v>3.76</v>
      </c>
      <c r="DM8" s="7">
        <v>3.7749999999999999</v>
      </c>
      <c r="DN8" s="7"/>
      <c r="DO8" s="7"/>
      <c r="DP8" s="7"/>
      <c r="DQ8" s="7"/>
      <c r="DR8" s="7"/>
      <c r="DS8" s="7"/>
      <c r="DT8" s="7">
        <v>3.77</v>
      </c>
      <c r="DU8" s="7"/>
      <c r="DV8" s="7"/>
      <c r="DW8" s="7"/>
      <c r="DX8" s="7"/>
      <c r="DY8" s="7"/>
      <c r="DZ8" s="7"/>
      <c r="EA8" s="7">
        <v>3.2749999999999999</v>
      </c>
      <c r="EB8" s="7"/>
      <c r="EC8" s="7">
        <v>3.6271428571428568</v>
      </c>
      <c r="ED8" s="7"/>
      <c r="EE8" s="7"/>
      <c r="EF8" s="7"/>
      <c r="EG8" s="7"/>
      <c r="EH8" s="7"/>
      <c r="EI8" s="7"/>
      <c r="EJ8" s="7">
        <v>3.33</v>
      </c>
      <c r="EK8" s="7"/>
      <c r="EL8" s="7"/>
      <c r="EM8" s="7"/>
      <c r="EN8" s="7"/>
      <c r="EO8" s="7"/>
      <c r="EP8" s="7"/>
      <c r="EQ8" s="7">
        <v>3.3499999999999996</v>
      </c>
      <c r="ER8" s="7"/>
      <c r="ES8" s="7"/>
      <c r="ET8" s="7"/>
      <c r="EU8" s="7"/>
      <c r="EV8" s="7"/>
      <c r="EW8" s="7"/>
      <c r="EX8" s="7">
        <v>3.2749999999999999</v>
      </c>
      <c r="EY8" s="7"/>
      <c r="EZ8" s="7">
        <v>3.3119999999999998</v>
      </c>
      <c r="FA8" s="7"/>
      <c r="FB8" s="7"/>
      <c r="FC8" s="7"/>
      <c r="FD8" s="7"/>
      <c r="FE8" s="7"/>
      <c r="FF8" s="7"/>
      <c r="FG8" s="7">
        <v>3.58</v>
      </c>
      <c r="FH8" s="7">
        <v>3.56</v>
      </c>
      <c r="FI8" s="7"/>
      <c r="FJ8" s="7"/>
      <c r="FK8" s="7"/>
      <c r="FL8" s="7"/>
      <c r="FM8" s="7"/>
      <c r="FN8" s="7"/>
      <c r="FO8" s="7">
        <v>3.58</v>
      </c>
      <c r="FP8" s="7"/>
      <c r="FQ8" s="7"/>
      <c r="FR8" s="7"/>
      <c r="FS8" s="7"/>
      <c r="FT8" s="7"/>
      <c r="FU8" s="7">
        <v>3.5149999999999997</v>
      </c>
      <c r="FV8" s="7"/>
      <c r="FW8" s="7">
        <v>3.5557142857142856</v>
      </c>
      <c r="FX8" s="7"/>
      <c r="FY8" s="7"/>
      <c r="FZ8" s="7"/>
      <c r="GA8" s="7"/>
      <c r="GB8" s="7"/>
      <c r="GC8" s="7">
        <v>3.3631355932203406</v>
      </c>
    </row>
    <row r="9" spans="1:185" x14ac:dyDescent="0.15">
      <c r="A9" s="6">
        <v>41095</v>
      </c>
      <c r="B9" s="7"/>
      <c r="C9" s="7">
        <v>3.38</v>
      </c>
      <c r="D9" s="7"/>
      <c r="E9" s="7"/>
      <c r="F9" s="7"/>
      <c r="G9" s="7"/>
      <c r="H9" s="7"/>
      <c r="I9" s="7"/>
      <c r="J9" s="7">
        <v>3.3899999999999997</v>
      </c>
      <c r="K9" s="7"/>
      <c r="L9" s="7"/>
      <c r="M9" s="7"/>
      <c r="N9" s="7"/>
      <c r="O9" s="7"/>
      <c r="P9" s="7"/>
      <c r="Q9" s="7">
        <v>3.2749999999999999</v>
      </c>
      <c r="R9" s="7"/>
      <c r="S9" s="7">
        <v>3.3483333333333327</v>
      </c>
      <c r="T9" s="7"/>
      <c r="U9" s="7">
        <v>3.4400000000000004</v>
      </c>
      <c r="V9" s="7">
        <v>3.4349999999999996</v>
      </c>
      <c r="W9" s="7"/>
      <c r="X9" s="7"/>
      <c r="Y9" s="7"/>
      <c r="Z9" s="7"/>
      <c r="AA9" s="7"/>
      <c r="AB9" s="7"/>
      <c r="AC9" s="7">
        <v>3.4400000000000004</v>
      </c>
      <c r="AD9" s="7"/>
      <c r="AE9" s="7"/>
      <c r="AF9" s="7"/>
      <c r="AG9" s="7"/>
      <c r="AH9" s="7"/>
      <c r="AI9" s="7"/>
      <c r="AJ9" s="7">
        <v>2.9750000000000001</v>
      </c>
      <c r="AK9" s="7"/>
      <c r="AL9" s="7">
        <v>3.3225000000000007</v>
      </c>
      <c r="AM9" s="7"/>
      <c r="AN9" s="7">
        <v>3.29</v>
      </c>
      <c r="AO9" s="7">
        <v>3.27</v>
      </c>
      <c r="AP9" s="7"/>
      <c r="AQ9" s="7"/>
      <c r="AR9" s="7"/>
      <c r="AS9" s="7"/>
      <c r="AT9" s="7"/>
      <c r="AU9" s="7"/>
      <c r="AV9" s="7">
        <v>3.27</v>
      </c>
      <c r="AW9" s="7"/>
      <c r="AX9" s="7"/>
      <c r="AY9" s="7"/>
      <c r="AZ9" s="7"/>
      <c r="BA9" s="7"/>
      <c r="BB9" s="7"/>
      <c r="BC9" s="7">
        <v>3.3149999999999999</v>
      </c>
      <c r="BD9" s="7"/>
      <c r="BE9" s="7">
        <v>3.2862500000000003</v>
      </c>
      <c r="BF9" s="7"/>
      <c r="BG9" s="7">
        <v>3.2800000000000002</v>
      </c>
      <c r="BH9" s="7">
        <v>3.27</v>
      </c>
      <c r="BI9" s="7"/>
      <c r="BJ9" s="7"/>
      <c r="BK9" s="7"/>
      <c r="BL9" s="7"/>
      <c r="BM9" s="7"/>
      <c r="BN9" s="7"/>
      <c r="BO9" s="7">
        <v>3.26</v>
      </c>
      <c r="BP9" s="7"/>
      <c r="BQ9" s="7"/>
      <c r="BR9" s="7"/>
      <c r="BS9" s="7"/>
      <c r="BT9" s="7"/>
      <c r="BU9" s="7"/>
      <c r="BV9" s="7">
        <v>3.2749999999999999</v>
      </c>
      <c r="BW9" s="7"/>
      <c r="BX9" s="7">
        <v>3.2712499999999993</v>
      </c>
      <c r="BY9" s="7"/>
      <c r="BZ9" s="7">
        <v>3.2800000000000002</v>
      </c>
      <c r="CA9" s="7">
        <v>3.27</v>
      </c>
      <c r="CB9" s="7"/>
      <c r="CC9" s="7"/>
      <c r="CD9" s="7"/>
      <c r="CE9" s="7"/>
      <c r="CF9" s="7"/>
      <c r="CG9" s="7"/>
      <c r="CH9" s="7">
        <v>3.27</v>
      </c>
      <c r="CI9" s="7"/>
      <c r="CJ9" s="7"/>
      <c r="CK9" s="7"/>
      <c r="CL9" s="7"/>
      <c r="CM9" s="7"/>
      <c r="CN9" s="7"/>
      <c r="CO9" s="7">
        <v>3.2749999999999999</v>
      </c>
      <c r="CP9" s="7"/>
      <c r="CQ9" s="7">
        <v>3.2737499999999997</v>
      </c>
      <c r="CR9" s="7"/>
      <c r="CS9" s="7">
        <v>3.2800000000000002</v>
      </c>
      <c r="CT9" s="7">
        <v>3.27</v>
      </c>
      <c r="CU9" s="7"/>
      <c r="CV9" s="7"/>
      <c r="CW9" s="7"/>
      <c r="CX9" s="7"/>
      <c r="CY9" s="7"/>
      <c r="CZ9" s="7"/>
      <c r="DA9" s="7">
        <v>3.27</v>
      </c>
      <c r="DB9" s="7"/>
      <c r="DC9" s="7"/>
      <c r="DD9" s="7"/>
      <c r="DE9" s="7"/>
      <c r="DF9" s="7"/>
      <c r="DG9" s="7"/>
      <c r="DH9" s="7">
        <v>3.2749999999999999</v>
      </c>
      <c r="DI9" s="7"/>
      <c r="DJ9" s="7">
        <v>3.2737499999999997</v>
      </c>
      <c r="DK9" s="7"/>
      <c r="DL9" s="7">
        <v>3.76</v>
      </c>
      <c r="DM9" s="7">
        <v>3.7725</v>
      </c>
      <c r="DN9" s="7"/>
      <c r="DO9" s="7"/>
      <c r="DP9" s="7"/>
      <c r="DQ9" s="7"/>
      <c r="DR9" s="7"/>
      <c r="DS9" s="7"/>
      <c r="DT9" s="7">
        <v>3.77</v>
      </c>
      <c r="DU9" s="7"/>
      <c r="DV9" s="7"/>
      <c r="DW9" s="7"/>
      <c r="DX9" s="7"/>
      <c r="DY9" s="7"/>
      <c r="DZ9" s="7"/>
      <c r="EA9" s="7">
        <v>3.2749999999999999</v>
      </c>
      <c r="EB9" s="7"/>
      <c r="EC9" s="7">
        <v>3.6443749999999997</v>
      </c>
      <c r="ED9" s="7"/>
      <c r="EE9" s="7"/>
      <c r="EF9" s="7"/>
      <c r="EG9" s="7"/>
      <c r="EH9" s="7"/>
      <c r="EI9" s="7"/>
      <c r="EJ9" s="7">
        <v>3.33</v>
      </c>
      <c r="EK9" s="7"/>
      <c r="EL9" s="7"/>
      <c r="EM9" s="7"/>
      <c r="EN9" s="7"/>
      <c r="EO9" s="7"/>
      <c r="EP9" s="7"/>
      <c r="EQ9" s="7">
        <v>3.33</v>
      </c>
      <c r="ER9" s="7"/>
      <c r="ES9" s="7"/>
      <c r="ET9" s="7"/>
      <c r="EU9" s="7"/>
      <c r="EV9" s="7"/>
      <c r="EW9" s="7"/>
      <c r="EX9" s="7">
        <v>3.2749999999999999</v>
      </c>
      <c r="EY9" s="7"/>
      <c r="EZ9" s="7">
        <v>3.3116666666666661</v>
      </c>
      <c r="FA9" s="7"/>
      <c r="FB9" s="7"/>
      <c r="FC9" s="7"/>
      <c r="FD9" s="7"/>
      <c r="FE9" s="7"/>
      <c r="FF9" s="7"/>
      <c r="FG9" s="7">
        <v>3.58</v>
      </c>
      <c r="FH9" s="7">
        <v>3.5649999999999999</v>
      </c>
      <c r="FI9" s="7"/>
      <c r="FJ9" s="7"/>
      <c r="FK9" s="7"/>
      <c r="FL9" s="7"/>
      <c r="FM9" s="7"/>
      <c r="FN9" s="7"/>
      <c r="FO9" s="7">
        <v>3.5700000000000003</v>
      </c>
      <c r="FP9" s="7"/>
      <c r="FQ9" s="7"/>
      <c r="FR9" s="7"/>
      <c r="FS9" s="7"/>
      <c r="FT9" s="7"/>
      <c r="FU9" s="7">
        <v>3.5149999999999997</v>
      </c>
      <c r="FV9" s="7"/>
      <c r="FW9" s="7">
        <v>3.5575000000000001</v>
      </c>
      <c r="FX9" s="7"/>
      <c r="FY9" s="7"/>
      <c r="FZ9" s="7"/>
      <c r="GA9" s="7"/>
      <c r="GB9" s="7"/>
      <c r="GC9" s="7">
        <v>3.3675735294117666</v>
      </c>
    </row>
    <row r="10" spans="1:185" x14ac:dyDescent="0.15">
      <c r="A10" s="6">
        <v>41096</v>
      </c>
      <c r="B10" s="7"/>
      <c r="C10" s="7">
        <v>3.3</v>
      </c>
      <c r="D10" s="7"/>
      <c r="E10" s="7"/>
      <c r="F10" s="7"/>
      <c r="G10" s="7">
        <v>3.2850000000000001</v>
      </c>
      <c r="H10" s="7"/>
      <c r="I10" s="7"/>
      <c r="J10" s="7">
        <v>3.2949999999999999</v>
      </c>
      <c r="K10" s="7"/>
      <c r="L10" s="7"/>
      <c r="M10" s="7"/>
      <c r="N10" s="7"/>
      <c r="O10" s="7"/>
      <c r="P10" s="7"/>
      <c r="Q10" s="7">
        <v>3.1749999999999998</v>
      </c>
      <c r="R10" s="7"/>
      <c r="S10" s="7">
        <v>3.2607142857142857</v>
      </c>
      <c r="T10" s="7"/>
      <c r="U10" s="7">
        <v>3.37</v>
      </c>
      <c r="V10" s="7">
        <v>3.3650000000000002</v>
      </c>
      <c r="W10" s="7"/>
      <c r="X10" s="7"/>
      <c r="Y10" s="7"/>
      <c r="Z10" s="7">
        <v>3.355</v>
      </c>
      <c r="AA10" s="7"/>
      <c r="AB10" s="7"/>
      <c r="AC10" s="7">
        <v>3.3650000000000002</v>
      </c>
      <c r="AD10" s="7"/>
      <c r="AE10" s="7"/>
      <c r="AF10" s="7"/>
      <c r="AG10" s="7"/>
      <c r="AH10" s="7"/>
      <c r="AI10" s="7"/>
      <c r="AJ10" s="7">
        <v>3.4000000000000004</v>
      </c>
      <c r="AK10" s="7"/>
      <c r="AL10" s="7">
        <v>3.3727777777777774</v>
      </c>
      <c r="AM10" s="7"/>
      <c r="AN10" s="7">
        <v>3.2</v>
      </c>
      <c r="AO10" s="7">
        <v>3.1750000000000003</v>
      </c>
      <c r="AP10" s="7"/>
      <c r="AQ10" s="7"/>
      <c r="AR10" s="7"/>
      <c r="AS10" s="7">
        <v>3.1850000000000001</v>
      </c>
      <c r="AT10" s="7"/>
      <c r="AU10" s="7"/>
      <c r="AV10" s="7">
        <v>3.1850000000000001</v>
      </c>
      <c r="AW10" s="7"/>
      <c r="AX10" s="7"/>
      <c r="AY10" s="7"/>
      <c r="AZ10" s="7"/>
      <c r="BA10" s="7"/>
      <c r="BB10" s="7"/>
      <c r="BC10" s="7">
        <v>3.3049999999999997</v>
      </c>
      <c r="BD10" s="7"/>
      <c r="BE10" s="7">
        <v>3.2127777777777782</v>
      </c>
      <c r="BF10" s="7"/>
      <c r="BG10" s="7">
        <v>3.1799999999999997</v>
      </c>
      <c r="BH10" s="7">
        <v>3.1750000000000003</v>
      </c>
      <c r="BI10" s="7"/>
      <c r="BJ10" s="7"/>
      <c r="BK10" s="7"/>
      <c r="BL10" s="7">
        <v>3.1749999999999998</v>
      </c>
      <c r="BM10" s="7"/>
      <c r="BN10" s="7"/>
      <c r="BO10" s="7">
        <v>3.1799999999999997</v>
      </c>
      <c r="BP10" s="7"/>
      <c r="BQ10" s="7"/>
      <c r="BR10" s="7"/>
      <c r="BS10" s="7"/>
      <c r="BT10" s="7"/>
      <c r="BU10" s="7"/>
      <c r="BV10" s="7">
        <v>3.1749999999999998</v>
      </c>
      <c r="BW10" s="7"/>
      <c r="BX10" s="7">
        <v>3.1772222222222224</v>
      </c>
      <c r="BY10" s="7"/>
      <c r="BZ10" s="7">
        <v>3.1799999999999997</v>
      </c>
      <c r="CA10" s="7">
        <v>3.1750000000000003</v>
      </c>
      <c r="CB10" s="7"/>
      <c r="CC10" s="7"/>
      <c r="CD10" s="7"/>
      <c r="CE10" s="7">
        <v>3.1749999999999998</v>
      </c>
      <c r="CF10" s="7"/>
      <c r="CG10" s="7"/>
      <c r="CH10" s="7">
        <v>3.1799999999999997</v>
      </c>
      <c r="CI10" s="7"/>
      <c r="CJ10" s="7"/>
      <c r="CK10" s="7"/>
      <c r="CL10" s="7"/>
      <c r="CM10" s="7"/>
      <c r="CN10" s="7"/>
      <c r="CO10" s="7">
        <v>3.1749999999999998</v>
      </c>
      <c r="CP10" s="7"/>
      <c r="CQ10" s="7">
        <v>3.1772222222222224</v>
      </c>
      <c r="CR10" s="7"/>
      <c r="CS10" s="7">
        <v>3.1799999999999997</v>
      </c>
      <c r="CT10" s="7">
        <v>3.1750000000000003</v>
      </c>
      <c r="CU10" s="7"/>
      <c r="CV10" s="7"/>
      <c r="CW10" s="7"/>
      <c r="CX10" s="7">
        <v>3.1749999999999998</v>
      </c>
      <c r="CY10" s="7"/>
      <c r="CZ10" s="7"/>
      <c r="DA10" s="7">
        <v>3.1799999999999997</v>
      </c>
      <c r="DB10" s="7"/>
      <c r="DC10" s="7"/>
      <c r="DD10" s="7"/>
      <c r="DE10" s="7"/>
      <c r="DF10" s="7"/>
      <c r="DG10" s="7"/>
      <c r="DH10" s="7">
        <v>3.1749999999999998</v>
      </c>
      <c r="DI10" s="7"/>
      <c r="DJ10" s="7">
        <v>3.1772222222222224</v>
      </c>
      <c r="DK10" s="7"/>
      <c r="DL10" s="7">
        <v>3.7</v>
      </c>
      <c r="DM10" s="7">
        <v>3.7024999999999997</v>
      </c>
      <c r="DN10" s="7"/>
      <c r="DO10" s="7"/>
      <c r="DP10" s="7"/>
      <c r="DQ10" s="7">
        <v>3.68</v>
      </c>
      <c r="DR10" s="7"/>
      <c r="DS10" s="7"/>
      <c r="DT10" s="7">
        <v>3.7050000000000001</v>
      </c>
      <c r="DU10" s="7"/>
      <c r="DV10" s="7"/>
      <c r="DW10" s="7"/>
      <c r="DX10" s="7"/>
      <c r="DY10" s="7"/>
      <c r="DZ10" s="7"/>
      <c r="EA10" s="7">
        <v>3.6500000000000004</v>
      </c>
      <c r="EB10" s="7"/>
      <c r="EC10" s="7">
        <v>3.6883333333333335</v>
      </c>
      <c r="ED10" s="7"/>
      <c r="EE10" s="7"/>
      <c r="EF10" s="7"/>
      <c r="EG10" s="7"/>
      <c r="EH10" s="7"/>
      <c r="EI10" s="7"/>
      <c r="EJ10" s="7">
        <v>3.25</v>
      </c>
      <c r="EK10" s="7"/>
      <c r="EL10" s="7"/>
      <c r="EM10" s="7"/>
      <c r="EN10" s="7">
        <v>3.2450000000000001</v>
      </c>
      <c r="EO10" s="7"/>
      <c r="EP10" s="7"/>
      <c r="EQ10" s="7">
        <v>3.25</v>
      </c>
      <c r="ER10" s="7"/>
      <c r="ES10" s="7"/>
      <c r="ET10" s="7"/>
      <c r="EU10" s="7"/>
      <c r="EV10" s="7"/>
      <c r="EW10" s="7"/>
      <c r="EX10" s="7">
        <v>3.1749999999999998</v>
      </c>
      <c r="EY10" s="7"/>
      <c r="EZ10" s="7">
        <v>3.2278571428571432</v>
      </c>
      <c r="FA10" s="7"/>
      <c r="FB10" s="7"/>
      <c r="FC10" s="7"/>
      <c r="FD10" s="7"/>
      <c r="FE10" s="7"/>
      <c r="FF10" s="7"/>
      <c r="FG10" s="7">
        <v>3.5</v>
      </c>
      <c r="FH10" s="7">
        <v>3.5100000000000002</v>
      </c>
      <c r="FI10" s="7"/>
      <c r="FJ10" s="7"/>
      <c r="FK10" s="7"/>
      <c r="FL10" s="7">
        <v>3.5150000000000001</v>
      </c>
      <c r="FM10" s="7"/>
      <c r="FN10" s="7"/>
      <c r="FO10" s="7">
        <v>3.49</v>
      </c>
      <c r="FP10" s="7"/>
      <c r="FQ10" s="7"/>
      <c r="FR10" s="7"/>
      <c r="FS10" s="7"/>
      <c r="FT10" s="7"/>
      <c r="FU10" s="7">
        <v>3.5149999999999997</v>
      </c>
      <c r="FV10" s="7"/>
      <c r="FW10" s="7">
        <v>3.5050000000000003</v>
      </c>
      <c r="FX10" s="7"/>
      <c r="FY10" s="7"/>
      <c r="FZ10" s="7"/>
      <c r="GA10" s="7"/>
      <c r="GB10" s="7"/>
      <c r="GC10" s="7">
        <v>3.3144805194805205</v>
      </c>
    </row>
    <row r="11" spans="1:185" x14ac:dyDescent="0.15">
      <c r="A11" s="6">
        <v>41099</v>
      </c>
      <c r="B11" s="7">
        <v>3.37</v>
      </c>
      <c r="C11" s="7">
        <v>3.2800000000000002</v>
      </c>
      <c r="D11" s="7"/>
      <c r="E11" s="7"/>
      <c r="F11" s="7"/>
      <c r="G11" s="7"/>
      <c r="H11" s="7"/>
      <c r="I11" s="7"/>
      <c r="J11" s="7">
        <v>3.2800000000000002</v>
      </c>
      <c r="K11" s="7"/>
      <c r="L11" s="7"/>
      <c r="M11" s="7"/>
      <c r="N11" s="7"/>
      <c r="O11" s="7"/>
      <c r="P11" s="7"/>
      <c r="Q11" s="7">
        <v>3.1749999999999998</v>
      </c>
      <c r="R11" s="7"/>
      <c r="S11" s="7">
        <v>3.2600000000000002</v>
      </c>
      <c r="T11" s="7">
        <v>3.3499999999999996</v>
      </c>
      <c r="U11" s="7">
        <v>3.34</v>
      </c>
      <c r="V11" s="7">
        <v>3.3374999999999999</v>
      </c>
      <c r="W11" s="7"/>
      <c r="X11" s="7"/>
      <c r="Y11" s="7"/>
      <c r="Z11" s="7"/>
      <c r="AA11" s="7"/>
      <c r="AB11" s="7"/>
      <c r="AC11" s="7">
        <v>3.34</v>
      </c>
      <c r="AD11" s="7"/>
      <c r="AE11" s="7"/>
      <c r="AF11" s="7"/>
      <c r="AG11" s="7"/>
      <c r="AH11" s="7"/>
      <c r="AI11" s="7"/>
      <c r="AJ11" s="7">
        <v>3.375</v>
      </c>
      <c r="AK11" s="7"/>
      <c r="AL11" s="7">
        <v>3.3493749999999998</v>
      </c>
      <c r="AM11" s="7">
        <v>3.16</v>
      </c>
      <c r="AN11" s="7">
        <v>3.1799999999999997</v>
      </c>
      <c r="AO11" s="7">
        <v>3.1749999999999998</v>
      </c>
      <c r="AP11" s="7"/>
      <c r="AQ11" s="7"/>
      <c r="AR11" s="7"/>
      <c r="AS11" s="7"/>
      <c r="AT11" s="7"/>
      <c r="AU11" s="7"/>
      <c r="AV11" s="7">
        <v>3.1799999999999997</v>
      </c>
      <c r="AW11" s="7"/>
      <c r="AX11" s="7"/>
      <c r="AY11" s="7"/>
      <c r="AZ11" s="7"/>
      <c r="BA11" s="7"/>
      <c r="BB11" s="7"/>
      <c r="BC11" s="7">
        <v>3.2850000000000001</v>
      </c>
      <c r="BD11" s="7"/>
      <c r="BE11" s="7">
        <v>3.2024999999999997</v>
      </c>
      <c r="BF11" s="7">
        <v>3.1500000000000004</v>
      </c>
      <c r="BG11" s="7">
        <v>3.16</v>
      </c>
      <c r="BH11" s="7">
        <v>3.16</v>
      </c>
      <c r="BI11" s="7"/>
      <c r="BJ11" s="7"/>
      <c r="BK11" s="7"/>
      <c r="BL11" s="7"/>
      <c r="BM11" s="7"/>
      <c r="BN11" s="7"/>
      <c r="BO11" s="7">
        <v>3.17</v>
      </c>
      <c r="BP11" s="7"/>
      <c r="BQ11" s="7"/>
      <c r="BR11" s="7"/>
      <c r="BS11" s="7"/>
      <c r="BT11" s="7"/>
      <c r="BU11" s="7"/>
      <c r="BV11" s="7">
        <v>3.1749999999999998</v>
      </c>
      <c r="BW11" s="7"/>
      <c r="BX11" s="7">
        <v>3.1637500000000003</v>
      </c>
      <c r="BY11" s="7">
        <v>3.1349999999999998</v>
      </c>
      <c r="BZ11" s="7">
        <v>3.16</v>
      </c>
      <c r="CA11" s="7">
        <v>3.1525000000000003</v>
      </c>
      <c r="CB11" s="7"/>
      <c r="CC11" s="7"/>
      <c r="CD11" s="7"/>
      <c r="CE11" s="7"/>
      <c r="CF11" s="7"/>
      <c r="CG11" s="7"/>
      <c r="CH11" s="7">
        <v>3.17</v>
      </c>
      <c r="CI11" s="7"/>
      <c r="CJ11" s="7"/>
      <c r="CK11" s="7"/>
      <c r="CL11" s="7"/>
      <c r="CM11" s="7"/>
      <c r="CN11" s="7"/>
      <c r="CO11" s="7">
        <v>3.1749999999999998</v>
      </c>
      <c r="CP11" s="7"/>
      <c r="CQ11" s="7">
        <v>3.16</v>
      </c>
      <c r="CR11" s="7">
        <v>3.1550000000000002</v>
      </c>
      <c r="CS11" s="7">
        <v>3.16</v>
      </c>
      <c r="CT11" s="7">
        <v>3.1625000000000001</v>
      </c>
      <c r="CU11" s="7"/>
      <c r="CV11" s="7"/>
      <c r="CW11" s="7"/>
      <c r="CX11" s="7"/>
      <c r="CY11" s="7"/>
      <c r="CZ11" s="7"/>
      <c r="DA11" s="7">
        <v>3.17</v>
      </c>
      <c r="DB11" s="7"/>
      <c r="DC11" s="7"/>
      <c r="DD11" s="7"/>
      <c r="DE11" s="7"/>
      <c r="DF11" s="7"/>
      <c r="DG11" s="7"/>
      <c r="DH11" s="7">
        <v>3.1749999999999998</v>
      </c>
      <c r="DI11" s="7"/>
      <c r="DJ11" s="7">
        <v>3.1650000000000005</v>
      </c>
      <c r="DK11" s="7">
        <v>3.6749999999999998</v>
      </c>
      <c r="DL11" s="7">
        <v>3.69</v>
      </c>
      <c r="DM11" s="7">
        <v>3.6950000000000003</v>
      </c>
      <c r="DN11" s="7"/>
      <c r="DO11" s="7"/>
      <c r="DP11" s="7"/>
      <c r="DQ11" s="7"/>
      <c r="DR11" s="7"/>
      <c r="DS11" s="7"/>
      <c r="DT11" s="7">
        <v>3.6799999999999997</v>
      </c>
      <c r="DU11" s="7"/>
      <c r="DV11" s="7"/>
      <c r="DW11" s="7"/>
      <c r="DX11" s="7"/>
      <c r="DY11" s="7"/>
      <c r="DZ11" s="7"/>
      <c r="EA11" s="7">
        <v>3.6500000000000004</v>
      </c>
      <c r="EB11" s="7"/>
      <c r="EC11" s="7">
        <v>3.6781249999999996</v>
      </c>
      <c r="ED11" s="7"/>
      <c r="EE11" s="7"/>
      <c r="EF11" s="7"/>
      <c r="EG11" s="7"/>
      <c r="EH11" s="7"/>
      <c r="EI11" s="7">
        <v>3.3149999999999999</v>
      </c>
      <c r="EJ11" s="7">
        <v>3.23</v>
      </c>
      <c r="EK11" s="7"/>
      <c r="EL11" s="7"/>
      <c r="EM11" s="7"/>
      <c r="EN11" s="7"/>
      <c r="EO11" s="7"/>
      <c r="EP11" s="7"/>
      <c r="EQ11" s="7">
        <v>3.24</v>
      </c>
      <c r="ER11" s="7"/>
      <c r="ES11" s="7"/>
      <c r="ET11" s="7"/>
      <c r="EU11" s="7"/>
      <c r="EV11" s="7"/>
      <c r="EW11" s="7"/>
      <c r="EX11" s="7">
        <v>3.1749999999999998</v>
      </c>
      <c r="EY11" s="7"/>
      <c r="EZ11" s="7">
        <v>3.2275000000000005</v>
      </c>
      <c r="FA11" s="7"/>
      <c r="FB11" s="7"/>
      <c r="FC11" s="7"/>
      <c r="FD11" s="7"/>
      <c r="FE11" s="7"/>
      <c r="FF11" s="7">
        <v>3.4699999999999998</v>
      </c>
      <c r="FG11" s="7">
        <v>3.48</v>
      </c>
      <c r="FH11" s="7">
        <v>3.4625000000000004</v>
      </c>
      <c r="FI11" s="7"/>
      <c r="FJ11" s="7"/>
      <c r="FK11" s="7"/>
      <c r="FL11" s="7"/>
      <c r="FM11" s="7"/>
      <c r="FN11" s="7"/>
      <c r="FO11" s="7">
        <v>3.5</v>
      </c>
      <c r="FP11" s="7"/>
      <c r="FQ11" s="7"/>
      <c r="FR11" s="7"/>
      <c r="FS11" s="7"/>
      <c r="FT11" s="7"/>
      <c r="FU11" s="7">
        <v>3.5149999999999997</v>
      </c>
      <c r="FV11" s="7"/>
      <c r="FW11" s="7">
        <v>3.4856250000000002</v>
      </c>
      <c r="FX11" s="7"/>
      <c r="FY11" s="7"/>
      <c r="FZ11" s="7"/>
      <c r="GA11" s="7"/>
      <c r="GB11" s="7"/>
      <c r="GC11" s="7">
        <v>3.30235294117647</v>
      </c>
    </row>
    <row r="12" spans="1:185" x14ac:dyDescent="0.15">
      <c r="A12" s="6">
        <v>41100</v>
      </c>
      <c r="B12" s="7"/>
      <c r="C12" s="7">
        <v>3.27</v>
      </c>
      <c r="D12" s="7"/>
      <c r="E12" s="7"/>
      <c r="F12" s="7"/>
      <c r="G12" s="7"/>
      <c r="H12" s="7"/>
      <c r="I12" s="7">
        <v>3.2800000000000002</v>
      </c>
      <c r="J12" s="7">
        <v>3.2750000000000004</v>
      </c>
      <c r="K12" s="7"/>
      <c r="L12" s="7"/>
      <c r="M12" s="7"/>
      <c r="N12" s="7"/>
      <c r="O12" s="7"/>
      <c r="P12" s="7"/>
      <c r="Q12" s="7">
        <v>3.1749999999999994</v>
      </c>
      <c r="R12" s="7"/>
      <c r="S12" s="7">
        <v>3.2368750000000004</v>
      </c>
      <c r="T12" s="7"/>
      <c r="U12" s="7">
        <v>3.33</v>
      </c>
      <c r="V12" s="7">
        <v>3.33</v>
      </c>
      <c r="W12" s="7"/>
      <c r="X12" s="7"/>
      <c r="Y12" s="7"/>
      <c r="Z12" s="7"/>
      <c r="AA12" s="7"/>
      <c r="AB12" s="7">
        <v>3.3899999999999997</v>
      </c>
      <c r="AC12" s="7">
        <v>3.335</v>
      </c>
      <c r="AD12" s="7"/>
      <c r="AE12" s="7"/>
      <c r="AF12" s="7"/>
      <c r="AG12" s="7"/>
      <c r="AH12" s="7"/>
      <c r="AI12" s="7"/>
      <c r="AJ12" s="7">
        <v>3.375</v>
      </c>
      <c r="AK12" s="7"/>
      <c r="AL12" s="7">
        <v>3.3505000000000003</v>
      </c>
      <c r="AM12" s="7"/>
      <c r="AN12" s="7">
        <v>3.17</v>
      </c>
      <c r="AO12" s="7">
        <v>3.1750000000000003</v>
      </c>
      <c r="AP12" s="7"/>
      <c r="AQ12" s="7"/>
      <c r="AR12" s="7"/>
      <c r="AS12" s="7"/>
      <c r="AT12" s="7"/>
      <c r="AU12" s="7">
        <v>3.2</v>
      </c>
      <c r="AV12" s="7">
        <v>3.17</v>
      </c>
      <c r="AW12" s="7"/>
      <c r="AX12" s="7"/>
      <c r="AY12" s="7"/>
      <c r="AZ12" s="7"/>
      <c r="BA12" s="7"/>
      <c r="BB12" s="7"/>
      <c r="BC12" s="7">
        <v>3.2850000000000001</v>
      </c>
      <c r="BD12" s="7"/>
      <c r="BE12" s="7">
        <v>3.2084999999999999</v>
      </c>
      <c r="BF12" s="7"/>
      <c r="BG12" s="7">
        <v>3.1500000000000004</v>
      </c>
      <c r="BH12" s="7">
        <v>3.1575000000000002</v>
      </c>
      <c r="BI12" s="7"/>
      <c r="BJ12" s="7"/>
      <c r="BK12" s="7"/>
      <c r="BL12" s="7"/>
      <c r="BM12" s="7"/>
      <c r="BN12" s="7">
        <v>3.2</v>
      </c>
      <c r="BO12" s="7">
        <v>3.1500000000000004</v>
      </c>
      <c r="BP12" s="7"/>
      <c r="BQ12" s="7"/>
      <c r="BR12" s="7"/>
      <c r="BS12" s="7"/>
      <c r="BT12" s="7"/>
      <c r="BU12" s="7"/>
      <c r="BV12" s="7">
        <v>3.1749999999999994</v>
      </c>
      <c r="BW12" s="7"/>
      <c r="BX12" s="7">
        <v>3.1640000000000006</v>
      </c>
      <c r="BY12" s="7"/>
      <c r="BZ12" s="7">
        <v>3.1500000000000004</v>
      </c>
      <c r="CA12" s="7">
        <v>3.1575000000000002</v>
      </c>
      <c r="CB12" s="7"/>
      <c r="CC12" s="7"/>
      <c r="CD12" s="7"/>
      <c r="CE12" s="7"/>
      <c r="CF12" s="7"/>
      <c r="CG12" s="7">
        <v>3.21</v>
      </c>
      <c r="CH12" s="7">
        <v>3.1500000000000004</v>
      </c>
      <c r="CI12" s="7"/>
      <c r="CJ12" s="7"/>
      <c r="CK12" s="7"/>
      <c r="CL12" s="7"/>
      <c r="CM12" s="7"/>
      <c r="CN12" s="7"/>
      <c r="CO12" s="7">
        <v>3.1749999999999994</v>
      </c>
      <c r="CP12" s="7"/>
      <c r="CQ12" s="7">
        <v>3.165</v>
      </c>
      <c r="CR12" s="7"/>
      <c r="CS12" s="7">
        <v>3.1500000000000004</v>
      </c>
      <c r="CT12" s="7">
        <v>3.14</v>
      </c>
      <c r="CU12" s="7"/>
      <c r="CV12" s="7"/>
      <c r="CW12" s="7"/>
      <c r="CX12" s="7"/>
      <c r="CY12" s="7"/>
      <c r="CZ12" s="7">
        <v>3.2199999999999998</v>
      </c>
      <c r="DA12" s="7">
        <v>3.1500000000000004</v>
      </c>
      <c r="DB12" s="7"/>
      <c r="DC12" s="7"/>
      <c r="DD12" s="7"/>
      <c r="DE12" s="7"/>
      <c r="DF12" s="7"/>
      <c r="DG12" s="7"/>
      <c r="DH12" s="7">
        <v>3.1749999999999994</v>
      </c>
      <c r="DI12" s="7"/>
      <c r="DJ12" s="7">
        <v>3.1625000000000005</v>
      </c>
      <c r="DK12" s="7"/>
      <c r="DL12" s="7">
        <v>3.6900000000000004</v>
      </c>
      <c r="DM12" s="7">
        <v>3.67</v>
      </c>
      <c r="DN12" s="7"/>
      <c r="DO12" s="7"/>
      <c r="DP12" s="7"/>
      <c r="DQ12" s="7"/>
      <c r="DR12" s="7"/>
      <c r="DS12" s="7">
        <v>3.6799999999999997</v>
      </c>
      <c r="DT12" s="7">
        <v>3.6749999999999998</v>
      </c>
      <c r="DU12" s="7"/>
      <c r="DV12" s="7"/>
      <c r="DW12" s="7"/>
      <c r="DX12" s="7"/>
      <c r="DY12" s="7"/>
      <c r="DZ12" s="7"/>
      <c r="EA12" s="7">
        <v>3.6500000000000004</v>
      </c>
      <c r="EB12" s="7"/>
      <c r="EC12" s="7">
        <v>3.6699999999999995</v>
      </c>
      <c r="ED12" s="7">
        <v>3.24</v>
      </c>
      <c r="EE12" s="7"/>
      <c r="EF12" s="7"/>
      <c r="EG12" s="7"/>
      <c r="EH12" s="7">
        <v>3.24</v>
      </c>
      <c r="EI12" s="7"/>
      <c r="EJ12" s="7">
        <v>3.2199999999999998</v>
      </c>
      <c r="EK12" s="7"/>
      <c r="EL12" s="7"/>
      <c r="EM12" s="7"/>
      <c r="EN12" s="7"/>
      <c r="EO12" s="7"/>
      <c r="EP12" s="7">
        <v>3.26</v>
      </c>
      <c r="EQ12" s="7">
        <v>3.2199999999999998</v>
      </c>
      <c r="ER12" s="7"/>
      <c r="ES12" s="7"/>
      <c r="ET12" s="7"/>
      <c r="EU12" s="7"/>
      <c r="EV12" s="7"/>
      <c r="EW12" s="7"/>
      <c r="EX12" s="7">
        <v>3.1749999999999994</v>
      </c>
      <c r="EY12" s="7"/>
      <c r="EZ12" s="7">
        <v>3.2081249999999999</v>
      </c>
      <c r="FA12" s="7">
        <v>3.27</v>
      </c>
      <c r="FB12" s="7"/>
      <c r="FC12" s="7"/>
      <c r="FD12" s="7"/>
      <c r="FE12" s="7">
        <v>3.27</v>
      </c>
      <c r="FF12" s="7"/>
      <c r="FG12" s="7">
        <v>3.4699999999999998</v>
      </c>
      <c r="FH12" s="7">
        <v>3.4575</v>
      </c>
      <c r="FI12" s="7"/>
      <c r="FJ12" s="7"/>
      <c r="FK12" s="7"/>
      <c r="FL12" s="7"/>
      <c r="FM12" s="7"/>
      <c r="FN12" s="7">
        <v>3.52</v>
      </c>
      <c r="FO12" s="7">
        <v>3.4550000000000001</v>
      </c>
      <c r="FP12" s="7"/>
      <c r="FQ12" s="7"/>
      <c r="FR12" s="7"/>
      <c r="FS12" s="7"/>
      <c r="FT12" s="7"/>
      <c r="FU12" s="7">
        <v>3.5149999999999992</v>
      </c>
      <c r="FV12" s="7"/>
      <c r="FW12" s="7">
        <v>3.4829999999999997</v>
      </c>
      <c r="FX12" s="7">
        <v>3.2750000000000004</v>
      </c>
      <c r="FY12" s="7"/>
      <c r="FZ12" s="7"/>
      <c r="GA12" s="7"/>
      <c r="GB12" s="7">
        <v>3.2750000000000004</v>
      </c>
      <c r="GC12" s="7">
        <v>3.2964044943820232</v>
      </c>
    </row>
    <row r="13" spans="1:185" x14ac:dyDescent="0.15">
      <c r="A13" s="6">
        <v>41101</v>
      </c>
      <c r="B13" s="7"/>
      <c r="C13" s="7">
        <v>3.2250000000000001</v>
      </c>
      <c r="D13" s="7"/>
      <c r="E13" s="7"/>
      <c r="F13" s="7"/>
      <c r="G13" s="7"/>
      <c r="H13" s="7"/>
      <c r="I13" s="7"/>
      <c r="J13" s="7">
        <v>3.25</v>
      </c>
      <c r="K13" s="7"/>
      <c r="L13" s="7"/>
      <c r="M13" s="7"/>
      <c r="N13" s="7">
        <v>3.2199999999999998</v>
      </c>
      <c r="O13" s="7"/>
      <c r="P13" s="7"/>
      <c r="Q13" s="7">
        <v>3.1749999999999994</v>
      </c>
      <c r="R13" s="7"/>
      <c r="S13" s="7">
        <v>3.2064285714285714</v>
      </c>
      <c r="T13" s="7"/>
      <c r="U13" s="7">
        <v>3.2850000000000001</v>
      </c>
      <c r="V13" s="7">
        <v>3.2974999999999999</v>
      </c>
      <c r="W13" s="7"/>
      <c r="X13" s="7"/>
      <c r="Y13" s="7"/>
      <c r="Z13" s="7"/>
      <c r="AA13" s="7"/>
      <c r="AB13" s="7"/>
      <c r="AC13" s="7">
        <v>3.3</v>
      </c>
      <c r="AD13" s="7"/>
      <c r="AE13" s="7"/>
      <c r="AF13" s="7"/>
      <c r="AG13" s="7">
        <v>3.3099999999999996</v>
      </c>
      <c r="AH13" s="7"/>
      <c r="AI13" s="7"/>
      <c r="AJ13" s="7">
        <v>3.375</v>
      </c>
      <c r="AK13" s="7"/>
      <c r="AL13" s="7">
        <v>3.322222222222222</v>
      </c>
      <c r="AM13" s="7"/>
      <c r="AN13" s="7">
        <v>3.0950000000000002</v>
      </c>
      <c r="AO13" s="7">
        <v>3.0874999999999999</v>
      </c>
      <c r="AP13" s="7"/>
      <c r="AQ13" s="7"/>
      <c r="AR13" s="7"/>
      <c r="AS13" s="7"/>
      <c r="AT13" s="7"/>
      <c r="AU13" s="7"/>
      <c r="AV13" s="7">
        <v>3.12</v>
      </c>
      <c r="AW13" s="7"/>
      <c r="AX13" s="7"/>
      <c r="AY13" s="7"/>
      <c r="AZ13" s="7">
        <v>3.0999999999999996</v>
      </c>
      <c r="BA13" s="7"/>
      <c r="BB13" s="7"/>
      <c r="BC13" s="7">
        <v>3.2850000000000001</v>
      </c>
      <c r="BD13" s="7"/>
      <c r="BE13" s="7">
        <v>3.16</v>
      </c>
      <c r="BF13" s="7"/>
      <c r="BG13" s="7">
        <v>3.085</v>
      </c>
      <c r="BH13" s="7">
        <v>3.0649999999999999</v>
      </c>
      <c r="BI13" s="7"/>
      <c r="BJ13" s="7"/>
      <c r="BK13" s="7"/>
      <c r="BL13" s="7"/>
      <c r="BM13" s="7"/>
      <c r="BN13" s="7"/>
      <c r="BO13" s="7">
        <v>3.12</v>
      </c>
      <c r="BP13" s="7"/>
      <c r="BQ13" s="7"/>
      <c r="BR13" s="7"/>
      <c r="BS13" s="7">
        <v>3.09</v>
      </c>
      <c r="BT13" s="7"/>
      <c r="BU13" s="7"/>
      <c r="BV13" s="7">
        <v>3.1749999999999994</v>
      </c>
      <c r="BW13" s="7"/>
      <c r="BX13" s="7">
        <v>3.1150000000000002</v>
      </c>
      <c r="BY13" s="7"/>
      <c r="BZ13" s="7">
        <v>3.08</v>
      </c>
      <c r="CA13" s="7">
        <v>3.0674999999999999</v>
      </c>
      <c r="CB13" s="7"/>
      <c r="CC13" s="7"/>
      <c r="CD13" s="7"/>
      <c r="CE13" s="7"/>
      <c r="CF13" s="7"/>
      <c r="CG13" s="7"/>
      <c r="CH13" s="7">
        <v>3.1100000000000003</v>
      </c>
      <c r="CI13" s="7"/>
      <c r="CJ13" s="7"/>
      <c r="CK13" s="7"/>
      <c r="CL13" s="7">
        <v>3.09</v>
      </c>
      <c r="CM13" s="7"/>
      <c r="CN13" s="7"/>
      <c r="CO13" s="7">
        <v>3.1749999999999994</v>
      </c>
      <c r="CP13" s="7"/>
      <c r="CQ13" s="7">
        <v>3.1133333333333337</v>
      </c>
      <c r="CR13" s="7"/>
      <c r="CS13" s="7">
        <v>3.08</v>
      </c>
      <c r="CT13" s="7">
        <v>3.0625</v>
      </c>
      <c r="CU13" s="7"/>
      <c r="CV13" s="7"/>
      <c r="CW13" s="7"/>
      <c r="CX13" s="7"/>
      <c r="CY13" s="7"/>
      <c r="CZ13" s="7"/>
      <c r="DA13" s="7">
        <v>3.1100000000000003</v>
      </c>
      <c r="DB13" s="7"/>
      <c r="DC13" s="7"/>
      <c r="DD13" s="7"/>
      <c r="DE13" s="7">
        <v>3.09</v>
      </c>
      <c r="DF13" s="7"/>
      <c r="DG13" s="7"/>
      <c r="DH13" s="7">
        <v>3.1749999999999994</v>
      </c>
      <c r="DI13" s="7"/>
      <c r="DJ13" s="7">
        <v>3.1122222222222224</v>
      </c>
      <c r="DK13" s="7"/>
      <c r="DL13" s="7">
        <v>3.63</v>
      </c>
      <c r="DM13" s="7">
        <v>3.6325000000000003</v>
      </c>
      <c r="DN13" s="7"/>
      <c r="DO13" s="7"/>
      <c r="DP13" s="7"/>
      <c r="DQ13" s="7"/>
      <c r="DR13" s="7"/>
      <c r="DS13" s="7"/>
      <c r="DT13" s="7">
        <v>3.66</v>
      </c>
      <c r="DU13" s="7"/>
      <c r="DV13" s="7"/>
      <c r="DW13" s="7"/>
      <c r="DX13" s="7">
        <v>3.63</v>
      </c>
      <c r="DY13" s="7"/>
      <c r="DZ13" s="7"/>
      <c r="EA13" s="7">
        <v>3.6500000000000004</v>
      </c>
      <c r="EB13" s="7"/>
      <c r="EC13" s="7">
        <v>3.6405555555555558</v>
      </c>
      <c r="ED13" s="7"/>
      <c r="EE13" s="7"/>
      <c r="EF13" s="7"/>
      <c r="EG13" s="7"/>
      <c r="EH13" s="7"/>
      <c r="EI13" s="7"/>
      <c r="EJ13" s="7">
        <v>3.1750000000000003</v>
      </c>
      <c r="EK13" s="7"/>
      <c r="EL13" s="7"/>
      <c r="EM13" s="7"/>
      <c r="EN13" s="7"/>
      <c r="EO13" s="7"/>
      <c r="EP13" s="7"/>
      <c r="EQ13" s="7">
        <v>3.2</v>
      </c>
      <c r="ER13" s="7"/>
      <c r="ES13" s="7"/>
      <c r="ET13" s="7"/>
      <c r="EU13" s="7">
        <v>3.18</v>
      </c>
      <c r="EV13" s="7"/>
      <c r="EW13" s="7"/>
      <c r="EX13" s="7">
        <v>3.1749999999999994</v>
      </c>
      <c r="EY13" s="7"/>
      <c r="EZ13" s="7">
        <v>3.1792857142857147</v>
      </c>
      <c r="FA13" s="7"/>
      <c r="FB13" s="7"/>
      <c r="FC13" s="7"/>
      <c r="FD13" s="7"/>
      <c r="FE13" s="7"/>
      <c r="FF13" s="7"/>
      <c r="FG13" s="7">
        <v>3.4250000000000003</v>
      </c>
      <c r="FH13" s="7">
        <v>3.4249999999999998</v>
      </c>
      <c r="FI13" s="7"/>
      <c r="FJ13" s="7"/>
      <c r="FK13" s="7"/>
      <c r="FL13" s="7"/>
      <c r="FM13" s="7"/>
      <c r="FN13" s="7"/>
      <c r="FO13" s="7">
        <v>3.45</v>
      </c>
      <c r="FP13" s="7"/>
      <c r="FQ13" s="7"/>
      <c r="FR13" s="7"/>
      <c r="FS13" s="7">
        <v>3.44</v>
      </c>
      <c r="FT13" s="7"/>
      <c r="FU13" s="7">
        <v>3.5149999999999992</v>
      </c>
      <c r="FV13" s="7"/>
      <c r="FW13" s="7">
        <v>3.4594444444444452</v>
      </c>
      <c r="FX13" s="7"/>
      <c r="FY13" s="7"/>
      <c r="FZ13" s="7"/>
      <c r="GA13" s="7"/>
      <c r="GB13" s="7"/>
      <c r="GC13" s="7">
        <v>3.2598051948051956</v>
      </c>
    </row>
    <row r="14" spans="1:185" x14ac:dyDescent="0.15">
      <c r="A14" s="6">
        <v>41102</v>
      </c>
      <c r="B14" s="7"/>
      <c r="C14" s="7">
        <v>3.0999999999999996</v>
      </c>
      <c r="D14" s="7"/>
      <c r="E14" s="7">
        <v>3.26</v>
      </c>
      <c r="F14" s="7"/>
      <c r="G14" s="7">
        <v>3.07</v>
      </c>
      <c r="H14" s="7"/>
      <c r="I14" s="7"/>
      <c r="J14" s="7">
        <v>3.09</v>
      </c>
      <c r="K14" s="7"/>
      <c r="L14" s="7"/>
      <c r="M14" s="7"/>
      <c r="N14" s="7"/>
      <c r="O14" s="7"/>
      <c r="P14" s="7"/>
      <c r="Q14" s="7">
        <v>2.95</v>
      </c>
      <c r="R14" s="7"/>
      <c r="S14" s="7">
        <v>3.0728571428571425</v>
      </c>
      <c r="T14" s="7"/>
      <c r="U14" s="7">
        <v>3.1799999999999997</v>
      </c>
      <c r="V14" s="7">
        <v>3.1750000000000003</v>
      </c>
      <c r="W14" s="7"/>
      <c r="X14" s="7">
        <v>3.32</v>
      </c>
      <c r="Y14" s="7"/>
      <c r="Z14" s="7">
        <v>3.18</v>
      </c>
      <c r="AA14" s="7"/>
      <c r="AB14" s="7"/>
      <c r="AC14" s="7">
        <v>3.1900000000000004</v>
      </c>
      <c r="AD14" s="7"/>
      <c r="AE14" s="7"/>
      <c r="AF14" s="7"/>
      <c r="AG14" s="7"/>
      <c r="AH14" s="7"/>
      <c r="AI14" s="7"/>
      <c r="AJ14" s="7">
        <v>3.2149999999999999</v>
      </c>
      <c r="AK14" s="7"/>
      <c r="AL14" s="7">
        <v>3.2044444444444449</v>
      </c>
      <c r="AM14" s="7"/>
      <c r="AN14" s="7">
        <v>2.96</v>
      </c>
      <c r="AO14" s="7">
        <v>2.9225000000000003</v>
      </c>
      <c r="AP14" s="7"/>
      <c r="AQ14" s="7">
        <v>3.16</v>
      </c>
      <c r="AR14" s="7"/>
      <c r="AS14" s="7">
        <v>2.9699999999999998</v>
      </c>
      <c r="AT14" s="7"/>
      <c r="AU14" s="7"/>
      <c r="AV14" s="7">
        <v>2.99</v>
      </c>
      <c r="AW14" s="7"/>
      <c r="AX14" s="7"/>
      <c r="AY14" s="7"/>
      <c r="AZ14" s="7"/>
      <c r="BA14" s="7"/>
      <c r="BB14" s="7"/>
      <c r="BC14" s="7">
        <v>2.96</v>
      </c>
      <c r="BD14" s="7"/>
      <c r="BE14" s="7">
        <v>2.9816666666666669</v>
      </c>
      <c r="BF14" s="7"/>
      <c r="BG14" s="7">
        <v>2.95</v>
      </c>
      <c r="BH14" s="7">
        <v>2.8849999999999998</v>
      </c>
      <c r="BI14" s="7"/>
      <c r="BJ14" s="7">
        <v>3.14</v>
      </c>
      <c r="BK14" s="7"/>
      <c r="BL14" s="7">
        <v>2.95</v>
      </c>
      <c r="BM14" s="7"/>
      <c r="BN14" s="7"/>
      <c r="BO14" s="7">
        <v>2.9699999999999998</v>
      </c>
      <c r="BP14" s="7"/>
      <c r="BQ14" s="7"/>
      <c r="BR14" s="7"/>
      <c r="BS14" s="7"/>
      <c r="BT14" s="7"/>
      <c r="BU14" s="7"/>
      <c r="BV14" s="7">
        <v>2.95</v>
      </c>
      <c r="BW14" s="7"/>
      <c r="BX14" s="7">
        <v>2.9611111111111104</v>
      </c>
      <c r="BY14" s="7"/>
      <c r="BZ14" s="7">
        <v>2.95</v>
      </c>
      <c r="CA14" s="7">
        <v>2.9</v>
      </c>
      <c r="CB14" s="7"/>
      <c r="CC14" s="7">
        <v>3.14</v>
      </c>
      <c r="CD14" s="7"/>
      <c r="CE14" s="7">
        <v>2.9450000000000003</v>
      </c>
      <c r="CF14" s="7"/>
      <c r="CG14" s="7"/>
      <c r="CH14" s="7">
        <v>2.9699999999999998</v>
      </c>
      <c r="CI14" s="7"/>
      <c r="CJ14" s="7"/>
      <c r="CK14" s="7"/>
      <c r="CL14" s="7"/>
      <c r="CM14" s="7"/>
      <c r="CN14" s="7"/>
      <c r="CO14" s="7">
        <v>2.95</v>
      </c>
      <c r="CP14" s="7"/>
      <c r="CQ14" s="7">
        <v>2.9638888888888886</v>
      </c>
      <c r="CR14" s="7"/>
      <c r="CS14" s="7">
        <v>2.95</v>
      </c>
      <c r="CT14" s="7">
        <v>2.895</v>
      </c>
      <c r="CU14" s="7"/>
      <c r="CV14" s="7">
        <v>3.14</v>
      </c>
      <c r="CW14" s="7"/>
      <c r="CX14" s="7">
        <v>2.94</v>
      </c>
      <c r="CY14" s="7"/>
      <c r="CZ14" s="7"/>
      <c r="DA14" s="7">
        <v>2.9699999999999998</v>
      </c>
      <c r="DB14" s="7"/>
      <c r="DC14" s="7"/>
      <c r="DD14" s="7"/>
      <c r="DE14" s="7"/>
      <c r="DF14" s="7"/>
      <c r="DG14" s="7"/>
      <c r="DH14" s="7">
        <v>2.95</v>
      </c>
      <c r="DI14" s="7"/>
      <c r="DJ14" s="7">
        <v>2.9622222222222216</v>
      </c>
      <c r="DK14" s="7"/>
      <c r="DL14" s="7">
        <v>3.55</v>
      </c>
      <c r="DM14" s="7">
        <v>3.5175000000000001</v>
      </c>
      <c r="DN14" s="7"/>
      <c r="DO14" s="7">
        <v>3.64</v>
      </c>
      <c r="DP14" s="7"/>
      <c r="DQ14" s="7">
        <v>3.5300000000000002</v>
      </c>
      <c r="DR14" s="7"/>
      <c r="DS14" s="7"/>
      <c r="DT14" s="7">
        <v>3.54</v>
      </c>
      <c r="DU14" s="7"/>
      <c r="DV14" s="7"/>
      <c r="DW14" s="7"/>
      <c r="DX14" s="7"/>
      <c r="DY14" s="7"/>
      <c r="DZ14" s="7"/>
      <c r="EA14" s="7">
        <v>3.5249999999999999</v>
      </c>
      <c r="EB14" s="7"/>
      <c r="EC14" s="7">
        <v>3.5427777777777774</v>
      </c>
      <c r="ED14" s="7"/>
      <c r="EE14" s="7"/>
      <c r="EF14" s="7"/>
      <c r="EG14" s="7"/>
      <c r="EH14" s="7"/>
      <c r="EI14" s="7"/>
      <c r="EJ14" s="7">
        <v>3.05</v>
      </c>
      <c r="EK14" s="7"/>
      <c r="EL14" s="7">
        <v>3.22</v>
      </c>
      <c r="EM14" s="7"/>
      <c r="EN14" s="7">
        <v>3.0149999999999997</v>
      </c>
      <c r="EO14" s="7"/>
      <c r="EP14" s="7"/>
      <c r="EQ14" s="7">
        <v>3.04</v>
      </c>
      <c r="ER14" s="7"/>
      <c r="ES14" s="7"/>
      <c r="ET14" s="7"/>
      <c r="EU14" s="7"/>
      <c r="EV14" s="7"/>
      <c r="EW14" s="7"/>
      <c r="EX14" s="7">
        <v>2.95</v>
      </c>
      <c r="EY14" s="7"/>
      <c r="EZ14" s="7">
        <v>3.0378571428571424</v>
      </c>
      <c r="FA14" s="7"/>
      <c r="FB14" s="7"/>
      <c r="FC14" s="7"/>
      <c r="FD14" s="7"/>
      <c r="FE14" s="7"/>
      <c r="FF14" s="7"/>
      <c r="FG14" s="7">
        <v>3.34</v>
      </c>
      <c r="FH14" s="7">
        <v>3.3</v>
      </c>
      <c r="FI14" s="7"/>
      <c r="FJ14" s="7">
        <v>3.44</v>
      </c>
      <c r="FK14" s="7"/>
      <c r="FL14" s="7">
        <v>3.3200000000000003</v>
      </c>
      <c r="FM14" s="7"/>
      <c r="FN14" s="7"/>
      <c r="FO14" s="7">
        <v>3.33</v>
      </c>
      <c r="FP14" s="7"/>
      <c r="FQ14" s="7"/>
      <c r="FR14" s="7"/>
      <c r="FS14" s="7"/>
      <c r="FT14" s="7"/>
      <c r="FU14" s="7">
        <v>3.15</v>
      </c>
      <c r="FV14" s="7"/>
      <c r="FW14" s="7">
        <v>3.2955555555555551</v>
      </c>
      <c r="FX14" s="7"/>
      <c r="FY14" s="7"/>
      <c r="FZ14" s="7"/>
      <c r="GA14" s="7"/>
      <c r="GB14" s="7"/>
      <c r="GC14" s="7">
        <v>3.1166233766233753</v>
      </c>
    </row>
    <row r="15" spans="1:185" x14ac:dyDescent="0.15">
      <c r="A15" s="6">
        <v>41103</v>
      </c>
      <c r="B15" s="7"/>
      <c r="C15" s="7">
        <v>3</v>
      </c>
      <c r="D15" s="7"/>
      <c r="E15" s="7">
        <v>3.02</v>
      </c>
      <c r="F15" s="7"/>
      <c r="G15" s="7">
        <v>2.99</v>
      </c>
      <c r="H15" s="7"/>
      <c r="I15" s="7"/>
      <c r="J15" s="7">
        <v>3.0649999999999999</v>
      </c>
      <c r="K15" s="7"/>
      <c r="L15" s="7"/>
      <c r="M15" s="7"/>
      <c r="N15" s="7"/>
      <c r="O15" s="7"/>
      <c r="P15" s="7"/>
      <c r="Q15" s="7">
        <v>2.79</v>
      </c>
      <c r="R15" s="7"/>
      <c r="S15" s="7">
        <v>2.9222222222222221</v>
      </c>
      <c r="T15" s="7"/>
      <c r="U15" s="7">
        <v>3.13</v>
      </c>
      <c r="V15" s="7">
        <v>3.12</v>
      </c>
      <c r="W15" s="7"/>
      <c r="X15" s="7">
        <v>3.17</v>
      </c>
      <c r="Y15" s="7"/>
      <c r="Z15" s="7">
        <v>3.145</v>
      </c>
      <c r="AA15" s="7"/>
      <c r="AB15" s="7"/>
      <c r="AC15" s="7">
        <v>3.15</v>
      </c>
      <c r="AD15" s="7"/>
      <c r="AE15" s="7"/>
      <c r="AF15" s="7"/>
      <c r="AG15" s="7"/>
      <c r="AH15" s="7"/>
      <c r="AI15" s="7"/>
      <c r="AJ15" s="7">
        <v>3.1150000000000002</v>
      </c>
      <c r="AK15" s="7"/>
      <c r="AL15" s="7">
        <v>3.1313636363636372</v>
      </c>
      <c r="AM15" s="7"/>
      <c r="AN15" s="7">
        <v>2.87</v>
      </c>
      <c r="AO15" s="7">
        <v>2.875</v>
      </c>
      <c r="AP15" s="7"/>
      <c r="AQ15" s="7">
        <v>2.94</v>
      </c>
      <c r="AR15" s="7"/>
      <c r="AS15" s="7">
        <v>2.875</v>
      </c>
      <c r="AT15" s="7"/>
      <c r="AU15" s="7"/>
      <c r="AV15" s="7">
        <v>2.9049999999999998</v>
      </c>
      <c r="AW15" s="7"/>
      <c r="AX15" s="7"/>
      <c r="AY15" s="7"/>
      <c r="AZ15" s="7"/>
      <c r="BA15" s="7"/>
      <c r="BB15" s="7"/>
      <c r="BC15" s="7">
        <v>2.8499999999999996</v>
      </c>
      <c r="BD15" s="7"/>
      <c r="BE15" s="7">
        <v>2.8768181818181819</v>
      </c>
      <c r="BF15" s="7"/>
      <c r="BG15" s="7">
        <v>2.8600000000000003</v>
      </c>
      <c r="BH15" s="7">
        <v>2.8725000000000001</v>
      </c>
      <c r="BI15" s="7"/>
      <c r="BJ15" s="7">
        <v>2.9</v>
      </c>
      <c r="BK15" s="7"/>
      <c r="BL15" s="7">
        <v>2.875</v>
      </c>
      <c r="BM15" s="7"/>
      <c r="BN15" s="7"/>
      <c r="BO15" s="7">
        <v>2.88</v>
      </c>
      <c r="BP15" s="7"/>
      <c r="BQ15" s="7"/>
      <c r="BR15" s="7"/>
      <c r="BS15" s="7"/>
      <c r="BT15" s="7"/>
      <c r="BU15" s="7"/>
      <c r="BV15" s="7">
        <v>2.8149999999999999</v>
      </c>
      <c r="BW15" s="7"/>
      <c r="BX15" s="7">
        <v>2.8545454545454549</v>
      </c>
      <c r="BY15" s="7"/>
      <c r="BZ15" s="7">
        <v>2.8600000000000003</v>
      </c>
      <c r="CA15" s="7">
        <v>2.87</v>
      </c>
      <c r="CB15" s="7"/>
      <c r="CC15" s="7">
        <v>2.9</v>
      </c>
      <c r="CD15" s="7"/>
      <c r="CE15" s="7">
        <v>2.855</v>
      </c>
      <c r="CF15" s="7"/>
      <c r="CG15" s="7"/>
      <c r="CH15" s="7">
        <v>2.875</v>
      </c>
      <c r="CI15" s="7"/>
      <c r="CJ15" s="7"/>
      <c r="CK15" s="7"/>
      <c r="CL15" s="7"/>
      <c r="CM15" s="7"/>
      <c r="CN15" s="7"/>
      <c r="CO15" s="7">
        <v>2.8149999999999999</v>
      </c>
      <c r="CP15" s="7"/>
      <c r="CQ15" s="7">
        <v>2.851363636363637</v>
      </c>
      <c r="CR15" s="7"/>
      <c r="CS15" s="7">
        <v>2.8600000000000003</v>
      </c>
      <c r="CT15" s="7">
        <v>2.8774999999999999</v>
      </c>
      <c r="CU15" s="7"/>
      <c r="CV15" s="7">
        <v>2.9</v>
      </c>
      <c r="CW15" s="7"/>
      <c r="CX15" s="7">
        <v>2.87</v>
      </c>
      <c r="CY15" s="7"/>
      <c r="CZ15" s="7"/>
      <c r="DA15" s="7">
        <v>2.875</v>
      </c>
      <c r="DB15" s="7"/>
      <c r="DC15" s="7"/>
      <c r="DD15" s="7"/>
      <c r="DE15" s="7"/>
      <c r="DF15" s="7"/>
      <c r="DG15" s="7"/>
      <c r="DH15" s="7">
        <v>2.8149999999999999</v>
      </c>
      <c r="DI15" s="7"/>
      <c r="DJ15" s="7">
        <v>2.8540909090909099</v>
      </c>
      <c r="DK15" s="7"/>
      <c r="DL15" s="7">
        <v>3.5</v>
      </c>
      <c r="DM15" s="7">
        <v>3.4675000000000002</v>
      </c>
      <c r="DN15" s="7"/>
      <c r="DO15" s="7">
        <v>3.52</v>
      </c>
      <c r="DP15" s="7"/>
      <c r="DQ15" s="7">
        <v>3.49</v>
      </c>
      <c r="DR15" s="7"/>
      <c r="DS15" s="7"/>
      <c r="DT15" s="7">
        <v>3.4950000000000001</v>
      </c>
      <c r="DU15" s="7"/>
      <c r="DV15" s="7"/>
      <c r="DW15" s="7"/>
      <c r="DX15" s="7"/>
      <c r="DY15" s="7"/>
      <c r="DZ15" s="7"/>
      <c r="EA15" s="7">
        <v>3.4750000000000001</v>
      </c>
      <c r="EB15" s="7"/>
      <c r="EC15" s="7">
        <v>3.4849999999999999</v>
      </c>
      <c r="ED15" s="7"/>
      <c r="EE15" s="7"/>
      <c r="EF15" s="7"/>
      <c r="EG15" s="7"/>
      <c r="EH15" s="7"/>
      <c r="EI15" s="7"/>
      <c r="EJ15" s="7">
        <v>2.9400000000000004</v>
      </c>
      <c r="EK15" s="7"/>
      <c r="EL15" s="7">
        <v>2.96</v>
      </c>
      <c r="EM15" s="7"/>
      <c r="EN15" s="7">
        <v>2.9249999999999998</v>
      </c>
      <c r="EO15" s="7"/>
      <c r="EP15" s="7"/>
      <c r="EQ15" s="7">
        <v>2.9400000000000004</v>
      </c>
      <c r="ER15" s="7"/>
      <c r="ES15" s="7"/>
      <c r="ET15" s="7"/>
      <c r="EU15" s="7"/>
      <c r="EV15" s="7"/>
      <c r="EW15" s="7"/>
      <c r="EX15" s="7">
        <v>2.79</v>
      </c>
      <c r="EY15" s="7"/>
      <c r="EZ15" s="7">
        <v>2.8738888888888887</v>
      </c>
      <c r="FA15" s="7"/>
      <c r="FB15" s="7"/>
      <c r="FC15" s="7"/>
      <c r="FD15" s="7"/>
      <c r="FE15" s="7"/>
      <c r="FF15" s="7"/>
      <c r="FG15" s="7">
        <v>3.2800000000000002</v>
      </c>
      <c r="FH15" s="7">
        <v>3.2524999999999999</v>
      </c>
      <c r="FI15" s="7"/>
      <c r="FJ15" s="7">
        <v>3.32</v>
      </c>
      <c r="FK15" s="7"/>
      <c r="FL15" s="7">
        <v>3.2750000000000004</v>
      </c>
      <c r="FM15" s="7"/>
      <c r="FN15" s="7"/>
      <c r="FO15" s="7">
        <v>3.29</v>
      </c>
      <c r="FP15" s="7"/>
      <c r="FQ15" s="7"/>
      <c r="FR15" s="7"/>
      <c r="FS15" s="7"/>
      <c r="FT15" s="7"/>
      <c r="FU15" s="7">
        <v>3.24</v>
      </c>
      <c r="FV15" s="7"/>
      <c r="FW15" s="7">
        <v>3.2654545454545461</v>
      </c>
      <c r="FX15" s="7"/>
      <c r="FY15" s="7"/>
      <c r="FZ15" s="7"/>
      <c r="GA15" s="7"/>
      <c r="GB15" s="7"/>
      <c r="GC15" s="7">
        <v>3.01757894736842</v>
      </c>
    </row>
    <row r="16" spans="1:185" x14ac:dyDescent="0.15">
      <c r="A16" s="6">
        <v>41106</v>
      </c>
      <c r="B16" s="7"/>
      <c r="C16" s="7"/>
      <c r="D16" s="7"/>
      <c r="E16" s="7"/>
      <c r="F16" s="7"/>
      <c r="G16" s="7">
        <v>3.04</v>
      </c>
      <c r="H16" s="7"/>
      <c r="I16" s="7"/>
      <c r="J16" s="7">
        <v>3.02</v>
      </c>
      <c r="K16" s="7"/>
      <c r="L16" s="7"/>
      <c r="M16" s="7"/>
      <c r="N16" s="7"/>
      <c r="O16" s="7">
        <v>3.4050000000000002</v>
      </c>
      <c r="P16" s="7"/>
      <c r="Q16" s="7">
        <v>2.79</v>
      </c>
      <c r="R16" s="7"/>
      <c r="S16" s="7">
        <v>3.0108333333333328</v>
      </c>
      <c r="T16" s="7"/>
      <c r="U16" s="7"/>
      <c r="V16" s="7">
        <v>3.125</v>
      </c>
      <c r="W16" s="7"/>
      <c r="X16" s="7"/>
      <c r="Y16" s="7"/>
      <c r="Z16" s="7">
        <v>3.1100000000000003</v>
      </c>
      <c r="AA16" s="7"/>
      <c r="AB16" s="7"/>
      <c r="AC16" s="7">
        <v>3.17</v>
      </c>
      <c r="AD16" s="7"/>
      <c r="AE16" s="7"/>
      <c r="AF16" s="7"/>
      <c r="AG16" s="7"/>
      <c r="AH16" s="7">
        <v>3.45</v>
      </c>
      <c r="AI16" s="7"/>
      <c r="AJ16" s="7">
        <v>3.1150000000000002</v>
      </c>
      <c r="AK16" s="7"/>
      <c r="AL16" s="7">
        <v>3.1725000000000003</v>
      </c>
      <c r="AM16" s="7"/>
      <c r="AN16" s="7"/>
      <c r="AO16" s="7">
        <v>2.9449999999999998</v>
      </c>
      <c r="AP16" s="7"/>
      <c r="AQ16" s="7"/>
      <c r="AR16" s="7"/>
      <c r="AS16" s="7">
        <v>2.92</v>
      </c>
      <c r="AT16" s="7"/>
      <c r="AU16" s="7"/>
      <c r="AV16" s="7">
        <v>2.9400000000000004</v>
      </c>
      <c r="AW16" s="7"/>
      <c r="AX16" s="7"/>
      <c r="AY16" s="7"/>
      <c r="AZ16" s="7"/>
      <c r="BA16" s="7">
        <v>3.31</v>
      </c>
      <c r="BB16" s="7"/>
      <c r="BC16" s="7">
        <v>2.8499999999999996</v>
      </c>
      <c r="BD16" s="7"/>
      <c r="BE16" s="7">
        <v>2.9625000000000004</v>
      </c>
      <c r="BF16" s="7"/>
      <c r="BG16" s="7"/>
      <c r="BH16" s="7">
        <v>2.9200000000000004</v>
      </c>
      <c r="BI16" s="7"/>
      <c r="BJ16" s="7"/>
      <c r="BK16" s="7"/>
      <c r="BL16" s="7">
        <v>2.875</v>
      </c>
      <c r="BM16" s="7"/>
      <c r="BN16" s="7"/>
      <c r="BO16" s="7">
        <v>2.92</v>
      </c>
      <c r="BP16" s="7"/>
      <c r="BQ16" s="7"/>
      <c r="BR16" s="7"/>
      <c r="BS16" s="7"/>
      <c r="BT16" s="7">
        <v>3.3099999999999996</v>
      </c>
      <c r="BU16" s="7"/>
      <c r="BV16" s="7">
        <v>2.8149999999999999</v>
      </c>
      <c r="BW16" s="7"/>
      <c r="BX16" s="7">
        <v>2.9368750000000001</v>
      </c>
      <c r="BY16" s="7"/>
      <c r="BZ16" s="7"/>
      <c r="CA16" s="7">
        <v>2.9299999999999997</v>
      </c>
      <c r="CB16" s="7"/>
      <c r="CC16" s="7"/>
      <c r="CD16" s="7"/>
      <c r="CE16" s="7">
        <v>2.915</v>
      </c>
      <c r="CF16" s="7"/>
      <c r="CG16" s="7"/>
      <c r="CH16" s="7">
        <v>2.92</v>
      </c>
      <c r="CI16" s="7"/>
      <c r="CJ16" s="7"/>
      <c r="CK16" s="7"/>
      <c r="CL16" s="7"/>
      <c r="CM16" s="7">
        <v>3.3099999999999996</v>
      </c>
      <c r="CN16" s="7"/>
      <c r="CO16" s="7">
        <v>2.8149999999999999</v>
      </c>
      <c r="CP16" s="7"/>
      <c r="CQ16" s="7">
        <v>2.944375</v>
      </c>
      <c r="CR16" s="7"/>
      <c r="CS16" s="7"/>
      <c r="CT16" s="7">
        <v>2.9325000000000001</v>
      </c>
      <c r="CU16" s="7"/>
      <c r="CV16" s="7"/>
      <c r="CW16" s="7"/>
      <c r="CX16" s="7">
        <v>2.915</v>
      </c>
      <c r="CY16" s="7"/>
      <c r="CZ16" s="7"/>
      <c r="DA16" s="7">
        <v>2.92</v>
      </c>
      <c r="DB16" s="7"/>
      <c r="DC16" s="7"/>
      <c r="DD16" s="7"/>
      <c r="DE16" s="7"/>
      <c r="DF16" s="7">
        <v>3.3</v>
      </c>
      <c r="DG16" s="7"/>
      <c r="DH16" s="7">
        <v>2.8149999999999999</v>
      </c>
      <c r="DI16" s="7"/>
      <c r="DJ16" s="7">
        <v>2.9437500000000005</v>
      </c>
      <c r="DK16" s="7"/>
      <c r="DL16" s="7"/>
      <c r="DM16" s="7">
        <v>3.46</v>
      </c>
      <c r="DN16" s="7"/>
      <c r="DO16" s="7"/>
      <c r="DP16" s="7"/>
      <c r="DQ16" s="7">
        <v>3.49</v>
      </c>
      <c r="DR16" s="7"/>
      <c r="DS16" s="7"/>
      <c r="DT16" s="7">
        <v>3.52</v>
      </c>
      <c r="DU16" s="7"/>
      <c r="DV16" s="7"/>
      <c r="DW16" s="7"/>
      <c r="DX16" s="7"/>
      <c r="DY16" s="7">
        <v>3.79</v>
      </c>
      <c r="DZ16" s="7"/>
      <c r="EA16" s="7">
        <v>3.4750000000000001</v>
      </c>
      <c r="EB16" s="7"/>
      <c r="EC16" s="7">
        <v>3.5237500000000002</v>
      </c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>
        <v>2.98</v>
      </c>
      <c r="EO16" s="7"/>
      <c r="EP16" s="7"/>
      <c r="EQ16" s="7">
        <v>2.96</v>
      </c>
      <c r="ER16" s="7"/>
      <c r="ES16" s="7"/>
      <c r="ET16" s="7"/>
      <c r="EU16" s="7"/>
      <c r="EV16" s="7">
        <v>3.3449999999999998</v>
      </c>
      <c r="EW16" s="7"/>
      <c r="EX16" s="7">
        <v>2.79</v>
      </c>
      <c r="EY16" s="7"/>
      <c r="EZ16" s="7">
        <v>2.9708333333333328</v>
      </c>
      <c r="FA16" s="7"/>
      <c r="FB16" s="7"/>
      <c r="FC16" s="7"/>
      <c r="FD16" s="7"/>
      <c r="FE16" s="7"/>
      <c r="FF16" s="7"/>
      <c r="FG16" s="7"/>
      <c r="FH16" s="7">
        <v>3.2649999999999997</v>
      </c>
      <c r="FI16" s="7"/>
      <c r="FJ16" s="7"/>
      <c r="FK16" s="7"/>
      <c r="FL16" s="7">
        <v>3.2750000000000004</v>
      </c>
      <c r="FM16" s="7"/>
      <c r="FN16" s="7"/>
      <c r="FO16" s="7">
        <v>3.3099999999999996</v>
      </c>
      <c r="FP16" s="7"/>
      <c r="FQ16" s="7"/>
      <c r="FR16" s="7"/>
      <c r="FS16" s="7"/>
      <c r="FT16" s="7">
        <v>3.62</v>
      </c>
      <c r="FU16" s="7">
        <v>3.24</v>
      </c>
      <c r="FV16" s="7"/>
      <c r="FW16" s="7">
        <v>3.3156249999999998</v>
      </c>
      <c r="FX16" s="7"/>
      <c r="FY16" s="7"/>
      <c r="FZ16" s="7"/>
      <c r="GA16" s="7"/>
      <c r="GB16" s="7"/>
      <c r="GC16" s="7">
        <v>3.0924264705882356</v>
      </c>
    </row>
    <row r="17" spans="1:185" x14ac:dyDescent="0.15">
      <c r="A17" s="6">
        <v>41107</v>
      </c>
      <c r="B17" s="7"/>
      <c r="C17" s="7"/>
      <c r="D17" s="7"/>
      <c r="E17" s="7"/>
      <c r="F17" s="7"/>
      <c r="G17" s="7"/>
      <c r="H17" s="7"/>
      <c r="I17" s="7"/>
      <c r="J17" s="7">
        <v>3.0700000000000003</v>
      </c>
      <c r="K17" s="7"/>
      <c r="L17" s="7"/>
      <c r="M17" s="7"/>
      <c r="N17" s="7"/>
      <c r="O17" s="7"/>
      <c r="P17" s="7"/>
      <c r="Q17" s="7">
        <v>2.9500000000000006</v>
      </c>
      <c r="R17" s="7"/>
      <c r="S17" s="7">
        <v>2.9979999999999998</v>
      </c>
      <c r="T17" s="7"/>
      <c r="U17" s="7"/>
      <c r="V17" s="7">
        <v>3.1450000000000005</v>
      </c>
      <c r="W17" s="7"/>
      <c r="X17" s="7"/>
      <c r="Y17" s="7"/>
      <c r="Z17" s="7"/>
      <c r="AA17" s="7"/>
      <c r="AB17" s="7"/>
      <c r="AC17" s="7">
        <v>3.16</v>
      </c>
      <c r="AD17" s="7"/>
      <c r="AE17" s="7"/>
      <c r="AF17" s="7"/>
      <c r="AG17" s="7"/>
      <c r="AH17" s="7"/>
      <c r="AI17" s="7"/>
      <c r="AJ17" s="7">
        <v>3.125</v>
      </c>
      <c r="AK17" s="7"/>
      <c r="AL17" s="7">
        <v>3.1407142857142856</v>
      </c>
      <c r="AM17" s="7"/>
      <c r="AN17" s="7"/>
      <c r="AO17" s="7">
        <v>2.9624999999999999</v>
      </c>
      <c r="AP17" s="7"/>
      <c r="AQ17" s="7"/>
      <c r="AR17" s="7"/>
      <c r="AS17" s="7"/>
      <c r="AT17" s="7"/>
      <c r="AU17" s="7"/>
      <c r="AV17" s="7">
        <v>2.96</v>
      </c>
      <c r="AW17" s="7"/>
      <c r="AX17" s="7"/>
      <c r="AY17" s="7"/>
      <c r="AZ17" s="7"/>
      <c r="BA17" s="7"/>
      <c r="BB17" s="7"/>
      <c r="BC17" s="7">
        <v>2.9750000000000001</v>
      </c>
      <c r="BD17" s="7"/>
      <c r="BE17" s="7">
        <v>2.9671428571428571</v>
      </c>
      <c r="BF17" s="7"/>
      <c r="BG17" s="7"/>
      <c r="BH17" s="7">
        <v>2.94</v>
      </c>
      <c r="BI17" s="7"/>
      <c r="BJ17" s="7"/>
      <c r="BK17" s="7"/>
      <c r="BL17" s="7"/>
      <c r="BM17" s="7"/>
      <c r="BN17" s="7"/>
      <c r="BO17" s="7">
        <v>2.9450000000000003</v>
      </c>
      <c r="BP17" s="7"/>
      <c r="BQ17" s="7"/>
      <c r="BR17" s="7"/>
      <c r="BS17" s="7"/>
      <c r="BT17" s="7"/>
      <c r="BU17" s="7"/>
      <c r="BV17" s="7">
        <v>2.9500000000000006</v>
      </c>
      <c r="BW17" s="7"/>
      <c r="BX17" s="7">
        <v>2.9457142857142853</v>
      </c>
      <c r="BY17" s="7"/>
      <c r="BZ17" s="7"/>
      <c r="CA17" s="7">
        <v>2.95</v>
      </c>
      <c r="CB17" s="7"/>
      <c r="CC17" s="7"/>
      <c r="CD17" s="7"/>
      <c r="CE17" s="7"/>
      <c r="CF17" s="7"/>
      <c r="CG17" s="7"/>
      <c r="CH17" s="7">
        <v>2.9550000000000001</v>
      </c>
      <c r="CI17" s="7"/>
      <c r="CJ17" s="7"/>
      <c r="CK17" s="7"/>
      <c r="CL17" s="7"/>
      <c r="CM17" s="7"/>
      <c r="CN17" s="7"/>
      <c r="CO17" s="7">
        <v>2.9500000000000006</v>
      </c>
      <c r="CP17" s="7"/>
      <c r="CQ17" s="7">
        <v>2.9514285714285715</v>
      </c>
      <c r="CR17" s="7"/>
      <c r="CS17" s="7"/>
      <c r="CT17" s="7">
        <v>2.9699999999999998</v>
      </c>
      <c r="CU17" s="7"/>
      <c r="CV17" s="7"/>
      <c r="CW17" s="7"/>
      <c r="CX17" s="7"/>
      <c r="CY17" s="7"/>
      <c r="CZ17" s="7"/>
      <c r="DA17" s="7">
        <v>2.9550000000000001</v>
      </c>
      <c r="DB17" s="7"/>
      <c r="DC17" s="7"/>
      <c r="DD17" s="7"/>
      <c r="DE17" s="7"/>
      <c r="DF17" s="7"/>
      <c r="DG17" s="7"/>
      <c r="DH17" s="7">
        <v>2.9500000000000006</v>
      </c>
      <c r="DI17" s="7"/>
      <c r="DJ17" s="7">
        <v>2.9571428571428569</v>
      </c>
      <c r="DK17" s="7"/>
      <c r="DL17" s="7"/>
      <c r="DM17" s="7">
        <v>3.4850000000000003</v>
      </c>
      <c r="DN17" s="7"/>
      <c r="DO17" s="7"/>
      <c r="DP17" s="7"/>
      <c r="DQ17" s="7"/>
      <c r="DR17" s="7"/>
      <c r="DS17" s="7"/>
      <c r="DT17" s="7">
        <v>3.51</v>
      </c>
      <c r="DU17" s="7"/>
      <c r="DV17" s="7"/>
      <c r="DW17" s="7"/>
      <c r="DX17" s="7"/>
      <c r="DY17" s="7"/>
      <c r="DZ17" s="7"/>
      <c r="EA17" s="7">
        <v>3.4750000000000001</v>
      </c>
      <c r="EB17" s="7"/>
      <c r="EC17" s="7">
        <v>3.4878571428571434</v>
      </c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>
        <v>3.02</v>
      </c>
      <c r="ER17" s="7"/>
      <c r="ES17" s="7"/>
      <c r="ET17" s="7"/>
      <c r="EU17" s="7"/>
      <c r="EV17" s="7"/>
      <c r="EW17" s="7"/>
      <c r="EX17" s="7">
        <v>2.9500000000000006</v>
      </c>
      <c r="EY17" s="7"/>
      <c r="EZ17" s="7">
        <v>2.9780000000000002</v>
      </c>
      <c r="FA17" s="7"/>
      <c r="FB17" s="7"/>
      <c r="FC17" s="7"/>
      <c r="FD17" s="7"/>
      <c r="FE17" s="7"/>
      <c r="FF17" s="7"/>
      <c r="FG17" s="7"/>
      <c r="FH17" s="7">
        <v>3.1225000000000001</v>
      </c>
      <c r="FI17" s="7"/>
      <c r="FJ17" s="7"/>
      <c r="FK17" s="7"/>
      <c r="FL17" s="7"/>
      <c r="FM17" s="7"/>
      <c r="FN17" s="7"/>
      <c r="FO17" s="7">
        <v>3.3</v>
      </c>
      <c r="FP17" s="7"/>
      <c r="FQ17" s="7"/>
      <c r="FR17" s="7"/>
      <c r="FS17" s="7"/>
      <c r="FT17" s="7"/>
      <c r="FU17" s="7">
        <v>3.24</v>
      </c>
      <c r="FV17" s="7"/>
      <c r="FW17" s="7">
        <v>3.2235714285714292</v>
      </c>
      <c r="FX17" s="7"/>
      <c r="FY17" s="7"/>
      <c r="FZ17" s="7"/>
      <c r="GA17" s="7"/>
      <c r="GB17" s="7"/>
      <c r="GC17" s="7">
        <v>3.0778813559322038</v>
      </c>
    </row>
    <row r="18" spans="1:185" x14ac:dyDescent="0.15">
      <c r="A18" s="6">
        <v>41108</v>
      </c>
      <c r="B18" s="7"/>
      <c r="C18" s="7">
        <v>3.04</v>
      </c>
      <c r="D18" s="7"/>
      <c r="E18" s="7"/>
      <c r="F18" s="7"/>
      <c r="G18" s="7"/>
      <c r="H18" s="7"/>
      <c r="I18" s="7"/>
      <c r="J18" s="7">
        <v>3.07</v>
      </c>
      <c r="K18" s="7"/>
      <c r="L18" s="7"/>
      <c r="M18" s="7"/>
      <c r="N18" s="7"/>
      <c r="O18" s="7"/>
      <c r="P18" s="7"/>
      <c r="Q18" s="7">
        <v>2.95</v>
      </c>
      <c r="R18" s="7"/>
      <c r="S18" s="7">
        <v>3.02</v>
      </c>
      <c r="T18" s="7"/>
      <c r="U18" s="7">
        <v>3.16</v>
      </c>
      <c r="V18" s="7">
        <v>3.1749999999999998</v>
      </c>
      <c r="W18" s="7"/>
      <c r="X18" s="7"/>
      <c r="Y18" s="7"/>
      <c r="Z18" s="7"/>
      <c r="AA18" s="7"/>
      <c r="AB18" s="7"/>
      <c r="AC18" s="7">
        <v>3.1549999999999998</v>
      </c>
      <c r="AD18" s="7"/>
      <c r="AE18" s="7"/>
      <c r="AF18" s="7"/>
      <c r="AG18" s="7"/>
      <c r="AH18" s="7"/>
      <c r="AI18" s="7"/>
      <c r="AJ18" s="7">
        <v>3.125</v>
      </c>
      <c r="AK18" s="7"/>
      <c r="AL18" s="7">
        <v>3.1537500000000005</v>
      </c>
      <c r="AM18" s="7"/>
      <c r="AN18" s="7">
        <v>2.9699999999999998</v>
      </c>
      <c r="AO18" s="7">
        <v>3</v>
      </c>
      <c r="AP18" s="7"/>
      <c r="AQ18" s="7"/>
      <c r="AR18" s="7"/>
      <c r="AS18" s="7"/>
      <c r="AT18" s="7"/>
      <c r="AU18" s="7"/>
      <c r="AV18" s="7">
        <v>2.9699999999999998</v>
      </c>
      <c r="AW18" s="7"/>
      <c r="AX18" s="7"/>
      <c r="AY18" s="7"/>
      <c r="AZ18" s="7"/>
      <c r="BA18" s="7"/>
      <c r="BB18" s="7"/>
      <c r="BC18" s="7">
        <v>2.9750000000000001</v>
      </c>
      <c r="BD18" s="7"/>
      <c r="BE18" s="7">
        <v>2.9787500000000002</v>
      </c>
      <c r="BF18" s="7"/>
      <c r="BG18" s="7">
        <v>2.95</v>
      </c>
      <c r="BH18" s="7">
        <v>2.9550000000000001</v>
      </c>
      <c r="BI18" s="7"/>
      <c r="BJ18" s="7"/>
      <c r="BK18" s="7"/>
      <c r="BL18" s="7"/>
      <c r="BM18" s="7"/>
      <c r="BN18" s="7"/>
      <c r="BO18" s="7">
        <v>2.9449999999999998</v>
      </c>
      <c r="BP18" s="7"/>
      <c r="BQ18" s="7"/>
      <c r="BR18" s="7"/>
      <c r="BS18" s="7"/>
      <c r="BT18" s="7"/>
      <c r="BU18" s="7"/>
      <c r="BV18" s="7">
        <v>2.95</v>
      </c>
      <c r="BW18" s="7"/>
      <c r="BX18" s="7">
        <v>2.95</v>
      </c>
      <c r="BY18" s="7"/>
      <c r="BZ18" s="7">
        <v>2.95</v>
      </c>
      <c r="CA18" s="7">
        <v>2.9550000000000001</v>
      </c>
      <c r="CB18" s="7"/>
      <c r="CC18" s="7"/>
      <c r="CD18" s="7"/>
      <c r="CE18" s="7"/>
      <c r="CF18" s="7"/>
      <c r="CG18" s="7"/>
      <c r="CH18" s="7">
        <v>2.9550000000000001</v>
      </c>
      <c r="CI18" s="7"/>
      <c r="CJ18" s="7"/>
      <c r="CK18" s="7"/>
      <c r="CL18" s="7"/>
      <c r="CM18" s="7"/>
      <c r="CN18" s="7"/>
      <c r="CO18" s="7">
        <v>2.95</v>
      </c>
      <c r="CP18" s="7"/>
      <c r="CQ18" s="7">
        <v>2.9525000000000001</v>
      </c>
      <c r="CR18" s="7"/>
      <c r="CS18" s="7">
        <v>2.95</v>
      </c>
      <c r="CT18" s="7">
        <v>2.9950000000000001</v>
      </c>
      <c r="CU18" s="7"/>
      <c r="CV18" s="7"/>
      <c r="CW18" s="7"/>
      <c r="CX18" s="7"/>
      <c r="CY18" s="7"/>
      <c r="CZ18" s="7"/>
      <c r="DA18" s="7">
        <v>2.96</v>
      </c>
      <c r="DB18" s="7"/>
      <c r="DC18" s="7"/>
      <c r="DD18" s="7"/>
      <c r="DE18" s="7"/>
      <c r="DF18" s="7"/>
      <c r="DG18" s="7"/>
      <c r="DH18" s="7">
        <v>2.95</v>
      </c>
      <c r="DI18" s="7"/>
      <c r="DJ18" s="7">
        <v>2.9637499999999997</v>
      </c>
      <c r="DK18" s="7"/>
      <c r="DL18" s="7">
        <v>3.51</v>
      </c>
      <c r="DM18" s="7">
        <v>3.52</v>
      </c>
      <c r="DN18" s="7"/>
      <c r="DO18" s="7"/>
      <c r="DP18" s="7"/>
      <c r="DQ18" s="7"/>
      <c r="DR18" s="7"/>
      <c r="DS18" s="7"/>
      <c r="DT18" s="7">
        <v>3.4950000000000001</v>
      </c>
      <c r="DU18" s="7"/>
      <c r="DV18" s="7"/>
      <c r="DW18" s="7"/>
      <c r="DX18" s="7"/>
      <c r="DY18" s="7"/>
      <c r="DZ18" s="7"/>
      <c r="EA18" s="7">
        <v>3.4750000000000001</v>
      </c>
      <c r="EB18" s="7"/>
      <c r="EC18" s="7">
        <v>3.5000000000000004</v>
      </c>
      <c r="ED18" s="7"/>
      <c r="EE18" s="7"/>
      <c r="EF18" s="7"/>
      <c r="EG18" s="7"/>
      <c r="EH18" s="7"/>
      <c r="EI18" s="7"/>
      <c r="EJ18" s="7">
        <v>2.99</v>
      </c>
      <c r="EK18" s="7"/>
      <c r="EL18" s="7"/>
      <c r="EM18" s="7"/>
      <c r="EN18" s="7"/>
      <c r="EO18" s="7"/>
      <c r="EP18" s="7"/>
      <c r="EQ18" s="7">
        <v>3.02</v>
      </c>
      <c r="ER18" s="7"/>
      <c r="ES18" s="7"/>
      <c r="ET18" s="7"/>
      <c r="EU18" s="7"/>
      <c r="EV18" s="7"/>
      <c r="EW18" s="7"/>
      <c r="EX18" s="7">
        <v>2.95</v>
      </c>
      <c r="EY18" s="7"/>
      <c r="EZ18" s="7">
        <v>2.9866666666666664</v>
      </c>
      <c r="FA18" s="7"/>
      <c r="FB18" s="7"/>
      <c r="FC18" s="7"/>
      <c r="FD18" s="7"/>
      <c r="FE18" s="7"/>
      <c r="FF18" s="7"/>
      <c r="FG18" s="7">
        <v>3.29</v>
      </c>
      <c r="FH18" s="7">
        <v>3.29</v>
      </c>
      <c r="FI18" s="7"/>
      <c r="FJ18" s="7"/>
      <c r="FK18" s="7"/>
      <c r="FL18" s="7"/>
      <c r="FM18" s="7"/>
      <c r="FN18" s="7"/>
      <c r="FO18" s="7">
        <v>3.2949999999999999</v>
      </c>
      <c r="FP18" s="7"/>
      <c r="FQ18" s="7"/>
      <c r="FR18" s="7"/>
      <c r="FS18" s="7"/>
      <c r="FT18" s="7"/>
      <c r="FU18" s="7">
        <v>3.24</v>
      </c>
      <c r="FV18" s="7"/>
      <c r="FW18" s="7">
        <v>3.2787500000000005</v>
      </c>
      <c r="FX18" s="7"/>
      <c r="FY18" s="7"/>
      <c r="FZ18" s="7"/>
      <c r="GA18" s="7"/>
      <c r="GB18" s="7"/>
      <c r="GC18" s="7">
        <v>3.0920588235294106</v>
      </c>
    </row>
    <row r="19" spans="1:185" x14ac:dyDescent="0.15">
      <c r="A19" s="6">
        <v>41109</v>
      </c>
      <c r="B19" s="7"/>
      <c r="C19" s="7">
        <v>3.08</v>
      </c>
      <c r="D19" s="7"/>
      <c r="E19" s="7"/>
      <c r="F19" s="7"/>
      <c r="G19" s="7"/>
      <c r="H19" s="7"/>
      <c r="I19" s="7"/>
      <c r="J19" s="7">
        <v>3.0999999999999996</v>
      </c>
      <c r="K19" s="7"/>
      <c r="L19" s="7"/>
      <c r="M19" s="7"/>
      <c r="N19" s="7"/>
      <c r="O19" s="7"/>
      <c r="P19" s="7"/>
      <c r="Q19" s="7">
        <v>2.95</v>
      </c>
      <c r="R19" s="7"/>
      <c r="S19" s="7">
        <v>3.043333333333333</v>
      </c>
      <c r="T19" s="7"/>
      <c r="U19" s="7">
        <v>3.17</v>
      </c>
      <c r="V19" s="7">
        <v>3.1724999999999999</v>
      </c>
      <c r="W19" s="7"/>
      <c r="X19" s="7"/>
      <c r="Y19" s="7"/>
      <c r="Z19" s="7"/>
      <c r="AA19" s="7"/>
      <c r="AB19" s="7"/>
      <c r="AC19" s="7">
        <v>3.17</v>
      </c>
      <c r="AD19" s="7"/>
      <c r="AE19" s="7"/>
      <c r="AF19" s="7"/>
      <c r="AG19" s="7"/>
      <c r="AH19" s="7"/>
      <c r="AI19" s="7"/>
      <c r="AJ19" s="7">
        <v>3.125</v>
      </c>
      <c r="AK19" s="7"/>
      <c r="AL19" s="7">
        <v>3.1593749999999998</v>
      </c>
      <c r="AM19" s="7"/>
      <c r="AN19" s="7">
        <v>2.9950000000000001</v>
      </c>
      <c r="AO19" s="7">
        <v>3.0049999999999999</v>
      </c>
      <c r="AP19" s="7"/>
      <c r="AQ19" s="7"/>
      <c r="AR19" s="7"/>
      <c r="AS19" s="7"/>
      <c r="AT19" s="7"/>
      <c r="AU19" s="7"/>
      <c r="AV19" s="7">
        <v>2.9950000000000001</v>
      </c>
      <c r="AW19" s="7"/>
      <c r="AX19" s="7"/>
      <c r="AY19" s="7"/>
      <c r="AZ19" s="7"/>
      <c r="BA19" s="7"/>
      <c r="BB19" s="7"/>
      <c r="BC19" s="7">
        <v>2.9750000000000001</v>
      </c>
      <c r="BD19" s="7"/>
      <c r="BE19" s="7">
        <v>2.9925000000000006</v>
      </c>
      <c r="BF19" s="7"/>
      <c r="BG19" s="7">
        <v>2.9699999999999998</v>
      </c>
      <c r="BH19" s="7">
        <v>2.9749999999999996</v>
      </c>
      <c r="BI19" s="7"/>
      <c r="BJ19" s="7"/>
      <c r="BK19" s="7"/>
      <c r="BL19" s="7"/>
      <c r="BM19" s="7"/>
      <c r="BN19" s="7"/>
      <c r="BO19" s="7">
        <v>2.9699999999999998</v>
      </c>
      <c r="BP19" s="7"/>
      <c r="BQ19" s="7"/>
      <c r="BR19" s="7"/>
      <c r="BS19" s="7"/>
      <c r="BT19" s="7"/>
      <c r="BU19" s="7"/>
      <c r="BV19" s="7">
        <v>2.95</v>
      </c>
      <c r="BW19" s="7"/>
      <c r="BX19" s="7">
        <v>2.9662500000000001</v>
      </c>
      <c r="BY19" s="7"/>
      <c r="BZ19" s="7">
        <v>2.9699999999999998</v>
      </c>
      <c r="CA19" s="7">
        <v>2.9849999999999999</v>
      </c>
      <c r="CB19" s="7"/>
      <c r="CC19" s="7"/>
      <c r="CD19" s="7"/>
      <c r="CE19" s="7"/>
      <c r="CF19" s="7"/>
      <c r="CG19" s="7"/>
      <c r="CH19" s="7">
        <v>2.9749999999999996</v>
      </c>
      <c r="CI19" s="7"/>
      <c r="CJ19" s="7"/>
      <c r="CK19" s="7"/>
      <c r="CL19" s="7"/>
      <c r="CM19" s="7"/>
      <c r="CN19" s="7"/>
      <c r="CO19" s="7">
        <v>2.95</v>
      </c>
      <c r="CP19" s="7"/>
      <c r="CQ19" s="7">
        <v>2.9699999999999998</v>
      </c>
      <c r="CR19" s="7"/>
      <c r="CS19" s="7">
        <v>2.9699999999999998</v>
      </c>
      <c r="CT19" s="7">
        <v>3</v>
      </c>
      <c r="CU19" s="7"/>
      <c r="CV19" s="7"/>
      <c r="CW19" s="7"/>
      <c r="CX19" s="7"/>
      <c r="CY19" s="7"/>
      <c r="CZ19" s="7"/>
      <c r="DA19" s="7">
        <v>2.9824999999999999</v>
      </c>
      <c r="DB19" s="7"/>
      <c r="DC19" s="7"/>
      <c r="DD19" s="7"/>
      <c r="DE19" s="7"/>
      <c r="DF19" s="7"/>
      <c r="DG19" s="7"/>
      <c r="DH19" s="7">
        <v>2.95</v>
      </c>
      <c r="DI19" s="7"/>
      <c r="DJ19" s="7">
        <v>2.975625</v>
      </c>
      <c r="DK19" s="7"/>
      <c r="DL19" s="7">
        <v>3.52</v>
      </c>
      <c r="DM19" s="7">
        <v>3.5249999999999999</v>
      </c>
      <c r="DN19" s="7"/>
      <c r="DO19" s="7"/>
      <c r="DP19" s="7"/>
      <c r="DQ19" s="7"/>
      <c r="DR19" s="7"/>
      <c r="DS19" s="7"/>
      <c r="DT19" s="7">
        <v>3.52</v>
      </c>
      <c r="DU19" s="7"/>
      <c r="DV19" s="7"/>
      <c r="DW19" s="7"/>
      <c r="DX19" s="7"/>
      <c r="DY19" s="7"/>
      <c r="DZ19" s="7"/>
      <c r="EA19" s="7">
        <v>3.4750000000000001</v>
      </c>
      <c r="EB19" s="7"/>
      <c r="EC19" s="7">
        <v>3.5100000000000002</v>
      </c>
      <c r="ED19" s="7"/>
      <c r="EE19" s="7"/>
      <c r="EF19" s="7"/>
      <c r="EG19" s="7"/>
      <c r="EH19" s="7"/>
      <c r="EI19" s="7"/>
      <c r="EJ19" s="7">
        <v>3.0300000000000002</v>
      </c>
      <c r="EK19" s="7"/>
      <c r="EL19" s="7"/>
      <c r="EM19" s="7"/>
      <c r="EN19" s="7"/>
      <c r="EO19" s="7"/>
      <c r="EP19" s="7"/>
      <c r="EQ19" s="7">
        <v>3.0549999999999997</v>
      </c>
      <c r="ER19" s="7"/>
      <c r="ES19" s="7"/>
      <c r="ET19" s="7"/>
      <c r="EU19" s="7"/>
      <c r="EV19" s="7"/>
      <c r="EW19" s="7"/>
      <c r="EX19" s="7">
        <v>2.95</v>
      </c>
      <c r="EY19" s="7"/>
      <c r="EZ19" s="7">
        <v>3.0116666666666663</v>
      </c>
      <c r="FA19" s="7"/>
      <c r="FB19" s="7"/>
      <c r="FC19" s="7"/>
      <c r="FD19" s="7"/>
      <c r="FE19" s="7"/>
      <c r="FF19" s="7"/>
      <c r="FG19" s="7">
        <v>3.3049999999999997</v>
      </c>
      <c r="FH19" s="7">
        <v>3.3200000000000003</v>
      </c>
      <c r="FI19" s="7"/>
      <c r="FJ19" s="7"/>
      <c r="FK19" s="7"/>
      <c r="FL19" s="7"/>
      <c r="FM19" s="7"/>
      <c r="FN19" s="7"/>
      <c r="FO19" s="7">
        <v>3.3099999999999996</v>
      </c>
      <c r="FP19" s="7"/>
      <c r="FQ19" s="7"/>
      <c r="FR19" s="7"/>
      <c r="FS19" s="7"/>
      <c r="FT19" s="7"/>
      <c r="FU19" s="7">
        <v>3.24</v>
      </c>
      <c r="FV19" s="7"/>
      <c r="FW19" s="7">
        <v>3.2937500000000002</v>
      </c>
      <c r="FX19" s="7"/>
      <c r="FY19" s="7"/>
      <c r="FZ19" s="7"/>
      <c r="GA19" s="7"/>
      <c r="GB19" s="7"/>
      <c r="GC19" s="7">
        <v>3.1069117647058828</v>
      </c>
    </row>
    <row r="20" spans="1:185" x14ac:dyDescent="0.15">
      <c r="A20" s="6">
        <v>41110</v>
      </c>
      <c r="B20" s="7"/>
      <c r="C20" s="7">
        <v>3.09</v>
      </c>
      <c r="D20" s="7"/>
      <c r="E20" s="7"/>
      <c r="F20" s="7"/>
      <c r="G20" s="7"/>
      <c r="H20" s="7"/>
      <c r="I20" s="7"/>
      <c r="J20" s="7">
        <v>3.0700000000000003</v>
      </c>
      <c r="K20" s="7"/>
      <c r="L20" s="7"/>
      <c r="M20" s="7"/>
      <c r="N20" s="7"/>
      <c r="O20" s="7"/>
      <c r="P20" s="7"/>
      <c r="Q20" s="7">
        <v>2.9500000000000006</v>
      </c>
      <c r="R20" s="7"/>
      <c r="S20" s="7">
        <v>3.0133333333333332</v>
      </c>
      <c r="T20" s="7"/>
      <c r="U20" s="7">
        <v>3.17</v>
      </c>
      <c r="V20" s="7">
        <v>3.1924999999999999</v>
      </c>
      <c r="W20" s="7"/>
      <c r="X20" s="7"/>
      <c r="Y20" s="7"/>
      <c r="Z20" s="7"/>
      <c r="AA20" s="7"/>
      <c r="AB20" s="7"/>
      <c r="AC20" s="7">
        <v>3.17</v>
      </c>
      <c r="AD20" s="7"/>
      <c r="AE20" s="7"/>
      <c r="AF20" s="7"/>
      <c r="AG20" s="7"/>
      <c r="AH20" s="7"/>
      <c r="AI20" s="7"/>
      <c r="AJ20" s="7">
        <v>3.125</v>
      </c>
      <c r="AK20" s="7"/>
      <c r="AL20" s="7">
        <v>3.1587499999999999</v>
      </c>
      <c r="AM20" s="7"/>
      <c r="AN20" s="7">
        <v>2.99</v>
      </c>
      <c r="AO20" s="7">
        <v>2.99</v>
      </c>
      <c r="AP20" s="7"/>
      <c r="AQ20" s="7"/>
      <c r="AR20" s="7"/>
      <c r="AS20" s="7"/>
      <c r="AT20" s="7"/>
      <c r="AU20" s="7"/>
      <c r="AV20" s="7">
        <v>2.98</v>
      </c>
      <c r="AW20" s="7"/>
      <c r="AX20" s="7"/>
      <c r="AY20" s="7"/>
      <c r="AZ20" s="7"/>
      <c r="BA20" s="7"/>
      <c r="BB20" s="7"/>
      <c r="BC20" s="7">
        <v>2.9750000000000001</v>
      </c>
      <c r="BD20" s="7"/>
      <c r="BE20" s="7">
        <v>2.9818750000000005</v>
      </c>
      <c r="BF20" s="7"/>
      <c r="BG20" s="7">
        <v>2.98</v>
      </c>
      <c r="BH20" s="7">
        <v>2.96</v>
      </c>
      <c r="BI20" s="7"/>
      <c r="BJ20" s="7"/>
      <c r="BK20" s="7"/>
      <c r="BL20" s="7"/>
      <c r="BM20" s="7"/>
      <c r="BN20" s="7"/>
      <c r="BO20" s="7">
        <v>2.96</v>
      </c>
      <c r="BP20" s="7"/>
      <c r="BQ20" s="7"/>
      <c r="BR20" s="7"/>
      <c r="BS20" s="7"/>
      <c r="BT20" s="7"/>
      <c r="BU20" s="7"/>
      <c r="BV20" s="7">
        <v>2.9500000000000006</v>
      </c>
      <c r="BW20" s="7"/>
      <c r="BX20" s="7">
        <v>2.9587499999999998</v>
      </c>
      <c r="BY20" s="7"/>
      <c r="BZ20" s="7">
        <v>2.98</v>
      </c>
      <c r="CA20" s="7">
        <v>2.96</v>
      </c>
      <c r="CB20" s="7"/>
      <c r="CC20" s="7"/>
      <c r="CD20" s="7"/>
      <c r="CE20" s="7"/>
      <c r="CF20" s="7"/>
      <c r="CG20" s="7"/>
      <c r="CH20" s="7">
        <v>2.96</v>
      </c>
      <c r="CI20" s="7"/>
      <c r="CJ20" s="7"/>
      <c r="CK20" s="7"/>
      <c r="CL20" s="7"/>
      <c r="CM20" s="7"/>
      <c r="CN20" s="7"/>
      <c r="CO20" s="7">
        <v>2.9500000000000006</v>
      </c>
      <c r="CP20" s="7"/>
      <c r="CQ20" s="7">
        <v>2.9587499999999998</v>
      </c>
      <c r="CR20" s="7"/>
      <c r="CS20" s="7">
        <v>2.98</v>
      </c>
      <c r="CT20" s="7">
        <v>2.9850000000000003</v>
      </c>
      <c r="CU20" s="7"/>
      <c r="CV20" s="7"/>
      <c r="CW20" s="7"/>
      <c r="CX20" s="7"/>
      <c r="CY20" s="7"/>
      <c r="CZ20" s="7"/>
      <c r="DA20" s="7">
        <v>2.9750000000000001</v>
      </c>
      <c r="DB20" s="7"/>
      <c r="DC20" s="7"/>
      <c r="DD20" s="7"/>
      <c r="DE20" s="7"/>
      <c r="DF20" s="7"/>
      <c r="DG20" s="7"/>
      <c r="DH20" s="7">
        <v>2.9500000000000006</v>
      </c>
      <c r="DI20" s="7"/>
      <c r="DJ20" s="7">
        <v>2.9687499999999996</v>
      </c>
      <c r="DK20" s="7"/>
      <c r="DL20" s="7">
        <v>3.52</v>
      </c>
      <c r="DM20" s="7">
        <v>3.5024999999999999</v>
      </c>
      <c r="DN20" s="7"/>
      <c r="DO20" s="7"/>
      <c r="DP20" s="7"/>
      <c r="DQ20" s="7"/>
      <c r="DR20" s="7"/>
      <c r="DS20" s="7"/>
      <c r="DT20" s="7">
        <v>3.5</v>
      </c>
      <c r="DU20" s="7"/>
      <c r="DV20" s="7"/>
      <c r="DW20" s="7"/>
      <c r="DX20" s="7"/>
      <c r="DY20" s="7"/>
      <c r="DZ20" s="7"/>
      <c r="EA20" s="7">
        <v>3.4750000000000001</v>
      </c>
      <c r="EB20" s="7"/>
      <c r="EC20" s="7">
        <v>3.4937500000000004</v>
      </c>
      <c r="ED20" s="7"/>
      <c r="EE20" s="7"/>
      <c r="EF20" s="7"/>
      <c r="EG20" s="7"/>
      <c r="EH20" s="7"/>
      <c r="EI20" s="7"/>
      <c r="EJ20" s="7">
        <v>3.04</v>
      </c>
      <c r="EK20" s="7"/>
      <c r="EL20" s="7"/>
      <c r="EM20" s="7"/>
      <c r="EN20" s="7"/>
      <c r="EO20" s="7"/>
      <c r="EP20" s="7"/>
      <c r="EQ20" s="7">
        <v>3.0300000000000002</v>
      </c>
      <c r="ER20" s="7"/>
      <c r="ES20" s="7"/>
      <c r="ET20" s="7"/>
      <c r="EU20" s="7"/>
      <c r="EV20" s="7"/>
      <c r="EW20" s="7"/>
      <c r="EX20" s="7">
        <v>2.9500000000000006</v>
      </c>
      <c r="EY20" s="7"/>
      <c r="EZ20" s="7">
        <v>2.9916666666666667</v>
      </c>
      <c r="FA20" s="7"/>
      <c r="FB20" s="7"/>
      <c r="FC20" s="7"/>
      <c r="FD20" s="7"/>
      <c r="FE20" s="7"/>
      <c r="FF20" s="7"/>
      <c r="FG20" s="7">
        <v>3.3099999999999996</v>
      </c>
      <c r="FH20" s="7">
        <v>3.3</v>
      </c>
      <c r="FI20" s="7"/>
      <c r="FJ20" s="7"/>
      <c r="FK20" s="7"/>
      <c r="FL20" s="7"/>
      <c r="FM20" s="7"/>
      <c r="FN20" s="7"/>
      <c r="FO20" s="7">
        <v>3.3</v>
      </c>
      <c r="FP20" s="7"/>
      <c r="FQ20" s="7"/>
      <c r="FR20" s="7"/>
      <c r="FS20" s="7"/>
      <c r="FT20" s="7"/>
      <c r="FU20" s="7">
        <v>3.24</v>
      </c>
      <c r="FV20" s="7"/>
      <c r="FW20" s="7">
        <v>3.2787500000000005</v>
      </c>
      <c r="FX20" s="7"/>
      <c r="FY20" s="7"/>
      <c r="FZ20" s="7"/>
      <c r="GA20" s="7"/>
      <c r="GB20" s="7"/>
      <c r="GC20" s="7">
        <v>3.0944852941176464</v>
      </c>
    </row>
    <row r="21" spans="1:185" x14ac:dyDescent="0.15">
      <c r="A21" s="6">
        <v>41113</v>
      </c>
      <c r="B21" s="7"/>
      <c r="C21" s="7">
        <v>3.09</v>
      </c>
      <c r="D21" s="7"/>
      <c r="E21" s="7"/>
      <c r="F21" s="7"/>
      <c r="G21" s="7"/>
      <c r="H21" s="7"/>
      <c r="I21" s="7"/>
      <c r="J21" s="7">
        <v>3.0999999999999996</v>
      </c>
      <c r="K21" s="7"/>
      <c r="L21" s="7"/>
      <c r="M21" s="7"/>
      <c r="N21" s="7"/>
      <c r="O21" s="7"/>
      <c r="P21" s="7"/>
      <c r="Q21" s="7">
        <v>2.9500000000000006</v>
      </c>
      <c r="R21" s="7"/>
      <c r="S21" s="7">
        <v>3.023333333333333</v>
      </c>
      <c r="T21" s="7"/>
      <c r="U21" s="7">
        <v>3.1799999999999997</v>
      </c>
      <c r="V21" s="7">
        <v>3.19</v>
      </c>
      <c r="W21" s="7"/>
      <c r="X21" s="7"/>
      <c r="Y21" s="7"/>
      <c r="Z21" s="7"/>
      <c r="AA21" s="7"/>
      <c r="AB21" s="7"/>
      <c r="AC21" s="7">
        <v>3.1749999999999998</v>
      </c>
      <c r="AD21" s="7"/>
      <c r="AE21" s="7"/>
      <c r="AF21" s="7"/>
      <c r="AG21" s="7"/>
      <c r="AH21" s="7"/>
      <c r="AI21" s="7"/>
      <c r="AJ21" s="7">
        <v>3.125</v>
      </c>
      <c r="AK21" s="7"/>
      <c r="AL21" s="7">
        <v>3.1606249999999996</v>
      </c>
      <c r="AM21" s="7"/>
      <c r="AN21" s="7">
        <v>3</v>
      </c>
      <c r="AO21" s="7">
        <v>3.0024999999999999</v>
      </c>
      <c r="AP21" s="7"/>
      <c r="AQ21" s="7"/>
      <c r="AR21" s="7"/>
      <c r="AS21" s="7"/>
      <c r="AT21" s="7"/>
      <c r="AU21" s="7"/>
      <c r="AV21" s="7">
        <v>2.9950000000000001</v>
      </c>
      <c r="AW21" s="7"/>
      <c r="AX21" s="7"/>
      <c r="AY21" s="7"/>
      <c r="AZ21" s="7"/>
      <c r="BA21" s="7"/>
      <c r="BB21" s="7"/>
      <c r="BC21" s="7">
        <v>2.9750000000000001</v>
      </c>
      <c r="BD21" s="7"/>
      <c r="BE21" s="7">
        <v>2.99</v>
      </c>
      <c r="BF21" s="7"/>
      <c r="BG21" s="7">
        <v>2.98</v>
      </c>
      <c r="BH21" s="7">
        <v>2.9699999999999998</v>
      </c>
      <c r="BI21" s="7"/>
      <c r="BJ21" s="7"/>
      <c r="BK21" s="7"/>
      <c r="BL21" s="7"/>
      <c r="BM21" s="7"/>
      <c r="BN21" s="7"/>
      <c r="BO21" s="7">
        <v>2.9749999999999996</v>
      </c>
      <c r="BP21" s="7"/>
      <c r="BQ21" s="7"/>
      <c r="BR21" s="7"/>
      <c r="BS21" s="7"/>
      <c r="BT21" s="7"/>
      <c r="BU21" s="7"/>
      <c r="BV21" s="7">
        <v>2.9500000000000006</v>
      </c>
      <c r="BW21" s="7"/>
      <c r="BX21" s="7">
        <v>2.9649999999999999</v>
      </c>
      <c r="BY21" s="7"/>
      <c r="BZ21" s="7">
        <v>2.98</v>
      </c>
      <c r="CA21" s="7">
        <v>2.9699999999999998</v>
      </c>
      <c r="CB21" s="7"/>
      <c r="CC21" s="7"/>
      <c r="CD21" s="7"/>
      <c r="CE21" s="7"/>
      <c r="CF21" s="7"/>
      <c r="CG21" s="7"/>
      <c r="CH21" s="7">
        <v>2.9699999999999998</v>
      </c>
      <c r="CI21" s="7"/>
      <c r="CJ21" s="7"/>
      <c r="CK21" s="7"/>
      <c r="CL21" s="7"/>
      <c r="CM21" s="7"/>
      <c r="CN21" s="7"/>
      <c r="CO21" s="7">
        <v>2.9500000000000006</v>
      </c>
      <c r="CP21" s="7"/>
      <c r="CQ21" s="7">
        <v>2.9637499999999997</v>
      </c>
      <c r="CR21" s="7"/>
      <c r="CS21" s="7">
        <v>2.98</v>
      </c>
      <c r="CT21" s="7">
        <v>3.09</v>
      </c>
      <c r="CU21" s="7"/>
      <c r="CV21" s="7"/>
      <c r="CW21" s="7"/>
      <c r="CX21" s="7"/>
      <c r="CY21" s="7"/>
      <c r="CZ21" s="7"/>
      <c r="DA21" s="7">
        <v>2.9275000000000002</v>
      </c>
      <c r="DB21" s="7"/>
      <c r="DC21" s="7"/>
      <c r="DD21" s="7"/>
      <c r="DE21" s="7"/>
      <c r="DF21" s="7"/>
      <c r="DG21" s="7"/>
      <c r="DH21" s="7">
        <v>2.9500000000000006</v>
      </c>
      <c r="DI21" s="7"/>
      <c r="DJ21" s="7">
        <v>2.9831249999999998</v>
      </c>
      <c r="DK21" s="7"/>
      <c r="DL21" s="7">
        <v>3.52</v>
      </c>
      <c r="DM21" s="7">
        <v>3.5149999999999997</v>
      </c>
      <c r="DN21" s="7"/>
      <c r="DO21" s="7"/>
      <c r="DP21" s="7"/>
      <c r="DQ21" s="7"/>
      <c r="DR21" s="7"/>
      <c r="DS21" s="7"/>
      <c r="DT21" s="7">
        <v>3.51</v>
      </c>
      <c r="DU21" s="7"/>
      <c r="DV21" s="7"/>
      <c r="DW21" s="7"/>
      <c r="DX21" s="7"/>
      <c r="DY21" s="7"/>
      <c r="DZ21" s="7"/>
      <c r="EA21" s="7">
        <v>3.4750000000000001</v>
      </c>
      <c r="EB21" s="7"/>
      <c r="EC21" s="7">
        <v>3.4993750000000006</v>
      </c>
      <c r="ED21" s="7"/>
      <c r="EE21" s="7"/>
      <c r="EF21" s="7"/>
      <c r="EG21" s="7"/>
      <c r="EH21" s="7"/>
      <c r="EI21" s="7"/>
      <c r="EJ21" s="7">
        <v>3.04</v>
      </c>
      <c r="EK21" s="7"/>
      <c r="EL21" s="7"/>
      <c r="EM21" s="7"/>
      <c r="EN21" s="7"/>
      <c r="EO21" s="7"/>
      <c r="EP21" s="7"/>
      <c r="EQ21" s="7">
        <v>3.05</v>
      </c>
      <c r="ER21" s="7"/>
      <c r="ES21" s="7"/>
      <c r="ET21" s="7"/>
      <c r="EU21" s="7"/>
      <c r="EV21" s="7"/>
      <c r="EW21" s="7"/>
      <c r="EX21" s="7">
        <v>2.9500000000000006</v>
      </c>
      <c r="EY21" s="7"/>
      <c r="EZ21" s="7">
        <v>2.9983333333333331</v>
      </c>
      <c r="FA21" s="7"/>
      <c r="FB21" s="7"/>
      <c r="FC21" s="7"/>
      <c r="FD21" s="7"/>
      <c r="FE21" s="7"/>
      <c r="FF21" s="7"/>
      <c r="FG21" s="7">
        <v>3.3099999999999996</v>
      </c>
      <c r="FH21" s="7">
        <v>3.3</v>
      </c>
      <c r="FI21" s="7"/>
      <c r="FJ21" s="7"/>
      <c r="FK21" s="7"/>
      <c r="FL21" s="7"/>
      <c r="FM21" s="7"/>
      <c r="FN21" s="7"/>
      <c r="FO21" s="7">
        <v>3.3</v>
      </c>
      <c r="FP21" s="7"/>
      <c r="FQ21" s="7"/>
      <c r="FR21" s="7"/>
      <c r="FS21" s="7"/>
      <c r="FT21" s="7"/>
      <c r="FU21" s="7">
        <v>3.24</v>
      </c>
      <c r="FV21" s="7"/>
      <c r="FW21" s="7">
        <v>3.2787500000000005</v>
      </c>
      <c r="FX21" s="7"/>
      <c r="FY21" s="7"/>
      <c r="FZ21" s="7"/>
      <c r="GA21" s="7"/>
      <c r="GB21" s="7"/>
      <c r="GC21" s="7">
        <v>3.100808823529412</v>
      </c>
    </row>
    <row r="22" spans="1:185" x14ac:dyDescent="0.15">
      <c r="A22" s="6">
        <v>41114</v>
      </c>
      <c r="B22" s="7"/>
      <c r="C22" s="7">
        <v>3.0749999999999997</v>
      </c>
      <c r="D22" s="7"/>
      <c r="E22" s="7"/>
      <c r="F22" s="7"/>
      <c r="G22" s="7"/>
      <c r="H22" s="7"/>
      <c r="I22" s="7"/>
      <c r="J22" s="7">
        <v>3.0799999999999996</v>
      </c>
      <c r="K22" s="7"/>
      <c r="L22" s="7"/>
      <c r="M22" s="7"/>
      <c r="N22" s="7"/>
      <c r="O22" s="7"/>
      <c r="P22" s="7"/>
      <c r="Q22" s="7">
        <v>2.95</v>
      </c>
      <c r="R22" s="7"/>
      <c r="S22" s="7">
        <v>3.0519999999999996</v>
      </c>
      <c r="T22" s="7"/>
      <c r="U22" s="7">
        <v>3.165</v>
      </c>
      <c r="V22" s="7">
        <v>3.0700000000000003</v>
      </c>
      <c r="W22" s="7"/>
      <c r="X22" s="7"/>
      <c r="Y22" s="7"/>
      <c r="Z22" s="7"/>
      <c r="AA22" s="7"/>
      <c r="AB22" s="7"/>
      <c r="AC22" s="7">
        <v>3.17</v>
      </c>
      <c r="AD22" s="7"/>
      <c r="AE22" s="7"/>
      <c r="AF22" s="7"/>
      <c r="AG22" s="7"/>
      <c r="AH22" s="7"/>
      <c r="AI22" s="7"/>
      <c r="AJ22" s="7">
        <v>3.125</v>
      </c>
      <c r="AK22" s="7"/>
      <c r="AL22" s="7">
        <v>3.1335714285714289</v>
      </c>
      <c r="AM22" s="7"/>
      <c r="AN22" s="7">
        <v>2.96</v>
      </c>
      <c r="AO22" s="7">
        <v>2.9649999999999999</v>
      </c>
      <c r="AP22" s="7"/>
      <c r="AQ22" s="7"/>
      <c r="AR22" s="7"/>
      <c r="AS22" s="7"/>
      <c r="AT22" s="7"/>
      <c r="AU22" s="7"/>
      <c r="AV22" s="7">
        <v>2.97</v>
      </c>
      <c r="AW22" s="7"/>
      <c r="AX22" s="7"/>
      <c r="AY22" s="7"/>
      <c r="AZ22" s="7"/>
      <c r="BA22" s="7"/>
      <c r="BB22" s="7"/>
      <c r="BC22" s="7">
        <v>2.9750000000000001</v>
      </c>
      <c r="BD22" s="7"/>
      <c r="BE22" s="7">
        <v>2.9664285714285716</v>
      </c>
      <c r="BF22" s="7"/>
      <c r="BG22" s="7">
        <v>2.95</v>
      </c>
      <c r="BH22" s="7">
        <v>2.9299999999999997</v>
      </c>
      <c r="BI22" s="7"/>
      <c r="BJ22" s="7"/>
      <c r="BK22" s="7"/>
      <c r="BL22" s="7"/>
      <c r="BM22" s="7"/>
      <c r="BN22" s="7"/>
      <c r="BO22" s="7">
        <v>2.9499999999999997</v>
      </c>
      <c r="BP22" s="7"/>
      <c r="BQ22" s="7"/>
      <c r="BR22" s="7"/>
      <c r="BS22" s="7"/>
      <c r="BT22" s="7"/>
      <c r="BU22" s="7"/>
      <c r="BV22" s="7">
        <v>2.95</v>
      </c>
      <c r="BW22" s="7"/>
      <c r="BX22" s="7">
        <v>2.9442857142857144</v>
      </c>
      <c r="BY22" s="7"/>
      <c r="BZ22" s="7">
        <v>2.95</v>
      </c>
      <c r="CA22" s="7">
        <v>2.9400000000000004</v>
      </c>
      <c r="CB22" s="7"/>
      <c r="CC22" s="7"/>
      <c r="CD22" s="7"/>
      <c r="CE22" s="7"/>
      <c r="CF22" s="7"/>
      <c r="CG22" s="7"/>
      <c r="CH22" s="7">
        <v>2.9499999999999997</v>
      </c>
      <c r="CI22" s="7"/>
      <c r="CJ22" s="7"/>
      <c r="CK22" s="7"/>
      <c r="CL22" s="7"/>
      <c r="CM22" s="7"/>
      <c r="CN22" s="7"/>
      <c r="CO22" s="7">
        <v>2.95</v>
      </c>
      <c r="CP22" s="7"/>
      <c r="CQ22" s="7">
        <v>2.9471428571428571</v>
      </c>
      <c r="CR22" s="7"/>
      <c r="CS22" s="7">
        <v>2.95</v>
      </c>
      <c r="CT22" s="7">
        <v>2.94</v>
      </c>
      <c r="CU22" s="7"/>
      <c r="CV22" s="7"/>
      <c r="CW22" s="7"/>
      <c r="CX22" s="7"/>
      <c r="CY22" s="7"/>
      <c r="CZ22" s="7"/>
      <c r="DA22" s="7">
        <v>2.91</v>
      </c>
      <c r="DB22" s="7"/>
      <c r="DC22" s="7"/>
      <c r="DD22" s="7"/>
      <c r="DE22" s="7"/>
      <c r="DF22" s="7"/>
      <c r="DG22" s="7"/>
      <c r="DH22" s="7">
        <v>2.95</v>
      </c>
      <c r="DI22" s="7"/>
      <c r="DJ22" s="7">
        <v>2.9357142857142859</v>
      </c>
      <c r="DK22" s="7"/>
      <c r="DL22" s="7">
        <v>3.51</v>
      </c>
      <c r="DM22" s="7">
        <v>3.5125000000000002</v>
      </c>
      <c r="DN22" s="7"/>
      <c r="DO22" s="7"/>
      <c r="DP22" s="7"/>
      <c r="DQ22" s="7"/>
      <c r="DR22" s="7"/>
      <c r="DS22" s="7"/>
      <c r="DT22" s="7">
        <v>3.5</v>
      </c>
      <c r="DU22" s="7"/>
      <c r="DV22" s="7"/>
      <c r="DW22" s="7"/>
      <c r="DX22" s="7"/>
      <c r="DY22" s="7"/>
      <c r="DZ22" s="7"/>
      <c r="EA22" s="7">
        <v>3.4750000000000001</v>
      </c>
      <c r="EB22" s="7"/>
      <c r="EC22" s="7">
        <v>3.5028571428571427</v>
      </c>
      <c r="ED22" s="7"/>
      <c r="EE22" s="7"/>
      <c r="EF22" s="7"/>
      <c r="EG22" s="7"/>
      <c r="EH22" s="7"/>
      <c r="EI22" s="7"/>
      <c r="EJ22" s="7">
        <v>3.0300000000000002</v>
      </c>
      <c r="EK22" s="7"/>
      <c r="EL22" s="7"/>
      <c r="EM22" s="7"/>
      <c r="EN22" s="7"/>
      <c r="EO22" s="7"/>
      <c r="EP22" s="7"/>
      <c r="EQ22" s="7">
        <v>3.0350000000000001</v>
      </c>
      <c r="ER22" s="7"/>
      <c r="ES22" s="7"/>
      <c r="ET22" s="7"/>
      <c r="EU22" s="7"/>
      <c r="EV22" s="7"/>
      <c r="EW22" s="7"/>
      <c r="EX22" s="7">
        <v>2.95</v>
      </c>
      <c r="EY22" s="7"/>
      <c r="EZ22" s="7">
        <v>3.0159999999999996</v>
      </c>
      <c r="FA22" s="7"/>
      <c r="FB22" s="7"/>
      <c r="FC22" s="7"/>
      <c r="FD22" s="7"/>
      <c r="FE22" s="7"/>
      <c r="FF22" s="7"/>
      <c r="FG22" s="7">
        <v>3.2949999999999999</v>
      </c>
      <c r="FH22" s="7">
        <v>3.2974999999999999</v>
      </c>
      <c r="FI22" s="7"/>
      <c r="FJ22" s="7"/>
      <c r="FK22" s="7"/>
      <c r="FL22" s="7"/>
      <c r="FM22" s="7"/>
      <c r="FN22" s="7"/>
      <c r="FO22" s="7">
        <v>3.29</v>
      </c>
      <c r="FP22" s="7"/>
      <c r="FQ22" s="7"/>
      <c r="FR22" s="7"/>
      <c r="FS22" s="7"/>
      <c r="FT22" s="7"/>
      <c r="FU22" s="7">
        <v>3.24</v>
      </c>
      <c r="FV22" s="7"/>
      <c r="FW22" s="7">
        <v>3.2864285714285706</v>
      </c>
      <c r="FX22" s="7"/>
      <c r="FY22" s="7"/>
      <c r="FZ22" s="7"/>
      <c r="GA22" s="7"/>
      <c r="GB22" s="7"/>
      <c r="GC22" s="7">
        <v>3.0907627118644072</v>
      </c>
    </row>
    <row r="23" spans="1:185" x14ac:dyDescent="0.15">
      <c r="A23" s="6">
        <v>41115</v>
      </c>
      <c r="B23" s="7"/>
      <c r="C23" s="7">
        <v>3.0599999999999996</v>
      </c>
      <c r="D23" s="7"/>
      <c r="E23" s="7"/>
      <c r="F23" s="7">
        <v>3.0599999999999996</v>
      </c>
      <c r="G23" s="7"/>
      <c r="H23" s="7">
        <v>3.125</v>
      </c>
      <c r="I23" s="7"/>
      <c r="J23" s="7">
        <v>3.0549999999999997</v>
      </c>
      <c r="K23" s="7"/>
      <c r="L23" s="7"/>
      <c r="M23" s="7"/>
      <c r="N23" s="7"/>
      <c r="O23" s="7"/>
      <c r="P23" s="7"/>
      <c r="Q23" s="7">
        <v>2.95</v>
      </c>
      <c r="R23" s="7"/>
      <c r="S23" s="7">
        <v>3.0393749999999997</v>
      </c>
      <c r="T23" s="7"/>
      <c r="U23" s="7">
        <v>3.145</v>
      </c>
      <c r="V23" s="7">
        <v>3.1274999999999999</v>
      </c>
      <c r="W23" s="7"/>
      <c r="X23" s="7"/>
      <c r="Y23" s="7">
        <v>3.11</v>
      </c>
      <c r="Z23" s="7"/>
      <c r="AA23" s="7">
        <v>3.1749999999999998</v>
      </c>
      <c r="AB23" s="7"/>
      <c r="AC23" s="7">
        <v>3.145</v>
      </c>
      <c r="AD23" s="7"/>
      <c r="AE23" s="7"/>
      <c r="AF23" s="7"/>
      <c r="AG23" s="7"/>
      <c r="AH23" s="7"/>
      <c r="AI23" s="7"/>
      <c r="AJ23" s="7">
        <v>3.125</v>
      </c>
      <c r="AK23" s="7"/>
      <c r="AL23" s="7">
        <v>3.137</v>
      </c>
      <c r="AM23" s="7"/>
      <c r="AN23" s="7">
        <v>2.9350000000000001</v>
      </c>
      <c r="AO23" s="7">
        <v>2.9375</v>
      </c>
      <c r="AP23" s="7"/>
      <c r="AQ23" s="7"/>
      <c r="AR23" s="7">
        <v>2.9400000000000004</v>
      </c>
      <c r="AS23" s="7"/>
      <c r="AT23" s="7">
        <v>3.0249999999999999</v>
      </c>
      <c r="AU23" s="7"/>
      <c r="AV23" s="7">
        <v>2.94</v>
      </c>
      <c r="AW23" s="7"/>
      <c r="AX23" s="7"/>
      <c r="AY23" s="7"/>
      <c r="AZ23" s="7"/>
      <c r="BA23" s="7"/>
      <c r="BB23" s="7"/>
      <c r="BC23" s="7">
        <v>2.9750000000000001</v>
      </c>
      <c r="BD23" s="7"/>
      <c r="BE23" s="7">
        <v>2.9540000000000002</v>
      </c>
      <c r="BF23" s="7"/>
      <c r="BG23" s="7">
        <v>2.92</v>
      </c>
      <c r="BH23" s="7">
        <v>2.9325000000000001</v>
      </c>
      <c r="BI23" s="7"/>
      <c r="BJ23" s="7"/>
      <c r="BK23" s="7">
        <v>2.9299999999999997</v>
      </c>
      <c r="BL23" s="7"/>
      <c r="BM23" s="7">
        <v>2.9750000000000001</v>
      </c>
      <c r="BN23" s="7"/>
      <c r="BO23" s="7">
        <v>2.9249999999999998</v>
      </c>
      <c r="BP23" s="7"/>
      <c r="BQ23" s="7"/>
      <c r="BR23" s="7"/>
      <c r="BS23" s="7"/>
      <c r="BT23" s="7"/>
      <c r="BU23" s="7"/>
      <c r="BV23" s="7">
        <v>2.95</v>
      </c>
      <c r="BW23" s="7"/>
      <c r="BX23" s="7">
        <v>2.9359999999999999</v>
      </c>
      <c r="BY23" s="7"/>
      <c r="BZ23" s="7">
        <v>2.92</v>
      </c>
      <c r="CA23" s="7">
        <v>2.9175</v>
      </c>
      <c r="CB23" s="7"/>
      <c r="CC23" s="7"/>
      <c r="CD23" s="7">
        <v>2.91</v>
      </c>
      <c r="CE23" s="7"/>
      <c r="CF23" s="7">
        <v>2.9750000000000001</v>
      </c>
      <c r="CG23" s="7"/>
      <c r="CH23" s="7">
        <v>2.9249999999999998</v>
      </c>
      <c r="CI23" s="7"/>
      <c r="CJ23" s="7"/>
      <c r="CK23" s="7"/>
      <c r="CL23" s="7"/>
      <c r="CM23" s="7"/>
      <c r="CN23" s="7"/>
      <c r="CO23" s="7">
        <v>2.95</v>
      </c>
      <c r="CP23" s="7"/>
      <c r="CQ23" s="7">
        <v>2.931</v>
      </c>
      <c r="CR23" s="7"/>
      <c r="CS23" s="7">
        <v>2.92</v>
      </c>
      <c r="CT23" s="7">
        <v>2.9375</v>
      </c>
      <c r="CU23" s="7"/>
      <c r="CV23" s="7"/>
      <c r="CW23" s="7">
        <v>2.9299999999999997</v>
      </c>
      <c r="CX23" s="7"/>
      <c r="CY23" s="7">
        <v>2.9750000000000001</v>
      </c>
      <c r="CZ23" s="7"/>
      <c r="DA23" s="7">
        <v>2.93</v>
      </c>
      <c r="DB23" s="7"/>
      <c r="DC23" s="7"/>
      <c r="DD23" s="7"/>
      <c r="DE23" s="7"/>
      <c r="DF23" s="7"/>
      <c r="DG23" s="7"/>
      <c r="DH23" s="7">
        <v>2.95</v>
      </c>
      <c r="DI23" s="7"/>
      <c r="DJ23" s="7">
        <v>2.9380000000000002</v>
      </c>
      <c r="DK23" s="7"/>
      <c r="DL23" s="7">
        <v>3.5</v>
      </c>
      <c r="DM23" s="7">
        <v>3.5</v>
      </c>
      <c r="DN23" s="7"/>
      <c r="DO23" s="7"/>
      <c r="DP23" s="7">
        <v>3.49</v>
      </c>
      <c r="DQ23" s="7"/>
      <c r="DR23" s="7">
        <v>3.5249999999999999</v>
      </c>
      <c r="DS23" s="7"/>
      <c r="DT23" s="7">
        <v>3.49</v>
      </c>
      <c r="DU23" s="7"/>
      <c r="DV23" s="7"/>
      <c r="DW23" s="7"/>
      <c r="DX23" s="7"/>
      <c r="DY23" s="7"/>
      <c r="DZ23" s="7"/>
      <c r="EA23" s="7">
        <v>3.4750000000000001</v>
      </c>
      <c r="EB23" s="7"/>
      <c r="EC23" s="7">
        <v>3.4944999999999999</v>
      </c>
      <c r="ED23" s="7"/>
      <c r="EE23" s="7"/>
      <c r="EF23" s="7"/>
      <c r="EG23" s="7"/>
      <c r="EH23" s="7"/>
      <c r="EI23" s="7"/>
      <c r="EJ23" s="7">
        <v>3.02</v>
      </c>
      <c r="EK23" s="7"/>
      <c r="EL23" s="7"/>
      <c r="EM23" s="7">
        <v>3.02</v>
      </c>
      <c r="EN23" s="7"/>
      <c r="EO23" s="7">
        <v>3.0750000000000002</v>
      </c>
      <c r="EP23" s="7"/>
      <c r="EQ23" s="7">
        <v>3.0149999999999997</v>
      </c>
      <c r="ER23" s="7"/>
      <c r="ES23" s="7"/>
      <c r="ET23" s="7"/>
      <c r="EU23" s="7"/>
      <c r="EV23" s="7"/>
      <c r="EW23" s="7"/>
      <c r="EX23" s="7">
        <v>2.95</v>
      </c>
      <c r="EY23" s="7"/>
      <c r="EZ23" s="7">
        <v>3.0081249999999997</v>
      </c>
      <c r="FA23" s="7"/>
      <c r="FB23" s="7"/>
      <c r="FC23" s="7"/>
      <c r="FD23" s="7"/>
      <c r="FE23" s="7"/>
      <c r="FF23" s="7"/>
      <c r="FG23" s="7">
        <v>3.29</v>
      </c>
      <c r="FH23" s="7">
        <v>3.28</v>
      </c>
      <c r="FI23" s="7"/>
      <c r="FJ23" s="7"/>
      <c r="FK23" s="7">
        <v>3.25</v>
      </c>
      <c r="FL23" s="7"/>
      <c r="FM23" s="7">
        <v>3.3250000000000002</v>
      </c>
      <c r="FN23" s="7"/>
      <c r="FO23" s="7">
        <v>3.2749999999999999</v>
      </c>
      <c r="FP23" s="7"/>
      <c r="FQ23" s="7"/>
      <c r="FR23" s="7"/>
      <c r="FS23" s="7"/>
      <c r="FT23" s="7"/>
      <c r="FU23" s="7">
        <v>3.24</v>
      </c>
      <c r="FV23" s="7"/>
      <c r="FW23" s="7">
        <v>3.2745000000000006</v>
      </c>
      <c r="FX23" s="7"/>
      <c r="FY23" s="7"/>
      <c r="FZ23" s="7"/>
      <c r="GA23" s="7"/>
      <c r="GB23" s="7"/>
      <c r="GC23" s="7">
        <v>3.0817441860465098</v>
      </c>
    </row>
    <row r="24" spans="1:185" x14ac:dyDescent="0.15">
      <c r="A24" s="6">
        <v>41116</v>
      </c>
      <c r="B24" s="7"/>
      <c r="C24" s="7">
        <v>3.0599999999999996</v>
      </c>
      <c r="D24" s="7"/>
      <c r="E24" s="7"/>
      <c r="F24" s="7"/>
      <c r="G24" s="7"/>
      <c r="H24" s="7"/>
      <c r="I24" s="7"/>
      <c r="J24" s="7">
        <v>3.0700000000000003</v>
      </c>
      <c r="K24" s="7"/>
      <c r="L24" s="7"/>
      <c r="M24" s="7"/>
      <c r="N24" s="7"/>
      <c r="O24" s="7"/>
      <c r="P24" s="7">
        <v>3.08</v>
      </c>
      <c r="Q24" s="7">
        <v>2.9500000000000006</v>
      </c>
      <c r="R24" s="7"/>
      <c r="S24" s="7">
        <v>3.0185714285714282</v>
      </c>
      <c r="T24" s="7"/>
      <c r="U24" s="7">
        <v>3.1399999999999997</v>
      </c>
      <c r="V24" s="7">
        <v>3.1399999999999997</v>
      </c>
      <c r="W24" s="7"/>
      <c r="X24" s="7"/>
      <c r="Y24" s="7"/>
      <c r="Z24" s="7"/>
      <c r="AA24" s="7"/>
      <c r="AB24" s="7"/>
      <c r="AC24" s="7">
        <v>3.1399999999999997</v>
      </c>
      <c r="AD24" s="7"/>
      <c r="AE24" s="7"/>
      <c r="AF24" s="7"/>
      <c r="AG24" s="7"/>
      <c r="AH24" s="7"/>
      <c r="AI24" s="7">
        <v>3.1500000000000004</v>
      </c>
      <c r="AJ24" s="7">
        <v>3.125</v>
      </c>
      <c r="AK24" s="7"/>
      <c r="AL24" s="7">
        <v>3.1361111111111111</v>
      </c>
      <c r="AM24" s="7"/>
      <c r="AN24" s="7">
        <v>2.9400000000000004</v>
      </c>
      <c r="AO24" s="7">
        <v>2.9450000000000003</v>
      </c>
      <c r="AP24" s="7"/>
      <c r="AQ24" s="7"/>
      <c r="AR24" s="7"/>
      <c r="AS24" s="7"/>
      <c r="AT24" s="7"/>
      <c r="AU24" s="7"/>
      <c r="AV24" s="7">
        <v>2.96</v>
      </c>
      <c r="AW24" s="7"/>
      <c r="AX24" s="7"/>
      <c r="AY24" s="7"/>
      <c r="AZ24" s="7"/>
      <c r="BA24" s="7"/>
      <c r="BB24" s="7">
        <v>2.9699999999999998</v>
      </c>
      <c r="BC24" s="7">
        <v>2.9750000000000001</v>
      </c>
      <c r="BD24" s="7"/>
      <c r="BE24" s="7">
        <v>2.9605555555555565</v>
      </c>
      <c r="BF24" s="7"/>
      <c r="BG24" s="7">
        <v>2.92</v>
      </c>
      <c r="BH24" s="7">
        <v>2.93</v>
      </c>
      <c r="BI24" s="7"/>
      <c r="BJ24" s="7"/>
      <c r="BK24" s="7"/>
      <c r="BL24" s="7"/>
      <c r="BM24" s="7"/>
      <c r="BN24" s="7"/>
      <c r="BO24" s="7">
        <v>2.9400000000000004</v>
      </c>
      <c r="BP24" s="7"/>
      <c r="BQ24" s="7"/>
      <c r="BR24" s="7"/>
      <c r="BS24" s="7"/>
      <c r="BT24" s="7"/>
      <c r="BU24" s="7">
        <v>2.95</v>
      </c>
      <c r="BV24" s="7">
        <v>2.9500000000000006</v>
      </c>
      <c r="BW24" s="7"/>
      <c r="BX24" s="7">
        <v>2.94</v>
      </c>
      <c r="BY24" s="7"/>
      <c r="BZ24" s="7">
        <v>2.92</v>
      </c>
      <c r="CA24" s="7">
        <v>2.9175</v>
      </c>
      <c r="CB24" s="7"/>
      <c r="CC24" s="7"/>
      <c r="CD24" s="7"/>
      <c r="CE24" s="7"/>
      <c r="CF24" s="7"/>
      <c r="CG24" s="7"/>
      <c r="CH24" s="7">
        <v>2.9400000000000004</v>
      </c>
      <c r="CI24" s="7"/>
      <c r="CJ24" s="7"/>
      <c r="CK24" s="7"/>
      <c r="CL24" s="7"/>
      <c r="CM24" s="7"/>
      <c r="CN24" s="7">
        <v>2.95</v>
      </c>
      <c r="CO24" s="7">
        <v>2.9500000000000006</v>
      </c>
      <c r="CP24" s="7"/>
      <c r="CQ24" s="7">
        <v>2.9372222222222222</v>
      </c>
      <c r="CR24" s="7"/>
      <c r="CS24" s="7">
        <v>2.92</v>
      </c>
      <c r="CT24" s="7">
        <v>2.9575</v>
      </c>
      <c r="CU24" s="7"/>
      <c r="CV24" s="7"/>
      <c r="CW24" s="7"/>
      <c r="CX24" s="7"/>
      <c r="CY24" s="7"/>
      <c r="CZ24" s="7"/>
      <c r="DA24" s="7">
        <v>2.95</v>
      </c>
      <c r="DB24" s="7"/>
      <c r="DC24" s="7"/>
      <c r="DD24" s="7"/>
      <c r="DE24" s="7"/>
      <c r="DF24" s="7"/>
      <c r="DG24" s="7">
        <v>2.96</v>
      </c>
      <c r="DH24" s="7">
        <v>2.9500000000000006</v>
      </c>
      <c r="DI24" s="7"/>
      <c r="DJ24" s="7">
        <v>2.9494444444444441</v>
      </c>
      <c r="DK24" s="7"/>
      <c r="DL24" s="7">
        <v>3.5</v>
      </c>
      <c r="DM24" s="7">
        <v>3.5049999999999999</v>
      </c>
      <c r="DN24" s="7"/>
      <c r="DO24" s="7"/>
      <c r="DP24" s="7"/>
      <c r="DQ24" s="7"/>
      <c r="DR24" s="7"/>
      <c r="DS24" s="7"/>
      <c r="DT24" s="7">
        <v>3.49</v>
      </c>
      <c r="DU24" s="7"/>
      <c r="DV24" s="7"/>
      <c r="DW24" s="7"/>
      <c r="DX24" s="7"/>
      <c r="DY24" s="7"/>
      <c r="DZ24" s="7">
        <v>3.4950000000000001</v>
      </c>
      <c r="EA24" s="7">
        <v>3.4750000000000001</v>
      </c>
      <c r="EB24" s="7"/>
      <c r="EC24" s="7">
        <v>3.4900000000000007</v>
      </c>
      <c r="ED24" s="7"/>
      <c r="EE24" s="7"/>
      <c r="EF24" s="7">
        <v>2.9750000000000001</v>
      </c>
      <c r="EG24" s="7"/>
      <c r="EH24" s="7">
        <v>2.9750000000000001</v>
      </c>
      <c r="EI24" s="7"/>
      <c r="EJ24" s="7">
        <v>3.02</v>
      </c>
      <c r="EK24" s="7"/>
      <c r="EL24" s="7"/>
      <c r="EM24" s="7"/>
      <c r="EN24" s="7"/>
      <c r="EO24" s="7"/>
      <c r="EP24" s="7"/>
      <c r="EQ24" s="7">
        <v>3.01</v>
      </c>
      <c r="ER24" s="7"/>
      <c r="ES24" s="7"/>
      <c r="ET24" s="7"/>
      <c r="EU24" s="7"/>
      <c r="EV24" s="7"/>
      <c r="EW24" s="7">
        <v>3.0049999999999999</v>
      </c>
      <c r="EX24" s="7">
        <v>2.9500000000000006</v>
      </c>
      <c r="EY24" s="7"/>
      <c r="EZ24" s="7">
        <v>2.9849999999999994</v>
      </c>
      <c r="FA24" s="7"/>
      <c r="FB24" s="7"/>
      <c r="FC24" s="7">
        <v>3.0300000000000002</v>
      </c>
      <c r="FD24" s="7"/>
      <c r="FE24" s="7">
        <v>3.0300000000000002</v>
      </c>
      <c r="FF24" s="7"/>
      <c r="FG24" s="7">
        <v>3.3</v>
      </c>
      <c r="FH24" s="7">
        <v>3.2825000000000002</v>
      </c>
      <c r="FI24" s="7"/>
      <c r="FJ24" s="7"/>
      <c r="FK24" s="7"/>
      <c r="FL24" s="7"/>
      <c r="FM24" s="7"/>
      <c r="FN24" s="7"/>
      <c r="FO24" s="7">
        <v>3.3</v>
      </c>
      <c r="FP24" s="7"/>
      <c r="FQ24" s="7"/>
      <c r="FR24" s="7"/>
      <c r="FS24" s="7"/>
      <c r="FT24" s="7"/>
      <c r="FU24" s="7">
        <v>3.24</v>
      </c>
      <c r="FV24" s="7"/>
      <c r="FW24" s="7">
        <v>3.2731250000000003</v>
      </c>
      <c r="FX24" s="7"/>
      <c r="FY24" s="7"/>
      <c r="FZ24" s="7">
        <v>3.0550000000000002</v>
      </c>
      <c r="GA24" s="7"/>
      <c r="GB24" s="7">
        <v>3.0550000000000002</v>
      </c>
      <c r="GC24" s="7">
        <v>3.0758227848101258</v>
      </c>
    </row>
    <row r="25" spans="1:185" x14ac:dyDescent="0.15">
      <c r="A25" s="6">
        <v>41117</v>
      </c>
      <c r="B25" s="7"/>
      <c r="C25" s="7">
        <v>3.0599999999999996</v>
      </c>
      <c r="D25" s="7"/>
      <c r="E25" s="7"/>
      <c r="F25" s="7"/>
      <c r="G25" s="7"/>
      <c r="H25" s="7"/>
      <c r="I25" s="7"/>
      <c r="J25" s="7">
        <v>3.09</v>
      </c>
      <c r="K25" s="7"/>
      <c r="L25" s="7"/>
      <c r="M25" s="7"/>
      <c r="N25" s="7"/>
      <c r="O25" s="7"/>
      <c r="P25" s="7"/>
      <c r="Q25" s="7">
        <v>2.95</v>
      </c>
      <c r="R25" s="7"/>
      <c r="S25" s="7">
        <v>3.0279999999999996</v>
      </c>
      <c r="T25" s="7"/>
      <c r="U25" s="7">
        <v>3.1500000000000004</v>
      </c>
      <c r="V25" s="7">
        <v>3.1725000000000003</v>
      </c>
      <c r="W25" s="7"/>
      <c r="X25" s="7"/>
      <c r="Y25" s="7"/>
      <c r="Z25" s="7"/>
      <c r="AA25" s="7"/>
      <c r="AB25" s="7"/>
      <c r="AC25" s="7">
        <v>3.16</v>
      </c>
      <c r="AD25" s="7"/>
      <c r="AE25" s="7"/>
      <c r="AF25" s="7"/>
      <c r="AG25" s="7"/>
      <c r="AH25" s="7"/>
      <c r="AI25" s="7"/>
      <c r="AJ25" s="7">
        <v>3.125</v>
      </c>
      <c r="AK25" s="7"/>
      <c r="AL25" s="7">
        <v>3.1521428571428571</v>
      </c>
      <c r="AM25" s="7"/>
      <c r="AN25" s="7">
        <v>2.96</v>
      </c>
      <c r="AO25" s="7">
        <v>2.99</v>
      </c>
      <c r="AP25" s="7"/>
      <c r="AQ25" s="7"/>
      <c r="AR25" s="7"/>
      <c r="AS25" s="7"/>
      <c r="AT25" s="7"/>
      <c r="AU25" s="7"/>
      <c r="AV25" s="7">
        <v>2.96</v>
      </c>
      <c r="AW25" s="7"/>
      <c r="AX25" s="7"/>
      <c r="AY25" s="7"/>
      <c r="AZ25" s="7"/>
      <c r="BA25" s="7"/>
      <c r="BB25" s="7"/>
      <c r="BC25" s="7">
        <v>2.9750000000000001</v>
      </c>
      <c r="BD25" s="7"/>
      <c r="BE25" s="7">
        <v>2.9728571428571438</v>
      </c>
      <c r="BF25" s="7"/>
      <c r="BG25" s="7">
        <v>2.9400000000000004</v>
      </c>
      <c r="BH25" s="7">
        <v>2.9575</v>
      </c>
      <c r="BI25" s="7"/>
      <c r="BJ25" s="7"/>
      <c r="BK25" s="7"/>
      <c r="BL25" s="7"/>
      <c r="BM25" s="7"/>
      <c r="BN25" s="7"/>
      <c r="BO25" s="7">
        <v>2.96</v>
      </c>
      <c r="BP25" s="7"/>
      <c r="BQ25" s="7"/>
      <c r="BR25" s="7"/>
      <c r="BS25" s="7"/>
      <c r="BT25" s="7"/>
      <c r="BU25" s="7"/>
      <c r="BV25" s="7">
        <v>2.95</v>
      </c>
      <c r="BW25" s="7"/>
      <c r="BX25" s="7">
        <v>2.9535714285714287</v>
      </c>
      <c r="BY25" s="7"/>
      <c r="BZ25" s="7">
        <v>2.9400000000000004</v>
      </c>
      <c r="CA25" s="7">
        <v>2.9525000000000001</v>
      </c>
      <c r="CB25" s="7"/>
      <c r="CC25" s="7"/>
      <c r="CD25" s="7"/>
      <c r="CE25" s="7"/>
      <c r="CF25" s="7"/>
      <c r="CG25" s="7"/>
      <c r="CH25" s="7">
        <v>2.9400000000000004</v>
      </c>
      <c r="CI25" s="7"/>
      <c r="CJ25" s="7"/>
      <c r="CK25" s="7"/>
      <c r="CL25" s="7"/>
      <c r="CM25" s="7"/>
      <c r="CN25" s="7"/>
      <c r="CO25" s="7">
        <v>2.95</v>
      </c>
      <c r="CP25" s="7"/>
      <c r="CQ25" s="7">
        <v>2.9464285714285716</v>
      </c>
      <c r="CR25" s="7"/>
      <c r="CS25" s="7">
        <v>2.9400000000000004</v>
      </c>
      <c r="CT25" s="7">
        <v>2.9624999999999999</v>
      </c>
      <c r="CU25" s="7"/>
      <c r="CV25" s="7"/>
      <c r="CW25" s="7"/>
      <c r="CX25" s="7"/>
      <c r="CY25" s="7"/>
      <c r="CZ25" s="7"/>
      <c r="DA25" s="7">
        <v>2.95</v>
      </c>
      <c r="DB25" s="7"/>
      <c r="DC25" s="7"/>
      <c r="DD25" s="7"/>
      <c r="DE25" s="7"/>
      <c r="DF25" s="7"/>
      <c r="DG25" s="7"/>
      <c r="DH25" s="7">
        <v>2.95</v>
      </c>
      <c r="DI25" s="7"/>
      <c r="DJ25" s="7">
        <v>2.952142857142857</v>
      </c>
      <c r="DK25" s="7"/>
      <c r="DL25" s="7">
        <v>3.5</v>
      </c>
      <c r="DM25" s="7">
        <v>3.5475000000000003</v>
      </c>
      <c r="DN25" s="7"/>
      <c r="DO25" s="7"/>
      <c r="DP25" s="7"/>
      <c r="DQ25" s="7"/>
      <c r="DR25" s="7"/>
      <c r="DS25" s="7"/>
      <c r="DT25" s="7">
        <v>3.52</v>
      </c>
      <c r="DU25" s="7"/>
      <c r="DV25" s="7"/>
      <c r="DW25" s="7"/>
      <c r="DX25" s="7"/>
      <c r="DY25" s="7"/>
      <c r="DZ25" s="7"/>
      <c r="EA25" s="7">
        <v>3.4750000000000001</v>
      </c>
      <c r="EB25" s="7"/>
      <c r="EC25" s="7">
        <v>3.5121428571428579</v>
      </c>
      <c r="ED25" s="7"/>
      <c r="EE25" s="7"/>
      <c r="EF25" s="7"/>
      <c r="EG25" s="7"/>
      <c r="EH25" s="7"/>
      <c r="EI25" s="7"/>
      <c r="EJ25" s="7">
        <v>3.02</v>
      </c>
      <c r="EK25" s="7"/>
      <c r="EL25" s="7"/>
      <c r="EM25" s="7"/>
      <c r="EN25" s="7"/>
      <c r="EO25" s="7"/>
      <c r="EP25" s="7"/>
      <c r="EQ25" s="7">
        <v>3.05</v>
      </c>
      <c r="ER25" s="7"/>
      <c r="ES25" s="7"/>
      <c r="ET25" s="7"/>
      <c r="EU25" s="7"/>
      <c r="EV25" s="7"/>
      <c r="EW25" s="7"/>
      <c r="EX25" s="7">
        <v>2.95</v>
      </c>
      <c r="EY25" s="7"/>
      <c r="EZ25" s="7">
        <v>3.004</v>
      </c>
      <c r="FA25" s="7"/>
      <c r="FB25" s="7"/>
      <c r="FC25" s="7"/>
      <c r="FD25" s="7"/>
      <c r="FE25" s="7"/>
      <c r="FF25" s="7"/>
      <c r="FG25" s="7">
        <v>3.3099999999999996</v>
      </c>
      <c r="FH25" s="7">
        <v>3.3075000000000001</v>
      </c>
      <c r="FI25" s="7"/>
      <c r="FJ25" s="7"/>
      <c r="FK25" s="7"/>
      <c r="FL25" s="7"/>
      <c r="FM25" s="7"/>
      <c r="FN25" s="7"/>
      <c r="FO25" s="7">
        <v>3.3</v>
      </c>
      <c r="FP25" s="7"/>
      <c r="FQ25" s="7"/>
      <c r="FR25" s="7"/>
      <c r="FS25" s="7"/>
      <c r="FT25" s="7"/>
      <c r="FU25" s="7">
        <v>3.24</v>
      </c>
      <c r="FV25" s="7"/>
      <c r="FW25" s="7">
        <v>3.2864285714285719</v>
      </c>
      <c r="FX25" s="7"/>
      <c r="FY25" s="7"/>
      <c r="FZ25" s="7"/>
      <c r="GA25" s="7"/>
      <c r="GB25" s="7"/>
      <c r="GC25" s="7">
        <v>3.0947457627118657</v>
      </c>
    </row>
    <row r="26" spans="1:185" x14ac:dyDescent="0.15">
      <c r="A26" s="6">
        <v>41120</v>
      </c>
      <c r="B26" s="7"/>
      <c r="C26" s="7">
        <v>3.08</v>
      </c>
      <c r="D26" s="7"/>
      <c r="E26" s="7"/>
      <c r="F26" s="7"/>
      <c r="G26" s="7"/>
      <c r="H26" s="7"/>
      <c r="I26" s="7"/>
      <c r="J26" s="7">
        <v>3.09</v>
      </c>
      <c r="K26" s="7"/>
      <c r="L26" s="7"/>
      <c r="M26" s="7"/>
      <c r="N26" s="7"/>
      <c r="O26" s="7"/>
      <c r="P26" s="7">
        <v>3.08</v>
      </c>
      <c r="Q26" s="7">
        <v>2.9850000000000008</v>
      </c>
      <c r="R26" s="7"/>
      <c r="S26" s="7">
        <v>3.0421428571428568</v>
      </c>
      <c r="T26" s="7"/>
      <c r="U26" s="7">
        <v>3.17</v>
      </c>
      <c r="V26" s="7">
        <v>3.1900000000000004</v>
      </c>
      <c r="W26" s="7"/>
      <c r="X26" s="7"/>
      <c r="Y26" s="7"/>
      <c r="Z26" s="7"/>
      <c r="AA26" s="7"/>
      <c r="AB26" s="7"/>
      <c r="AC26" s="7">
        <v>3.17</v>
      </c>
      <c r="AD26" s="7"/>
      <c r="AE26" s="7"/>
      <c r="AF26" s="7"/>
      <c r="AG26" s="7"/>
      <c r="AH26" s="7"/>
      <c r="AI26" s="7">
        <v>3.1500000000000004</v>
      </c>
      <c r="AJ26" s="7">
        <v>3.145</v>
      </c>
      <c r="AK26" s="7"/>
      <c r="AL26" s="7">
        <v>3.160625</v>
      </c>
      <c r="AM26" s="7"/>
      <c r="AN26" s="7">
        <v>2.98</v>
      </c>
      <c r="AO26" s="7">
        <v>2.9974999999999996</v>
      </c>
      <c r="AP26" s="7"/>
      <c r="AQ26" s="7"/>
      <c r="AR26" s="7"/>
      <c r="AS26" s="7"/>
      <c r="AT26" s="7"/>
      <c r="AU26" s="7"/>
      <c r="AV26" s="7">
        <v>2.9850000000000003</v>
      </c>
      <c r="AW26" s="7"/>
      <c r="AX26" s="7"/>
      <c r="AY26" s="7"/>
      <c r="AZ26" s="7"/>
      <c r="BA26" s="7"/>
      <c r="BB26" s="7">
        <v>2.9699999999999998</v>
      </c>
      <c r="BC26" s="7">
        <v>3</v>
      </c>
      <c r="BD26" s="7"/>
      <c r="BE26" s="7">
        <v>2.9905555555555554</v>
      </c>
      <c r="BF26" s="7"/>
      <c r="BG26" s="7">
        <v>2.96</v>
      </c>
      <c r="BH26" s="7">
        <v>2.9424999999999999</v>
      </c>
      <c r="BI26" s="7"/>
      <c r="BJ26" s="7"/>
      <c r="BK26" s="7"/>
      <c r="BL26" s="7"/>
      <c r="BM26" s="7"/>
      <c r="BN26" s="7"/>
      <c r="BO26" s="7">
        <v>2.96</v>
      </c>
      <c r="BP26" s="7"/>
      <c r="BQ26" s="7"/>
      <c r="BR26" s="7"/>
      <c r="BS26" s="7"/>
      <c r="BT26" s="7"/>
      <c r="BU26" s="7">
        <v>2.95</v>
      </c>
      <c r="BV26" s="7">
        <v>2.9850000000000008</v>
      </c>
      <c r="BW26" s="7"/>
      <c r="BX26" s="7">
        <v>2.9633333333333329</v>
      </c>
      <c r="BY26" s="7"/>
      <c r="BZ26" s="7">
        <v>2.96</v>
      </c>
      <c r="CA26" s="7">
        <v>2.9474999999999998</v>
      </c>
      <c r="CB26" s="7"/>
      <c r="CC26" s="7"/>
      <c r="CD26" s="7"/>
      <c r="CE26" s="7"/>
      <c r="CF26" s="7"/>
      <c r="CG26" s="7"/>
      <c r="CH26" s="7">
        <v>2.95</v>
      </c>
      <c r="CI26" s="7"/>
      <c r="CJ26" s="7"/>
      <c r="CK26" s="7"/>
      <c r="CL26" s="7"/>
      <c r="CM26" s="7"/>
      <c r="CN26" s="7">
        <v>2.95</v>
      </c>
      <c r="CO26" s="7">
        <v>2.9850000000000008</v>
      </c>
      <c r="CP26" s="7"/>
      <c r="CQ26" s="7">
        <v>2.9622222222222221</v>
      </c>
      <c r="CR26" s="7"/>
      <c r="CS26" s="7">
        <v>2.96</v>
      </c>
      <c r="CT26" s="7">
        <v>2.9750000000000001</v>
      </c>
      <c r="CU26" s="7"/>
      <c r="CV26" s="7"/>
      <c r="CW26" s="7"/>
      <c r="CX26" s="7"/>
      <c r="CY26" s="7"/>
      <c r="CZ26" s="7"/>
      <c r="DA26" s="7">
        <v>2.9649999999999999</v>
      </c>
      <c r="DB26" s="7"/>
      <c r="DC26" s="7"/>
      <c r="DD26" s="7"/>
      <c r="DE26" s="7"/>
      <c r="DF26" s="7"/>
      <c r="DG26" s="7">
        <v>2.96</v>
      </c>
      <c r="DH26" s="7">
        <v>2.9850000000000008</v>
      </c>
      <c r="DI26" s="7"/>
      <c r="DJ26" s="7">
        <v>2.9727777777777775</v>
      </c>
      <c r="DK26" s="7"/>
      <c r="DL26" s="7">
        <v>3.52</v>
      </c>
      <c r="DM26" s="7">
        <v>3.54</v>
      </c>
      <c r="DN26" s="7"/>
      <c r="DO26" s="7"/>
      <c r="DP26" s="7"/>
      <c r="DQ26" s="7"/>
      <c r="DR26" s="7"/>
      <c r="DS26" s="7"/>
      <c r="DT26" s="7">
        <v>3.5250000000000004</v>
      </c>
      <c r="DU26" s="7"/>
      <c r="DV26" s="7"/>
      <c r="DW26" s="7"/>
      <c r="DX26" s="7"/>
      <c r="DY26" s="7"/>
      <c r="DZ26" s="7">
        <v>3.4849999999999999</v>
      </c>
      <c r="EA26" s="7">
        <v>3.4750000000000001</v>
      </c>
      <c r="EB26" s="7"/>
      <c r="EC26" s="7">
        <v>3.5066666666666673</v>
      </c>
      <c r="ED26" s="7"/>
      <c r="EE26" s="7"/>
      <c r="EF26" s="7">
        <v>2.9750000000000001</v>
      </c>
      <c r="EG26" s="7"/>
      <c r="EH26" s="7">
        <v>2.9750000000000001</v>
      </c>
      <c r="EI26" s="7"/>
      <c r="EJ26" s="7">
        <v>3.04</v>
      </c>
      <c r="EK26" s="7"/>
      <c r="EL26" s="7"/>
      <c r="EM26" s="7"/>
      <c r="EN26" s="7"/>
      <c r="EO26" s="7"/>
      <c r="EP26" s="7"/>
      <c r="EQ26" s="7">
        <v>3.04</v>
      </c>
      <c r="ER26" s="7"/>
      <c r="ES26" s="7"/>
      <c r="ET26" s="7"/>
      <c r="EU26" s="7"/>
      <c r="EV26" s="7"/>
      <c r="EW26" s="7">
        <v>3.0049999999999999</v>
      </c>
      <c r="EX26" s="7">
        <v>2.9850000000000008</v>
      </c>
      <c r="EY26" s="7"/>
      <c r="EZ26" s="7">
        <v>3.0114285714285711</v>
      </c>
      <c r="FA26" s="7"/>
      <c r="FB26" s="7"/>
      <c r="FC26" s="7">
        <v>3.0300000000000002</v>
      </c>
      <c r="FD26" s="7"/>
      <c r="FE26" s="7">
        <v>3.0300000000000002</v>
      </c>
      <c r="FF26" s="7"/>
      <c r="FG26" s="7">
        <v>3.33</v>
      </c>
      <c r="FH26" s="7">
        <v>3.31</v>
      </c>
      <c r="FI26" s="7"/>
      <c r="FJ26" s="7"/>
      <c r="FK26" s="7"/>
      <c r="FL26" s="7"/>
      <c r="FM26" s="7"/>
      <c r="FN26" s="7"/>
      <c r="FO26" s="7">
        <v>3.3149999999999999</v>
      </c>
      <c r="FP26" s="7"/>
      <c r="FQ26" s="7"/>
      <c r="FR26" s="7"/>
      <c r="FS26" s="7"/>
      <c r="FT26" s="7"/>
      <c r="FU26" s="7">
        <v>3.24</v>
      </c>
      <c r="FV26" s="7"/>
      <c r="FW26" s="7">
        <v>3.2875000000000005</v>
      </c>
      <c r="FX26" s="7"/>
      <c r="FY26" s="7"/>
      <c r="FZ26" s="7">
        <v>3.0550000000000002</v>
      </c>
      <c r="GA26" s="7"/>
      <c r="GB26" s="7">
        <v>3.0550000000000002</v>
      </c>
      <c r="GC26" s="7">
        <v>3.0971794871794893</v>
      </c>
    </row>
    <row r="27" spans="1:185" x14ac:dyDescent="0.15">
      <c r="A27" s="6">
        <v>41121</v>
      </c>
      <c r="B27" s="7"/>
      <c r="C27" s="7">
        <v>3.0649999999999999</v>
      </c>
      <c r="D27" s="7"/>
      <c r="E27" s="7"/>
      <c r="F27" s="7"/>
      <c r="G27" s="7"/>
      <c r="H27" s="7"/>
      <c r="I27" s="7"/>
      <c r="J27" s="7">
        <v>3.1100000000000003</v>
      </c>
      <c r="K27" s="7"/>
      <c r="L27" s="7"/>
      <c r="M27" s="7"/>
      <c r="N27" s="7"/>
      <c r="O27" s="7"/>
      <c r="P27" s="7"/>
      <c r="Q27" s="7">
        <v>2.9850000000000003</v>
      </c>
      <c r="R27" s="7"/>
      <c r="S27" s="7">
        <v>3.0509999999999997</v>
      </c>
      <c r="T27" s="7"/>
      <c r="U27" s="7">
        <v>3.1550000000000002</v>
      </c>
      <c r="V27" s="7">
        <v>3.21</v>
      </c>
      <c r="W27" s="7"/>
      <c r="X27" s="7"/>
      <c r="Y27" s="7"/>
      <c r="Z27" s="7"/>
      <c r="AA27" s="7"/>
      <c r="AB27" s="7"/>
      <c r="AC27" s="7">
        <v>3.1900000000000004</v>
      </c>
      <c r="AD27" s="7"/>
      <c r="AE27" s="7"/>
      <c r="AF27" s="7"/>
      <c r="AG27" s="7"/>
      <c r="AH27" s="7"/>
      <c r="AI27" s="7"/>
      <c r="AJ27" s="7">
        <v>3.145</v>
      </c>
      <c r="AK27" s="7"/>
      <c r="AL27" s="7">
        <v>3.1778571428571429</v>
      </c>
      <c r="AM27" s="7"/>
      <c r="AN27" s="7">
        <v>2.9750000000000001</v>
      </c>
      <c r="AO27" s="7">
        <v>3.0324999999999998</v>
      </c>
      <c r="AP27" s="7"/>
      <c r="AQ27" s="7"/>
      <c r="AR27" s="7"/>
      <c r="AS27" s="7"/>
      <c r="AT27" s="7"/>
      <c r="AU27" s="7"/>
      <c r="AV27" s="7">
        <v>3.02</v>
      </c>
      <c r="AW27" s="7"/>
      <c r="AX27" s="7"/>
      <c r="AY27" s="7"/>
      <c r="AZ27" s="7"/>
      <c r="BA27" s="7"/>
      <c r="BB27" s="7"/>
      <c r="BC27" s="7">
        <v>3</v>
      </c>
      <c r="BD27" s="7"/>
      <c r="BE27" s="7">
        <v>3.0114285714285711</v>
      </c>
      <c r="BF27" s="7"/>
      <c r="BG27" s="7">
        <v>2.9400000000000004</v>
      </c>
      <c r="BH27" s="7">
        <v>2.9849999999999999</v>
      </c>
      <c r="BI27" s="7"/>
      <c r="BJ27" s="7"/>
      <c r="BK27" s="7"/>
      <c r="BL27" s="7"/>
      <c r="BM27" s="7"/>
      <c r="BN27" s="7"/>
      <c r="BO27" s="7">
        <v>2.9699999999999998</v>
      </c>
      <c r="BP27" s="7"/>
      <c r="BQ27" s="7"/>
      <c r="BR27" s="7"/>
      <c r="BS27" s="7"/>
      <c r="BT27" s="7"/>
      <c r="BU27" s="7"/>
      <c r="BV27" s="7">
        <v>2.9850000000000003</v>
      </c>
      <c r="BW27" s="7"/>
      <c r="BX27" s="7">
        <v>2.9742857142857138</v>
      </c>
      <c r="BY27" s="7"/>
      <c r="BZ27" s="7">
        <v>2.9350000000000001</v>
      </c>
      <c r="CA27" s="7">
        <v>2.9750000000000001</v>
      </c>
      <c r="CB27" s="7"/>
      <c r="CC27" s="7"/>
      <c r="CD27" s="7"/>
      <c r="CE27" s="7"/>
      <c r="CF27" s="7"/>
      <c r="CG27" s="7"/>
      <c r="CH27" s="7">
        <v>2.96</v>
      </c>
      <c r="CI27" s="7"/>
      <c r="CJ27" s="7"/>
      <c r="CK27" s="7"/>
      <c r="CL27" s="7"/>
      <c r="CM27" s="7"/>
      <c r="CN27" s="7"/>
      <c r="CO27" s="7">
        <v>2.9850000000000003</v>
      </c>
      <c r="CP27" s="7"/>
      <c r="CQ27" s="7">
        <v>2.9678571428571425</v>
      </c>
      <c r="CR27" s="7"/>
      <c r="CS27" s="7">
        <v>2.9350000000000001</v>
      </c>
      <c r="CT27" s="7">
        <v>3.0074999999999998</v>
      </c>
      <c r="CU27" s="7"/>
      <c r="CV27" s="7"/>
      <c r="CW27" s="7"/>
      <c r="CX27" s="7"/>
      <c r="CY27" s="7"/>
      <c r="CZ27" s="7"/>
      <c r="DA27" s="7">
        <v>2.99</v>
      </c>
      <c r="DB27" s="7"/>
      <c r="DC27" s="7"/>
      <c r="DD27" s="7"/>
      <c r="DE27" s="7"/>
      <c r="DF27" s="7"/>
      <c r="DG27" s="7"/>
      <c r="DH27" s="7">
        <v>2.9850000000000003</v>
      </c>
      <c r="DI27" s="7"/>
      <c r="DJ27" s="7">
        <v>2.9857142857142853</v>
      </c>
      <c r="DK27" s="7"/>
      <c r="DL27" s="7">
        <v>3.4950000000000001</v>
      </c>
      <c r="DM27" s="7">
        <v>3.5375000000000001</v>
      </c>
      <c r="DN27" s="7"/>
      <c r="DO27" s="7"/>
      <c r="DP27" s="7"/>
      <c r="DQ27" s="7"/>
      <c r="DR27" s="7"/>
      <c r="DS27" s="7"/>
      <c r="DT27" s="7">
        <v>3.5300000000000002</v>
      </c>
      <c r="DU27" s="7"/>
      <c r="DV27" s="7"/>
      <c r="DW27" s="7"/>
      <c r="DX27" s="7"/>
      <c r="DY27" s="7"/>
      <c r="DZ27" s="7"/>
      <c r="EA27" s="7">
        <v>3.4750000000000001</v>
      </c>
      <c r="EB27" s="7"/>
      <c r="EC27" s="7">
        <v>3.5114285714285716</v>
      </c>
      <c r="ED27" s="7"/>
      <c r="EE27" s="7"/>
      <c r="EF27" s="7"/>
      <c r="EG27" s="7"/>
      <c r="EH27" s="7"/>
      <c r="EI27" s="7"/>
      <c r="EJ27" s="7">
        <v>3.02</v>
      </c>
      <c r="EK27" s="7"/>
      <c r="EL27" s="7"/>
      <c r="EM27" s="7"/>
      <c r="EN27" s="7"/>
      <c r="EO27" s="7"/>
      <c r="EP27" s="7"/>
      <c r="EQ27" s="7">
        <v>3.0599999999999996</v>
      </c>
      <c r="ER27" s="7"/>
      <c r="ES27" s="7"/>
      <c r="ET27" s="7"/>
      <c r="EU27" s="7"/>
      <c r="EV27" s="7"/>
      <c r="EW27" s="7"/>
      <c r="EX27" s="7">
        <v>2.9850000000000003</v>
      </c>
      <c r="EY27" s="7"/>
      <c r="EZ27" s="7">
        <v>3.0219999999999998</v>
      </c>
      <c r="FA27" s="7"/>
      <c r="FB27" s="7"/>
      <c r="FC27" s="7"/>
      <c r="FD27" s="7"/>
      <c r="FE27" s="7"/>
      <c r="FF27" s="7"/>
      <c r="FG27" s="7">
        <v>3.2949999999999999</v>
      </c>
      <c r="FH27" s="7">
        <v>3.33</v>
      </c>
      <c r="FI27" s="7"/>
      <c r="FJ27" s="7"/>
      <c r="FK27" s="7"/>
      <c r="FL27" s="7"/>
      <c r="FM27" s="7"/>
      <c r="FN27" s="7"/>
      <c r="FO27" s="7">
        <v>3.32</v>
      </c>
      <c r="FP27" s="7"/>
      <c r="FQ27" s="7"/>
      <c r="FR27" s="7"/>
      <c r="FS27" s="7"/>
      <c r="FT27" s="7"/>
      <c r="FU27" s="7">
        <v>3.24</v>
      </c>
      <c r="FV27" s="7"/>
      <c r="FW27" s="7">
        <v>3.2964285714285717</v>
      </c>
      <c r="FX27" s="7"/>
      <c r="FY27" s="7"/>
      <c r="FZ27" s="7"/>
      <c r="GA27" s="7"/>
      <c r="GB27" s="7"/>
      <c r="GC27" s="7">
        <v>3.1159322033898316</v>
      </c>
    </row>
    <row r="28" spans="1:185" x14ac:dyDescent="0.15">
      <c r="A28" s="6">
        <v>41122</v>
      </c>
      <c r="B28" s="7"/>
      <c r="C28" s="7"/>
      <c r="D28" s="7"/>
      <c r="E28" s="7"/>
      <c r="F28" s="7"/>
      <c r="G28" s="7"/>
      <c r="H28" s="7"/>
      <c r="I28" s="7"/>
      <c r="J28" s="7">
        <v>3.08</v>
      </c>
      <c r="K28" s="7"/>
      <c r="L28" s="7"/>
      <c r="M28" s="7">
        <v>3.1100000000000003</v>
      </c>
      <c r="N28" s="7"/>
      <c r="O28" s="7"/>
      <c r="P28" s="7"/>
      <c r="Q28" s="7">
        <v>2.9850000000000003</v>
      </c>
      <c r="R28" s="7"/>
      <c r="S28" s="7">
        <v>3.0583333333333331</v>
      </c>
      <c r="T28" s="7"/>
      <c r="U28" s="7"/>
      <c r="V28" s="7">
        <v>3.1750000000000003</v>
      </c>
      <c r="W28" s="7"/>
      <c r="X28" s="7"/>
      <c r="Y28" s="7"/>
      <c r="Z28" s="7"/>
      <c r="AA28" s="7"/>
      <c r="AB28" s="7"/>
      <c r="AC28" s="7">
        <v>3.17</v>
      </c>
      <c r="AD28" s="7"/>
      <c r="AE28" s="7"/>
      <c r="AF28" s="7">
        <v>3.1749999999999998</v>
      </c>
      <c r="AG28" s="7"/>
      <c r="AH28" s="7"/>
      <c r="AI28" s="7"/>
      <c r="AJ28" s="7">
        <v>3.145</v>
      </c>
      <c r="AK28" s="7"/>
      <c r="AL28" s="7">
        <v>3.1662499999999998</v>
      </c>
      <c r="AM28" s="7"/>
      <c r="AN28" s="7"/>
      <c r="AO28" s="7">
        <v>3.01</v>
      </c>
      <c r="AP28" s="7"/>
      <c r="AQ28" s="7"/>
      <c r="AR28" s="7"/>
      <c r="AS28" s="7"/>
      <c r="AT28" s="7"/>
      <c r="AU28" s="7"/>
      <c r="AV28" s="7">
        <v>3</v>
      </c>
      <c r="AW28" s="7"/>
      <c r="AX28" s="7"/>
      <c r="AY28" s="7">
        <v>3</v>
      </c>
      <c r="AZ28" s="7"/>
      <c r="BA28" s="7"/>
      <c r="BB28" s="7"/>
      <c r="BC28" s="7">
        <v>3</v>
      </c>
      <c r="BD28" s="7"/>
      <c r="BE28" s="7">
        <v>3.0024999999999999</v>
      </c>
      <c r="BF28" s="7"/>
      <c r="BG28" s="7"/>
      <c r="BH28" s="7">
        <v>2.96</v>
      </c>
      <c r="BI28" s="7"/>
      <c r="BJ28" s="7"/>
      <c r="BK28" s="7"/>
      <c r="BL28" s="7"/>
      <c r="BM28" s="7"/>
      <c r="BN28" s="7"/>
      <c r="BO28" s="7">
        <v>2.95</v>
      </c>
      <c r="BP28" s="7"/>
      <c r="BQ28" s="7"/>
      <c r="BR28" s="7">
        <v>2.9475000000000002</v>
      </c>
      <c r="BS28" s="7"/>
      <c r="BT28" s="7"/>
      <c r="BU28" s="7"/>
      <c r="BV28" s="7">
        <v>2.9850000000000003</v>
      </c>
      <c r="BW28" s="7"/>
      <c r="BX28" s="7">
        <v>2.9606249999999998</v>
      </c>
      <c r="BY28" s="7"/>
      <c r="BZ28" s="7"/>
      <c r="CA28" s="7">
        <v>2.9575</v>
      </c>
      <c r="CB28" s="7"/>
      <c r="CC28" s="7"/>
      <c r="CD28" s="7"/>
      <c r="CE28" s="7"/>
      <c r="CF28" s="7"/>
      <c r="CG28" s="7"/>
      <c r="CH28" s="7">
        <v>2.95</v>
      </c>
      <c r="CI28" s="7"/>
      <c r="CJ28" s="7"/>
      <c r="CK28" s="7">
        <v>2.9475000000000002</v>
      </c>
      <c r="CL28" s="7"/>
      <c r="CM28" s="7"/>
      <c r="CN28" s="7"/>
      <c r="CO28" s="7">
        <v>2.9850000000000003</v>
      </c>
      <c r="CP28" s="7"/>
      <c r="CQ28" s="7">
        <v>2.96</v>
      </c>
      <c r="CR28" s="7"/>
      <c r="CS28" s="7"/>
      <c r="CT28" s="7">
        <v>2.9849999999999999</v>
      </c>
      <c r="CU28" s="7"/>
      <c r="CV28" s="7"/>
      <c r="CW28" s="7"/>
      <c r="CX28" s="7"/>
      <c r="CY28" s="7"/>
      <c r="CZ28" s="7"/>
      <c r="DA28" s="7">
        <v>2.9699999999999998</v>
      </c>
      <c r="DB28" s="7"/>
      <c r="DC28" s="7"/>
      <c r="DD28" s="7">
        <v>2.9724999999999997</v>
      </c>
      <c r="DE28" s="7"/>
      <c r="DF28" s="7"/>
      <c r="DG28" s="7"/>
      <c r="DH28" s="7">
        <v>2.9850000000000003</v>
      </c>
      <c r="DI28" s="7"/>
      <c r="DJ28" s="7">
        <v>2.9781249999999999</v>
      </c>
      <c r="DK28" s="7"/>
      <c r="DL28" s="7"/>
      <c r="DM28" s="7">
        <v>3.5225</v>
      </c>
      <c r="DN28" s="7"/>
      <c r="DO28" s="7"/>
      <c r="DP28" s="7"/>
      <c r="DQ28" s="7"/>
      <c r="DR28" s="7"/>
      <c r="DS28" s="7"/>
      <c r="DT28" s="7">
        <v>3.51</v>
      </c>
      <c r="DU28" s="7"/>
      <c r="DV28" s="7"/>
      <c r="DW28" s="7">
        <v>3.5049999999999999</v>
      </c>
      <c r="DX28" s="7"/>
      <c r="DY28" s="7"/>
      <c r="DZ28" s="7"/>
      <c r="EA28" s="7">
        <v>3.4750000000000001</v>
      </c>
      <c r="EB28" s="7"/>
      <c r="EC28" s="7">
        <v>3.5031250000000003</v>
      </c>
      <c r="ED28" s="7"/>
      <c r="EE28" s="7">
        <v>3</v>
      </c>
      <c r="EF28" s="7"/>
      <c r="EG28" s="7"/>
      <c r="EH28" s="7">
        <v>3</v>
      </c>
      <c r="EI28" s="7"/>
      <c r="EJ28" s="7"/>
      <c r="EK28" s="7"/>
      <c r="EL28" s="7"/>
      <c r="EM28" s="7"/>
      <c r="EN28" s="7"/>
      <c r="EO28" s="7"/>
      <c r="EP28" s="7"/>
      <c r="EQ28" s="7">
        <v>3.0300000000000002</v>
      </c>
      <c r="ER28" s="7"/>
      <c r="ES28" s="7"/>
      <c r="ET28" s="7">
        <v>3.0700000000000003</v>
      </c>
      <c r="EU28" s="7"/>
      <c r="EV28" s="7"/>
      <c r="EW28" s="7"/>
      <c r="EX28" s="7">
        <v>2.9850000000000003</v>
      </c>
      <c r="EY28" s="7"/>
      <c r="EZ28" s="7">
        <v>3.0283333333333338</v>
      </c>
      <c r="FA28" s="7"/>
      <c r="FB28" s="7">
        <v>3.08</v>
      </c>
      <c r="FC28" s="7"/>
      <c r="FD28" s="7"/>
      <c r="FE28" s="7">
        <v>3.08</v>
      </c>
      <c r="FF28" s="7"/>
      <c r="FG28" s="7"/>
      <c r="FH28" s="7">
        <v>3.3025000000000002</v>
      </c>
      <c r="FI28" s="7"/>
      <c r="FJ28" s="7"/>
      <c r="FK28" s="7"/>
      <c r="FL28" s="7"/>
      <c r="FM28" s="7"/>
      <c r="FN28" s="7"/>
      <c r="FO28" s="7">
        <v>3.3099999999999996</v>
      </c>
      <c r="FP28" s="7"/>
      <c r="FQ28" s="7"/>
      <c r="FR28" s="7">
        <v>3.29</v>
      </c>
      <c r="FS28" s="7"/>
      <c r="FT28" s="7"/>
      <c r="FU28" s="7">
        <v>3.24</v>
      </c>
      <c r="FV28" s="7"/>
      <c r="FW28" s="7">
        <v>3.2856249999999996</v>
      </c>
      <c r="FX28" s="7"/>
      <c r="FY28" s="7">
        <v>3.0999999999999996</v>
      </c>
      <c r="FZ28" s="7"/>
      <c r="GA28" s="7"/>
      <c r="GB28" s="7">
        <v>3.0999999999999996</v>
      </c>
      <c r="GC28" s="7">
        <v>3.1044594594594606</v>
      </c>
    </row>
    <row r="29" spans="1:185" x14ac:dyDescent="0.15">
      <c r="A29" s="6">
        <v>41123</v>
      </c>
      <c r="B29" s="7"/>
      <c r="C29" s="7"/>
      <c r="D29" s="7"/>
      <c r="E29" s="7"/>
      <c r="F29" s="7"/>
      <c r="G29" s="7"/>
      <c r="H29" s="7"/>
      <c r="I29" s="7"/>
      <c r="J29" s="7">
        <v>3.0999999999999996</v>
      </c>
      <c r="K29" s="7"/>
      <c r="L29" s="7"/>
      <c r="M29" s="7">
        <v>3.1100000000000003</v>
      </c>
      <c r="N29" s="7"/>
      <c r="O29" s="7"/>
      <c r="P29" s="7"/>
      <c r="Q29" s="7">
        <v>2.9850000000000003</v>
      </c>
      <c r="R29" s="7"/>
      <c r="S29" s="7">
        <v>3.0579999999999998</v>
      </c>
      <c r="T29" s="7"/>
      <c r="U29" s="7"/>
      <c r="V29" s="7">
        <v>3.1875</v>
      </c>
      <c r="W29" s="7"/>
      <c r="X29" s="7"/>
      <c r="Y29" s="7"/>
      <c r="Z29" s="7"/>
      <c r="AA29" s="7"/>
      <c r="AB29" s="7"/>
      <c r="AC29" s="7">
        <v>3.1900000000000004</v>
      </c>
      <c r="AD29" s="7"/>
      <c r="AE29" s="7"/>
      <c r="AF29" s="7">
        <v>3.17</v>
      </c>
      <c r="AG29" s="7"/>
      <c r="AH29" s="7"/>
      <c r="AI29" s="7"/>
      <c r="AJ29" s="7">
        <v>3.145</v>
      </c>
      <c r="AK29" s="7"/>
      <c r="AL29" s="7">
        <v>3.1707142857142858</v>
      </c>
      <c r="AM29" s="7"/>
      <c r="AN29" s="7"/>
      <c r="AO29" s="7">
        <v>3.0149999999999997</v>
      </c>
      <c r="AP29" s="7"/>
      <c r="AQ29" s="7"/>
      <c r="AR29" s="7"/>
      <c r="AS29" s="7"/>
      <c r="AT29" s="7"/>
      <c r="AU29" s="7"/>
      <c r="AV29" s="7">
        <v>3.02</v>
      </c>
      <c r="AW29" s="7"/>
      <c r="AX29" s="7"/>
      <c r="AY29" s="7">
        <v>3</v>
      </c>
      <c r="AZ29" s="7"/>
      <c r="BA29" s="7"/>
      <c r="BB29" s="7"/>
      <c r="BC29" s="7">
        <v>3</v>
      </c>
      <c r="BD29" s="7"/>
      <c r="BE29" s="7">
        <v>3.0071428571428567</v>
      </c>
      <c r="BF29" s="7"/>
      <c r="BG29" s="7"/>
      <c r="BH29" s="7">
        <v>2.9649999999999999</v>
      </c>
      <c r="BI29" s="7"/>
      <c r="BJ29" s="7"/>
      <c r="BK29" s="7"/>
      <c r="BL29" s="7"/>
      <c r="BM29" s="7"/>
      <c r="BN29" s="7"/>
      <c r="BO29" s="7">
        <v>2.9699999999999998</v>
      </c>
      <c r="BP29" s="7"/>
      <c r="BQ29" s="7"/>
      <c r="BR29" s="7">
        <v>2.95</v>
      </c>
      <c r="BS29" s="7"/>
      <c r="BT29" s="7"/>
      <c r="BU29" s="7"/>
      <c r="BV29" s="7">
        <v>2.9850000000000003</v>
      </c>
      <c r="BW29" s="7"/>
      <c r="BX29" s="7">
        <v>2.9671428571428566</v>
      </c>
      <c r="BY29" s="7"/>
      <c r="BZ29" s="7"/>
      <c r="CA29" s="7">
        <v>2.96</v>
      </c>
      <c r="CB29" s="7"/>
      <c r="CC29" s="7"/>
      <c r="CD29" s="7"/>
      <c r="CE29" s="7"/>
      <c r="CF29" s="7"/>
      <c r="CG29" s="7"/>
      <c r="CH29" s="7">
        <v>2.9699999999999998</v>
      </c>
      <c r="CI29" s="7"/>
      <c r="CJ29" s="7"/>
      <c r="CK29" s="7">
        <v>2.95</v>
      </c>
      <c r="CL29" s="7"/>
      <c r="CM29" s="7"/>
      <c r="CN29" s="7"/>
      <c r="CO29" s="7">
        <v>2.9850000000000003</v>
      </c>
      <c r="CP29" s="7"/>
      <c r="CQ29" s="7">
        <v>2.9657142857142853</v>
      </c>
      <c r="CR29" s="7"/>
      <c r="CS29" s="7"/>
      <c r="CT29" s="7">
        <v>2.9824999999999999</v>
      </c>
      <c r="CU29" s="7"/>
      <c r="CV29" s="7"/>
      <c r="CW29" s="7"/>
      <c r="CX29" s="7"/>
      <c r="CY29" s="7"/>
      <c r="CZ29" s="7"/>
      <c r="DA29" s="7">
        <v>2.99</v>
      </c>
      <c r="DB29" s="7"/>
      <c r="DC29" s="7"/>
      <c r="DD29" s="7">
        <v>2.9699999999999998</v>
      </c>
      <c r="DE29" s="7"/>
      <c r="DF29" s="7"/>
      <c r="DG29" s="7"/>
      <c r="DH29" s="7">
        <v>2.9850000000000003</v>
      </c>
      <c r="DI29" s="7"/>
      <c r="DJ29" s="7">
        <v>2.9807142857142854</v>
      </c>
      <c r="DK29" s="7"/>
      <c r="DL29" s="7"/>
      <c r="DM29" s="7">
        <v>3.51</v>
      </c>
      <c r="DN29" s="7"/>
      <c r="DO29" s="7"/>
      <c r="DP29" s="7"/>
      <c r="DQ29" s="7"/>
      <c r="DR29" s="7"/>
      <c r="DS29" s="7"/>
      <c r="DT29" s="7">
        <v>3.52</v>
      </c>
      <c r="DU29" s="7"/>
      <c r="DV29" s="7"/>
      <c r="DW29" s="7">
        <v>3.5</v>
      </c>
      <c r="DX29" s="7"/>
      <c r="DY29" s="7"/>
      <c r="DZ29" s="7"/>
      <c r="EA29" s="7">
        <v>3.4750000000000001</v>
      </c>
      <c r="EB29" s="7"/>
      <c r="EC29" s="7">
        <v>3.4985714285714287</v>
      </c>
      <c r="ED29" s="7"/>
      <c r="EE29" s="7">
        <v>3</v>
      </c>
      <c r="EF29" s="7"/>
      <c r="EG29" s="7"/>
      <c r="EH29" s="7">
        <v>3</v>
      </c>
      <c r="EI29" s="7"/>
      <c r="EJ29" s="7"/>
      <c r="EK29" s="7"/>
      <c r="EL29" s="7"/>
      <c r="EM29" s="7"/>
      <c r="EN29" s="7"/>
      <c r="EO29" s="7"/>
      <c r="EP29" s="7"/>
      <c r="EQ29" s="7">
        <v>3.05</v>
      </c>
      <c r="ER29" s="7"/>
      <c r="ES29" s="7"/>
      <c r="ET29" s="7">
        <v>3.0700000000000003</v>
      </c>
      <c r="EU29" s="7"/>
      <c r="EV29" s="7"/>
      <c r="EW29" s="7"/>
      <c r="EX29" s="7">
        <v>2.9850000000000003</v>
      </c>
      <c r="EY29" s="7"/>
      <c r="EZ29" s="7">
        <v>3.032</v>
      </c>
      <c r="FA29" s="7"/>
      <c r="FB29" s="7">
        <v>3.08</v>
      </c>
      <c r="FC29" s="7"/>
      <c r="FD29" s="7"/>
      <c r="FE29" s="7">
        <v>3.08</v>
      </c>
      <c r="FF29" s="7"/>
      <c r="FG29" s="7"/>
      <c r="FH29" s="7">
        <v>3.3125</v>
      </c>
      <c r="FI29" s="7"/>
      <c r="FJ29" s="7"/>
      <c r="FK29" s="7"/>
      <c r="FL29" s="7"/>
      <c r="FM29" s="7"/>
      <c r="FN29" s="7"/>
      <c r="FO29" s="7">
        <v>3.3200000000000003</v>
      </c>
      <c r="FP29" s="7"/>
      <c r="FQ29" s="7"/>
      <c r="FR29" s="7">
        <v>3.29</v>
      </c>
      <c r="FS29" s="7"/>
      <c r="FT29" s="7"/>
      <c r="FU29" s="7">
        <v>3.24</v>
      </c>
      <c r="FV29" s="7"/>
      <c r="FW29" s="7">
        <v>3.2864285714285719</v>
      </c>
      <c r="FX29" s="7"/>
      <c r="FY29" s="7">
        <v>3.0999999999999996</v>
      </c>
      <c r="FZ29" s="7"/>
      <c r="GA29" s="7"/>
      <c r="GB29" s="7">
        <v>3.0999999999999996</v>
      </c>
      <c r="GC29" s="7">
        <v>3.106846153846154</v>
      </c>
    </row>
    <row r="30" spans="1:185" x14ac:dyDescent="0.15">
      <c r="A30" s="6">
        <v>41124</v>
      </c>
      <c r="B30" s="7"/>
      <c r="C30" s="7"/>
      <c r="D30" s="7"/>
      <c r="E30" s="7"/>
      <c r="F30" s="7"/>
      <c r="G30" s="7"/>
      <c r="H30" s="7"/>
      <c r="I30" s="7"/>
      <c r="J30" s="7">
        <v>3.105</v>
      </c>
      <c r="K30" s="7"/>
      <c r="L30" s="7"/>
      <c r="M30" s="7">
        <v>3.1100000000000003</v>
      </c>
      <c r="N30" s="7"/>
      <c r="O30" s="7"/>
      <c r="P30" s="7"/>
      <c r="Q30" s="7">
        <v>2.9850000000000003</v>
      </c>
      <c r="R30" s="7"/>
      <c r="S30" s="7">
        <v>3.0829999999999997</v>
      </c>
      <c r="T30" s="7"/>
      <c r="U30" s="7"/>
      <c r="V30" s="7">
        <v>3.1500000000000004</v>
      </c>
      <c r="W30" s="7"/>
      <c r="X30" s="7"/>
      <c r="Y30" s="7"/>
      <c r="Z30" s="7"/>
      <c r="AA30" s="7"/>
      <c r="AB30" s="7"/>
      <c r="AC30" s="7">
        <v>3.1850000000000001</v>
      </c>
      <c r="AD30" s="7"/>
      <c r="AE30" s="7"/>
      <c r="AF30" s="7">
        <v>3.17</v>
      </c>
      <c r="AG30" s="7"/>
      <c r="AH30" s="7"/>
      <c r="AI30" s="7"/>
      <c r="AJ30" s="7">
        <v>3.145</v>
      </c>
      <c r="AK30" s="7"/>
      <c r="AL30" s="7">
        <v>3.1675</v>
      </c>
      <c r="AM30" s="7"/>
      <c r="AN30" s="7"/>
      <c r="AO30" s="7">
        <v>3.01</v>
      </c>
      <c r="AP30" s="7"/>
      <c r="AQ30" s="7"/>
      <c r="AR30" s="7"/>
      <c r="AS30" s="7"/>
      <c r="AT30" s="7"/>
      <c r="AU30" s="7"/>
      <c r="AV30" s="7">
        <v>3.02</v>
      </c>
      <c r="AW30" s="7"/>
      <c r="AX30" s="7"/>
      <c r="AY30" s="7">
        <v>3</v>
      </c>
      <c r="AZ30" s="7"/>
      <c r="BA30" s="7"/>
      <c r="BB30" s="7"/>
      <c r="BC30" s="7">
        <v>3</v>
      </c>
      <c r="BD30" s="7"/>
      <c r="BE30" s="7">
        <v>3.0085714285714285</v>
      </c>
      <c r="BF30" s="7"/>
      <c r="BG30" s="7"/>
      <c r="BH30" s="7">
        <v>2.9699999999999998</v>
      </c>
      <c r="BI30" s="7"/>
      <c r="BJ30" s="7"/>
      <c r="BK30" s="7"/>
      <c r="BL30" s="7"/>
      <c r="BM30" s="7"/>
      <c r="BN30" s="7"/>
      <c r="BO30" s="7">
        <v>2.9699999999999998</v>
      </c>
      <c r="BP30" s="7"/>
      <c r="BQ30" s="7"/>
      <c r="BR30" s="7">
        <v>2.95</v>
      </c>
      <c r="BS30" s="7"/>
      <c r="BT30" s="7"/>
      <c r="BU30" s="7"/>
      <c r="BV30" s="7">
        <v>2.9850000000000003</v>
      </c>
      <c r="BW30" s="7"/>
      <c r="BX30" s="7">
        <v>2.9664285714285712</v>
      </c>
      <c r="BY30" s="7"/>
      <c r="BZ30" s="7"/>
      <c r="CA30" s="7">
        <v>2.96</v>
      </c>
      <c r="CB30" s="7"/>
      <c r="CC30" s="7"/>
      <c r="CD30" s="7"/>
      <c r="CE30" s="7"/>
      <c r="CF30" s="7"/>
      <c r="CG30" s="7"/>
      <c r="CH30" s="7">
        <v>2.9699999999999998</v>
      </c>
      <c r="CI30" s="7"/>
      <c r="CJ30" s="7"/>
      <c r="CK30" s="7">
        <v>2.95</v>
      </c>
      <c r="CL30" s="7"/>
      <c r="CM30" s="7"/>
      <c r="CN30" s="7"/>
      <c r="CO30" s="7">
        <v>2.9850000000000003</v>
      </c>
      <c r="CP30" s="7"/>
      <c r="CQ30" s="7">
        <v>2.9635714285714281</v>
      </c>
      <c r="CR30" s="7"/>
      <c r="CS30" s="7"/>
      <c r="CT30" s="7">
        <v>2.9950000000000001</v>
      </c>
      <c r="CU30" s="7"/>
      <c r="CV30" s="7"/>
      <c r="CW30" s="7"/>
      <c r="CX30" s="7"/>
      <c r="CY30" s="7"/>
      <c r="CZ30" s="7"/>
      <c r="DA30" s="7">
        <v>2.98</v>
      </c>
      <c r="DB30" s="7"/>
      <c r="DC30" s="7"/>
      <c r="DD30" s="7">
        <v>2.9699999999999998</v>
      </c>
      <c r="DE30" s="7"/>
      <c r="DF30" s="7"/>
      <c r="DG30" s="7"/>
      <c r="DH30" s="7">
        <v>2.9850000000000003</v>
      </c>
      <c r="DI30" s="7"/>
      <c r="DJ30" s="7">
        <v>2.9821428571428572</v>
      </c>
      <c r="DK30" s="7"/>
      <c r="DL30" s="7"/>
      <c r="DM30" s="7">
        <v>3.4849999999999999</v>
      </c>
      <c r="DN30" s="7"/>
      <c r="DO30" s="7"/>
      <c r="DP30" s="7"/>
      <c r="DQ30" s="7"/>
      <c r="DR30" s="7"/>
      <c r="DS30" s="7"/>
      <c r="DT30" s="7">
        <v>3.5149999999999997</v>
      </c>
      <c r="DU30" s="7"/>
      <c r="DV30" s="7"/>
      <c r="DW30" s="7">
        <v>3.5</v>
      </c>
      <c r="DX30" s="7"/>
      <c r="DY30" s="7"/>
      <c r="DZ30" s="7"/>
      <c r="EA30" s="7">
        <v>3.4750000000000001</v>
      </c>
      <c r="EB30" s="7"/>
      <c r="EC30" s="7">
        <v>3.4964285714285714</v>
      </c>
      <c r="ED30" s="7"/>
      <c r="EE30" s="7">
        <v>3</v>
      </c>
      <c r="EF30" s="7"/>
      <c r="EG30" s="7"/>
      <c r="EH30" s="7">
        <v>3</v>
      </c>
      <c r="EI30" s="7"/>
      <c r="EJ30" s="7"/>
      <c r="EK30" s="7"/>
      <c r="EL30" s="7"/>
      <c r="EM30" s="7"/>
      <c r="EN30" s="7"/>
      <c r="EO30" s="7"/>
      <c r="EP30" s="7"/>
      <c r="EQ30" s="7">
        <v>3.0549999999999997</v>
      </c>
      <c r="ER30" s="7"/>
      <c r="ES30" s="7"/>
      <c r="ET30" s="7">
        <v>3.0700000000000003</v>
      </c>
      <c r="EU30" s="7"/>
      <c r="EV30" s="7"/>
      <c r="EW30" s="7"/>
      <c r="EX30" s="7">
        <v>2.9850000000000003</v>
      </c>
      <c r="EY30" s="7"/>
      <c r="EZ30" s="7">
        <v>3.0469999999999997</v>
      </c>
      <c r="FA30" s="7"/>
      <c r="FB30" s="7">
        <v>3.08</v>
      </c>
      <c r="FC30" s="7"/>
      <c r="FD30" s="7"/>
      <c r="FE30" s="7">
        <v>3.08</v>
      </c>
      <c r="FF30" s="7"/>
      <c r="FG30" s="7"/>
      <c r="FH30" s="7">
        <v>3.29</v>
      </c>
      <c r="FI30" s="7"/>
      <c r="FJ30" s="7"/>
      <c r="FK30" s="7"/>
      <c r="FL30" s="7"/>
      <c r="FM30" s="7"/>
      <c r="FN30" s="7"/>
      <c r="FO30" s="7">
        <v>3.3149999999999999</v>
      </c>
      <c r="FP30" s="7"/>
      <c r="FQ30" s="7"/>
      <c r="FR30" s="7">
        <v>3.29</v>
      </c>
      <c r="FS30" s="7"/>
      <c r="FT30" s="7"/>
      <c r="FU30" s="7">
        <v>3.24</v>
      </c>
      <c r="FV30" s="7"/>
      <c r="FW30" s="7">
        <v>3.29</v>
      </c>
      <c r="FX30" s="7"/>
      <c r="FY30" s="7">
        <v>3.0999999999999996</v>
      </c>
      <c r="FZ30" s="7"/>
      <c r="GA30" s="7"/>
      <c r="GB30" s="7">
        <v>3.0999999999999996</v>
      </c>
      <c r="GC30" s="7">
        <v>3.1088281250000001</v>
      </c>
    </row>
    <row r="31" spans="1:185" x14ac:dyDescent="0.15">
      <c r="A31" s="6">
        <v>41127</v>
      </c>
      <c r="B31" s="7"/>
      <c r="C31" s="7"/>
      <c r="D31" s="7">
        <v>3.0999999999999996</v>
      </c>
      <c r="E31" s="7"/>
      <c r="F31" s="7"/>
      <c r="G31" s="7"/>
      <c r="H31" s="7"/>
      <c r="I31" s="7"/>
      <c r="J31" s="7">
        <v>3.1549999999999998</v>
      </c>
      <c r="K31" s="7">
        <v>3.25</v>
      </c>
      <c r="L31" s="7"/>
      <c r="M31" s="7">
        <v>3.1900000000000004</v>
      </c>
      <c r="N31" s="7"/>
      <c r="O31" s="7"/>
      <c r="P31" s="7"/>
      <c r="Q31" s="7">
        <v>3.3049999999999997</v>
      </c>
      <c r="R31" s="7"/>
      <c r="S31" s="7">
        <v>3.2062500000000003</v>
      </c>
      <c r="T31" s="7"/>
      <c r="U31" s="7"/>
      <c r="V31" s="7">
        <v>3.375</v>
      </c>
      <c r="W31" s="7">
        <v>3.15</v>
      </c>
      <c r="X31" s="7"/>
      <c r="Y31" s="7"/>
      <c r="Z31" s="7"/>
      <c r="AA31" s="7"/>
      <c r="AB31" s="7"/>
      <c r="AC31" s="7">
        <v>3.2250000000000001</v>
      </c>
      <c r="AD31" s="7">
        <v>3.3049999999999997</v>
      </c>
      <c r="AE31" s="7"/>
      <c r="AF31" s="7">
        <v>3.2</v>
      </c>
      <c r="AG31" s="7"/>
      <c r="AH31" s="7"/>
      <c r="AI31" s="7"/>
      <c r="AJ31" s="7">
        <v>3.3450000000000002</v>
      </c>
      <c r="AK31" s="7"/>
      <c r="AL31" s="7">
        <v>3.2745000000000006</v>
      </c>
      <c r="AM31" s="7"/>
      <c r="AN31" s="7"/>
      <c r="AO31" s="7">
        <v>3.2349999999999999</v>
      </c>
      <c r="AP31" s="7">
        <v>3.01</v>
      </c>
      <c r="AQ31" s="7"/>
      <c r="AR31" s="7"/>
      <c r="AS31" s="7"/>
      <c r="AT31" s="7"/>
      <c r="AU31" s="7"/>
      <c r="AV31" s="7">
        <v>3.0749999999999997</v>
      </c>
      <c r="AW31" s="7">
        <v>3.0750000000000002</v>
      </c>
      <c r="AX31" s="7"/>
      <c r="AY31" s="7">
        <v>3.09</v>
      </c>
      <c r="AZ31" s="7"/>
      <c r="BA31" s="7"/>
      <c r="BB31" s="7"/>
      <c r="BC31" s="7">
        <v>3.2050000000000001</v>
      </c>
      <c r="BD31" s="7"/>
      <c r="BE31" s="7">
        <v>3.1294999999999997</v>
      </c>
      <c r="BF31" s="7"/>
      <c r="BG31" s="7"/>
      <c r="BH31" s="7">
        <v>3.1825000000000001</v>
      </c>
      <c r="BI31" s="7">
        <v>2.9699999999999998</v>
      </c>
      <c r="BJ31" s="7"/>
      <c r="BK31" s="7"/>
      <c r="BL31" s="7"/>
      <c r="BM31" s="7"/>
      <c r="BN31" s="7"/>
      <c r="BO31" s="7">
        <v>3.0249999999999999</v>
      </c>
      <c r="BP31" s="7">
        <v>3.0750000000000002</v>
      </c>
      <c r="BQ31" s="7"/>
      <c r="BR31" s="7">
        <v>3.05</v>
      </c>
      <c r="BS31" s="7"/>
      <c r="BT31" s="7"/>
      <c r="BU31" s="7"/>
      <c r="BV31" s="7">
        <v>3.1875</v>
      </c>
      <c r="BW31" s="7"/>
      <c r="BX31" s="7">
        <v>3.0935000000000001</v>
      </c>
      <c r="BY31" s="7"/>
      <c r="BZ31" s="7"/>
      <c r="CA31" s="7">
        <v>3.01</v>
      </c>
      <c r="CB31" s="7">
        <v>2.96</v>
      </c>
      <c r="CC31" s="7"/>
      <c r="CD31" s="7"/>
      <c r="CE31" s="7"/>
      <c r="CF31" s="7"/>
      <c r="CG31" s="7"/>
      <c r="CH31" s="7">
        <v>3.02</v>
      </c>
      <c r="CI31" s="7">
        <v>3.0750000000000002</v>
      </c>
      <c r="CJ31" s="7"/>
      <c r="CK31" s="7">
        <v>3.05</v>
      </c>
      <c r="CL31" s="7"/>
      <c r="CM31" s="7"/>
      <c r="CN31" s="7"/>
      <c r="CO31" s="7">
        <v>3.1924999999999999</v>
      </c>
      <c r="CP31" s="7"/>
      <c r="CQ31" s="7">
        <v>3.0579999999999998</v>
      </c>
      <c r="CR31" s="7"/>
      <c r="CS31" s="7"/>
      <c r="CT31" s="7">
        <v>3.1399999999999997</v>
      </c>
      <c r="CU31" s="7">
        <v>2.9699999999999998</v>
      </c>
      <c r="CV31" s="7"/>
      <c r="CW31" s="7"/>
      <c r="CX31" s="7"/>
      <c r="CY31" s="7"/>
      <c r="CZ31" s="7"/>
      <c r="DA31" s="7">
        <v>3.04</v>
      </c>
      <c r="DB31" s="7">
        <v>3.125</v>
      </c>
      <c r="DC31" s="7"/>
      <c r="DD31" s="7">
        <v>3.05</v>
      </c>
      <c r="DE31" s="7"/>
      <c r="DF31" s="7"/>
      <c r="DG31" s="7"/>
      <c r="DH31" s="7">
        <v>3.2174999999999998</v>
      </c>
      <c r="DI31" s="7"/>
      <c r="DJ31" s="7">
        <v>3.0990000000000006</v>
      </c>
      <c r="DK31" s="7"/>
      <c r="DL31" s="7"/>
      <c r="DM31" s="7">
        <v>3.4950000000000001</v>
      </c>
      <c r="DN31" s="7">
        <v>3.4699999999999998</v>
      </c>
      <c r="DO31" s="7"/>
      <c r="DP31" s="7"/>
      <c r="DQ31" s="7"/>
      <c r="DR31" s="7"/>
      <c r="DS31" s="7"/>
      <c r="DT31" s="7">
        <v>3.5150000000000001</v>
      </c>
      <c r="DU31" s="7">
        <v>3.5249999999999999</v>
      </c>
      <c r="DV31" s="7"/>
      <c r="DW31" s="7">
        <v>3.5</v>
      </c>
      <c r="DX31" s="7"/>
      <c r="DY31" s="7"/>
      <c r="DZ31" s="7"/>
      <c r="EA31" s="7">
        <v>3.4</v>
      </c>
      <c r="EB31" s="7"/>
      <c r="EC31" s="7">
        <v>3.4814999999999996</v>
      </c>
      <c r="ED31" s="7"/>
      <c r="EE31" s="7">
        <v>3.0700000000000003</v>
      </c>
      <c r="EF31" s="7"/>
      <c r="EG31" s="7">
        <v>3.2749999999999999</v>
      </c>
      <c r="EH31" s="7">
        <v>3.1725000000000003</v>
      </c>
      <c r="EI31" s="7"/>
      <c r="EJ31" s="7"/>
      <c r="EK31" s="7">
        <v>3.0599999999999996</v>
      </c>
      <c r="EL31" s="7"/>
      <c r="EM31" s="7"/>
      <c r="EN31" s="7"/>
      <c r="EO31" s="7"/>
      <c r="EP31" s="7"/>
      <c r="EQ31" s="7">
        <v>3.105</v>
      </c>
      <c r="ER31" s="7">
        <v>3.2</v>
      </c>
      <c r="ES31" s="7"/>
      <c r="ET31" s="7">
        <v>3.1500000000000004</v>
      </c>
      <c r="EU31" s="7"/>
      <c r="EV31" s="7"/>
      <c r="EW31" s="7"/>
      <c r="EX31" s="7">
        <v>3.2750000000000004</v>
      </c>
      <c r="EY31" s="7"/>
      <c r="EZ31" s="7">
        <v>3.165</v>
      </c>
      <c r="FA31" s="7"/>
      <c r="FB31" s="7">
        <v>3.16</v>
      </c>
      <c r="FC31" s="7"/>
      <c r="FD31" s="7">
        <v>3.2874999999999996</v>
      </c>
      <c r="FE31" s="7">
        <v>3.2237500000000003</v>
      </c>
      <c r="FF31" s="7"/>
      <c r="FG31" s="7"/>
      <c r="FH31" s="7">
        <v>3.3149999999999999</v>
      </c>
      <c r="FI31" s="7">
        <v>3.2800000000000002</v>
      </c>
      <c r="FJ31" s="7"/>
      <c r="FK31" s="7"/>
      <c r="FL31" s="7"/>
      <c r="FM31" s="7"/>
      <c r="FN31" s="7"/>
      <c r="FO31" s="7">
        <v>3.3299999999999996</v>
      </c>
      <c r="FP31" s="7">
        <v>3.335</v>
      </c>
      <c r="FQ31" s="7"/>
      <c r="FR31" s="7">
        <v>3.3</v>
      </c>
      <c r="FS31" s="7"/>
      <c r="FT31" s="7"/>
      <c r="FU31" s="7">
        <v>3.6500000000000004</v>
      </c>
      <c r="FV31" s="7"/>
      <c r="FW31" s="7">
        <v>3.387777777777778</v>
      </c>
      <c r="FX31" s="7"/>
      <c r="FY31" s="7">
        <v>3.1799999999999997</v>
      </c>
      <c r="FZ31" s="7"/>
      <c r="GA31" s="7">
        <v>3.2750000000000004</v>
      </c>
      <c r="GB31" s="7">
        <v>3.2275</v>
      </c>
      <c r="GC31" s="7">
        <v>3.2094329896907223</v>
      </c>
    </row>
    <row r="32" spans="1:185" x14ac:dyDescent="0.15">
      <c r="A32" s="6">
        <v>41128</v>
      </c>
      <c r="B32" s="7"/>
      <c r="C32" s="7">
        <v>3.1150000000000002</v>
      </c>
      <c r="D32" s="7"/>
      <c r="E32" s="7"/>
      <c r="F32" s="7"/>
      <c r="G32" s="7"/>
      <c r="H32" s="7"/>
      <c r="I32" s="7"/>
      <c r="J32" s="7">
        <v>3.18</v>
      </c>
      <c r="K32" s="7"/>
      <c r="L32" s="7"/>
      <c r="M32" s="7">
        <v>3.1900000000000004</v>
      </c>
      <c r="N32" s="7"/>
      <c r="O32" s="7"/>
      <c r="P32" s="7"/>
      <c r="Q32" s="7">
        <v>3.15</v>
      </c>
      <c r="R32" s="7">
        <v>3.2249999999999996</v>
      </c>
      <c r="S32" s="7">
        <v>3.1661111111111109</v>
      </c>
      <c r="T32" s="7"/>
      <c r="U32" s="7">
        <v>3.1849999999999996</v>
      </c>
      <c r="V32" s="7">
        <v>3.2175000000000002</v>
      </c>
      <c r="W32" s="7"/>
      <c r="X32" s="7"/>
      <c r="Y32" s="7"/>
      <c r="Z32" s="7"/>
      <c r="AA32" s="7"/>
      <c r="AB32" s="7"/>
      <c r="AC32" s="7">
        <v>3.2250000000000001</v>
      </c>
      <c r="AD32" s="7"/>
      <c r="AE32" s="7"/>
      <c r="AF32" s="7">
        <v>3.2</v>
      </c>
      <c r="AG32" s="7"/>
      <c r="AH32" s="7"/>
      <c r="AI32" s="7"/>
      <c r="AJ32" s="7">
        <v>3.2</v>
      </c>
      <c r="AK32" s="7">
        <v>3.2</v>
      </c>
      <c r="AL32" s="7">
        <v>3.2050000000000001</v>
      </c>
      <c r="AM32" s="7"/>
      <c r="AN32" s="7">
        <v>3.04</v>
      </c>
      <c r="AO32" s="7">
        <v>3.1025</v>
      </c>
      <c r="AP32" s="7"/>
      <c r="AQ32" s="7"/>
      <c r="AR32" s="7"/>
      <c r="AS32" s="7"/>
      <c r="AT32" s="7"/>
      <c r="AU32" s="7"/>
      <c r="AV32" s="7">
        <v>3.11</v>
      </c>
      <c r="AW32" s="7"/>
      <c r="AX32" s="7"/>
      <c r="AY32" s="7">
        <v>3.09</v>
      </c>
      <c r="AZ32" s="7"/>
      <c r="BA32" s="7"/>
      <c r="BB32" s="7"/>
      <c r="BC32" s="7">
        <v>3.0750000000000002</v>
      </c>
      <c r="BD32" s="7">
        <v>3.0999999999999996</v>
      </c>
      <c r="BE32" s="7">
        <v>3.0850000000000004</v>
      </c>
      <c r="BF32" s="7"/>
      <c r="BG32" s="7">
        <v>3</v>
      </c>
      <c r="BH32" s="7">
        <v>3.0949999999999998</v>
      </c>
      <c r="BI32" s="7"/>
      <c r="BJ32" s="7"/>
      <c r="BK32" s="7"/>
      <c r="BL32" s="7"/>
      <c r="BM32" s="7"/>
      <c r="BN32" s="7"/>
      <c r="BO32" s="7">
        <v>3.085</v>
      </c>
      <c r="BP32" s="7"/>
      <c r="BQ32" s="7"/>
      <c r="BR32" s="7">
        <v>3.05</v>
      </c>
      <c r="BS32" s="7"/>
      <c r="BT32" s="7"/>
      <c r="BU32" s="7"/>
      <c r="BV32" s="7">
        <v>3.0249999999999999</v>
      </c>
      <c r="BW32" s="7">
        <v>3.13</v>
      </c>
      <c r="BX32" s="7">
        <v>3.0581818181818181</v>
      </c>
      <c r="BY32" s="7"/>
      <c r="BZ32" s="7">
        <v>2.9950000000000001</v>
      </c>
      <c r="CA32" s="7">
        <v>3.0449999999999999</v>
      </c>
      <c r="CB32" s="7"/>
      <c r="CC32" s="7"/>
      <c r="CD32" s="7"/>
      <c r="CE32" s="7"/>
      <c r="CF32" s="7"/>
      <c r="CG32" s="7"/>
      <c r="CH32" s="7">
        <v>3.07</v>
      </c>
      <c r="CI32" s="7"/>
      <c r="CJ32" s="7"/>
      <c r="CK32" s="7">
        <v>3.05</v>
      </c>
      <c r="CL32" s="7"/>
      <c r="CM32" s="7"/>
      <c r="CN32" s="7"/>
      <c r="CO32" s="7">
        <v>3.0249999999999999</v>
      </c>
      <c r="CP32" s="7">
        <v>3.05</v>
      </c>
      <c r="CQ32" s="7">
        <v>3.0381818181818177</v>
      </c>
      <c r="CR32" s="7"/>
      <c r="CS32" s="7">
        <v>2.9950000000000001</v>
      </c>
      <c r="CT32" s="7">
        <v>3.0775000000000001</v>
      </c>
      <c r="CU32" s="7"/>
      <c r="CV32" s="7"/>
      <c r="CW32" s="7"/>
      <c r="CX32" s="7"/>
      <c r="CY32" s="7"/>
      <c r="CZ32" s="7"/>
      <c r="DA32" s="7">
        <v>3.085</v>
      </c>
      <c r="DB32" s="7"/>
      <c r="DC32" s="7"/>
      <c r="DD32" s="7">
        <v>3.05</v>
      </c>
      <c r="DE32" s="7"/>
      <c r="DF32" s="7"/>
      <c r="DG32" s="7"/>
      <c r="DH32" s="7">
        <v>3.05</v>
      </c>
      <c r="DI32" s="7">
        <v>3.0750000000000002</v>
      </c>
      <c r="DJ32" s="7">
        <v>3.0536363636363641</v>
      </c>
      <c r="DK32" s="7"/>
      <c r="DL32" s="7">
        <v>3.4800000000000004</v>
      </c>
      <c r="DM32" s="7">
        <v>3.4550000000000001</v>
      </c>
      <c r="DN32" s="7"/>
      <c r="DO32" s="7"/>
      <c r="DP32" s="7"/>
      <c r="DQ32" s="7"/>
      <c r="DR32" s="7"/>
      <c r="DS32" s="7"/>
      <c r="DT32" s="7">
        <v>3.48</v>
      </c>
      <c r="DU32" s="7"/>
      <c r="DV32" s="7"/>
      <c r="DW32" s="7">
        <v>3.5</v>
      </c>
      <c r="DX32" s="7"/>
      <c r="DY32" s="7"/>
      <c r="DZ32" s="7"/>
      <c r="EA32" s="7">
        <v>3.4</v>
      </c>
      <c r="EB32" s="7">
        <v>3.4750000000000001</v>
      </c>
      <c r="EC32" s="7">
        <v>3.4640909090909089</v>
      </c>
      <c r="ED32" s="7"/>
      <c r="EE32" s="7">
        <v>3.0700000000000003</v>
      </c>
      <c r="EF32" s="7"/>
      <c r="EG32" s="7">
        <v>3.15</v>
      </c>
      <c r="EH32" s="7">
        <v>3.1100000000000003</v>
      </c>
      <c r="EI32" s="7"/>
      <c r="EJ32" s="7">
        <v>3.0649999999999995</v>
      </c>
      <c r="EK32" s="7"/>
      <c r="EL32" s="7"/>
      <c r="EM32" s="7"/>
      <c r="EN32" s="7"/>
      <c r="EO32" s="7"/>
      <c r="EP32" s="7"/>
      <c r="EQ32" s="7">
        <v>3.13</v>
      </c>
      <c r="ER32" s="7"/>
      <c r="ES32" s="7"/>
      <c r="ET32" s="7">
        <v>3.1500000000000004</v>
      </c>
      <c r="EU32" s="7"/>
      <c r="EV32" s="7"/>
      <c r="EW32" s="7"/>
      <c r="EX32" s="7">
        <v>3.15</v>
      </c>
      <c r="EY32" s="7">
        <v>3.1500000000000004</v>
      </c>
      <c r="EZ32" s="7">
        <v>3.1266666666666669</v>
      </c>
      <c r="FA32" s="7"/>
      <c r="FB32" s="7">
        <v>3.16</v>
      </c>
      <c r="FC32" s="7"/>
      <c r="FD32" s="7">
        <v>3.15</v>
      </c>
      <c r="FE32" s="7">
        <v>3.1550000000000002</v>
      </c>
      <c r="FF32" s="7"/>
      <c r="FG32" s="7">
        <v>3.2850000000000001</v>
      </c>
      <c r="FH32" s="7">
        <v>3.31</v>
      </c>
      <c r="FI32" s="7"/>
      <c r="FJ32" s="7"/>
      <c r="FK32" s="7"/>
      <c r="FL32" s="7"/>
      <c r="FM32" s="7"/>
      <c r="FN32" s="7"/>
      <c r="FO32" s="7">
        <v>3.32</v>
      </c>
      <c r="FP32" s="7"/>
      <c r="FQ32" s="7"/>
      <c r="FR32" s="7">
        <v>3.3</v>
      </c>
      <c r="FS32" s="7"/>
      <c r="FT32" s="7"/>
      <c r="FU32" s="7">
        <v>3.6500000000000004</v>
      </c>
      <c r="FV32" s="7">
        <v>3.3250000000000002</v>
      </c>
      <c r="FW32" s="7">
        <v>3.3686363636363641</v>
      </c>
      <c r="FX32" s="7"/>
      <c r="FY32" s="7">
        <v>3.1799999999999997</v>
      </c>
      <c r="FZ32" s="7"/>
      <c r="GA32" s="7">
        <v>3.15</v>
      </c>
      <c r="GB32" s="7">
        <v>3.165</v>
      </c>
      <c r="GC32" s="7">
        <v>3.1715420560747658</v>
      </c>
    </row>
    <row r="33" spans="1:185" x14ac:dyDescent="0.15">
      <c r="A33" s="6">
        <v>41129</v>
      </c>
      <c r="B33" s="7"/>
      <c r="C33" s="7"/>
      <c r="D33" s="7"/>
      <c r="E33" s="7"/>
      <c r="F33" s="7"/>
      <c r="G33" s="7"/>
      <c r="H33" s="7"/>
      <c r="I33" s="7"/>
      <c r="J33" s="7">
        <v>3.19</v>
      </c>
      <c r="K33" s="7"/>
      <c r="L33" s="7"/>
      <c r="M33" s="7">
        <v>3.1900000000000004</v>
      </c>
      <c r="N33" s="7"/>
      <c r="O33" s="7"/>
      <c r="P33" s="7"/>
      <c r="Q33" s="7">
        <v>3.15</v>
      </c>
      <c r="R33" s="7"/>
      <c r="S33" s="7">
        <v>3.1820000000000004</v>
      </c>
      <c r="T33" s="7"/>
      <c r="U33" s="7"/>
      <c r="V33" s="7">
        <v>3.21</v>
      </c>
      <c r="W33" s="7"/>
      <c r="X33" s="7"/>
      <c r="Y33" s="7"/>
      <c r="Z33" s="7"/>
      <c r="AA33" s="7"/>
      <c r="AB33" s="7"/>
      <c r="AC33" s="7">
        <v>3.2050000000000001</v>
      </c>
      <c r="AD33" s="7"/>
      <c r="AE33" s="7"/>
      <c r="AF33" s="7">
        <v>3.2</v>
      </c>
      <c r="AG33" s="7"/>
      <c r="AH33" s="7"/>
      <c r="AI33" s="7"/>
      <c r="AJ33" s="7">
        <v>3.2</v>
      </c>
      <c r="AK33" s="7"/>
      <c r="AL33" s="7">
        <v>3.2033333333333331</v>
      </c>
      <c r="AM33" s="7"/>
      <c r="AN33" s="7"/>
      <c r="AO33" s="7">
        <v>3.0999999999999996</v>
      </c>
      <c r="AP33" s="7"/>
      <c r="AQ33" s="7"/>
      <c r="AR33" s="7"/>
      <c r="AS33" s="7"/>
      <c r="AT33" s="7"/>
      <c r="AU33" s="7"/>
      <c r="AV33" s="7">
        <v>3.105</v>
      </c>
      <c r="AW33" s="7"/>
      <c r="AX33" s="7"/>
      <c r="AY33" s="7">
        <v>3.09</v>
      </c>
      <c r="AZ33" s="7"/>
      <c r="BA33" s="7"/>
      <c r="BB33" s="7"/>
      <c r="BC33" s="7">
        <v>3.0750000000000002</v>
      </c>
      <c r="BD33" s="7"/>
      <c r="BE33" s="7">
        <v>3.0941666666666663</v>
      </c>
      <c r="BF33" s="7"/>
      <c r="BG33" s="7"/>
      <c r="BH33" s="7">
        <v>3.0700000000000003</v>
      </c>
      <c r="BI33" s="7"/>
      <c r="BJ33" s="7"/>
      <c r="BK33" s="7"/>
      <c r="BL33" s="7"/>
      <c r="BM33" s="7"/>
      <c r="BN33" s="7"/>
      <c r="BO33" s="7">
        <v>3.0750000000000002</v>
      </c>
      <c r="BP33" s="7"/>
      <c r="BQ33" s="7"/>
      <c r="BR33" s="7">
        <v>3.05</v>
      </c>
      <c r="BS33" s="7"/>
      <c r="BT33" s="7"/>
      <c r="BU33" s="7"/>
      <c r="BV33" s="7">
        <v>3.0249999999999999</v>
      </c>
      <c r="BW33" s="7"/>
      <c r="BX33" s="7">
        <v>3.0574999999999997</v>
      </c>
      <c r="BY33" s="7"/>
      <c r="BZ33" s="7"/>
      <c r="CA33" s="7">
        <v>3.0599999999999996</v>
      </c>
      <c r="CB33" s="7"/>
      <c r="CC33" s="7"/>
      <c r="CD33" s="7"/>
      <c r="CE33" s="7"/>
      <c r="CF33" s="7"/>
      <c r="CG33" s="7"/>
      <c r="CH33" s="7">
        <v>3.0649999999999999</v>
      </c>
      <c r="CI33" s="7"/>
      <c r="CJ33" s="7"/>
      <c r="CK33" s="7">
        <v>3.05</v>
      </c>
      <c r="CL33" s="7"/>
      <c r="CM33" s="7"/>
      <c r="CN33" s="7"/>
      <c r="CO33" s="7">
        <v>3.0249999999999999</v>
      </c>
      <c r="CP33" s="7"/>
      <c r="CQ33" s="7">
        <v>3.0524999999999998</v>
      </c>
      <c r="CR33" s="7"/>
      <c r="CS33" s="7"/>
      <c r="CT33" s="7">
        <v>3.1100000000000003</v>
      </c>
      <c r="CU33" s="7"/>
      <c r="CV33" s="7"/>
      <c r="CW33" s="7"/>
      <c r="CX33" s="7"/>
      <c r="CY33" s="7"/>
      <c r="CZ33" s="7"/>
      <c r="DA33" s="7">
        <v>3.09</v>
      </c>
      <c r="DB33" s="7"/>
      <c r="DC33" s="7"/>
      <c r="DD33" s="7">
        <v>3.05</v>
      </c>
      <c r="DE33" s="7"/>
      <c r="DF33" s="7"/>
      <c r="DG33" s="7"/>
      <c r="DH33" s="7">
        <v>3.05</v>
      </c>
      <c r="DI33" s="7"/>
      <c r="DJ33" s="7">
        <v>3.0733333333333337</v>
      </c>
      <c r="DK33" s="7"/>
      <c r="DL33" s="7"/>
      <c r="DM33" s="7">
        <v>3.45</v>
      </c>
      <c r="DN33" s="7"/>
      <c r="DO33" s="7"/>
      <c r="DP33" s="7"/>
      <c r="DQ33" s="7"/>
      <c r="DR33" s="7"/>
      <c r="DS33" s="7"/>
      <c r="DT33" s="7">
        <v>3.4550000000000001</v>
      </c>
      <c r="DU33" s="7"/>
      <c r="DV33" s="7"/>
      <c r="DW33" s="7">
        <v>3.5</v>
      </c>
      <c r="DX33" s="7"/>
      <c r="DY33" s="7"/>
      <c r="DZ33" s="7"/>
      <c r="EA33" s="7">
        <v>3.4</v>
      </c>
      <c r="EB33" s="7"/>
      <c r="EC33" s="7">
        <v>3.4599999999999995</v>
      </c>
      <c r="ED33" s="7"/>
      <c r="EE33" s="7">
        <v>3.0700000000000003</v>
      </c>
      <c r="EF33" s="7"/>
      <c r="EG33" s="7">
        <v>3.15</v>
      </c>
      <c r="EH33" s="7">
        <v>3.0966666666666671</v>
      </c>
      <c r="EI33" s="7"/>
      <c r="EJ33" s="7"/>
      <c r="EK33" s="7"/>
      <c r="EL33" s="7"/>
      <c r="EM33" s="7"/>
      <c r="EN33" s="7"/>
      <c r="EO33" s="7"/>
      <c r="EP33" s="7"/>
      <c r="EQ33" s="7">
        <v>3.145</v>
      </c>
      <c r="ER33" s="7"/>
      <c r="ES33" s="7"/>
      <c r="ET33" s="7">
        <v>3.1500000000000004</v>
      </c>
      <c r="EU33" s="7"/>
      <c r="EV33" s="7"/>
      <c r="EW33" s="7"/>
      <c r="EX33" s="7">
        <v>3.15</v>
      </c>
      <c r="EY33" s="7"/>
      <c r="EZ33" s="7">
        <v>3.1480000000000006</v>
      </c>
      <c r="FA33" s="7"/>
      <c r="FB33" s="7">
        <v>3.16</v>
      </c>
      <c r="FC33" s="7"/>
      <c r="FD33" s="7">
        <v>3.15</v>
      </c>
      <c r="FE33" s="7">
        <v>3.1566666666666667</v>
      </c>
      <c r="FF33" s="7"/>
      <c r="FG33" s="7"/>
      <c r="FH33" s="7">
        <v>3.3</v>
      </c>
      <c r="FI33" s="7"/>
      <c r="FJ33" s="7"/>
      <c r="FK33" s="7"/>
      <c r="FL33" s="7"/>
      <c r="FM33" s="7"/>
      <c r="FN33" s="7"/>
      <c r="FO33" s="7">
        <v>3.3049999999999997</v>
      </c>
      <c r="FP33" s="7"/>
      <c r="FQ33" s="7"/>
      <c r="FR33" s="7">
        <v>3.3</v>
      </c>
      <c r="FS33" s="7"/>
      <c r="FT33" s="7"/>
      <c r="FU33" s="7">
        <v>3.6500000000000004</v>
      </c>
      <c r="FV33" s="7"/>
      <c r="FW33" s="7">
        <v>3.3600000000000008</v>
      </c>
      <c r="FX33" s="7"/>
      <c r="FY33" s="7">
        <v>3.1799999999999997</v>
      </c>
      <c r="FZ33" s="7"/>
      <c r="GA33" s="7">
        <v>3.15</v>
      </c>
      <c r="GB33" s="7">
        <v>3.17</v>
      </c>
      <c r="GC33" s="7">
        <v>3.1758196721311487</v>
      </c>
    </row>
    <row r="34" spans="1:185" x14ac:dyDescent="0.15">
      <c r="A34" s="6">
        <v>41130</v>
      </c>
      <c r="B34" s="7"/>
      <c r="C34" s="7"/>
      <c r="D34" s="7"/>
      <c r="E34" s="7"/>
      <c r="F34" s="7"/>
      <c r="G34" s="7"/>
      <c r="H34" s="7"/>
      <c r="I34" s="7"/>
      <c r="J34" s="7">
        <v>3.2</v>
      </c>
      <c r="K34" s="7"/>
      <c r="L34" s="7"/>
      <c r="M34" s="7">
        <v>3.1900000000000004</v>
      </c>
      <c r="N34" s="7"/>
      <c r="O34" s="7"/>
      <c r="P34" s="7"/>
      <c r="Q34" s="7">
        <v>3.15</v>
      </c>
      <c r="R34" s="7"/>
      <c r="S34" s="7">
        <v>3.1825000000000006</v>
      </c>
      <c r="T34" s="7"/>
      <c r="U34" s="7"/>
      <c r="V34" s="7">
        <v>3.145</v>
      </c>
      <c r="W34" s="7"/>
      <c r="X34" s="7"/>
      <c r="Y34" s="7"/>
      <c r="Z34" s="7"/>
      <c r="AA34" s="7"/>
      <c r="AB34" s="7"/>
      <c r="AC34" s="7">
        <v>3.2</v>
      </c>
      <c r="AD34" s="7"/>
      <c r="AE34" s="7"/>
      <c r="AF34" s="7">
        <v>3.1750000000000003</v>
      </c>
      <c r="AG34" s="7"/>
      <c r="AH34" s="7"/>
      <c r="AI34" s="7"/>
      <c r="AJ34" s="7">
        <v>3.2</v>
      </c>
      <c r="AK34" s="7"/>
      <c r="AL34" s="7">
        <v>3.1733333333333338</v>
      </c>
      <c r="AM34" s="7"/>
      <c r="AN34" s="7"/>
      <c r="AO34" s="7">
        <v>3.0550000000000002</v>
      </c>
      <c r="AP34" s="7"/>
      <c r="AQ34" s="7"/>
      <c r="AR34" s="7"/>
      <c r="AS34" s="7"/>
      <c r="AT34" s="7"/>
      <c r="AU34" s="7"/>
      <c r="AV34" s="7">
        <v>3.0999999999999996</v>
      </c>
      <c r="AW34" s="7"/>
      <c r="AX34" s="7"/>
      <c r="AY34" s="7">
        <v>3.09</v>
      </c>
      <c r="AZ34" s="7"/>
      <c r="BA34" s="7"/>
      <c r="BB34" s="7"/>
      <c r="BC34" s="7">
        <v>3.0750000000000002</v>
      </c>
      <c r="BD34" s="7"/>
      <c r="BE34" s="7">
        <v>3.0775000000000001</v>
      </c>
      <c r="BF34" s="7"/>
      <c r="BG34" s="7"/>
      <c r="BH34" s="7">
        <v>3.0649999999999999</v>
      </c>
      <c r="BI34" s="7"/>
      <c r="BJ34" s="7"/>
      <c r="BK34" s="7"/>
      <c r="BL34" s="7"/>
      <c r="BM34" s="7"/>
      <c r="BN34" s="7"/>
      <c r="BO34" s="7">
        <v>3.0700000000000003</v>
      </c>
      <c r="BP34" s="7"/>
      <c r="BQ34" s="7"/>
      <c r="BR34" s="7">
        <v>3.09</v>
      </c>
      <c r="BS34" s="7"/>
      <c r="BT34" s="7"/>
      <c r="BU34" s="7"/>
      <c r="BV34" s="7">
        <v>3.0249999999999999</v>
      </c>
      <c r="BW34" s="7"/>
      <c r="BX34" s="7">
        <v>3.0674999999999994</v>
      </c>
      <c r="BY34" s="7"/>
      <c r="BZ34" s="7"/>
      <c r="CA34" s="7">
        <v>3.0674999999999999</v>
      </c>
      <c r="CB34" s="7"/>
      <c r="CC34" s="7"/>
      <c r="CD34" s="7"/>
      <c r="CE34" s="7"/>
      <c r="CF34" s="7"/>
      <c r="CG34" s="7"/>
      <c r="CH34" s="7">
        <v>3.0599999999999996</v>
      </c>
      <c r="CI34" s="7"/>
      <c r="CJ34" s="7"/>
      <c r="CK34" s="7">
        <v>3.0700000000000003</v>
      </c>
      <c r="CL34" s="7"/>
      <c r="CM34" s="7"/>
      <c r="CN34" s="7"/>
      <c r="CO34" s="7">
        <v>3.0249999999999999</v>
      </c>
      <c r="CP34" s="7"/>
      <c r="CQ34" s="7">
        <v>3.06</v>
      </c>
      <c r="CR34" s="7"/>
      <c r="CS34" s="7"/>
      <c r="CT34" s="7">
        <v>3.09</v>
      </c>
      <c r="CU34" s="7"/>
      <c r="CV34" s="7"/>
      <c r="CW34" s="7"/>
      <c r="CX34" s="7"/>
      <c r="CY34" s="7"/>
      <c r="CZ34" s="7"/>
      <c r="DA34" s="7">
        <v>3.09</v>
      </c>
      <c r="DB34" s="7"/>
      <c r="DC34" s="7"/>
      <c r="DD34" s="7">
        <v>3.09</v>
      </c>
      <c r="DE34" s="7"/>
      <c r="DF34" s="7"/>
      <c r="DG34" s="7"/>
      <c r="DH34" s="7">
        <v>3.05</v>
      </c>
      <c r="DI34" s="7"/>
      <c r="DJ34" s="7">
        <v>3.0833333333333335</v>
      </c>
      <c r="DK34" s="7"/>
      <c r="DL34" s="7"/>
      <c r="DM34" s="7">
        <v>3.3899999999999997</v>
      </c>
      <c r="DN34" s="7"/>
      <c r="DO34" s="7"/>
      <c r="DP34" s="7"/>
      <c r="DQ34" s="7"/>
      <c r="DR34" s="7"/>
      <c r="DS34" s="7"/>
      <c r="DT34" s="7">
        <v>3.45</v>
      </c>
      <c r="DU34" s="7"/>
      <c r="DV34" s="7"/>
      <c r="DW34" s="7">
        <v>3.45</v>
      </c>
      <c r="DX34" s="7"/>
      <c r="DY34" s="7"/>
      <c r="DZ34" s="7"/>
      <c r="EA34" s="7">
        <v>3.4</v>
      </c>
      <c r="EB34" s="7"/>
      <c r="EC34" s="7">
        <v>3.4216666666666664</v>
      </c>
      <c r="ED34" s="7"/>
      <c r="EE34" s="7">
        <v>3.12</v>
      </c>
      <c r="EF34" s="7"/>
      <c r="EG34" s="7">
        <v>3.15</v>
      </c>
      <c r="EH34" s="7">
        <v>3.1300000000000003</v>
      </c>
      <c r="EI34" s="7"/>
      <c r="EJ34" s="7"/>
      <c r="EK34" s="7"/>
      <c r="EL34" s="7"/>
      <c r="EM34" s="7"/>
      <c r="EN34" s="7"/>
      <c r="EO34" s="7"/>
      <c r="EP34" s="7"/>
      <c r="EQ34" s="7">
        <v>3.1500000000000004</v>
      </c>
      <c r="ER34" s="7"/>
      <c r="ES34" s="7"/>
      <c r="ET34" s="7">
        <v>3.1500000000000004</v>
      </c>
      <c r="EU34" s="7"/>
      <c r="EV34" s="7"/>
      <c r="EW34" s="7"/>
      <c r="EX34" s="7">
        <v>3.15</v>
      </c>
      <c r="EY34" s="7"/>
      <c r="EZ34" s="7">
        <v>3.1500000000000004</v>
      </c>
      <c r="FA34" s="7"/>
      <c r="FB34" s="7">
        <v>3.16</v>
      </c>
      <c r="FC34" s="7"/>
      <c r="FD34" s="7">
        <v>3.15</v>
      </c>
      <c r="FE34" s="7">
        <v>3.1566666666666667</v>
      </c>
      <c r="FF34" s="7"/>
      <c r="FG34" s="7"/>
      <c r="FH34" s="7">
        <v>3.2475000000000001</v>
      </c>
      <c r="FI34" s="7"/>
      <c r="FJ34" s="7"/>
      <c r="FK34" s="7"/>
      <c r="FL34" s="7"/>
      <c r="FM34" s="7"/>
      <c r="FN34" s="7"/>
      <c r="FO34" s="7">
        <v>3.3</v>
      </c>
      <c r="FP34" s="7"/>
      <c r="FQ34" s="7"/>
      <c r="FR34" s="7">
        <v>3.3</v>
      </c>
      <c r="FS34" s="7"/>
      <c r="FT34" s="7"/>
      <c r="FU34" s="7">
        <v>3.6500000000000004</v>
      </c>
      <c r="FV34" s="7"/>
      <c r="FW34" s="7">
        <v>3.3408333333333338</v>
      </c>
      <c r="FX34" s="7"/>
      <c r="FY34" s="7">
        <v>3.1799999999999997</v>
      </c>
      <c r="FZ34" s="7"/>
      <c r="GA34" s="7">
        <v>3.15</v>
      </c>
      <c r="GB34" s="7">
        <v>3.17</v>
      </c>
      <c r="GC34" s="7">
        <v>3.1702542372881379</v>
      </c>
    </row>
    <row r="35" spans="1:185" x14ac:dyDescent="0.15">
      <c r="A35" s="6">
        <v>41131</v>
      </c>
      <c r="B35" s="7"/>
      <c r="C35" s="7"/>
      <c r="D35" s="7"/>
      <c r="E35" s="7"/>
      <c r="F35" s="7"/>
      <c r="G35" s="7"/>
      <c r="H35" s="7"/>
      <c r="I35" s="7"/>
      <c r="J35" s="7">
        <v>3.2</v>
      </c>
      <c r="K35" s="7"/>
      <c r="L35" s="7"/>
      <c r="M35" s="7">
        <v>3.1900000000000004</v>
      </c>
      <c r="N35" s="7"/>
      <c r="O35" s="7"/>
      <c r="P35" s="7"/>
      <c r="Q35" s="7">
        <v>3.15</v>
      </c>
      <c r="R35" s="7"/>
      <c r="S35" s="7">
        <v>3.1760000000000006</v>
      </c>
      <c r="T35" s="7"/>
      <c r="U35" s="7"/>
      <c r="V35" s="7">
        <v>3.1049999999999995</v>
      </c>
      <c r="W35" s="7"/>
      <c r="X35" s="7"/>
      <c r="Y35" s="7"/>
      <c r="Z35" s="7"/>
      <c r="AA35" s="7"/>
      <c r="AB35" s="7"/>
      <c r="AC35" s="7">
        <v>3.2</v>
      </c>
      <c r="AD35" s="7"/>
      <c r="AE35" s="7"/>
      <c r="AF35" s="7">
        <v>3.12</v>
      </c>
      <c r="AG35" s="7"/>
      <c r="AH35" s="7"/>
      <c r="AI35" s="7"/>
      <c r="AJ35" s="7">
        <v>3.1625000000000001</v>
      </c>
      <c r="AK35" s="7"/>
      <c r="AL35" s="7">
        <v>3.1392857142857147</v>
      </c>
      <c r="AM35" s="7"/>
      <c r="AN35" s="7"/>
      <c r="AO35" s="7">
        <v>3.0024999999999999</v>
      </c>
      <c r="AP35" s="7"/>
      <c r="AQ35" s="7"/>
      <c r="AR35" s="7"/>
      <c r="AS35" s="7"/>
      <c r="AT35" s="7"/>
      <c r="AU35" s="7"/>
      <c r="AV35" s="7">
        <v>3.0999999999999996</v>
      </c>
      <c r="AW35" s="7"/>
      <c r="AX35" s="7"/>
      <c r="AY35" s="7">
        <v>3.0300000000000002</v>
      </c>
      <c r="AZ35" s="7"/>
      <c r="BA35" s="7"/>
      <c r="BB35" s="7"/>
      <c r="BC35" s="7">
        <v>3.0375000000000001</v>
      </c>
      <c r="BD35" s="7"/>
      <c r="BE35" s="7">
        <v>3.0342857142857147</v>
      </c>
      <c r="BF35" s="7"/>
      <c r="BG35" s="7"/>
      <c r="BH35" s="7">
        <v>2.9924999999999997</v>
      </c>
      <c r="BI35" s="7"/>
      <c r="BJ35" s="7"/>
      <c r="BK35" s="7"/>
      <c r="BL35" s="7"/>
      <c r="BM35" s="7"/>
      <c r="BN35" s="7"/>
      <c r="BO35" s="7">
        <v>3.0700000000000003</v>
      </c>
      <c r="BP35" s="7"/>
      <c r="BQ35" s="7"/>
      <c r="BR35" s="7">
        <v>3.0300000000000002</v>
      </c>
      <c r="BS35" s="7"/>
      <c r="BT35" s="7"/>
      <c r="BU35" s="7"/>
      <c r="BV35" s="7">
        <v>3.0125000000000002</v>
      </c>
      <c r="BW35" s="7"/>
      <c r="BX35" s="7">
        <v>3.02</v>
      </c>
      <c r="BY35" s="7"/>
      <c r="BZ35" s="7"/>
      <c r="CA35" s="7">
        <v>3</v>
      </c>
      <c r="CB35" s="7"/>
      <c r="CC35" s="7"/>
      <c r="CD35" s="7"/>
      <c r="CE35" s="7"/>
      <c r="CF35" s="7"/>
      <c r="CG35" s="7"/>
      <c r="CH35" s="7">
        <v>3.0599999999999996</v>
      </c>
      <c r="CI35" s="7"/>
      <c r="CJ35" s="7"/>
      <c r="CK35" s="7">
        <v>3.0300000000000002</v>
      </c>
      <c r="CL35" s="7"/>
      <c r="CM35" s="7"/>
      <c r="CN35" s="7"/>
      <c r="CO35" s="7">
        <v>3.0125000000000002</v>
      </c>
      <c r="CP35" s="7"/>
      <c r="CQ35" s="7">
        <v>3.0207142857142855</v>
      </c>
      <c r="CR35" s="7"/>
      <c r="CS35" s="7"/>
      <c r="CT35" s="7">
        <v>3.0149999999999997</v>
      </c>
      <c r="CU35" s="7"/>
      <c r="CV35" s="7"/>
      <c r="CW35" s="7"/>
      <c r="CX35" s="7"/>
      <c r="CY35" s="7"/>
      <c r="CZ35" s="7"/>
      <c r="DA35" s="7">
        <v>3.09</v>
      </c>
      <c r="DB35" s="7"/>
      <c r="DC35" s="7"/>
      <c r="DD35" s="7">
        <v>3.05</v>
      </c>
      <c r="DE35" s="7"/>
      <c r="DF35" s="7"/>
      <c r="DG35" s="7"/>
      <c r="DH35" s="7">
        <v>3.0249999999999999</v>
      </c>
      <c r="DI35" s="7"/>
      <c r="DJ35" s="7">
        <v>3.0385714285714287</v>
      </c>
      <c r="DK35" s="7"/>
      <c r="DL35" s="7"/>
      <c r="DM35" s="7">
        <v>3.3525</v>
      </c>
      <c r="DN35" s="7"/>
      <c r="DO35" s="7"/>
      <c r="DP35" s="7"/>
      <c r="DQ35" s="7"/>
      <c r="DR35" s="7"/>
      <c r="DS35" s="7"/>
      <c r="DT35" s="7">
        <v>3.45</v>
      </c>
      <c r="DU35" s="7"/>
      <c r="DV35" s="7"/>
      <c r="DW35" s="7">
        <v>3.3499999999999996</v>
      </c>
      <c r="DX35" s="7"/>
      <c r="DY35" s="7"/>
      <c r="DZ35" s="7"/>
      <c r="EA35" s="7">
        <v>3.4</v>
      </c>
      <c r="EB35" s="7"/>
      <c r="EC35" s="7">
        <v>3.379285714285714</v>
      </c>
      <c r="ED35" s="7"/>
      <c r="EE35" s="7">
        <v>3.05</v>
      </c>
      <c r="EF35" s="7"/>
      <c r="EG35" s="7">
        <v>3.15</v>
      </c>
      <c r="EH35" s="7">
        <v>3.1</v>
      </c>
      <c r="EI35" s="7"/>
      <c r="EJ35" s="7"/>
      <c r="EK35" s="7"/>
      <c r="EL35" s="7"/>
      <c r="EM35" s="7"/>
      <c r="EN35" s="7"/>
      <c r="EO35" s="7"/>
      <c r="EP35" s="7"/>
      <c r="EQ35" s="7">
        <v>3.1500000000000004</v>
      </c>
      <c r="ER35" s="7"/>
      <c r="ES35" s="7"/>
      <c r="ET35" s="7">
        <v>3.1500000000000004</v>
      </c>
      <c r="EU35" s="7"/>
      <c r="EV35" s="7"/>
      <c r="EW35" s="7"/>
      <c r="EX35" s="7">
        <v>3.15</v>
      </c>
      <c r="EY35" s="7"/>
      <c r="EZ35" s="7">
        <v>3.1500000000000004</v>
      </c>
      <c r="FA35" s="7"/>
      <c r="FB35" s="7">
        <v>3.16</v>
      </c>
      <c r="FC35" s="7"/>
      <c r="FD35" s="7">
        <v>3.15</v>
      </c>
      <c r="FE35" s="7">
        <v>3.1550000000000002</v>
      </c>
      <c r="FF35" s="7"/>
      <c r="FG35" s="7"/>
      <c r="FH35" s="7">
        <v>3.21</v>
      </c>
      <c r="FI35" s="7"/>
      <c r="FJ35" s="7"/>
      <c r="FK35" s="7"/>
      <c r="FL35" s="7"/>
      <c r="FM35" s="7"/>
      <c r="FN35" s="7"/>
      <c r="FO35" s="7">
        <v>3.3</v>
      </c>
      <c r="FP35" s="7"/>
      <c r="FQ35" s="7"/>
      <c r="FR35" s="7">
        <v>3.25</v>
      </c>
      <c r="FS35" s="7"/>
      <c r="FT35" s="7"/>
      <c r="FU35" s="7">
        <v>3.6500000000000004</v>
      </c>
      <c r="FV35" s="7"/>
      <c r="FW35" s="7">
        <v>3.3599999999999994</v>
      </c>
      <c r="FX35" s="7"/>
      <c r="FY35" s="7">
        <v>3.1799999999999997</v>
      </c>
      <c r="FZ35" s="7"/>
      <c r="GA35" s="7">
        <v>3.15</v>
      </c>
      <c r="GB35" s="7">
        <v>3.165</v>
      </c>
      <c r="GC35" s="7">
        <v>3.144436619718312</v>
      </c>
    </row>
    <row r="36" spans="1:185" x14ac:dyDescent="0.15">
      <c r="A36" s="6">
        <v>41134</v>
      </c>
      <c r="B36" s="7"/>
      <c r="C36" s="7"/>
      <c r="D36" s="7"/>
      <c r="E36" s="7"/>
      <c r="F36" s="7"/>
      <c r="G36" s="7"/>
      <c r="H36" s="7"/>
      <c r="I36" s="7"/>
      <c r="J36" s="7">
        <v>3.2</v>
      </c>
      <c r="K36" s="7"/>
      <c r="L36" s="7"/>
      <c r="M36" s="7">
        <v>3.1900000000000004</v>
      </c>
      <c r="N36" s="7"/>
      <c r="O36" s="7"/>
      <c r="P36" s="7"/>
      <c r="Q36" s="7">
        <v>3.15</v>
      </c>
      <c r="R36" s="7"/>
      <c r="S36" s="7">
        <v>3.18</v>
      </c>
      <c r="T36" s="7"/>
      <c r="U36" s="7"/>
      <c r="V36" s="7">
        <v>3.165</v>
      </c>
      <c r="W36" s="7"/>
      <c r="X36" s="7"/>
      <c r="Y36" s="7"/>
      <c r="Z36" s="7"/>
      <c r="AA36" s="7"/>
      <c r="AB36" s="7"/>
      <c r="AC36" s="7">
        <v>3.2</v>
      </c>
      <c r="AD36" s="7"/>
      <c r="AE36" s="7"/>
      <c r="AF36" s="7">
        <v>3.1799999999999997</v>
      </c>
      <c r="AG36" s="7"/>
      <c r="AH36" s="7"/>
      <c r="AI36" s="7"/>
      <c r="AJ36" s="7">
        <v>3.125</v>
      </c>
      <c r="AK36" s="7"/>
      <c r="AL36" s="7">
        <v>3.1675</v>
      </c>
      <c r="AM36" s="7"/>
      <c r="AN36" s="7"/>
      <c r="AO36" s="7">
        <v>3.0350000000000001</v>
      </c>
      <c r="AP36" s="7"/>
      <c r="AQ36" s="7"/>
      <c r="AR36" s="7"/>
      <c r="AS36" s="7"/>
      <c r="AT36" s="7"/>
      <c r="AU36" s="7"/>
      <c r="AV36" s="7">
        <v>3.0999999999999996</v>
      </c>
      <c r="AW36" s="7"/>
      <c r="AX36" s="7"/>
      <c r="AY36" s="7">
        <v>3.0300000000000002</v>
      </c>
      <c r="AZ36" s="7"/>
      <c r="BA36" s="7"/>
      <c r="BB36" s="7"/>
      <c r="BC36" s="7">
        <v>3.0249999999999999</v>
      </c>
      <c r="BD36" s="7"/>
      <c r="BE36" s="7">
        <v>3.0474999999999999</v>
      </c>
      <c r="BF36" s="7"/>
      <c r="BG36" s="7"/>
      <c r="BH36" s="7">
        <v>3.02</v>
      </c>
      <c r="BI36" s="7"/>
      <c r="BJ36" s="7"/>
      <c r="BK36" s="7"/>
      <c r="BL36" s="7"/>
      <c r="BM36" s="7"/>
      <c r="BN36" s="7"/>
      <c r="BO36" s="7">
        <v>3.0700000000000003</v>
      </c>
      <c r="BP36" s="7"/>
      <c r="BQ36" s="7"/>
      <c r="BR36" s="7">
        <v>3.0300000000000002</v>
      </c>
      <c r="BS36" s="7"/>
      <c r="BT36" s="7"/>
      <c r="BU36" s="7"/>
      <c r="BV36" s="7">
        <v>3.0249999999999999</v>
      </c>
      <c r="BW36" s="7"/>
      <c r="BX36" s="7">
        <v>3.0362499999999999</v>
      </c>
      <c r="BY36" s="7"/>
      <c r="BZ36" s="7"/>
      <c r="CA36" s="7">
        <v>3.0274999999999999</v>
      </c>
      <c r="CB36" s="7"/>
      <c r="CC36" s="7"/>
      <c r="CD36" s="7"/>
      <c r="CE36" s="7"/>
      <c r="CF36" s="7"/>
      <c r="CG36" s="7"/>
      <c r="CH36" s="7">
        <v>3.0599999999999996</v>
      </c>
      <c r="CI36" s="7"/>
      <c r="CJ36" s="7"/>
      <c r="CK36" s="7">
        <v>3.0300000000000002</v>
      </c>
      <c r="CL36" s="7"/>
      <c r="CM36" s="7"/>
      <c r="CN36" s="7"/>
      <c r="CO36" s="7">
        <v>3.0249999999999999</v>
      </c>
      <c r="CP36" s="7"/>
      <c r="CQ36" s="7">
        <v>3.0356249999999996</v>
      </c>
      <c r="CR36" s="7"/>
      <c r="CS36" s="7"/>
      <c r="CT36" s="7">
        <v>3.04</v>
      </c>
      <c r="CU36" s="7"/>
      <c r="CV36" s="7"/>
      <c r="CW36" s="7"/>
      <c r="CX36" s="7"/>
      <c r="CY36" s="7"/>
      <c r="CZ36" s="7"/>
      <c r="DA36" s="7">
        <v>3.09</v>
      </c>
      <c r="DB36" s="7"/>
      <c r="DC36" s="7"/>
      <c r="DD36" s="7">
        <v>3.05</v>
      </c>
      <c r="DE36" s="7"/>
      <c r="DF36" s="7"/>
      <c r="DG36" s="7"/>
      <c r="DH36" s="7">
        <v>3.0750000000000002</v>
      </c>
      <c r="DI36" s="7"/>
      <c r="DJ36" s="7">
        <v>3.0637499999999998</v>
      </c>
      <c r="DK36" s="7"/>
      <c r="DL36" s="7"/>
      <c r="DM36" s="7">
        <v>3.3824999999999998</v>
      </c>
      <c r="DN36" s="7"/>
      <c r="DO36" s="7"/>
      <c r="DP36" s="7"/>
      <c r="DQ36" s="7"/>
      <c r="DR36" s="7"/>
      <c r="DS36" s="7"/>
      <c r="DT36" s="7">
        <v>3.45</v>
      </c>
      <c r="DU36" s="7"/>
      <c r="DV36" s="7"/>
      <c r="DW36" s="7">
        <v>3.3899999999999997</v>
      </c>
      <c r="DX36" s="7"/>
      <c r="DY36" s="7"/>
      <c r="DZ36" s="7"/>
      <c r="EA36" s="7">
        <v>3.4</v>
      </c>
      <c r="EB36" s="7"/>
      <c r="EC36" s="7">
        <v>3.4056249999999997</v>
      </c>
      <c r="ED36" s="7"/>
      <c r="EE36" s="7">
        <v>3.05</v>
      </c>
      <c r="EF36" s="7"/>
      <c r="EG36" s="7">
        <v>3.15</v>
      </c>
      <c r="EH36" s="7">
        <v>3.1</v>
      </c>
      <c r="EI36" s="7"/>
      <c r="EJ36" s="7"/>
      <c r="EK36" s="7"/>
      <c r="EL36" s="7"/>
      <c r="EM36" s="7"/>
      <c r="EN36" s="7"/>
      <c r="EO36" s="7"/>
      <c r="EP36" s="7"/>
      <c r="EQ36" s="7">
        <v>3.1500000000000004</v>
      </c>
      <c r="ER36" s="7"/>
      <c r="ES36" s="7"/>
      <c r="ET36" s="7">
        <v>3.1500000000000004</v>
      </c>
      <c r="EU36" s="7"/>
      <c r="EV36" s="7"/>
      <c r="EW36" s="7"/>
      <c r="EX36" s="7">
        <v>3.15</v>
      </c>
      <c r="EY36" s="7"/>
      <c r="EZ36" s="7">
        <v>3.1500000000000004</v>
      </c>
      <c r="FA36" s="7"/>
      <c r="FB36" s="7">
        <v>3.16</v>
      </c>
      <c r="FC36" s="7"/>
      <c r="FD36" s="7">
        <v>3.15</v>
      </c>
      <c r="FE36" s="7">
        <v>3.1550000000000002</v>
      </c>
      <c r="FF36" s="7"/>
      <c r="FG36" s="7"/>
      <c r="FH36" s="7">
        <v>3.27</v>
      </c>
      <c r="FI36" s="7"/>
      <c r="FJ36" s="7"/>
      <c r="FK36" s="7"/>
      <c r="FL36" s="7"/>
      <c r="FM36" s="7"/>
      <c r="FN36" s="7"/>
      <c r="FO36" s="7">
        <v>3.3</v>
      </c>
      <c r="FP36" s="7"/>
      <c r="FQ36" s="7"/>
      <c r="FR36" s="7">
        <v>3.2800000000000002</v>
      </c>
      <c r="FS36" s="7"/>
      <c r="FT36" s="7"/>
      <c r="FU36" s="7">
        <v>3.6500000000000004</v>
      </c>
      <c r="FV36" s="7"/>
      <c r="FW36" s="7">
        <v>3.375</v>
      </c>
      <c r="FX36" s="7"/>
      <c r="FY36" s="7">
        <v>3.1799999999999997</v>
      </c>
      <c r="FZ36" s="7"/>
      <c r="GA36" s="7">
        <v>3.15</v>
      </c>
      <c r="GB36" s="7">
        <v>3.165</v>
      </c>
      <c r="GC36" s="7">
        <v>3.1588750000000019</v>
      </c>
    </row>
    <row r="37" spans="1:185" x14ac:dyDescent="0.15">
      <c r="A37" s="6">
        <v>41135</v>
      </c>
      <c r="B37" s="7"/>
      <c r="C37" s="7"/>
      <c r="D37" s="7"/>
      <c r="E37" s="7"/>
      <c r="F37" s="7"/>
      <c r="G37" s="7"/>
      <c r="H37" s="7"/>
      <c r="I37" s="7"/>
      <c r="J37" s="7">
        <v>3.1950000000000003</v>
      </c>
      <c r="K37" s="7"/>
      <c r="L37" s="7">
        <v>3.2</v>
      </c>
      <c r="M37" s="7">
        <v>3.1900000000000004</v>
      </c>
      <c r="N37" s="7"/>
      <c r="O37" s="7"/>
      <c r="P37" s="7"/>
      <c r="Q37" s="7">
        <v>3.15</v>
      </c>
      <c r="R37" s="7"/>
      <c r="S37" s="7">
        <v>3.18</v>
      </c>
      <c r="T37" s="7"/>
      <c r="U37" s="7"/>
      <c r="V37" s="7">
        <v>3.2</v>
      </c>
      <c r="W37" s="7"/>
      <c r="X37" s="7"/>
      <c r="Y37" s="7"/>
      <c r="Z37" s="7"/>
      <c r="AA37" s="7"/>
      <c r="AB37" s="7"/>
      <c r="AC37" s="7">
        <v>3.17</v>
      </c>
      <c r="AD37" s="7"/>
      <c r="AE37" s="7">
        <v>3.1500000000000004</v>
      </c>
      <c r="AF37" s="7">
        <v>3.1799999999999997</v>
      </c>
      <c r="AG37" s="7"/>
      <c r="AH37" s="7"/>
      <c r="AI37" s="7"/>
      <c r="AJ37" s="7">
        <v>3.125</v>
      </c>
      <c r="AK37" s="7"/>
      <c r="AL37" s="7">
        <v>3.165</v>
      </c>
      <c r="AM37" s="7"/>
      <c r="AN37" s="7"/>
      <c r="AO37" s="7">
        <v>3.0874999999999999</v>
      </c>
      <c r="AP37" s="7"/>
      <c r="AQ37" s="7"/>
      <c r="AR37" s="7"/>
      <c r="AS37" s="7"/>
      <c r="AT37" s="7"/>
      <c r="AU37" s="7"/>
      <c r="AV37" s="7">
        <v>3.0700000000000003</v>
      </c>
      <c r="AW37" s="7"/>
      <c r="AX37" s="7">
        <v>3.05</v>
      </c>
      <c r="AY37" s="7">
        <v>3.0300000000000002</v>
      </c>
      <c r="AZ37" s="7"/>
      <c r="BA37" s="7"/>
      <c r="BB37" s="7"/>
      <c r="BC37" s="7">
        <v>3.0249999999999999</v>
      </c>
      <c r="BD37" s="7"/>
      <c r="BE37" s="7">
        <v>3.055625</v>
      </c>
      <c r="BF37" s="7"/>
      <c r="BG37" s="7"/>
      <c r="BH37" s="7">
        <v>3.0549999999999997</v>
      </c>
      <c r="BI37" s="7"/>
      <c r="BJ37" s="7"/>
      <c r="BK37" s="7"/>
      <c r="BL37" s="7"/>
      <c r="BM37" s="7"/>
      <c r="BN37" s="7"/>
      <c r="BO37" s="7">
        <v>3.04</v>
      </c>
      <c r="BP37" s="7"/>
      <c r="BQ37" s="7">
        <v>3.05</v>
      </c>
      <c r="BR37" s="7">
        <v>3.0300000000000002</v>
      </c>
      <c r="BS37" s="7"/>
      <c r="BT37" s="7"/>
      <c r="BU37" s="7"/>
      <c r="BV37" s="7">
        <v>3.0249999999999999</v>
      </c>
      <c r="BW37" s="7"/>
      <c r="BX37" s="7">
        <v>3.0399999999999996</v>
      </c>
      <c r="BY37" s="7"/>
      <c r="BZ37" s="7"/>
      <c r="CA37" s="7">
        <v>3.0649999999999999</v>
      </c>
      <c r="CB37" s="7"/>
      <c r="CC37" s="7"/>
      <c r="CD37" s="7"/>
      <c r="CE37" s="7"/>
      <c r="CF37" s="7"/>
      <c r="CG37" s="7"/>
      <c r="CH37" s="7">
        <v>3.0549999999999997</v>
      </c>
      <c r="CI37" s="7"/>
      <c r="CJ37" s="7">
        <v>3.05</v>
      </c>
      <c r="CK37" s="7">
        <v>3.0300000000000002</v>
      </c>
      <c r="CL37" s="7"/>
      <c r="CM37" s="7"/>
      <c r="CN37" s="7"/>
      <c r="CO37" s="7">
        <v>3.0249999999999999</v>
      </c>
      <c r="CP37" s="7"/>
      <c r="CQ37" s="7">
        <v>3.0462499999999997</v>
      </c>
      <c r="CR37" s="7"/>
      <c r="CS37" s="7"/>
      <c r="CT37" s="7">
        <v>3.0700000000000003</v>
      </c>
      <c r="CU37" s="7"/>
      <c r="CV37" s="7"/>
      <c r="CW37" s="7"/>
      <c r="CX37" s="7"/>
      <c r="CY37" s="7"/>
      <c r="CZ37" s="7"/>
      <c r="DA37" s="7">
        <v>3.0700000000000003</v>
      </c>
      <c r="DB37" s="7"/>
      <c r="DC37" s="7">
        <v>3.05</v>
      </c>
      <c r="DD37" s="7">
        <v>3.05</v>
      </c>
      <c r="DE37" s="7"/>
      <c r="DF37" s="7"/>
      <c r="DG37" s="7"/>
      <c r="DH37" s="7">
        <v>3.0750000000000002</v>
      </c>
      <c r="DI37" s="7"/>
      <c r="DJ37" s="7">
        <v>3.0662500000000001</v>
      </c>
      <c r="DK37" s="7"/>
      <c r="DL37" s="7"/>
      <c r="DM37" s="7">
        <v>3.4</v>
      </c>
      <c r="DN37" s="7"/>
      <c r="DO37" s="7"/>
      <c r="DP37" s="7"/>
      <c r="DQ37" s="7"/>
      <c r="DR37" s="7"/>
      <c r="DS37" s="7"/>
      <c r="DT37" s="7">
        <v>3.3899999999999997</v>
      </c>
      <c r="DU37" s="7"/>
      <c r="DV37" s="7">
        <v>3.4000000000000004</v>
      </c>
      <c r="DW37" s="7">
        <v>3.3899999999999997</v>
      </c>
      <c r="DX37" s="7"/>
      <c r="DY37" s="7"/>
      <c r="DZ37" s="7"/>
      <c r="EA37" s="7">
        <v>3.4</v>
      </c>
      <c r="EB37" s="7"/>
      <c r="EC37" s="7">
        <v>3.3962499999999993</v>
      </c>
      <c r="ED37" s="7"/>
      <c r="EE37" s="7">
        <v>3.05</v>
      </c>
      <c r="EF37" s="7"/>
      <c r="EG37" s="7">
        <v>3.15</v>
      </c>
      <c r="EH37" s="7">
        <v>3.1166666666666667</v>
      </c>
      <c r="EI37" s="7"/>
      <c r="EJ37" s="7"/>
      <c r="EK37" s="7"/>
      <c r="EL37" s="7"/>
      <c r="EM37" s="7"/>
      <c r="EN37" s="7"/>
      <c r="EO37" s="7"/>
      <c r="EP37" s="7"/>
      <c r="EQ37" s="7">
        <v>3.1475</v>
      </c>
      <c r="ER37" s="7"/>
      <c r="ES37" s="7">
        <v>3.1500000000000004</v>
      </c>
      <c r="ET37" s="7">
        <v>3.1500000000000004</v>
      </c>
      <c r="EU37" s="7"/>
      <c r="EV37" s="7"/>
      <c r="EW37" s="7"/>
      <c r="EX37" s="7">
        <v>3.15</v>
      </c>
      <c r="EY37" s="7"/>
      <c r="EZ37" s="7">
        <v>3.1491666666666664</v>
      </c>
      <c r="FA37" s="7"/>
      <c r="FB37" s="7">
        <v>3.16</v>
      </c>
      <c r="FC37" s="7"/>
      <c r="FD37" s="7">
        <v>3.15</v>
      </c>
      <c r="FE37" s="7">
        <v>3.1533333333333338</v>
      </c>
      <c r="FF37" s="7"/>
      <c r="FG37" s="7"/>
      <c r="FH37" s="7">
        <v>3.29</v>
      </c>
      <c r="FI37" s="7"/>
      <c r="FJ37" s="7"/>
      <c r="FK37" s="7"/>
      <c r="FL37" s="7"/>
      <c r="FM37" s="7"/>
      <c r="FN37" s="7"/>
      <c r="FO37" s="7">
        <v>3.26</v>
      </c>
      <c r="FP37" s="7"/>
      <c r="FQ37" s="7">
        <v>3.27</v>
      </c>
      <c r="FR37" s="7">
        <v>3.2800000000000002</v>
      </c>
      <c r="FS37" s="7"/>
      <c r="FT37" s="7"/>
      <c r="FU37" s="7">
        <v>3.6500000000000004</v>
      </c>
      <c r="FV37" s="7"/>
      <c r="FW37" s="7">
        <v>3.3687500000000004</v>
      </c>
      <c r="FX37" s="7"/>
      <c r="FY37" s="7">
        <v>3.1799999999999997</v>
      </c>
      <c r="FZ37" s="7"/>
      <c r="GA37" s="7">
        <v>3.15</v>
      </c>
      <c r="GB37" s="7">
        <v>3.16</v>
      </c>
      <c r="GC37" s="7">
        <v>3.1606493506493516</v>
      </c>
    </row>
    <row r="38" spans="1:185" x14ac:dyDescent="0.15">
      <c r="A38" s="6">
        <v>41136</v>
      </c>
      <c r="B38" s="7"/>
      <c r="C38" s="7"/>
      <c r="D38" s="7"/>
      <c r="E38" s="7"/>
      <c r="F38" s="7"/>
      <c r="G38" s="7"/>
      <c r="H38" s="7"/>
      <c r="I38" s="7"/>
      <c r="J38" s="7">
        <v>3.23</v>
      </c>
      <c r="K38" s="7"/>
      <c r="L38" s="7"/>
      <c r="M38" s="7">
        <v>3.2199999999999998</v>
      </c>
      <c r="N38" s="7"/>
      <c r="O38" s="7"/>
      <c r="P38" s="7"/>
      <c r="Q38" s="7">
        <v>3.15</v>
      </c>
      <c r="R38" s="7"/>
      <c r="S38" s="7">
        <v>3.2099999999999995</v>
      </c>
      <c r="T38" s="7"/>
      <c r="U38" s="7"/>
      <c r="V38" s="7">
        <v>3.2124999999999999</v>
      </c>
      <c r="W38" s="7"/>
      <c r="X38" s="7"/>
      <c r="Y38" s="7"/>
      <c r="Z38" s="7"/>
      <c r="AA38" s="7"/>
      <c r="AB38" s="7"/>
      <c r="AC38" s="7">
        <v>3.2</v>
      </c>
      <c r="AD38" s="7"/>
      <c r="AE38" s="7"/>
      <c r="AF38" s="7">
        <v>3.2</v>
      </c>
      <c r="AG38" s="7"/>
      <c r="AH38" s="7"/>
      <c r="AI38" s="7"/>
      <c r="AJ38" s="7">
        <v>3.125</v>
      </c>
      <c r="AK38" s="7"/>
      <c r="AL38" s="7">
        <v>3.1928571428571426</v>
      </c>
      <c r="AM38" s="7"/>
      <c r="AN38" s="7"/>
      <c r="AO38" s="7">
        <v>3.0999999999999996</v>
      </c>
      <c r="AP38" s="7"/>
      <c r="AQ38" s="7"/>
      <c r="AR38" s="7"/>
      <c r="AS38" s="7"/>
      <c r="AT38" s="7"/>
      <c r="AU38" s="7"/>
      <c r="AV38" s="7">
        <v>3.1100000000000003</v>
      </c>
      <c r="AW38" s="7"/>
      <c r="AX38" s="7"/>
      <c r="AY38" s="7">
        <v>3.0999999999999996</v>
      </c>
      <c r="AZ38" s="7"/>
      <c r="BA38" s="7"/>
      <c r="BB38" s="7"/>
      <c r="BC38" s="7">
        <v>3.0249999999999999</v>
      </c>
      <c r="BD38" s="7"/>
      <c r="BE38" s="7">
        <v>3.0921428571428566</v>
      </c>
      <c r="BF38" s="7"/>
      <c r="BG38" s="7"/>
      <c r="BH38" s="7">
        <v>3.0825</v>
      </c>
      <c r="BI38" s="7"/>
      <c r="BJ38" s="7"/>
      <c r="BK38" s="7"/>
      <c r="BL38" s="7"/>
      <c r="BM38" s="7"/>
      <c r="BN38" s="7"/>
      <c r="BO38" s="7">
        <v>3.08</v>
      </c>
      <c r="BP38" s="7"/>
      <c r="BQ38" s="7"/>
      <c r="BR38" s="7">
        <v>3.0700000000000003</v>
      </c>
      <c r="BS38" s="7"/>
      <c r="BT38" s="7"/>
      <c r="BU38" s="7"/>
      <c r="BV38" s="7">
        <v>3.0249999999999999</v>
      </c>
      <c r="BW38" s="7"/>
      <c r="BX38" s="7">
        <v>3.0700000000000003</v>
      </c>
      <c r="BY38" s="7"/>
      <c r="BZ38" s="7"/>
      <c r="CA38" s="7">
        <v>3.0750000000000002</v>
      </c>
      <c r="CB38" s="7"/>
      <c r="CC38" s="7"/>
      <c r="CD38" s="7"/>
      <c r="CE38" s="7"/>
      <c r="CF38" s="7"/>
      <c r="CG38" s="7"/>
      <c r="CH38" s="7">
        <v>3.08</v>
      </c>
      <c r="CI38" s="7"/>
      <c r="CJ38" s="7"/>
      <c r="CK38" s="7">
        <v>3.0700000000000003</v>
      </c>
      <c r="CL38" s="7"/>
      <c r="CM38" s="7"/>
      <c r="CN38" s="7"/>
      <c r="CO38" s="7">
        <v>3.0249999999999999</v>
      </c>
      <c r="CP38" s="7"/>
      <c r="CQ38" s="7">
        <v>3.0678571428571431</v>
      </c>
      <c r="CR38" s="7"/>
      <c r="CS38" s="7"/>
      <c r="CT38" s="7">
        <v>3.08</v>
      </c>
      <c r="CU38" s="7"/>
      <c r="CV38" s="7"/>
      <c r="CW38" s="7"/>
      <c r="CX38" s="7"/>
      <c r="CY38" s="7"/>
      <c r="CZ38" s="7"/>
      <c r="DA38" s="7">
        <v>3.0999999999999996</v>
      </c>
      <c r="DB38" s="7"/>
      <c r="DC38" s="7"/>
      <c r="DD38" s="7">
        <v>3.0700000000000003</v>
      </c>
      <c r="DE38" s="7"/>
      <c r="DF38" s="7"/>
      <c r="DG38" s="7"/>
      <c r="DH38" s="7">
        <v>3.0750000000000002</v>
      </c>
      <c r="DI38" s="7"/>
      <c r="DJ38" s="7">
        <v>3.0821428571428569</v>
      </c>
      <c r="DK38" s="7"/>
      <c r="DL38" s="7"/>
      <c r="DM38" s="7">
        <v>3.45</v>
      </c>
      <c r="DN38" s="7"/>
      <c r="DO38" s="7"/>
      <c r="DP38" s="7"/>
      <c r="DQ38" s="7"/>
      <c r="DR38" s="7"/>
      <c r="DS38" s="7"/>
      <c r="DT38" s="7">
        <v>3.42</v>
      </c>
      <c r="DU38" s="7"/>
      <c r="DV38" s="7"/>
      <c r="DW38" s="7">
        <v>3.45</v>
      </c>
      <c r="DX38" s="7"/>
      <c r="DY38" s="7"/>
      <c r="DZ38" s="7"/>
      <c r="EA38" s="7">
        <v>3.4</v>
      </c>
      <c r="EB38" s="7"/>
      <c r="EC38" s="7">
        <v>3.4342857142857142</v>
      </c>
      <c r="ED38" s="7"/>
      <c r="EE38" s="7">
        <v>3.05</v>
      </c>
      <c r="EF38" s="7"/>
      <c r="EG38" s="7">
        <v>3.15</v>
      </c>
      <c r="EH38" s="7">
        <v>3.0833333333333335</v>
      </c>
      <c r="EI38" s="7"/>
      <c r="EJ38" s="7"/>
      <c r="EK38" s="7"/>
      <c r="EL38" s="7"/>
      <c r="EM38" s="7"/>
      <c r="EN38" s="7"/>
      <c r="EO38" s="7"/>
      <c r="EP38" s="7"/>
      <c r="EQ38" s="7">
        <v>3.1799999999999997</v>
      </c>
      <c r="ER38" s="7"/>
      <c r="ES38" s="7"/>
      <c r="ET38" s="7">
        <v>3.1799999999999997</v>
      </c>
      <c r="EU38" s="7"/>
      <c r="EV38" s="7"/>
      <c r="EW38" s="7"/>
      <c r="EX38" s="7">
        <v>3.15</v>
      </c>
      <c r="EY38" s="7"/>
      <c r="EZ38" s="7">
        <v>3.1739999999999999</v>
      </c>
      <c r="FA38" s="7"/>
      <c r="FB38" s="7">
        <v>3.1799999999999997</v>
      </c>
      <c r="FC38" s="7"/>
      <c r="FD38" s="7">
        <v>3.15</v>
      </c>
      <c r="FE38" s="7">
        <v>3.17</v>
      </c>
      <c r="FF38" s="7"/>
      <c r="FG38" s="7"/>
      <c r="FH38" s="7">
        <v>3.3200000000000003</v>
      </c>
      <c r="FI38" s="7"/>
      <c r="FJ38" s="7"/>
      <c r="FK38" s="7"/>
      <c r="FL38" s="7"/>
      <c r="FM38" s="7"/>
      <c r="FN38" s="7"/>
      <c r="FO38" s="7">
        <v>3.29</v>
      </c>
      <c r="FP38" s="7"/>
      <c r="FQ38" s="7"/>
      <c r="FR38" s="7">
        <v>3.3</v>
      </c>
      <c r="FS38" s="7"/>
      <c r="FT38" s="7"/>
      <c r="FU38" s="7">
        <v>3.6500000000000004</v>
      </c>
      <c r="FV38" s="7"/>
      <c r="FW38" s="7">
        <v>3.3528571428571428</v>
      </c>
      <c r="FX38" s="7"/>
      <c r="FY38" s="7">
        <v>3.2</v>
      </c>
      <c r="FZ38" s="7"/>
      <c r="GA38" s="7">
        <v>3.15</v>
      </c>
      <c r="GB38" s="7">
        <v>3.1833333333333336</v>
      </c>
      <c r="GC38" s="7">
        <v>3.1805147058823531</v>
      </c>
    </row>
    <row r="39" spans="1:185" x14ac:dyDescent="0.15">
      <c r="A39" s="6">
        <v>41137</v>
      </c>
      <c r="B39" s="7"/>
      <c r="C39" s="7"/>
      <c r="D39" s="7"/>
      <c r="E39" s="7"/>
      <c r="F39" s="7"/>
      <c r="G39" s="7"/>
      <c r="H39" s="7"/>
      <c r="I39" s="7"/>
      <c r="J39" s="7">
        <v>3.24</v>
      </c>
      <c r="K39" s="7"/>
      <c r="L39" s="7"/>
      <c r="M39" s="7">
        <v>3.24</v>
      </c>
      <c r="N39" s="7"/>
      <c r="O39" s="7"/>
      <c r="P39" s="7"/>
      <c r="Q39" s="7">
        <v>3.15</v>
      </c>
      <c r="R39" s="7"/>
      <c r="S39" s="7">
        <v>3.2175000000000002</v>
      </c>
      <c r="T39" s="7"/>
      <c r="U39" s="7"/>
      <c r="V39" s="7">
        <v>3.2524999999999999</v>
      </c>
      <c r="W39" s="7"/>
      <c r="X39" s="7"/>
      <c r="Y39" s="7"/>
      <c r="Z39" s="7"/>
      <c r="AA39" s="7"/>
      <c r="AB39" s="7"/>
      <c r="AC39" s="7">
        <v>3.23</v>
      </c>
      <c r="AD39" s="7"/>
      <c r="AE39" s="7"/>
      <c r="AF39" s="7">
        <v>3.25</v>
      </c>
      <c r="AG39" s="7"/>
      <c r="AH39" s="7"/>
      <c r="AI39" s="7"/>
      <c r="AJ39" s="7">
        <v>3.125</v>
      </c>
      <c r="AK39" s="7"/>
      <c r="AL39" s="7">
        <v>3.2266666666666666</v>
      </c>
      <c r="AM39" s="7"/>
      <c r="AN39" s="7"/>
      <c r="AO39" s="7">
        <v>3.11</v>
      </c>
      <c r="AP39" s="7"/>
      <c r="AQ39" s="7"/>
      <c r="AR39" s="7"/>
      <c r="AS39" s="7"/>
      <c r="AT39" s="7"/>
      <c r="AU39" s="7"/>
      <c r="AV39" s="7">
        <v>3.12</v>
      </c>
      <c r="AW39" s="7"/>
      <c r="AX39" s="7"/>
      <c r="AY39" s="7">
        <v>3.0999999999999996</v>
      </c>
      <c r="AZ39" s="7"/>
      <c r="BA39" s="7"/>
      <c r="BB39" s="7"/>
      <c r="BC39" s="7">
        <v>3.0249999999999999</v>
      </c>
      <c r="BD39" s="7"/>
      <c r="BE39" s="7">
        <v>3.0941666666666663</v>
      </c>
      <c r="BF39" s="7"/>
      <c r="BG39" s="7"/>
      <c r="BH39" s="7">
        <v>3.0925000000000002</v>
      </c>
      <c r="BI39" s="7"/>
      <c r="BJ39" s="7"/>
      <c r="BK39" s="7"/>
      <c r="BL39" s="7"/>
      <c r="BM39" s="7"/>
      <c r="BN39" s="7"/>
      <c r="BO39" s="7">
        <v>3.0999999999999996</v>
      </c>
      <c r="BP39" s="7"/>
      <c r="BQ39" s="7"/>
      <c r="BR39" s="7">
        <v>3.0999999999999996</v>
      </c>
      <c r="BS39" s="7"/>
      <c r="BT39" s="7"/>
      <c r="BU39" s="7"/>
      <c r="BV39" s="7">
        <v>3.0249999999999999</v>
      </c>
      <c r="BW39" s="7"/>
      <c r="BX39" s="7">
        <v>3.0849999999999995</v>
      </c>
      <c r="BY39" s="7"/>
      <c r="BZ39" s="7"/>
      <c r="CA39" s="7">
        <v>3.0900000000000003</v>
      </c>
      <c r="CB39" s="7"/>
      <c r="CC39" s="7"/>
      <c r="CD39" s="7"/>
      <c r="CE39" s="7"/>
      <c r="CF39" s="7"/>
      <c r="CG39" s="7"/>
      <c r="CH39" s="7">
        <v>3.09</v>
      </c>
      <c r="CI39" s="7"/>
      <c r="CJ39" s="7"/>
      <c r="CK39" s="7">
        <v>3.09</v>
      </c>
      <c r="CL39" s="7"/>
      <c r="CM39" s="7"/>
      <c r="CN39" s="7"/>
      <c r="CO39" s="7">
        <v>3.0249999999999999</v>
      </c>
      <c r="CP39" s="7"/>
      <c r="CQ39" s="7">
        <v>3.0791666666666662</v>
      </c>
      <c r="CR39" s="7"/>
      <c r="CS39" s="7"/>
      <c r="CT39" s="7">
        <v>3.09</v>
      </c>
      <c r="CU39" s="7"/>
      <c r="CV39" s="7"/>
      <c r="CW39" s="7"/>
      <c r="CX39" s="7"/>
      <c r="CY39" s="7"/>
      <c r="CZ39" s="7"/>
      <c r="DA39" s="7">
        <v>3.1100000000000003</v>
      </c>
      <c r="DB39" s="7"/>
      <c r="DC39" s="7"/>
      <c r="DD39" s="7">
        <v>3.09</v>
      </c>
      <c r="DE39" s="7"/>
      <c r="DF39" s="7"/>
      <c r="DG39" s="7"/>
      <c r="DH39" s="7">
        <v>3.0750000000000002</v>
      </c>
      <c r="DI39" s="7"/>
      <c r="DJ39" s="7">
        <v>3.0908333333333329</v>
      </c>
      <c r="DK39" s="7"/>
      <c r="DL39" s="7"/>
      <c r="DM39" s="7">
        <v>3.4699999999999998</v>
      </c>
      <c r="DN39" s="7"/>
      <c r="DO39" s="7"/>
      <c r="DP39" s="7"/>
      <c r="DQ39" s="7"/>
      <c r="DR39" s="7"/>
      <c r="DS39" s="7"/>
      <c r="DT39" s="7">
        <v>3.46</v>
      </c>
      <c r="DU39" s="7"/>
      <c r="DV39" s="7"/>
      <c r="DW39" s="7">
        <v>3.45</v>
      </c>
      <c r="DX39" s="7"/>
      <c r="DY39" s="7"/>
      <c r="DZ39" s="7"/>
      <c r="EA39" s="7">
        <v>3.4</v>
      </c>
      <c r="EB39" s="7"/>
      <c r="EC39" s="7">
        <v>3.4499999999999993</v>
      </c>
      <c r="ED39" s="7"/>
      <c r="EE39" s="7">
        <v>3.08</v>
      </c>
      <c r="EF39" s="7"/>
      <c r="EG39" s="7">
        <v>3.15</v>
      </c>
      <c r="EH39" s="7">
        <v>3.1033333333333335</v>
      </c>
      <c r="EI39" s="7"/>
      <c r="EJ39" s="7"/>
      <c r="EK39" s="7"/>
      <c r="EL39" s="7"/>
      <c r="EM39" s="7"/>
      <c r="EN39" s="7"/>
      <c r="EO39" s="7"/>
      <c r="EP39" s="7"/>
      <c r="EQ39" s="7">
        <v>3.1799999999999997</v>
      </c>
      <c r="ER39" s="7"/>
      <c r="ES39" s="7"/>
      <c r="ET39" s="7">
        <v>3.2</v>
      </c>
      <c r="EU39" s="7"/>
      <c r="EV39" s="7"/>
      <c r="EW39" s="7"/>
      <c r="EX39" s="7">
        <v>3.15</v>
      </c>
      <c r="EY39" s="7"/>
      <c r="EZ39" s="7">
        <v>3.1825000000000001</v>
      </c>
      <c r="FA39" s="7"/>
      <c r="FB39" s="7">
        <v>3.2</v>
      </c>
      <c r="FC39" s="7"/>
      <c r="FD39" s="7">
        <v>3.15</v>
      </c>
      <c r="FE39" s="7">
        <v>3.1833333333333336</v>
      </c>
      <c r="FF39" s="7"/>
      <c r="FG39" s="7"/>
      <c r="FH39" s="7">
        <v>3.35</v>
      </c>
      <c r="FI39" s="7"/>
      <c r="FJ39" s="7"/>
      <c r="FK39" s="7"/>
      <c r="FL39" s="7"/>
      <c r="FM39" s="7"/>
      <c r="FN39" s="7"/>
      <c r="FO39" s="7">
        <v>3.34</v>
      </c>
      <c r="FP39" s="7"/>
      <c r="FQ39" s="7"/>
      <c r="FR39" s="7">
        <v>3.3499999999999996</v>
      </c>
      <c r="FS39" s="7"/>
      <c r="FT39" s="7"/>
      <c r="FU39" s="7">
        <v>3.6500000000000004</v>
      </c>
      <c r="FV39" s="7"/>
      <c r="FW39" s="7">
        <v>3.3983333333333334</v>
      </c>
      <c r="FX39" s="7"/>
      <c r="FY39" s="7">
        <v>3.2199999999999998</v>
      </c>
      <c r="FZ39" s="7"/>
      <c r="GA39" s="7">
        <v>3.15</v>
      </c>
      <c r="GB39" s="7">
        <v>3.1966666666666668</v>
      </c>
      <c r="GC39" s="7">
        <v>3.1965254237288145</v>
      </c>
    </row>
    <row r="40" spans="1:185" x14ac:dyDescent="0.15">
      <c r="A40" s="6">
        <v>41138</v>
      </c>
      <c r="B40" s="7"/>
      <c r="C40" s="7"/>
      <c r="D40" s="7"/>
      <c r="E40" s="7"/>
      <c r="F40" s="7"/>
      <c r="G40" s="7"/>
      <c r="H40" s="7"/>
      <c r="I40" s="7"/>
      <c r="J40" s="7">
        <v>3.23</v>
      </c>
      <c r="K40" s="7"/>
      <c r="L40" s="7"/>
      <c r="M40" s="7">
        <v>3.24</v>
      </c>
      <c r="N40" s="7"/>
      <c r="O40" s="7"/>
      <c r="P40" s="7"/>
      <c r="Q40" s="7">
        <v>3.15</v>
      </c>
      <c r="R40" s="7"/>
      <c r="S40" s="7">
        <v>3.218</v>
      </c>
      <c r="T40" s="7"/>
      <c r="U40" s="7"/>
      <c r="V40" s="7">
        <v>3.2149999999999999</v>
      </c>
      <c r="W40" s="7"/>
      <c r="X40" s="7"/>
      <c r="Y40" s="7"/>
      <c r="Z40" s="7"/>
      <c r="AA40" s="7"/>
      <c r="AB40" s="7"/>
      <c r="AC40" s="7">
        <v>3.26</v>
      </c>
      <c r="AD40" s="7"/>
      <c r="AE40" s="7"/>
      <c r="AF40" s="7">
        <v>3.25</v>
      </c>
      <c r="AG40" s="7"/>
      <c r="AH40" s="7"/>
      <c r="AI40" s="7"/>
      <c r="AJ40" s="7">
        <v>3.125</v>
      </c>
      <c r="AK40" s="7"/>
      <c r="AL40" s="7">
        <v>3.2250000000000001</v>
      </c>
      <c r="AM40" s="7"/>
      <c r="AN40" s="7"/>
      <c r="AO40" s="7">
        <v>3.1025</v>
      </c>
      <c r="AP40" s="7"/>
      <c r="AQ40" s="7"/>
      <c r="AR40" s="7"/>
      <c r="AS40" s="7"/>
      <c r="AT40" s="7"/>
      <c r="AU40" s="7"/>
      <c r="AV40" s="7">
        <v>3.13</v>
      </c>
      <c r="AW40" s="7"/>
      <c r="AX40" s="7"/>
      <c r="AY40" s="7">
        <v>3.0999999999999996</v>
      </c>
      <c r="AZ40" s="7"/>
      <c r="BA40" s="7"/>
      <c r="BB40" s="7"/>
      <c r="BC40" s="7">
        <v>3.0249999999999999</v>
      </c>
      <c r="BD40" s="7"/>
      <c r="BE40" s="7">
        <v>3.0985714285714283</v>
      </c>
      <c r="BF40" s="7"/>
      <c r="BG40" s="7"/>
      <c r="BH40" s="7">
        <v>3.0625</v>
      </c>
      <c r="BI40" s="7"/>
      <c r="BJ40" s="7"/>
      <c r="BK40" s="7"/>
      <c r="BL40" s="7"/>
      <c r="BM40" s="7"/>
      <c r="BN40" s="7"/>
      <c r="BO40" s="7">
        <v>3.1100000000000003</v>
      </c>
      <c r="BP40" s="7"/>
      <c r="BQ40" s="7"/>
      <c r="BR40" s="7">
        <v>3.0999999999999996</v>
      </c>
      <c r="BS40" s="7"/>
      <c r="BT40" s="7"/>
      <c r="BU40" s="7"/>
      <c r="BV40" s="7">
        <v>3.0249999999999999</v>
      </c>
      <c r="BW40" s="7"/>
      <c r="BX40" s="7">
        <v>3.081428571428571</v>
      </c>
      <c r="BY40" s="7"/>
      <c r="BZ40" s="7"/>
      <c r="CA40" s="7">
        <v>3.0625</v>
      </c>
      <c r="CB40" s="7"/>
      <c r="CC40" s="7"/>
      <c r="CD40" s="7"/>
      <c r="CE40" s="7"/>
      <c r="CF40" s="7"/>
      <c r="CG40" s="7"/>
      <c r="CH40" s="7">
        <v>3.1100000000000003</v>
      </c>
      <c r="CI40" s="7"/>
      <c r="CJ40" s="7"/>
      <c r="CK40" s="7">
        <v>3.09</v>
      </c>
      <c r="CL40" s="7"/>
      <c r="CM40" s="7"/>
      <c r="CN40" s="7"/>
      <c r="CO40" s="7">
        <v>3.0249999999999999</v>
      </c>
      <c r="CP40" s="7"/>
      <c r="CQ40" s="7">
        <v>3.0785714285714283</v>
      </c>
      <c r="CR40" s="7"/>
      <c r="CS40" s="7"/>
      <c r="CT40" s="7">
        <v>3.1875</v>
      </c>
      <c r="CU40" s="7"/>
      <c r="CV40" s="7"/>
      <c r="CW40" s="7"/>
      <c r="CX40" s="7"/>
      <c r="CY40" s="7"/>
      <c r="CZ40" s="7"/>
      <c r="DA40" s="7">
        <v>3.1100000000000003</v>
      </c>
      <c r="DB40" s="7"/>
      <c r="DC40" s="7"/>
      <c r="DD40" s="7">
        <v>3.09</v>
      </c>
      <c r="DE40" s="7"/>
      <c r="DF40" s="7"/>
      <c r="DG40" s="7"/>
      <c r="DH40" s="7">
        <v>3.0750000000000002</v>
      </c>
      <c r="DI40" s="7"/>
      <c r="DJ40" s="7">
        <v>3.121428571428571</v>
      </c>
      <c r="DK40" s="7"/>
      <c r="DL40" s="7"/>
      <c r="DM40" s="7">
        <v>3.4699999999999998</v>
      </c>
      <c r="DN40" s="7"/>
      <c r="DO40" s="7"/>
      <c r="DP40" s="7"/>
      <c r="DQ40" s="7"/>
      <c r="DR40" s="7"/>
      <c r="DS40" s="7"/>
      <c r="DT40" s="7">
        <v>3.49</v>
      </c>
      <c r="DU40" s="7"/>
      <c r="DV40" s="7"/>
      <c r="DW40" s="7">
        <v>3.45</v>
      </c>
      <c r="DX40" s="7"/>
      <c r="DY40" s="7"/>
      <c r="DZ40" s="7"/>
      <c r="EA40" s="7">
        <v>3.4</v>
      </c>
      <c r="EB40" s="7"/>
      <c r="EC40" s="7">
        <v>3.46</v>
      </c>
      <c r="ED40" s="7"/>
      <c r="EE40" s="7">
        <v>3.08</v>
      </c>
      <c r="EF40" s="7"/>
      <c r="EG40" s="7">
        <v>3.15</v>
      </c>
      <c r="EH40" s="7">
        <v>3.1033333333333335</v>
      </c>
      <c r="EI40" s="7"/>
      <c r="EJ40" s="7"/>
      <c r="EK40" s="7"/>
      <c r="EL40" s="7"/>
      <c r="EM40" s="7"/>
      <c r="EN40" s="7"/>
      <c r="EO40" s="7"/>
      <c r="EP40" s="7"/>
      <c r="EQ40" s="7">
        <v>3.1799999999999997</v>
      </c>
      <c r="ER40" s="7"/>
      <c r="ES40" s="7"/>
      <c r="ET40" s="7">
        <v>3.2</v>
      </c>
      <c r="EU40" s="7"/>
      <c r="EV40" s="7"/>
      <c r="EW40" s="7"/>
      <c r="EX40" s="7">
        <v>3.15</v>
      </c>
      <c r="EY40" s="7"/>
      <c r="EZ40" s="7">
        <v>3.1819999999999995</v>
      </c>
      <c r="FA40" s="7"/>
      <c r="FB40" s="7">
        <v>3.2</v>
      </c>
      <c r="FC40" s="7"/>
      <c r="FD40" s="7">
        <v>3.15</v>
      </c>
      <c r="FE40" s="7">
        <v>3.1833333333333336</v>
      </c>
      <c r="FF40" s="7"/>
      <c r="FG40" s="7"/>
      <c r="FH40" s="7">
        <v>3.3400000000000003</v>
      </c>
      <c r="FI40" s="7"/>
      <c r="FJ40" s="7"/>
      <c r="FK40" s="7"/>
      <c r="FL40" s="7"/>
      <c r="FM40" s="7"/>
      <c r="FN40" s="7"/>
      <c r="FO40" s="7">
        <v>3.3499999999999996</v>
      </c>
      <c r="FP40" s="7"/>
      <c r="FQ40" s="7"/>
      <c r="FR40" s="7">
        <v>3.3499999999999996</v>
      </c>
      <c r="FS40" s="7"/>
      <c r="FT40" s="7"/>
      <c r="FU40" s="7">
        <v>3.6500000000000004</v>
      </c>
      <c r="FV40" s="7"/>
      <c r="FW40" s="7">
        <v>3.3899999999999997</v>
      </c>
      <c r="FX40" s="7"/>
      <c r="FY40" s="7">
        <v>3.2199999999999998</v>
      </c>
      <c r="FZ40" s="7"/>
      <c r="GA40" s="7">
        <v>3.15</v>
      </c>
      <c r="GB40" s="7">
        <v>3.1966666666666668</v>
      </c>
      <c r="GC40" s="7">
        <v>3.2005147058823531</v>
      </c>
    </row>
    <row r="41" spans="1:185" x14ac:dyDescent="0.15">
      <c r="A41" s="6">
        <v>41141</v>
      </c>
      <c r="B41" s="7"/>
      <c r="C41" s="7"/>
      <c r="D41" s="7"/>
      <c r="E41" s="7"/>
      <c r="F41" s="7"/>
      <c r="G41" s="7"/>
      <c r="H41" s="7"/>
      <c r="I41" s="7"/>
      <c r="J41" s="7">
        <v>3.25</v>
      </c>
      <c r="K41" s="7"/>
      <c r="L41" s="7"/>
      <c r="M41" s="7">
        <v>3.2800000000000002</v>
      </c>
      <c r="N41" s="7"/>
      <c r="O41" s="7"/>
      <c r="P41" s="7"/>
      <c r="Q41" s="7">
        <v>3.1100000000000003</v>
      </c>
      <c r="R41" s="7"/>
      <c r="S41" s="7">
        <v>3.2133333333333334</v>
      </c>
      <c r="T41" s="7"/>
      <c r="U41" s="7"/>
      <c r="V41" s="7">
        <v>3.31</v>
      </c>
      <c r="W41" s="7"/>
      <c r="X41" s="7"/>
      <c r="Y41" s="7"/>
      <c r="Z41" s="7"/>
      <c r="AA41" s="7"/>
      <c r="AB41" s="7"/>
      <c r="AC41" s="7">
        <v>3.29</v>
      </c>
      <c r="AD41" s="7"/>
      <c r="AE41" s="7"/>
      <c r="AF41" s="7">
        <v>3.3</v>
      </c>
      <c r="AG41" s="7"/>
      <c r="AH41" s="7"/>
      <c r="AI41" s="7"/>
      <c r="AJ41" s="7">
        <v>3.3</v>
      </c>
      <c r="AK41" s="7"/>
      <c r="AL41" s="7">
        <v>3.3000000000000003</v>
      </c>
      <c r="AM41" s="7"/>
      <c r="AN41" s="7"/>
      <c r="AO41" s="7">
        <v>3.1875</v>
      </c>
      <c r="AP41" s="7"/>
      <c r="AQ41" s="7"/>
      <c r="AR41" s="7"/>
      <c r="AS41" s="7"/>
      <c r="AT41" s="7"/>
      <c r="AU41" s="7"/>
      <c r="AV41" s="7">
        <v>3.1500000000000004</v>
      </c>
      <c r="AW41" s="7"/>
      <c r="AX41" s="7"/>
      <c r="AY41" s="7">
        <v>3.1850000000000001</v>
      </c>
      <c r="AZ41" s="7"/>
      <c r="BA41" s="7"/>
      <c r="BB41" s="7"/>
      <c r="BC41" s="7">
        <v>3.1799999999999997</v>
      </c>
      <c r="BD41" s="7"/>
      <c r="BE41" s="7">
        <v>3.1756250000000001</v>
      </c>
      <c r="BF41" s="7"/>
      <c r="BG41" s="7"/>
      <c r="BH41" s="7">
        <v>3.1550000000000002</v>
      </c>
      <c r="BI41" s="7"/>
      <c r="BJ41" s="7"/>
      <c r="BK41" s="7"/>
      <c r="BL41" s="7"/>
      <c r="BM41" s="7"/>
      <c r="BN41" s="7"/>
      <c r="BO41" s="7">
        <v>3.1399999999999997</v>
      </c>
      <c r="BP41" s="7"/>
      <c r="BQ41" s="7"/>
      <c r="BR41" s="7">
        <v>3.125</v>
      </c>
      <c r="BS41" s="7"/>
      <c r="BT41" s="7"/>
      <c r="BU41" s="7"/>
      <c r="BV41" s="7">
        <v>3.1500000000000004</v>
      </c>
      <c r="BW41" s="7"/>
      <c r="BX41" s="7">
        <v>3.1425000000000001</v>
      </c>
      <c r="BY41" s="7"/>
      <c r="BZ41" s="7"/>
      <c r="CA41" s="7">
        <v>3.1425000000000001</v>
      </c>
      <c r="CB41" s="7"/>
      <c r="CC41" s="7"/>
      <c r="CD41" s="7"/>
      <c r="CE41" s="7"/>
      <c r="CF41" s="7"/>
      <c r="CG41" s="7"/>
      <c r="CH41" s="7">
        <v>3.0999999999999996</v>
      </c>
      <c r="CI41" s="7"/>
      <c r="CJ41" s="7"/>
      <c r="CK41" s="7">
        <v>3.12</v>
      </c>
      <c r="CL41" s="7"/>
      <c r="CM41" s="7"/>
      <c r="CN41" s="7"/>
      <c r="CO41" s="7">
        <v>3.1100000000000003</v>
      </c>
      <c r="CP41" s="7"/>
      <c r="CQ41" s="7">
        <v>3.118125</v>
      </c>
      <c r="CR41" s="7"/>
      <c r="CS41" s="7"/>
      <c r="CT41" s="7">
        <v>3.1425000000000001</v>
      </c>
      <c r="CU41" s="7"/>
      <c r="CV41" s="7"/>
      <c r="CW41" s="7"/>
      <c r="CX41" s="7"/>
      <c r="CY41" s="7"/>
      <c r="CZ41" s="7"/>
      <c r="DA41" s="7">
        <v>3.0999999999999996</v>
      </c>
      <c r="DB41" s="7"/>
      <c r="DC41" s="7"/>
      <c r="DD41" s="7">
        <v>3.14</v>
      </c>
      <c r="DE41" s="7"/>
      <c r="DF41" s="7"/>
      <c r="DG41" s="7"/>
      <c r="DH41" s="7">
        <v>3.1100000000000003</v>
      </c>
      <c r="DI41" s="7"/>
      <c r="DJ41" s="7">
        <v>3.1231249999999999</v>
      </c>
      <c r="DK41" s="7"/>
      <c r="DL41" s="7"/>
      <c r="DM41" s="7">
        <v>3.5074999999999998</v>
      </c>
      <c r="DN41" s="7"/>
      <c r="DO41" s="7"/>
      <c r="DP41" s="7"/>
      <c r="DQ41" s="7"/>
      <c r="DR41" s="7"/>
      <c r="DS41" s="7"/>
      <c r="DT41" s="7">
        <v>3.5</v>
      </c>
      <c r="DU41" s="7"/>
      <c r="DV41" s="7"/>
      <c r="DW41" s="7">
        <v>3.5</v>
      </c>
      <c r="DX41" s="7"/>
      <c r="DY41" s="7"/>
      <c r="DZ41" s="7"/>
      <c r="EA41" s="7">
        <v>3.5149999999999997</v>
      </c>
      <c r="EB41" s="7"/>
      <c r="EC41" s="7">
        <v>3.5056250000000002</v>
      </c>
      <c r="ED41" s="7"/>
      <c r="EE41" s="7">
        <v>3.125</v>
      </c>
      <c r="EF41" s="7"/>
      <c r="EG41" s="7"/>
      <c r="EH41" s="7">
        <v>3.125</v>
      </c>
      <c r="EI41" s="7"/>
      <c r="EJ41" s="7"/>
      <c r="EK41" s="7"/>
      <c r="EL41" s="7"/>
      <c r="EM41" s="7"/>
      <c r="EN41" s="7"/>
      <c r="EO41" s="7"/>
      <c r="EP41" s="7"/>
      <c r="EQ41" s="7">
        <v>3.2</v>
      </c>
      <c r="ER41" s="7"/>
      <c r="ES41" s="7"/>
      <c r="ET41" s="7">
        <v>3.25</v>
      </c>
      <c r="EU41" s="7"/>
      <c r="EV41" s="7"/>
      <c r="EW41" s="7"/>
      <c r="EX41" s="7">
        <v>3.1100000000000003</v>
      </c>
      <c r="EY41" s="7"/>
      <c r="EZ41" s="7">
        <v>3.186666666666667</v>
      </c>
      <c r="FA41" s="7"/>
      <c r="FB41" s="7">
        <v>3.25</v>
      </c>
      <c r="FC41" s="7"/>
      <c r="FD41" s="7"/>
      <c r="FE41" s="7">
        <v>3.25</v>
      </c>
      <c r="FF41" s="7"/>
      <c r="FG41" s="7"/>
      <c r="FH41" s="7">
        <v>3.4050000000000002</v>
      </c>
      <c r="FI41" s="7"/>
      <c r="FJ41" s="7"/>
      <c r="FK41" s="7"/>
      <c r="FL41" s="7"/>
      <c r="FM41" s="7"/>
      <c r="FN41" s="7"/>
      <c r="FO41" s="7">
        <v>3.38</v>
      </c>
      <c r="FP41" s="7"/>
      <c r="FQ41" s="7"/>
      <c r="FR41" s="7">
        <v>3.4000000000000004</v>
      </c>
      <c r="FS41" s="7"/>
      <c r="FT41" s="7"/>
      <c r="FU41" s="7">
        <v>3.3849999999999998</v>
      </c>
      <c r="FV41" s="7"/>
      <c r="FW41" s="7">
        <v>3.3924999999999992</v>
      </c>
      <c r="FX41" s="7"/>
      <c r="FY41" s="7">
        <v>3.26</v>
      </c>
      <c r="FZ41" s="7"/>
      <c r="GA41" s="7"/>
      <c r="GB41" s="7">
        <v>3.26</v>
      </c>
      <c r="GC41" s="7">
        <v>3.2395945945945948</v>
      </c>
    </row>
    <row r="42" spans="1:185" x14ac:dyDescent="0.15">
      <c r="A42" s="6">
        <v>41142</v>
      </c>
      <c r="B42" s="7"/>
      <c r="C42" s="7"/>
      <c r="D42" s="7"/>
      <c r="E42" s="7"/>
      <c r="F42" s="7"/>
      <c r="G42" s="7"/>
      <c r="H42" s="7"/>
      <c r="I42" s="7"/>
      <c r="J42" s="7">
        <v>3.2749999999999999</v>
      </c>
      <c r="K42" s="7"/>
      <c r="L42" s="7"/>
      <c r="M42" s="7">
        <v>3.3450000000000002</v>
      </c>
      <c r="N42" s="7"/>
      <c r="O42" s="7"/>
      <c r="P42" s="7"/>
      <c r="Q42" s="7">
        <v>3.12</v>
      </c>
      <c r="R42" s="7"/>
      <c r="S42" s="7">
        <v>3.2149999999999999</v>
      </c>
      <c r="T42" s="7"/>
      <c r="U42" s="7"/>
      <c r="V42" s="7">
        <v>3.3450000000000002</v>
      </c>
      <c r="W42" s="7"/>
      <c r="X42" s="7"/>
      <c r="Y42" s="7"/>
      <c r="Z42" s="7"/>
      <c r="AA42" s="7"/>
      <c r="AB42" s="7"/>
      <c r="AC42" s="7">
        <v>3.335</v>
      </c>
      <c r="AD42" s="7"/>
      <c r="AE42" s="7"/>
      <c r="AF42" s="7">
        <v>3.3249999999999997</v>
      </c>
      <c r="AG42" s="7"/>
      <c r="AH42" s="7"/>
      <c r="AI42" s="7"/>
      <c r="AJ42" s="7">
        <v>3.3374999999999999</v>
      </c>
      <c r="AK42" s="7"/>
      <c r="AL42" s="7">
        <v>3.3359999999999999</v>
      </c>
      <c r="AM42" s="7"/>
      <c r="AN42" s="7"/>
      <c r="AO42" s="7">
        <v>3.2150000000000003</v>
      </c>
      <c r="AP42" s="7"/>
      <c r="AQ42" s="7"/>
      <c r="AR42" s="7"/>
      <c r="AS42" s="7"/>
      <c r="AT42" s="7"/>
      <c r="AU42" s="7"/>
      <c r="AV42" s="7">
        <v>3.2150000000000003</v>
      </c>
      <c r="AW42" s="7"/>
      <c r="AX42" s="7"/>
      <c r="AY42" s="7">
        <v>3.2250000000000001</v>
      </c>
      <c r="AZ42" s="7"/>
      <c r="BA42" s="7"/>
      <c r="BB42" s="7"/>
      <c r="BC42" s="7">
        <v>3.1974999999999998</v>
      </c>
      <c r="BD42" s="7"/>
      <c r="BE42" s="7">
        <v>3.21</v>
      </c>
      <c r="BF42" s="7"/>
      <c r="BG42" s="7"/>
      <c r="BH42" s="7">
        <v>3.16</v>
      </c>
      <c r="BI42" s="7"/>
      <c r="BJ42" s="7"/>
      <c r="BK42" s="7"/>
      <c r="BL42" s="7"/>
      <c r="BM42" s="7"/>
      <c r="BN42" s="7"/>
      <c r="BO42" s="7">
        <v>3.165</v>
      </c>
      <c r="BP42" s="7"/>
      <c r="BQ42" s="7"/>
      <c r="BR42" s="7">
        <v>3.1750000000000003</v>
      </c>
      <c r="BS42" s="7"/>
      <c r="BT42" s="7"/>
      <c r="BU42" s="7"/>
      <c r="BV42" s="7">
        <v>3.1750000000000003</v>
      </c>
      <c r="BW42" s="7"/>
      <c r="BX42" s="7">
        <v>3.1700000000000004</v>
      </c>
      <c r="BY42" s="7"/>
      <c r="BZ42" s="7"/>
      <c r="CA42" s="7">
        <v>3.1725000000000003</v>
      </c>
      <c r="CB42" s="7"/>
      <c r="CC42" s="7"/>
      <c r="CD42" s="7"/>
      <c r="CE42" s="7"/>
      <c r="CF42" s="7"/>
      <c r="CG42" s="7"/>
      <c r="CH42" s="7">
        <v>3.1599999999999997</v>
      </c>
      <c r="CI42" s="7"/>
      <c r="CJ42" s="7"/>
      <c r="CK42" s="7">
        <v>3.1750000000000003</v>
      </c>
      <c r="CL42" s="7"/>
      <c r="CM42" s="7"/>
      <c r="CN42" s="7"/>
      <c r="CO42" s="7">
        <v>3.165</v>
      </c>
      <c r="CP42" s="7"/>
      <c r="CQ42" s="7">
        <v>3.1674999999999995</v>
      </c>
      <c r="CR42" s="7"/>
      <c r="CS42" s="7"/>
      <c r="CT42" s="7">
        <v>3.1775000000000002</v>
      </c>
      <c r="CU42" s="7"/>
      <c r="CV42" s="7"/>
      <c r="CW42" s="7"/>
      <c r="CX42" s="7"/>
      <c r="CY42" s="7"/>
      <c r="CZ42" s="7"/>
      <c r="DA42" s="7">
        <v>3.165</v>
      </c>
      <c r="DB42" s="7"/>
      <c r="DC42" s="7"/>
      <c r="DD42" s="7">
        <v>3.2150000000000003</v>
      </c>
      <c r="DE42" s="7"/>
      <c r="DF42" s="7"/>
      <c r="DG42" s="7"/>
      <c r="DH42" s="7">
        <v>3.1650000000000005</v>
      </c>
      <c r="DI42" s="7"/>
      <c r="DJ42" s="7">
        <v>3.1774999999999998</v>
      </c>
      <c r="DK42" s="7"/>
      <c r="DL42" s="7"/>
      <c r="DM42" s="7">
        <v>3.5150000000000001</v>
      </c>
      <c r="DN42" s="7"/>
      <c r="DO42" s="7"/>
      <c r="DP42" s="7"/>
      <c r="DQ42" s="7"/>
      <c r="DR42" s="7"/>
      <c r="DS42" s="7"/>
      <c r="DT42" s="7">
        <v>3.52</v>
      </c>
      <c r="DU42" s="7"/>
      <c r="DV42" s="7"/>
      <c r="DW42" s="7">
        <v>3.5249999999999999</v>
      </c>
      <c r="DX42" s="7"/>
      <c r="DY42" s="7"/>
      <c r="DZ42" s="7"/>
      <c r="EA42" s="7">
        <v>3.4862500000000001</v>
      </c>
      <c r="EB42" s="7"/>
      <c r="EC42" s="7">
        <v>3.5065</v>
      </c>
      <c r="ED42" s="7"/>
      <c r="EE42" s="7">
        <v>3.1949999999999998</v>
      </c>
      <c r="EF42" s="7"/>
      <c r="EG42" s="7">
        <v>3.15</v>
      </c>
      <c r="EH42" s="7">
        <v>3.1799999999999997</v>
      </c>
      <c r="EI42" s="7"/>
      <c r="EJ42" s="7"/>
      <c r="EK42" s="7"/>
      <c r="EL42" s="7"/>
      <c r="EM42" s="7"/>
      <c r="EN42" s="7"/>
      <c r="EO42" s="7"/>
      <c r="EP42" s="7"/>
      <c r="EQ42" s="7">
        <v>3.2</v>
      </c>
      <c r="ER42" s="7"/>
      <c r="ES42" s="7"/>
      <c r="ET42" s="7">
        <v>3.3249999999999997</v>
      </c>
      <c r="EU42" s="7"/>
      <c r="EV42" s="7"/>
      <c r="EW42" s="7"/>
      <c r="EX42" s="7">
        <v>3.12</v>
      </c>
      <c r="EY42" s="7"/>
      <c r="EZ42" s="7">
        <v>3.1912499999999997</v>
      </c>
      <c r="FA42" s="7"/>
      <c r="FB42" s="7">
        <v>3.3249999999999997</v>
      </c>
      <c r="FC42" s="7"/>
      <c r="FD42" s="7">
        <v>3.15</v>
      </c>
      <c r="FE42" s="7">
        <v>3.2666666666666662</v>
      </c>
      <c r="FF42" s="7"/>
      <c r="FG42" s="7"/>
      <c r="FH42" s="7">
        <v>3.4249999999999998</v>
      </c>
      <c r="FI42" s="7"/>
      <c r="FJ42" s="7"/>
      <c r="FK42" s="7"/>
      <c r="FL42" s="7"/>
      <c r="FM42" s="7"/>
      <c r="FN42" s="7"/>
      <c r="FO42" s="7">
        <v>3.4000000000000004</v>
      </c>
      <c r="FP42" s="7"/>
      <c r="FQ42" s="7"/>
      <c r="FR42" s="7">
        <v>3.4250000000000003</v>
      </c>
      <c r="FS42" s="7"/>
      <c r="FT42" s="7"/>
      <c r="FU42" s="7">
        <v>3.4737499999999999</v>
      </c>
      <c r="FV42" s="7"/>
      <c r="FW42" s="7">
        <v>3.4394999999999998</v>
      </c>
      <c r="FX42" s="7"/>
      <c r="FY42" s="7">
        <v>3.3249999999999997</v>
      </c>
      <c r="FZ42" s="7"/>
      <c r="GA42" s="7">
        <v>3.15</v>
      </c>
      <c r="GB42" s="7">
        <v>3.2666666666666662</v>
      </c>
      <c r="GC42" s="7">
        <v>3.2679999999999993</v>
      </c>
    </row>
    <row r="43" spans="1:185" x14ac:dyDescent="0.15">
      <c r="A43" s="6">
        <v>41143</v>
      </c>
      <c r="B43" s="7"/>
      <c r="C43" s="7"/>
      <c r="D43" s="7"/>
      <c r="E43" s="7"/>
      <c r="F43" s="7"/>
      <c r="G43" s="7"/>
      <c r="H43" s="7"/>
      <c r="I43" s="7"/>
      <c r="J43" s="7">
        <v>3.37</v>
      </c>
      <c r="K43" s="7"/>
      <c r="L43" s="7"/>
      <c r="M43" s="7">
        <v>3.45</v>
      </c>
      <c r="N43" s="7"/>
      <c r="O43" s="7"/>
      <c r="P43" s="7"/>
      <c r="Q43" s="7">
        <v>3.29</v>
      </c>
      <c r="R43" s="7"/>
      <c r="S43" s="7">
        <v>3.3699999999999997</v>
      </c>
      <c r="T43" s="7"/>
      <c r="U43" s="7"/>
      <c r="V43" s="7">
        <v>3.46</v>
      </c>
      <c r="W43" s="7"/>
      <c r="X43" s="7"/>
      <c r="Y43" s="7"/>
      <c r="Z43" s="7"/>
      <c r="AA43" s="7"/>
      <c r="AB43" s="7"/>
      <c r="AC43" s="7">
        <v>3.43</v>
      </c>
      <c r="AD43" s="7"/>
      <c r="AE43" s="7"/>
      <c r="AF43" s="7">
        <v>3.4250000000000003</v>
      </c>
      <c r="AG43" s="7"/>
      <c r="AH43" s="7"/>
      <c r="AI43" s="7"/>
      <c r="AJ43" s="7">
        <v>3.4299999999999997</v>
      </c>
      <c r="AK43" s="7"/>
      <c r="AL43" s="7">
        <v>3.4362499999999998</v>
      </c>
      <c r="AM43" s="7"/>
      <c r="AN43" s="7"/>
      <c r="AO43" s="7">
        <v>3.3624999999999998</v>
      </c>
      <c r="AP43" s="7"/>
      <c r="AQ43" s="7"/>
      <c r="AR43" s="7"/>
      <c r="AS43" s="7"/>
      <c r="AT43" s="7"/>
      <c r="AU43" s="7"/>
      <c r="AV43" s="7">
        <v>3.355</v>
      </c>
      <c r="AW43" s="7"/>
      <c r="AX43" s="7"/>
      <c r="AY43" s="7">
        <v>3.3249999999999997</v>
      </c>
      <c r="AZ43" s="7"/>
      <c r="BA43" s="7"/>
      <c r="BB43" s="7"/>
      <c r="BC43" s="7">
        <v>3.3499999999999996</v>
      </c>
      <c r="BD43" s="7"/>
      <c r="BE43" s="7">
        <v>3.3481250000000005</v>
      </c>
      <c r="BF43" s="7"/>
      <c r="BG43" s="7"/>
      <c r="BH43" s="7">
        <v>3.3125</v>
      </c>
      <c r="BI43" s="7"/>
      <c r="BJ43" s="7"/>
      <c r="BK43" s="7"/>
      <c r="BL43" s="7"/>
      <c r="BM43" s="7"/>
      <c r="BN43" s="7"/>
      <c r="BO43" s="7">
        <v>3.3</v>
      </c>
      <c r="BP43" s="7"/>
      <c r="BQ43" s="7"/>
      <c r="BR43" s="7">
        <v>3.2749999999999999</v>
      </c>
      <c r="BS43" s="7"/>
      <c r="BT43" s="7"/>
      <c r="BU43" s="7"/>
      <c r="BV43" s="7">
        <v>3.3499999999999996</v>
      </c>
      <c r="BW43" s="7"/>
      <c r="BX43" s="7">
        <v>3.3093750000000002</v>
      </c>
      <c r="BY43" s="7"/>
      <c r="BZ43" s="7"/>
      <c r="CA43" s="7">
        <v>3.2974999999999999</v>
      </c>
      <c r="CB43" s="7"/>
      <c r="CC43" s="7"/>
      <c r="CD43" s="7"/>
      <c r="CE43" s="7"/>
      <c r="CF43" s="7"/>
      <c r="CG43" s="7"/>
      <c r="CH43" s="7">
        <v>3.2849999999999997</v>
      </c>
      <c r="CI43" s="7"/>
      <c r="CJ43" s="7"/>
      <c r="CK43" s="7">
        <v>3.2749999999999999</v>
      </c>
      <c r="CL43" s="7"/>
      <c r="CM43" s="7"/>
      <c r="CN43" s="7"/>
      <c r="CO43" s="7">
        <v>3.3374999999999999</v>
      </c>
      <c r="CP43" s="7"/>
      <c r="CQ43" s="7">
        <v>3.2987500000000001</v>
      </c>
      <c r="CR43" s="7"/>
      <c r="CS43" s="7"/>
      <c r="CT43" s="7">
        <v>3.3149999999999999</v>
      </c>
      <c r="CU43" s="7"/>
      <c r="CV43" s="7"/>
      <c r="CW43" s="7"/>
      <c r="CX43" s="7"/>
      <c r="CY43" s="7"/>
      <c r="CZ43" s="7"/>
      <c r="DA43" s="7">
        <v>3.3</v>
      </c>
      <c r="DB43" s="7"/>
      <c r="DC43" s="7"/>
      <c r="DD43" s="7">
        <v>3.31</v>
      </c>
      <c r="DE43" s="7"/>
      <c r="DF43" s="7"/>
      <c r="DG43" s="7"/>
      <c r="DH43" s="7">
        <v>3.3374999999999999</v>
      </c>
      <c r="DI43" s="7"/>
      <c r="DJ43" s="7">
        <v>3.3156249999999998</v>
      </c>
      <c r="DK43" s="7"/>
      <c r="DL43" s="7"/>
      <c r="DM43" s="7">
        <v>3.61</v>
      </c>
      <c r="DN43" s="7"/>
      <c r="DO43" s="7"/>
      <c r="DP43" s="7"/>
      <c r="DQ43" s="7"/>
      <c r="DR43" s="7"/>
      <c r="DS43" s="7"/>
      <c r="DT43" s="7">
        <v>3.58</v>
      </c>
      <c r="DU43" s="7"/>
      <c r="DV43" s="7"/>
      <c r="DW43" s="7">
        <v>3.5999999999999996</v>
      </c>
      <c r="DX43" s="7"/>
      <c r="DY43" s="7"/>
      <c r="DZ43" s="7"/>
      <c r="EA43" s="7">
        <v>3.55</v>
      </c>
      <c r="EB43" s="7"/>
      <c r="EC43" s="7">
        <v>3.585</v>
      </c>
      <c r="ED43" s="7"/>
      <c r="EE43" s="7">
        <v>3.29</v>
      </c>
      <c r="EF43" s="7"/>
      <c r="EG43" s="7"/>
      <c r="EH43" s="7">
        <v>3.29</v>
      </c>
      <c r="EI43" s="7"/>
      <c r="EJ43" s="7"/>
      <c r="EK43" s="7"/>
      <c r="EL43" s="7"/>
      <c r="EM43" s="7"/>
      <c r="EN43" s="7"/>
      <c r="EO43" s="7"/>
      <c r="EP43" s="7"/>
      <c r="EQ43" s="7">
        <v>3.3400000000000003</v>
      </c>
      <c r="ER43" s="7"/>
      <c r="ES43" s="7"/>
      <c r="ET43" s="7">
        <v>3.4250000000000003</v>
      </c>
      <c r="EU43" s="7"/>
      <c r="EV43" s="7"/>
      <c r="EW43" s="7"/>
      <c r="EX43" s="7">
        <v>3.29</v>
      </c>
      <c r="EY43" s="7"/>
      <c r="EZ43" s="7">
        <v>3.3516666666666666</v>
      </c>
      <c r="FA43" s="7"/>
      <c r="FB43" s="7">
        <v>3.43</v>
      </c>
      <c r="FC43" s="7"/>
      <c r="FD43" s="7"/>
      <c r="FE43" s="7">
        <v>3.43</v>
      </c>
      <c r="FF43" s="7"/>
      <c r="FG43" s="7"/>
      <c r="FH43" s="7">
        <v>3.5024999999999999</v>
      </c>
      <c r="FI43" s="7"/>
      <c r="FJ43" s="7"/>
      <c r="FK43" s="7"/>
      <c r="FL43" s="7"/>
      <c r="FM43" s="7"/>
      <c r="FN43" s="7"/>
      <c r="FO43" s="7">
        <v>3.4899999999999998</v>
      </c>
      <c r="FP43" s="7"/>
      <c r="FQ43" s="7"/>
      <c r="FR43" s="7">
        <v>3.5</v>
      </c>
      <c r="FS43" s="7"/>
      <c r="FT43" s="7"/>
      <c r="FU43" s="7">
        <v>3.5</v>
      </c>
      <c r="FV43" s="7"/>
      <c r="FW43" s="7">
        <v>3.4981249999999999</v>
      </c>
      <c r="FX43" s="7"/>
      <c r="FY43" s="7">
        <v>3.4350000000000001</v>
      </c>
      <c r="FZ43" s="7"/>
      <c r="GA43" s="7"/>
      <c r="GB43" s="7">
        <v>3.4350000000000001</v>
      </c>
      <c r="GC43" s="7">
        <v>3.3914864864864867</v>
      </c>
    </row>
    <row r="44" spans="1:185" x14ac:dyDescent="0.15">
      <c r="A44" s="6">
        <v>41144</v>
      </c>
      <c r="B44" s="7"/>
      <c r="C44" s="7"/>
      <c r="D44" s="7"/>
      <c r="E44" s="7"/>
      <c r="F44" s="7"/>
      <c r="G44" s="7"/>
      <c r="H44" s="7"/>
      <c r="I44" s="7"/>
      <c r="J44" s="7">
        <v>3.37</v>
      </c>
      <c r="K44" s="7"/>
      <c r="L44" s="7"/>
      <c r="M44" s="7">
        <v>3.4299999999999997</v>
      </c>
      <c r="N44" s="7"/>
      <c r="O44" s="7"/>
      <c r="P44" s="7"/>
      <c r="Q44" s="7">
        <v>3.25</v>
      </c>
      <c r="R44" s="7"/>
      <c r="S44" s="7">
        <v>3.3499999999999996</v>
      </c>
      <c r="T44" s="7"/>
      <c r="U44" s="7"/>
      <c r="V44" s="7">
        <v>3.3725000000000001</v>
      </c>
      <c r="W44" s="7"/>
      <c r="X44" s="7"/>
      <c r="Y44" s="7"/>
      <c r="Z44" s="7"/>
      <c r="AA44" s="7"/>
      <c r="AB44" s="7"/>
      <c r="AC44" s="7">
        <v>3.4000000000000004</v>
      </c>
      <c r="AD44" s="7"/>
      <c r="AE44" s="7"/>
      <c r="AF44" s="7">
        <v>3.4000000000000004</v>
      </c>
      <c r="AG44" s="7"/>
      <c r="AH44" s="7"/>
      <c r="AI44" s="7"/>
      <c r="AJ44" s="7">
        <v>3.415</v>
      </c>
      <c r="AK44" s="7"/>
      <c r="AL44" s="7">
        <v>3.3968749999999996</v>
      </c>
      <c r="AM44" s="7"/>
      <c r="AN44" s="7"/>
      <c r="AO44" s="7">
        <v>3.3249999999999997</v>
      </c>
      <c r="AP44" s="7"/>
      <c r="AQ44" s="7"/>
      <c r="AR44" s="7"/>
      <c r="AS44" s="7"/>
      <c r="AT44" s="7"/>
      <c r="AU44" s="7"/>
      <c r="AV44" s="7">
        <v>3.3200000000000003</v>
      </c>
      <c r="AW44" s="7"/>
      <c r="AX44" s="7"/>
      <c r="AY44" s="7">
        <v>3.3</v>
      </c>
      <c r="AZ44" s="7"/>
      <c r="BA44" s="7"/>
      <c r="BB44" s="7"/>
      <c r="BC44" s="7">
        <v>3.3624999999999998</v>
      </c>
      <c r="BD44" s="7"/>
      <c r="BE44" s="7">
        <v>3.3268750000000002</v>
      </c>
      <c r="BF44" s="7"/>
      <c r="BG44" s="7"/>
      <c r="BH44" s="7">
        <v>3.26</v>
      </c>
      <c r="BI44" s="7"/>
      <c r="BJ44" s="7"/>
      <c r="BK44" s="7"/>
      <c r="BL44" s="7"/>
      <c r="BM44" s="7"/>
      <c r="BN44" s="7"/>
      <c r="BO44" s="7">
        <v>3.2800000000000002</v>
      </c>
      <c r="BP44" s="7"/>
      <c r="BQ44" s="7"/>
      <c r="BR44" s="7">
        <v>3.25</v>
      </c>
      <c r="BS44" s="7"/>
      <c r="BT44" s="7"/>
      <c r="BU44" s="7"/>
      <c r="BV44" s="7">
        <v>3.3499999999999996</v>
      </c>
      <c r="BW44" s="7"/>
      <c r="BX44" s="7">
        <v>3.2850000000000001</v>
      </c>
      <c r="BY44" s="7"/>
      <c r="BZ44" s="7"/>
      <c r="CA44" s="7">
        <v>3.2649999999999997</v>
      </c>
      <c r="CB44" s="7"/>
      <c r="CC44" s="7"/>
      <c r="CD44" s="7"/>
      <c r="CE44" s="7"/>
      <c r="CF44" s="7"/>
      <c r="CG44" s="7"/>
      <c r="CH44" s="7">
        <v>3.27</v>
      </c>
      <c r="CI44" s="7"/>
      <c r="CJ44" s="7"/>
      <c r="CK44" s="7">
        <v>3.25</v>
      </c>
      <c r="CL44" s="7"/>
      <c r="CM44" s="7"/>
      <c r="CN44" s="7"/>
      <c r="CO44" s="7">
        <v>3.3249999999999997</v>
      </c>
      <c r="CP44" s="7"/>
      <c r="CQ44" s="7">
        <v>3.2775000000000003</v>
      </c>
      <c r="CR44" s="7"/>
      <c r="CS44" s="7"/>
      <c r="CT44" s="7">
        <v>3.26</v>
      </c>
      <c r="CU44" s="7"/>
      <c r="CV44" s="7"/>
      <c r="CW44" s="7"/>
      <c r="CX44" s="7"/>
      <c r="CY44" s="7"/>
      <c r="CZ44" s="7"/>
      <c r="DA44" s="7">
        <v>3.29</v>
      </c>
      <c r="DB44" s="7"/>
      <c r="DC44" s="7"/>
      <c r="DD44" s="7">
        <v>3.2800000000000002</v>
      </c>
      <c r="DE44" s="7"/>
      <c r="DF44" s="7"/>
      <c r="DG44" s="7"/>
      <c r="DH44" s="7">
        <v>3.3249999999999997</v>
      </c>
      <c r="DI44" s="7"/>
      <c r="DJ44" s="7">
        <v>3.2887499999999998</v>
      </c>
      <c r="DK44" s="7"/>
      <c r="DL44" s="7"/>
      <c r="DM44" s="7">
        <v>3.56</v>
      </c>
      <c r="DN44" s="7"/>
      <c r="DO44" s="7"/>
      <c r="DP44" s="7"/>
      <c r="DQ44" s="7"/>
      <c r="DR44" s="7"/>
      <c r="DS44" s="7"/>
      <c r="DT44" s="7">
        <v>3.5599999999999996</v>
      </c>
      <c r="DU44" s="7"/>
      <c r="DV44" s="7"/>
      <c r="DW44" s="7">
        <v>3.5999999999999996</v>
      </c>
      <c r="DX44" s="7"/>
      <c r="DY44" s="7"/>
      <c r="DZ44" s="7"/>
      <c r="EA44" s="7">
        <v>3.4749999999999996</v>
      </c>
      <c r="EB44" s="7"/>
      <c r="EC44" s="7">
        <v>3.5487499999999996</v>
      </c>
      <c r="ED44" s="7"/>
      <c r="EE44" s="7">
        <v>3.26</v>
      </c>
      <c r="EF44" s="7"/>
      <c r="EG44" s="7">
        <v>3.15</v>
      </c>
      <c r="EH44" s="7">
        <v>3.2233333333333332</v>
      </c>
      <c r="EI44" s="7"/>
      <c r="EJ44" s="7"/>
      <c r="EK44" s="7"/>
      <c r="EL44" s="7"/>
      <c r="EM44" s="7"/>
      <c r="EN44" s="7"/>
      <c r="EO44" s="7"/>
      <c r="EP44" s="7"/>
      <c r="EQ44" s="7">
        <v>3.34</v>
      </c>
      <c r="ER44" s="7"/>
      <c r="ES44" s="7"/>
      <c r="ET44" s="7">
        <v>3.4000000000000004</v>
      </c>
      <c r="EU44" s="7"/>
      <c r="EV44" s="7"/>
      <c r="EW44" s="7"/>
      <c r="EX44" s="7">
        <v>3.25</v>
      </c>
      <c r="EY44" s="7"/>
      <c r="EZ44" s="7">
        <v>3.3299999999999996</v>
      </c>
      <c r="FA44" s="7"/>
      <c r="FB44" s="7">
        <v>3.41</v>
      </c>
      <c r="FC44" s="7"/>
      <c r="FD44" s="7">
        <v>3.15</v>
      </c>
      <c r="FE44" s="7">
        <v>3.3233333333333337</v>
      </c>
      <c r="FF44" s="7"/>
      <c r="FG44" s="7"/>
      <c r="FH44" s="7">
        <v>3.48</v>
      </c>
      <c r="FI44" s="7"/>
      <c r="FJ44" s="7"/>
      <c r="FK44" s="7"/>
      <c r="FL44" s="7"/>
      <c r="FM44" s="7"/>
      <c r="FN44" s="7"/>
      <c r="FO44" s="7">
        <v>3.48</v>
      </c>
      <c r="FP44" s="7"/>
      <c r="FQ44" s="7"/>
      <c r="FR44" s="7">
        <v>3.5</v>
      </c>
      <c r="FS44" s="7"/>
      <c r="FT44" s="7"/>
      <c r="FU44" s="7">
        <v>3.55</v>
      </c>
      <c r="FV44" s="7"/>
      <c r="FW44" s="7">
        <v>3.5025000000000004</v>
      </c>
      <c r="FX44" s="7"/>
      <c r="FY44" s="7">
        <v>3.42</v>
      </c>
      <c r="FZ44" s="7"/>
      <c r="GA44" s="7">
        <v>3.15</v>
      </c>
      <c r="GB44" s="7">
        <v>3.33</v>
      </c>
      <c r="GC44" s="7">
        <v>3.359999999999999</v>
      </c>
    </row>
    <row r="45" spans="1:185" x14ac:dyDescent="0.15">
      <c r="A45" s="6">
        <v>41145</v>
      </c>
      <c r="B45" s="7"/>
      <c r="C45" s="7"/>
      <c r="D45" s="7"/>
      <c r="E45" s="7"/>
      <c r="F45" s="7"/>
      <c r="G45" s="7"/>
      <c r="H45" s="7"/>
      <c r="I45" s="7"/>
      <c r="J45" s="7">
        <v>3.34</v>
      </c>
      <c r="K45" s="7"/>
      <c r="L45" s="7"/>
      <c r="M45" s="7">
        <v>3.4299999999999997</v>
      </c>
      <c r="N45" s="7"/>
      <c r="O45" s="7"/>
      <c r="P45" s="7"/>
      <c r="Q45" s="7">
        <v>3.3499999999999996</v>
      </c>
      <c r="R45" s="7"/>
      <c r="S45" s="7">
        <v>3.3733333333333331</v>
      </c>
      <c r="T45" s="7"/>
      <c r="U45" s="7"/>
      <c r="V45" s="7">
        <v>3.34</v>
      </c>
      <c r="W45" s="7"/>
      <c r="X45" s="7"/>
      <c r="Y45" s="7"/>
      <c r="Z45" s="7"/>
      <c r="AA45" s="7"/>
      <c r="AB45" s="7"/>
      <c r="AC45" s="7">
        <v>3.3499999999999996</v>
      </c>
      <c r="AD45" s="7"/>
      <c r="AE45" s="7"/>
      <c r="AF45" s="7">
        <v>3.34</v>
      </c>
      <c r="AG45" s="7"/>
      <c r="AH45" s="7"/>
      <c r="AI45" s="7"/>
      <c r="AJ45" s="7">
        <v>3.4299999999999997</v>
      </c>
      <c r="AK45" s="7"/>
      <c r="AL45" s="7">
        <v>3.3649999999999998</v>
      </c>
      <c r="AM45" s="7"/>
      <c r="AN45" s="7"/>
      <c r="AO45" s="7">
        <v>3.2800000000000002</v>
      </c>
      <c r="AP45" s="7"/>
      <c r="AQ45" s="7"/>
      <c r="AR45" s="7"/>
      <c r="AS45" s="7"/>
      <c r="AT45" s="7"/>
      <c r="AU45" s="7"/>
      <c r="AV45" s="7">
        <v>3.29</v>
      </c>
      <c r="AW45" s="7"/>
      <c r="AX45" s="7"/>
      <c r="AY45" s="7">
        <v>3.2800000000000002</v>
      </c>
      <c r="AZ45" s="7"/>
      <c r="BA45" s="7"/>
      <c r="BB45" s="7"/>
      <c r="BC45" s="7">
        <v>3.3499999999999996</v>
      </c>
      <c r="BD45" s="7"/>
      <c r="BE45" s="7">
        <v>3.3000000000000003</v>
      </c>
      <c r="BF45" s="7"/>
      <c r="BG45" s="7"/>
      <c r="BH45" s="7">
        <v>3.2199999999999998</v>
      </c>
      <c r="BI45" s="7"/>
      <c r="BJ45" s="7"/>
      <c r="BK45" s="7"/>
      <c r="BL45" s="7"/>
      <c r="BM45" s="7"/>
      <c r="BN45" s="7"/>
      <c r="BO45" s="7">
        <v>3.24</v>
      </c>
      <c r="BP45" s="7"/>
      <c r="BQ45" s="7"/>
      <c r="BR45" s="7">
        <v>3.2199999999999998</v>
      </c>
      <c r="BS45" s="7"/>
      <c r="BT45" s="7"/>
      <c r="BU45" s="7"/>
      <c r="BV45" s="7">
        <v>3.3499999999999996</v>
      </c>
      <c r="BW45" s="7"/>
      <c r="BX45" s="7">
        <v>3.2574999999999998</v>
      </c>
      <c r="BY45" s="7"/>
      <c r="BZ45" s="7"/>
      <c r="CA45" s="7">
        <v>3.2199999999999998</v>
      </c>
      <c r="CB45" s="7"/>
      <c r="CC45" s="7"/>
      <c r="CD45" s="7"/>
      <c r="CE45" s="7"/>
      <c r="CF45" s="7"/>
      <c r="CG45" s="7"/>
      <c r="CH45" s="7">
        <v>3.24</v>
      </c>
      <c r="CI45" s="7"/>
      <c r="CJ45" s="7"/>
      <c r="CK45" s="7">
        <v>3.2199999999999998</v>
      </c>
      <c r="CL45" s="7"/>
      <c r="CM45" s="7"/>
      <c r="CN45" s="7"/>
      <c r="CO45" s="7">
        <v>3.3499999999999996</v>
      </c>
      <c r="CP45" s="7"/>
      <c r="CQ45" s="7">
        <v>3.2574999999999998</v>
      </c>
      <c r="CR45" s="7"/>
      <c r="CS45" s="7"/>
      <c r="CT45" s="7">
        <v>3.2250000000000001</v>
      </c>
      <c r="CU45" s="7"/>
      <c r="CV45" s="7"/>
      <c r="CW45" s="7"/>
      <c r="CX45" s="7"/>
      <c r="CY45" s="7"/>
      <c r="CZ45" s="7"/>
      <c r="DA45" s="7">
        <v>3.24</v>
      </c>
      <c r="DB45" s="7"/>
      <c r="DC45" s="7"/>
      <c r="DD45" s="7">
        <v>3.2199999999999998</v>
      </c>
      <c r="DE45" s="7"/>
      <c r="DF45" s="7"/>
      <c r="DG45" s="7"/>
      <c r="DH45" s="7">
        <v>3.3499999999999996</v>
      </c>
      <c r="DI45" s="7"/>
      <c r="DJ45" s="7">
        <v>3.2587499999999996</v>
      </c>
      <c r="DK45" s="7"/>
      <c r="DL45" s="7"/>
      <c r="DM45" s="7">
        <v>3.5150000000000001</v>
      </c>
      <c r="DN45" s="7"/>
      <c r="DO45" s="7"/>
      <c r="DP45" s="7"/>
      <c r="DQ45" s="7"/>
      <c r="DR45" s="7"/>
      <c r="DS45" s="7"/>
      <c r="DT45" s="7">
        <v>3.55</v>
      </c>
      <c r="DU45" s="7"/>
      <c r="DV45" s="7"/>
      <c r="DW45" s="7">
        <v>3.52</v>
      </c>
      <c r="DX45" s="7"/>
      <c r="DY45" s="7"/>
      <c r="DZ45" s="7"/>
      <c r="EA45" s="7">
        <v>3.55</v>
      </c>
      <c r="EB45" s="7"/>
      <c r="EC45" s="7">
        <v>3.5337499999999995</v>
      </c>
      <c r="ED45" s="7"/>
      <c r="EE45" s="7">
        <v>3.2199999999999998</v>
      </c>
      <c r="EF45" s="7"/>
      <c r="EG45" s="7"/>
      <c r="EH45" s="7">
        <v>3.2199999999999998</v>
      </c>
      <c r="EI45" s="7"/>
      <c r="EJ45" s="7"/>
      <c r="EK45" s="7"/>
      <c r="EL45" s="7"/>
      <c r="EM45" s="7"/>
      <c r="EN45" s="7"/>
      <c r="EO45" s="7"/>
      <c r="EP45" s="7"/>
      <c r="EQ45" s="7">
        <v>3.3099999999999996</v>
      </c>
      <c r="ER45" s="7"/>
      <c r="ES45" s="7"/>
      <c r="ET45" s="7">
        <v>3.24</v>
      </c>
      <c r="EU45" s="7"/>
      <c r="EV45" s="7"/>
      <c r="EW45" s="7"/>
      <c r="EX45" s="7">
        <v>3.3499999999999996</v>
      </c>
      <c r="EY45" s="7"/>
      <c r="EZ45" s="7">
        <v>3.2999999999999994</v>
      </c>
      <c r="FA45" s="7"/>
      <c r="FB45" s="7">
        <v>3.41</v>
      </c>
      <c r="FC45" s="7"/>
      <c r="FD45" s="7"/>
      <c r="FE45" s="7">
        <v>3.41</v>
      </c>
      <c r="FF45" s="7"/>
      <c r="FG45" s="7"/>
      <c r="FH45" s="7">
        <v>3.4299999999999997</v>
      </c>
      <c r="FI45" s="7"/>
      <c r="FJ45" s="7"/>
      <c r="FK45" s="7"/>
      <c r="FL45" s="7"/>
      <c r="FM45" s="7"/>
      <c r="FN45" s="7"/>
      <c r="FO45" s="7">
        <v>3.4699999999999998</v>
      </c>
      <c r="FP45" s="7"/>
      <c r="FQ45" s="7"/>
      <c r="FR45" s="7">
        <v>3.4299999999999997</v>
      </c>
      <c r="FS45" s="7"/>
      <c r="FT45" s="7"/>
      <c r="FU45" s="7">
        <v>3.5</v>
      </c>
      <c r="FV45" s="7"/>
      <c r="FW45" s="7">
        <v>3.4574999999999996</v>
      </c>
      <c r="FX45" s="7"/>
      <c r="FY45" s="7">
        <v>3.42</v>
      </c>
      <c r="FZ45" s="7"/>
      <c r="GA45" s="7"/>
      <c r="GB45" s="7">
        <v>3.42</v>
      </c>
      <c r="GC45" s="7">
        <v>3.3456756756756749</v>
      </c>
    </row>
    <row r="46" spans="1:185" x14ac:dyDescent="0.15">
      <c r="A46" s="6" t="s">
        <v>44</v>
      </c>
      <c r="B46" s="7">
        <v>3.37</v>
      </c>
      <c r="C46" s="7">
        <v>3.1846969696969705</v>
      </c>
      <c r="D46" s="7">
        <v>3.0999999999999996</v>
      </c>
      <c r="E46" s="7">
        <v>3.27</v>
      </c>
      <c r="F46" s="7">
        <v>3.0599999999999996</v>
      </c>
      <c r="G46" s="7">
        <v>3.157</v>
      </c>
      <c r="H46" s="7">
        <v>3.125</v>
      </c>
      <c r="I46" s="7">
        <v>3.2800000000000002</v>
      </c>
      <c r="J46" s="7">
        <v>3.1855555555555544</v>
      </c>
      <c r="K46" s="7">
        <v>3.25</v>
      </c>
      <c r="L46" s="7">
        <v>3.2</v>
      </c>
      <c r="M46" s="7">
        <v>3.2344117647058823</v>
      </c>
      <c r="N46" s="7">
        <v>3.2199999999999998</v>
      </c>
      <c r="O46" s="7">
        <v>3.4050000000000002</v>
      </c>
      <c r="P46" s="7">
        <v>3.08</v>
      </c>
      <c r="Q46" s="7">
        <v>3.0732530120481965</v>
      </c>
      <c r="R46" s="7">
        <v>3.2249999999999996</v>
      </c>
      <c r="S46" s="7">
        <v>3.1554115226337451</v>
      </c>
      <c r="T46" s="7">
        <v>3.3499999999999996</v>
      </c>
      <c r="U46" s="7">
        <v>3.26378787878788</v>
      </c>
      <c r="V46" s="7">
        <v>3.245065789473685</v>
      </c>
      <c r="W46" s="7">
        <v>3.15</v>
      </c>
      <c r="X46" s="7">
        <v>3.355</v>
      </c>
      <c r="Y46" s="7">
        <v>3.11</v>
      </c>
      <c r="Z46" s="7">
        <v>3.2530000000000001</v>
      </c>
      <c r="AA46" s="7">
        <v>3.1749999999999998</v>
      </c>
      <c r="AB46" s="7">
        <v>3.3899999999999997</v>
      </c>
      <c r="AC46" s="7">
        <v>3.2441666666666658</v>
      </c>
      <c r="AD46" s="7">
        <v>3.3049999999999997</v>
      </c>
      <c r="AE46" s="7">
        <v>3.1500000000000004</v>
      </c>
      <c r="AF46" s="7">
        <v>3.2352941176470593</v>
      </c>
      <c r="AG46" s="7">
        <v>3.3099999999999996</v>
      </c>
      <c r="AH46" s="7">
        <v>3.45</v>
      </c>
      <c r="AI46" s="7">
        <v>3.1500000000000004</v>
      </c>
      <c r="AJ46" s="7">
        <v>3.1874096385542168</v>
      </c>
      <c r="AK46" s="7">
        <v>3.2</v>
      </c>
      <c r="AL46" s="7">
        <v>3.2321003134796245</v>
      </c>
      <c r="AM46" s="7">
        <v>3.16</v>
      </c>
      <c r="AN46" s="7">
        <v>3.086818181818181</v>
      </c>
      <c r="AO46" s="7">
        <v>3.0881410256410251</v>
      </c>
      <c r="AP46" s="7">
        <v>3.01</v>
      </c>
      <c r="AQ46" s="7">
        <v>3.1799999999999997</v>
      </c>
      <c r="AR46" s="7">
        <v>2.9400000000000004</v>
      </c>
      <c r="AS46" s="7">
        <v>3.048</v>
      </c>
      <c r="AT46" s="7">
        <v>3.0249999999999999</v>
      </c>
      <c r="AU46" s="7">
        <v>3.2</v>
      </c>
      <c r="AV46" s="7">
        <v>3.0883333333333334</v>
      </c>
      <c r="AW46" s="7">
        <v>3.0750000000000002</v>
      </c>
      <c r="AX46" s="7">
        <v>3.05</v>
      </c>
      <c r="AY46" s="7">
        <v>3.1123529411764705</v>
      </c>
      <c r="AZ46" s="7">
        <v>3.0999999999999996</v>
      </c>
      <c r="BA46" s="7">
        <v>3.31</v>
      </c>
      <c r="BB46" s="7">
        <v>2.9699999999999998</v>
      </c>
      <c r="BC46" s="7">
        <v>3.0938554216867451</v>
      </c>
      <c r="BD46" s="7">
        <v>3.0999999999999996</v>
      </c>
      <c r="BE46" s="7">
        <v>3.0921495327102804</v>
      </c>
      <c r="BF46" s="7">
        <v>3.1500000000000004</v>
      </c>
      <c r="BG46" s="7">
        <v>3.0687878787878788</v>
      </c>
      <c r="BH46" s="7">
        <v>3.0606410256410248</v>
      </c>
      <c r="BI46" s="7">
        <v>2.9699999999999998</v>
      </c>
      <c r="BJ46" s="7">
        <v>3.16</v>
      </c>
      <c r="BK46" s="7">
        <v>2.9299999999999997</v>
      </c>
      <c r="BL46" s="7">
        <v>3.0310000000000001</v>
      </c>
      <c r="BM46" s="7">
        <v>2.9750000000000001</v>
      </c>
      <c r="BN46" s="7">
        <v>3.2</v>
      </c>
      <c r="BO46" s="7">
        <v>3.0626388888888889</v>
      </c>
      <c r="BP46" s="7">
        <v>3.0750000000000002</v>
      </c>
      <c r="BQ46" s="7">
        <v>3.05</v>
      </c>
      <c r="BR46" s="7">
        <v>3.0804411764705879</v>
      </c>
      <c r="BS46" s="7">
        <v>3.09</v>
      </c>
      <c r="BT46" s="7">
        <v>3.3099999999999996</v>
      </c>
      <c r="BU46" s="7">
        <v>2.95</v>
      </c>
      <c r="BV46" s="7">
        <v>3.0598192771084358</v>
      </c>
      <c r="BW46" s="7">
        <v>3.13</v>
      </c>
      <c r="BX46" s="7">
        <v>3.0647507788161996</v>
      </c>
      <c r="BY46" s="7">
        <v>3.1349999999999998</v>
      </c>
      <c r="BZ46" s="7">
        <v>3.0677272727272733</v>
      </c>
      <c r="CA46" s="7">
        <v>3.0555128205128201</v>
      </c>
      <c r="CB46" s="7">
        <v>2.96</v>
      </c>
      <c r="CC46" s="7">
        <v>3.16</v>
      </c>
      <c r="CD46" s="7">
        <v>2.91</v>
      </c>
      <c r="CE46" s="7">
        <v>3.0340000000000003</v>
      </c>
      <c r="CF46" s="7">
        <v>2.9750000000000001</v>
      </c>
      <c r="CG46" s="7">
        <v>3.21</v>
      </c>
      <c r="CH46" s="7">
        <v>3.0587500000000007</v>
      </c>
      <c r="CI46" s="7">
        <v>3.0750000000000002</v>
      </c>
      <c r="CJ46" s="7">
        <v>3.05</v>
      </c>
      <c r="CK46" s="7">
        <v>3.0777941176470596</v>
      </c>
      <c r="CL46" s="7">
        <v>3.09</v>
      </c>
      <c r="CM46" s="7">
        <v>3.3099999999999996</v>
      </c>
      <c r="CN46" s="7">
        <v>2.95</v>
      </c>
      <c r="CO46" s="7">
        <v>3.057590361445786</v>
      </c>
      <c r="CP46" s="7">
        <v>3.05</v>
      </c>
      <c r="CQ46" s="7">
        <v>3.0613551401869152</v>
      </c>
      <c r="CR46" s="7">
        <v>3.1550000000000002</v>
      </c>
      <c r="CS46" s="7">
        <v>3.0677272727272733</v>
      </c>
      <c r="CT46" s="7">
        <v>3.0765384615384614</v>
      </c>
      <c r="CU46" s="7">
        <v>2.9699999999999998</v>
      </c>
      <c r="CV46" s="7">
        <v>3.1550000000000002</v>
      </c>
      <c r="CW46" s="7">
        <v>2.9299999999999997</v>
      </c>
      <c r="CX46" s="7">
        <v>3.036</v>
      </c>
      <c r="CY46" s="7">
        <v>2.9750000000000001</v>
      </c>
      <c r="CZ46" s="7">
        <v>3.2199999999999998</v>
      </c>
      <c r="DA46" s="7">
        <v>3.065833333333333</v>
      </c>
      <c r="DB46" s="7">
        <v>3.125</v>
      </c>
      <c r="DC46" s="7">
        <v>3.05</v>
      </c>
      <c r="DD46" s="7">
        <v>3.0930882352941174</v>
      </c>
      <c r="DE46" s="7">
        <v>3.09</v>
      </c>
      <c r="DF46" s="7">
        <v>3.3</v>
      </c>
      <c r="DG46" s="7">
        <v>2.96</v>
      </c>
      <c r="DH46" s="7">
        <v>3.0639156626506039</v>
      </c>
      <c r="DI46" s="7">
        <v>3.0750000000000002</v>
      </c>
      <c r="DJ46" s="7">
        <v>3.0717289719626168</v>
      </c>
      <c r="DK46" s="7">
        <v>3.6749999999999998</v>
      </c>
      <c r="DL46" s="7">
        <v>3.6049999999999991</v>
      </c>
      <c r="DM46" s="7">
        <v>3.5387179487179483</v>
      </c>
      <c r="DN46" s="7">
        <v>3.4699999999999998</v>
      </c>
      <c r="DO46" s="7">
        <v>3.6812499999999999</v>
      </c>
      <c r="DP46" s="7">
        <v>3.49</v>
      </c>
      <c r="DQ46" s="7">
        <v>3.593</v>
      </c>
      <c r="DR46" s="7">
        <v>3.5249999999999999</v>
      </c>
      <c r="DS46" s="7">
        <v>3.6799999999999997</v>
      </c>
      <c r="DT46" s="7">
        <v>3.5420833333333324</v>
      </c>
      <c r="DU46" s="7">
        <v>3.5249999999999999</v>
      </c>
      <c r="DV46" s="7">
        <v>3.4000000000000004</v>
      </c>
      <c r="DW46" s="7">
        <v>3.4838235294117643</v>
      </c>
      <c r="DX46" s="7">
        <v>3.63</v>
      </c>
      <c r="DY46" s="7">
        <v>3.79</v>
      </c>
      <c r="DZ46" s="7">
        <v>3.49</v>
      </c>
      <c r="EA46" s="7">
        <v>3.4686746987951782</v>
      </c>
      <c r="EB46" s="7">
        <v>3.4750000000000001</v>
      </c>
      <c r="EC46" s="7">
        <v>3.5255295950155774</v>
      </c>
      <c r="ED46" s="7">
        <v>3.24</v>
      </c>
      <c r="EE46" s="7">
        <v>3.0967647058823524</v>
      </c>
      <c r="EF46" s="7">
        <v>2.9750000000000001</v>
      </c>
      <c r="EG46" s="7">
        <v>3.1647058823529401</v>
      </c>
      <c r="EH46" s="7">
        <v>3.1162962962962961</v>
      </c>
      <c r="EI46" s="7">
        <v>3.3149999999999999</v>
      </c>
      <c r="EJ46" s="7">
        <v>3.1363636363636358</v>
      </c>
      <c r="EK46" s="7">
        <v>3.0599999999999996</v>
      </c>
      <c r="EL46" s="7">
        <v>3.2149999999999999</v>
      </c>
      <c r="EM46" s="7">
        <v>3.02</v>
      </c>
      <c r="EN46" s="7">
        <v>3.101</v>
      </c>
      <c r="EO46" s="7">
        <v>3.0750000000000002</v>
      </c>
      <c r="EP46" s="7">
        <v>3.26</v>
      </c>
      <c r="EQ46" s="7">
        <v>3.134097222222223</v>
      </c>
      <c r="ER46" s="7">
        <v>3.2</v>
      </c>
      <c r="ES46" s="7">
        <v>3.1500000000000004</v>
      </c>
      <c r="ET46" s="7">
        <v>3.1932352941176472</v>
      </c>
      <c r="EU46" s="7">
        <v>3.18</v>
      </c>
      <c r="EV46" s="7">
        <v>3.3449999999999998</v>
      </c>
      <c r="EW46" s="7">
        <v>3.0049999999999999</v>
      </c>
      <c r="EX46" s="7">
        <v>3.0725301204819311</v>
      </c>
      <c r="EY46" s="7">
        <v>3.1500000000000004</v>
      </c>
      <c r="EZ46" s="7">
        <v>3.1229423868312756</v>
      </c>
      <c r="FA46" s="7">
        <v>3.27</v>
      </c>
      <c r="FB46" s="7">
        <v>3.2047058823529402</v>
      </c>
      <c r="FC46" s="7">
        <v>3.0300000000000002</v>
      </c>
      <c r="FD46" s="7">
        <v>3.1661764705882343</v>
      </c>
      <c r="FE46" s="7">
        <v>3.1873148148148154</v>
      </c>
      <c r="FF46" s="7">
        <v>3.4699999999999998</v>
      </c>
      <c r="FG46" s="7">
        <v>3.4028787878787883</v>
      </c>
      <c r="FH46" s="7">
        <v>3.3555194805194803</v>
      </c>
      <c r="FI46" s="7">
        <v>3.2800000000000002</v>
      </c>
      <c r="FJ46" s="7">
        <v>3.4950000000000001</v>
      </c>
      <c r="FK46" s="7">
        <v>3.25</v>
      </c>
      <c r="FL46" s="7">
        <v>3.3920000000000003</v>
      </c>
      <c r="FM46" s="7">
        <v>3.3250000000000002</v>
      </c>
      <c r="FN46" s="7">
        <v>3.52</v>
      </c>
      <c r="FO46" s="7">
        <v>3.3645833333333339</v>
      </c>
      <c r="FP46" s="7">
        <v>3.335</v>
      </c>
      <c r="FQ46" s="7">
        <v>3.27</v>
      </c>
      <c r="FR46" s="7">
        <v>3.3399999999999994</v>
      </c>
      <c r="FS46" s="7">
        <v>3.44</v>
      </c>
      <c r="FT46" s="7">
        <v>3.62</v>
      </c>
      <c r="FU46" s="7">
        <v>3.4031927710843393</v>
      </c>
      <c r="FV46" s="7">
        <v>3.3250000000000002</v>
      </c>
      <c r="FW46" s="7">
        <v>3.3764779874213828</v>
      </c>
      <c r="FX46" s="7">
        <v>3.2750000000000004</v>
      </c>
      <c r="FY46" s="7">
        <v>3.2211764705882353</v>
      </c>
      <c r="FZ46" s="7">
        <v>3.0550000000000002</v>
      </c>
      <c r="GA46" s="7">
        <v>3.1647058823529401</v>
      </c>
      <c r="GB46" s="7">
        <v>3.1982407407407409</v>
      </c>
      <c r="GC46" s="7">
        <v>3.1904083044982694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893"/>
  <sheetViews>
    <sheetView topLeftCell="A2277" workbookViewId="0">
      <selection sqref="A1:L2891"/>
    </sheetView>
  </sheetViews>
  <sheetFormatPr defaultRowHeight="13.5" x14ac:dyDescent="0.15"/>
  <cols>
    <col min="1" max="1" width="5.5" style="1" bestFit="1" customWidth="1"/>
    <col min="2" max="2" width="10.5" style="1" bestFit="1" customWidth="1"/>
    <col min="3" max="3" width="5.25" style="1" bestFit="1" customWidth="1"/>
    <col min="4" max="4" width="21.5" style="1" bestFit="1" customWidth="1"/>
    <col min="5" max="5" width="12.75" style="1" bestFit="1" customWidth="1"/>
    <col min="6" max="6" width="10.5" style="1" bestFit="1" customWidth="1"/>
    <col min="7" max="8" width="6.5" style="1" bestFit="1" customWidth="1"/>
    <col min="9" max="9" width="5.25" style="1" bestFit="1" customWidth="1"/>
    <col min="10" max="10" width="14.375" style="1" customWidth="1"/>
    <col min="11" max="11" width="16.125" style="1" customWidth="1"/>
  </cols>
  <sheetData>
    <row r="1" spans="1:12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58</v>
      </c>
    </row>
    <row r="2" spans="1:12" x14ac:dyDescent="0.15">
      <c r="A2" s="1">
        <v>1</v>
      </c>
      <c r="B2" s="4">
        <v>41145</v>
      </c>
      <c r="C2" s="1" t="s">
        <v>11</v>
      </c>
      <c r="D2" s="1" t="s">
        <v>12</v>
      </c>
      <c r="E2" s="1">
        <v>0.47832175925925924</v>
      </c>
      <c r="F2" s="1" t="s">
        <v>13</v>
      </c>
      <c r="G2" s="1">
        <v>3.17</v>
      </c>
      <c r="H2" s="1">
        <v>3.27</v>
      </c>
      <c r="I2" s="1">
        <v>0</v>
      </c>
      <c r="J2" s="4">
        <v>41146</v>
      </c>
      <c r="K2" s="4">
        <v>42241</v>
      </c>
      <c r="L2">
        <f>AVERAGE(G2:H2)</f>
        <v>3.2199999999999998</v>
      </c>
    </row>
    <row r="3" spans="1:12" x14ac:dyDescent="0.15">
      <c r="A3" s="1">
        <v>2</v>
      </c>
      <c r="B3" s="4">
        <v>41145</v>
      </c>
      <c r="C3" s="1" t="s">
        <v>14</v>
      </c>
      <c r="D3" s="1" t="s">
        <v>15</v>
      </c>
      <c r="E3" s="1">
        <v>0.47939814814814818</v>
      </c>
      <c r="F3" s="1" t="s">
        <v>13</v>
      </c>
      <c r="G3" s="1">
        <v>3.32</v>
      </c>
      <c r="H3" s="1">
        <v>3.38</v>
      </c>
      <c r="I3" s="1">
        <v>0</v>
      </c>
      <c r="J3" s="4">
        <v>41146</v>
      </c>
      <c r="K3" s="4">
        <v>41511</v>
      </c>
      <c r="L3">
        <f t="shared" ref="L3:L66" si="0">AVERAGE(G3:H3)</f>
        <v>3.3499999999999996</v>
      </c>
    </row>
    <row r="4" spans="1:12" x14ac:dyDescent="0.15">
      <c r="A4" s="1">
        <v>3</v>
      </c>
      <c r="B4" s="4">
        <v>41145</v>
      </c>
      <c r="C4" s="1" t="s">
        <v>16</v>
      </c>
      <c r="D4" s="1" t="s">
        <v>12</v>
      </c>
      <c r="E4" s="1">
        <v>0.47832175925925924</v>
      </c>
      <c r="F4" s="1" t="s">
        <v>13</v>
      </c>
      <c r="G4" s="1">
        <v>3.17</v>
      </c>
      <c r="H4" s="1">
        <v>3.27</v>
      </c>
      <c r="I4" s="1">
        <v>0</v>
      </c>
      <c r="J4" s="4">
        <v>41146</v>
      </c>
      <c r="K4" s="4">
        <v>42607</v>
      </c>
      <c r="L4">
        <f t="shared" si="0"/>
        <v>3.2199999999999998</v>
      </c>
    </row>
    <row r="5" spans="1:12" x14ac:dyDescent="0.15">
      <c r="A5" s="1">
        <v>4</v>
      </c>
      <c r="B5" s="4">
        <v>41145</v>
      </c>
      <c r="C5" s="1" t="s">
        <v>17</v>
      </c>
      <c r="D5" s="1" t="s">
        <v>12</v>
      </c>
      <c r="E5" s="1">
        <v>0.47832175925925924</v>
      </c>
      <c r="F5" s="1" t="s">
        <v>13</v>
      </c>
      <c r="G5" s="1">
        <v>3.22</v>
      </c>
      <c r="H5" s="1">
        <v>3.62</v>
      </c>
      <c r="I5" s="1">
        <v>0</v>
      </c>
      <c r="J5" s="4">
        <v>41146</v>
      </c>
      <c r="K5" s="4">
        <v>44433</v>
      </c>
      <c r="L5">
        <f t="shared" si="0"/>
        <v>3.42</v>
      </c>
    </row>
    <row r="6" spans="1:12" x14ac:dyDescent="0.15">
      <c r="A6" s="1">
        <v>5</v>
      </c>
      <c r="B6" s="4">
        <v>41145</v>
      </c>
      <c r="C6" s="1" t="s">
        <v>18</v>
      </c>
      <c r="D6" s="1" t="s">
        <v>15</v>
      </c>
      <c r="E6" s="1">
        <v>0.47939814814814818</v>
      </c>
      <c r="F6" s="1" t="s">
        <v>13</v>
      </c>
      <c r="G6" s="1">
        <v>3.26</v>
      </c>
      <c r="H6" s="1">
        <v>3.32</v>
      </c>
      <c r="I6" s="1">
        <v>0</v>
      </c>
      <c r="J6" s="4">
        <v>41146</v>
      </c>
      <c r="K6" s="4">
        <v>41876</v>
      </c>
      <c r="L6">
        <f t="shared" si="0"/>
        <v>3.29</v>
      </c>
    </row>
    <row r="7" spans="1:12" x14ac:dyDescent="0.15">
      <c r="A7" s="1">
        <v>6</v>
      </c>
      <c r="B7" s="4">
        <v>41145</v>
      </c>
      <c r="C7" s="1" t="s">
        <v>19</v>
      </c>
      <c r="D7" s="1" t="s">
        <v>15</v>
      </c>
      <c r="E7" s="1">
        <v>0.47940972222222222</v>
      </c>
      <c r="F7" s="1" t="s">
        <v>13</v>
      </c>
      <c r="G7" s="1">
        <v>3.44</v>
      </c>
      <c r="H7" s="1">
        <v>3.5</v>
      </c>
      <c r="I7" s="1">
        <v>0</v>
      </c>
      <c r="J7" s="4">
        <v>41146</v>
      </c>
      <c r="K7" s="4">
        <v>41419</v>
      </c>
      <c r="L7">
        <f t="shared" si="0"/>
        <v>3.4699999999999998</v>
      </c>
    </row>
    <row r="8" spans="1:12" x14ac:dyDescent="0.15">
      <c r="A8" s="1">
        <v>7</v>
      </c>
      <c r="B8" s="4">
        <v>41145</v>
      </c>
      <c r="C8" s="1" t="s">
        <v>20</v>
      </c>
      <c r="D8" s="1" t="s">
        <v>15</v>
      </c>
      <c r="E8" s="1">
        <v>0.47940972222222222</v>
      </c>
      <c r="F8" s="1" t="s">
        <v>13</v>
      </c>
      <c r="G8" s="1">
        <v>3.31</v>
      </c>
      <c r="H8" s="1">
        <v>3.37</v>
      </c>
      <c r="I8" s="1">
        <v>0</v>
      </c>
      <c r="J8" s="4">
        <v>41146</v>
      </c>
      <c r="K8" s="4">
        <v>44798</v>
      </c>
      <c r="L8">
        <f t="shared" si="0"/>
        <v>3.34</v>
      </c>
    </row>
    <row r="9" spans="1:12" x14ac:dyDescent="0.15">
      <c r="A9" s="1">
        <v>8</v>
      </c>
      <c r="B9" s="4">
        <v>41145</v>
      </c>
      <c r="C9" s="1" t="s">
        <v>21</v>
      </c>
      <c r="D9" s="1" t="s">
        <v>15</v>
      </c>
      <c r="E9" s="1">
        <v>0.47939814814814818</v>
      </c>
      <c r="F9" s="1" t="s">
        <v>13</v>
      </c>
      <c r="G9" s="1">
        <v>3.28</v>
      </c>
      <c r="H9" s="1">
        <v>3.34</v>
      </c>
      <c r="I9" s="1">
        <v>0</v>
      </c>
      <c r="J9" s="4">
        <v>41146</v>
      </c>
      <c r="K9" s="4">
        <v>43702</v>
      </c>
      <c r="L9">
        <f t="shared" si="0"/>
        <v>3.3099999999999996</v>
      </c>
    </row>
    <row r="10" spans="1:12" x14ac:dyDescent="0.15">
      <c r="A10" s="1">
        <v>9</v>
      </c>
      <c r="B10" s="4">
        <v>41145</v>
      </c>
      <c r="C10" s="1" t="s">
        <v>22</v>
      </c>
      <c r="D10" s="1" t="s">
        <v>15</v>
      </c>
      <c r="E10" s="1">
        <v>0.47939814814814818</v>
      </c>
      <c r="F10" s="1" t="s">
        <v>13</v>
      </c>
      <c r="G10" s="1">
        <v>3.52</v>
      </c>
      <c r="H10" s="1">
        <v>3.58</v>
      </c>
      <c r="I10" s="1">
        <v>0</v>
      </c>
      <c r="J10" s="4">
        <v>41146</v>
      </c>
      <c r="K10" s="4">
        <v>41330</v>
      </c>
      <c r="L10">
        <f t="shared" si="0"/>
        <v>3.55</v>
      </c>
    </row>
    <row r="11" spans="1:12" x14ac:dyDescent="0.15">
      <c r="A11" s="1">
        <v>10</v>
      </c>
      <c r="B11" s="4">
        <v>41145</v>
      </c>
      <c r="C11" s="1" t="s">
        <v>23</v>
      </c>
      <c r="D11" s="1" t="s">
        <v>12</v>
      </c>
      <c r="E11" s="1">
        <v>0.47828703703703707</v>
      </c>
      <c r="F11" s="1" t="s">
        <v>13</v>
      </c>
      <c r="G11" s="1">
        <v>3.17</v>
      </c>
      <c r="H11" s="1">
        <v>3.27</v>
      </c>
      <c r="I11" s="1">
        <v>0</v>
      </c>
      <c r="J11" s="4">
        <v>41146</v>
      </c>
      <c r="K11" s="4">
        <v>43337</v>
      </c>
      <c r="L11">
        <f t="shared" si="0"/>
        <v>3.2199999999999998</v>
      </c>
    </row>
    <row r="12" spans="1:12" x14ac:dyDescent="0.15">
      <c r="A12" s="1">
        <v>11</v>
      </c>
      <c r="B12" s="4">
        <v>41145</v>
      </c>
      <c r="C12" s="1" t="s">
        <v>22</v>
      </c>
      <c r="D12" s="1" t="s">
        <v>12</v>
      </c>
      <c r="E12" s="1">
        <v>0.47828703703703707</v>
      </c>
      <c r="F12" s="1" t="s">
        <v>13</v>
      </c>
      <c r="G12" s="1">
        <v>3.47</v>
      </c>
      <c r="H12" s="1">
        <v>3.57</v>
      </c>
      <c r="I12" s="1">
        <v>0</v>
      </c>
      <c r="J12" s="4">
        <v>41146</v>
      </c>
      <c r="K12" s="4">
        <v>41330</v>
      </c>
      <c r="L12">
        <f t="shared" si="0"/>
        <v>3.52</v>
      </c>
    </row>
    <row r="13" spans="1:12" x14ac:dyDescent="0.15">
      <c r="A13" s="1">
        <v>12</v>
      </c>
      <c r="B13" s="4">
        <v>41145</v>
      </c>
      <c r="C13" s="1" t="s">
        <v>18</v>
      </c>
      <c r="D13" s="1" t="s">
        <v>12</v>
      </c>
      <c r="E13" s="1">
        <v>0.47828703703703707</v>
      </c>
      <c r="F13" s="1" t="s">
        <v>13</v>
      </c>
      <c r="G13" s="1">
        <v>3.23</v>
      </c>
      <c r="H13" s="1">
        <v>3.33</v>
      </c>
      <c r="I13" s="1">
        <v>0</v>
      </c>
      <c r="J13" s="4">
        <v>41146</v>
      </c>
      <c r="K13" s="4">
        <v>41876</v>
      </c>
      <c r="L13">
        <f t="shared" si="0"/>
        <v>3.2800000000000002</v>
      </c>
    </row>
    <row r="14" spans="1:12" x14ac:dyDescent="0.15">
      <c r="A14" s="1">
        <v>13</v>
      </c>
      <c r="B14" s="4">
        <v>41145</v>
      </c>
      <c r="C14" s="1" t="s">
        <v>21</v>
      </c>
      <c r="D14" s="1" t="s">
        <v>12</v>
      </c>
      <c r="E14" s="1">
        <v>0.47828703703703707</v>
      </c>
      <c r="F14" s="1" t="s">
        <v>13</v>
      </c>
      <c r="G14" s="1">
        <v>3.14</v>
      </c>
      <c r="H14" s="1">
        <v>3.34</v>
      </c>
      <c r="I14" s="1">
        <v>0</v>
      </c>
      <c r="J14" s="4">
        <v>41146</v>
      </c>
      <c r="K14" s="4">
        <v>43702</v>
      </c>
      <c r="L14">
        <f t="shared" si="0"/>
        <v>3.24</v>
      </c>
    </row>
    <row r="15" spans="1:12" x14ac:dyDescent="0.15">
      <c r="A15" s="1">
        <v>14</v>
      </c>
      <c r="B15" s="4">
        <v>41145</v>
      </c>
      <c r="C15" s="1" t="s">
        <v>14</v>
      </c>
      <c r="D15" s="1" t="s">
        <v>12</v>
      </c>
      <c r="E15" s="1">
        <v>0.47828703703703707</v>
      </c>
      <c r="F15" s="1" t="s">
        <v>13</v>
      </c>
      <c r="G15" s="1">
        <v>3.29</v>
      </c>
      <c r="H15" s="1">
        <v>3.39</v>
      </c>
      <c r="I15" s="1">
        <v>0</v>
      </c>
      <c r="J15" s="4">
        <v>41146</v>
      </c>
      <c r="K15" s="4">
        <v>41511</v>
      </c>
      <c r="L15">
        <f t="shared" si="0"/>
        <v>3.34</v>
      </c>
    </row>
    <row r="16" spans="1:12" x14ac:dyDescent="0.15">
      <c r="A16" s="1">
        <v>15</v>
      </c>
      <c r="B16" s="4">
        <v>41145</v>
      </c>
      <c r="C16" s="1" t="s">
        <v>24</v>
      </c>
      <c r="D16" s="1" t="s">
        <v>12</v>
      </c>
      <c r="E16" s="1">
        <v>0.4782986111111111</v>
      </c>
      <c r="F16" s="1" t="s">
        <v>13</v>
      </c>
      <c r="G16" s="1">
        <v>3.21</v>
      </c>
      <c r="H16" s="1">
        <v>3.61</v>
      </c>
      <c r="I16" s="1">
        <v>0</v>
      </c>
      <c r="J16" s="4">
        <v>41146</v>
      </c>
      <c r="K16" s="4">
        <v>44068</v>
      </c>
      <c r="L16">
        <f t="shared" si="0"/>
        <v>3.41</v>
      </c>
    </row>
    <row r="17" spans="1:12" x14ac:dyDescent="0.15">
      <c r="A17" s="1">
        <v>16</v>
      </c>
      <c r="B17" s="4">
        <v>41145</v>
      </c>
      <c r="C17" s="1" t="s">
        <v>25</v>
      </c>
      <c r="D17" s="1" t="s">
        <v>12</v>
      </c>
      <c r="E17" s="1">
        <v>0.47832175925925924</v>
      </c>
      <c r="F17" s="1" t="s">
        <v>13</v>
      </c>
      <c r="G17" s="1">
        <v>3.17</v>
      </c>
      <c r="H17" s="1">
        <v>3.27</v>
      </c>
      <c r="I17" s="1">
        <v>0</v>
      </c>
      <c r="J17" s="4">
        <v>41146</v>
      </c>
      <c r="K17" s="4">
        <v>42972</v>
      </c>
      <c r="L17">
        <f t="shared" si="0"/>
        <v>3.2199999999999998</v>
      </c>
    </row>
    <row r="18" spans="1:12" x14ac:dyDescent="0.15">
      <c r="A18" s="1">
        <v>17</v>
      </c>
      <c r="B18" s="4">
        <v>41145</v>
      </c>
      <c r="C18" s="1" t="s">
        <v>19</v>
      </c>
      <c r="D18" s="1" t="s">
        <v>12</v>
      </c>
      <c r="E18" s="1">
        <v>0.4782986111111111</v>
      </c>
      <c r="F18" s="1" t="s">
        <v>13</v>
      </c>
      <c r="G18" s="1">
        <v>3.38</v>
      </c>
      <c r="H18" s="1">
        <v>3.48</v>
      </c>
      <c r="I18" s="1">
        <v>0</v>
      </c>
      <c r="J18" s="4">
        <v>41146</v>
      </c>
      <c r="K18" s="4">
        <v>41419</v>
      </c>
      <c r="L18">
        <f t="shared" si="0"/>
        <v>3.4299999999999997</v>
      </c>
    </row>
    <row r="19" spans="1:12" x14ac:dyDescent="0.15">
      <c r="A19" s="1">
        <v>18</v>
      </c>
      <c r="B19" s="4">
        <v>41145</v>
      </c>
      <c r="C19" s="1" t="s">
        <v>20</v>
      </c>
      <c r="D19" s="1" t="s">
        <v>12</v>
      </c>
      <c r="E19" s="1">
        <v>0.4782986111111111</v>
      </c>
      <c r="F19" s="1" t="s">
        <v>13</v>
      </c>
      <c r="G19" s="1">
        <v>3.23</v>
      </c>
      <c r="H19" s="1">
        <v>3.63</v>
      </c>
      <c r="I19" s="1">
        <v>0</v>
      </c>
      <c r="J19" s="4">
        <v>41146</v>
      </c>
      <c r="K19" s="4">
        <v>44798</v>
      </c>
      <c r="L19">
        <f t="shared" si="0"/>
        <v>3.4299999999999997</v>
      </c>
    </row>
    <row r="20" spans="1:12" x14ac:dyDescent="0.15">
      <c r="A20" s="1">
        <v>19</v>
      </c>
      <c r="B20" s="4">
        <v>41145</v>
      </c>
      <c r="C20" s="1" t="s">
        <v>25</v>
      </c>
      <c r="D20" s="1" t="s">
        <v>15</v>
      </c>
      <c r="E20" s="1">
        <v>0.47942129629629626</v>
      </c>
      <c r="F20" s="1" t="s">
        <v>13</v>
      </c>
      <c r="G20" s="1">
        <v>3.21</v>
      </c>
      <c r="H20" s="1">
        <v>3.27</v>
      </c>
      <c r="I20" s="1">
        <v>0</v>
      </c>
      <c r="J20" s="4">
        <v>41146</v>
      </c>
      <c r="K20" s="4">
        <v>42972</v>
      </c>
      <c r="L20">
        <f t="shared" si="0"/>
        <v>3.24</v>
      </c>
    </row>
    <row r="21" spans="1:12" x14ac:dyDescent="0.15">
      <c r="A21" s="1">
        <v>20</v>
      </c>
      <c r="B21" s="4">
        <v>41145</v>
      </c>
      <c r="C21" s="1" t="s">
        <v>14</v>
      </c>
      <c r="D21" s="1" t="s">
        <v>26</v>
      </c>
      <c r="E21" s="1">
        <v>0.49554398148148149</v>
      </c>
      <c r="F21" s="1" t="s">
        <v>13</v>
      </c>
      <c r="G21" s="1">
        <v>3.38</v>
      </c>
      <c r="H21" s="1">
        <v>3.48</v>
      </c>
      <c r="I21" s="1">
        <v>0</v>
      </c>
      <c r="J21" s="4">
        <v>41146</v>
      </c>
      <c r="K21" s="4">
        <v>41511</v>
      </c>
      <c r="L21">
        <f t="shared" si="0"/>
        <v>3.4299999999999997</v>
      </c>
    </row>
    <row r="22" spans="1:12" x14ac:dyDescent="0.15">
      <c r="A22" s="1">
        <v>21</v>
      </c>
      <c r="B22" s="4">
        <v>41145</v>
      </c>
      <c r="C22" s="1" t="s">
        <v>20</v>
      </c>
      <c r="D22" s="1" t="s">
        <v>26</v>
      </c>
      <c r="E22" s="1">
        <v>0.49554398148148149</v>
      </c>
      <c r="F22" s="1" t="s">
        <v>13</v>
      </c>
      <c r="G22" s="1">
        <v>3.3</v>
      </c>
      <c r="H22" s="1">
        <v>3.4</v>
      </c>
      <c r="I22" s="1">
        <v>0</v>
      </c>
      <c r="J22" s="4">
        <v>41146</v>
      </c>
      <c r="K22" s="4">
        <v>44798</v>
      </c>
      <c r="L22">
        <f t="shared" si="0"/>
        <v>3.3499999999999996</v>
      </c>
    </row>
    <row r="23" spans="1:12" x14ac:dyDescent="0.15">
      <c r="A23" s="1">
        <v>22</v>
      </c>
      <c r="B23" s="4">
        <v>41145</v>
      </c>
      <c r="C23" s="1" t="s">
        <v>22</v>
      </c>
      <c r="D23" s="1" t="s">
        <v>26</v>
      </c>
      <c r="E23" s="1">
        <v>0.49553240740740739</v>
      </c>
      <c r="F23" s="1" t="s">
        <v>13</v>
      </c>
      <c r="G23" s="1">
        <v>3.5</v>
      </c>
      <c r="H23" s="1">
        <v>3.6</v>
      </c>
      <c r="I23" s="1">
        <v>0</v>
      </c>
      <c r="J23" s="4">
        <v>41146</v>
      </c>
      <c r="K23" s="4">
        <v>41330</v>
      </c>
      <c r="L23">
        <f t="shared" si="0"/>
        <v>3.55</v>
      </c>
    </row>
    <row r="24" spans="1:12" x14ac:dyDescent="0.15">
      <c r="A24" s="1">
        <v>23</v>
      </c>
      <c r="B24" s="4">
        <v>41145</v>
      </c>
      <c r="C24" s="1" t="s">
        <v>21</v>
      </c>
      <c r="D24" s="1" t="s">
        <v>26</v>
      </c>
      <c r="E24" s="1">
        <v>0.49554398148148149</v>
      </c>
      <c r="F24" s="1" t="s">
        <v>13</v>
      </c>
      <c r="G24" s="1">
        <v>3.3</v>
      </c>
      <c r="H24" s="1">
        <v>3.4</v>
      </c>
      <c r="I24" s="1">
        <v>0</v>
      </c>
      <c r="J24" s="4">
        <v>41146</v>
      </c>
      <c r="K24" s="4">
        <v>43702</v>
      </c>
      <c r="L24">
        <f t="shared" si="0"/>
        <v>3.3499999999999996</v>
      </c>
    </row>
    <row r="25" spans="1:12" x14ac:dyDescent="0.15">
      <c r="A25" s="1">
        <v>24</v>
      </c>
      <c r="B25" s="4">
        <v>41145</v>
      </c>
      <c r="C25" s="1" t="s">
        <v>18</v>
      </c>
      <c r="D25" s="1" t="s">
        <v>26</v>
      </c>
      <c r="E25" s="1">
        <v>0.49554398148148149</v>
      </c>
      <c r="F25" s="1" t="s">
        <v>13</v>
      </c>
      <c r="G25" s="1">
        <v>3.3</v>
      </c>
      <c r="H25" s="1">
        <v>3.4</v>
      </c>
      <c r="I25" s="1">
        <v>0</v>
      </c>
      <c r="J25" s="4">
        <v>41146</v>
      </c>
      <c r="K25" s="4">
        <v>41876</v>
      </c>
      <c r="L25">
        <f t="shared" si="0"/>
        <v>3.3499999999999996</v>
      </c>
    </row>
    <row r="26" spans="1:12" x14ac:dyDescent="0.15">
      <c r="A26" s="1">
        <v>25</v>
      </c>
      <c r="B26" s="4">
        <v>41145</v>
      </c>
      <c r="C26" s="1" t="s">
        <v>25</v>
      </c>
      <c r="D26" s="1" t="s">
        <v>26</v>
      </c>
      <c r="E26" s="1">
        <v>0.49555555555555553</v>
      </c>
      <c r="F26" s="1" t="s">
        <v>13</v>
      </c>
      <c r="G26" s="1">
        <v>3.3</v>
      </c>
      <c r="H26" s="1">
        <v>3.4</v>
      </c>
      <c r="I26" s="1">
        <v>0</v>
      </c>
      <c r="J26" s="4">
        <v>41146</v>
      </c>
      <c r="K26" s="4">
        <v>42972</v>
      </c>
      <c r="L26">
        <f t="shared" si="0"/>
        <v>3.3499999999999996</v>
      </c>
    </row>
    <row r="27" spans="1:12" x14ac:dyDescent="0.15">
      <c r="A27" s="1">
        <v>26</v>
      </c>
      <c r="B27" s="4">
        <v>41145</v>
      </c>
      <c r="C27" s="1" t="s">
        <v>16</v>
      </c>
      <c r="D27" s="1" t="s">
        <v>26</v>
      </c>
      <c r="E27" s="1">
        <v>0.49555555555555553</v>
      </c>
      <c r="F27" s="1" t="s">
        <v>13</v>
      </c>
      <c r="G27" s="1">
        <v>3.3</v>
      </c>
      <c r="H27" s="1">
        <v>3.4</v>
      </c>
      <c r="I27" s="1">
        <v>0</v>
      </c>
      <c r="J27" s="4">
        <v>41146</v>
      </c>
      <c r="K27" s="4">
        <v>42607</v>
      </c>
      <c r="L27">
        <f t="shared" si="0"/>
        <v>3.3499999999999996</v>
      </c>
    </row>
    <row r="28" spans="1:12" x14ac:dyDescent="0.15">
      <c r="A28" s="1">
        <v>27</v>
      </c>
      <c r="B28" s="4">
        <v>41145</v>
      </c>
      <c r="C28" s="1" t="s">
        <v>11</v>
      </c>
      <c r="D28" s="1" t="s">
        <v>26</v>
      </c>
      <c r="E28" s="1">
        <v>0.49555555555555553</v>
      </c>
      <c r="F28" s="1" t="s">
        <v>13</v>
      </c>
      <c r="G28" s="1">
        <v>3.3</v>
      </c>
      <c r="H28" s="1">
        <v>3.4</v>
      </c>
      <c r="I28" s="1">
        <v>0</v>
      </c>
      <c r="J28" s="4">
        <v>41146</v>
      </c>
      <c r="K28" s="4">
        <v>42241</v>
      </c>
      <c r="L28">
        <f t="shared" si="0"/>
        <v>3.3499999999999996</v>
      </c>
    </row>
    <row r="29" spans="1:12" x14ac:dyDescent="0.15">
      <c r="A29" s="1">
        <v>28</v>
      </c>
      <c r="B29" s="4">
        <v>41145</v>
      </c>
      <c r="C29" s="1" t="s">
        <v>19</v>
      </c>
      <c r="D29" s="1" t="s">
        <v>26</v>
      </c>
      <c r="E29" s="1">
        <v>0.49555555555555553</v>
      </c>
      <c r="F29" s="1" t="s">
        <v>13</v>
      </c>
      <c r="G29" s="1">
        <v>3.45</v>
      </c>
      <c r="H29" s="1">
        <v>3.55</v>
      </c>
      <c r="I29" s="1">
        <v>0</v>
      </c>
      <c r="J29" s="4">
        <v>41146</v>
      </c>
      <c r="K29" s="4">
        <v>41419</v>
      </c>
      <c r="L29">
        <f t="shared" si="0"/>
        <v>3.5</v>
      </c>
    </row>
    <row r="30" spans="1:12" x14ac:dyDescent="0.15">
      <c r="A30" s="1">
        <v>29</v>
      </c>
      <c r="B30" s="4">
        <v>41145</v>
      </c>
      <c r="C30" s="1" t="s">
        <v>25</v>
      </c>
      <c r="D30" s="1" t="s">
        <v>27</v>
      </c>
      <c r="E30" s="1">
        <v>0.4912731481481481</v>
      </c>
      <c r="F30" s="1" t="s">
        <v>13</v>
      </c>
      <c r="G30" s="1">
        <v>3.2</v>
      </c>
      <c r="H30" s="1">
        <v>3.25</v>
      </c>
      <c r="I30" s="1">
        <v>0</v>
      </c>
      <c r="J30" s="4">
        <v>41146</v>
      </c>
      <c r="K30" s="4">
        <v>42972</v>
      </c>
      <c r="L30">
        <f t="shared" si="0"/>
        <v>3.2250000000000001</v>
      </c>
    </row>
    <row r="31" spans="1:12" x14ac:dyDescent="0.15">
      <c r="A31" s="1">
        <v>30</v>
      </c>
      <c r="B31" s="4">
        <v>41145</v>
      </c>
      <c r="C31" s="1" t="s">
        <v>19</v>
      </c>
      <c r="D31" s="1" t="s">
        <v>27</v>
      </c>
      <c r="E31" s="1">
        <v>0.4912731481481481</v>
      </c>
      <c r="F31" s="1" t="s">
        <v>13</v>
      </c>
      <c r="G31" s="1">
        <v>3.38</v>
      </c>
      <c r="H31" s="1">
        <v>3.48</v>
      </c>
      <c r="I31" s="1">
        <v>0</v>
      </c>
      <c r="J31" s="4">
        <v>41146</v>
      </c>
      <c r="K31" s="4">
        <v>41419</v>
      </c>
      <c r="L31">
        <f t="shared" si="0"/>
        <v>3.4299999999999997</v>
      </c>
    </row>
    <row r="32" spans="1:12" x14ac:dyDescent="0.15">
      <c r="A32" s="1">
        <v>31</v>
      </c>
      <c r="B32" s="4">
        <v>41145</v>
      </c>
      <c r="C32" s="1" t="s">
        <v>16</v>
      </c>
      <c r="D32" s="1" t="s">
        <v>15</v>
      </c>
      <c r="E32" s="1">
        <v>0.47942129629629626</v>
      </c>
      <c r="F32" s="1" t="s">
        <v>13</v>
      </c>
      <c r="G32" s="1">
        <v>3.21</v>
      </c>
      <c r="H32" s="1">
        <v>3.27</v>
      </c>
      <c r="I32" s="1">
        <v>0</v>
      </c>
      <c r="J32" s="4">
        <v>41146</v>
      </c>
      <c r="K32" s="4">
        <v>42607</v>
      </c>
      <c r="L32">
        <f t="shared" si="0"/>
        <v>3.24</v>
      </c>
    </row>
    <row r="33" spans="1:12" x14ac:dyDescent="0.15">
      <c r="A33" s="1">
        <v>32</v>
      </c>
      <c r="B33" s="4">
        <v>41145</v>
      </c>
      <c r="C33" s="1" t="s">
        <v>11</v>
      </c>
      <c r="D33" s="1" t="s">
        <v>15</v>
      </c>
      <c r="E33" s="1">
        <v>0.47942129629629626</v>
      </c>
      <c r="F33" s="1" t="s">
        <v>13</v>
      </c>
      <c r="G33" s="1">
        <v>3.21</v>
      </c>
      <c r="H33" s="1">
        <v>3.27</v>
      </c>
      <c r="I33" s="1">
        <v>0</v>
      </c>
      <c r="J33" s="4">
        <v>41146</v>
      </c>
      <c r="K33" s="4">
        <v>42241</v>
      </c>
      <c r="L33">
        <f t="shared" si="0"/>
        <v>3.24</v>
      </c>
    </row>
    <row r="34" spans="1:12" x14ac:dyDescent="0.15">
      <c r="A34" s="1">
        <v>33</v>
      </c>
      <c r="B34" s="4">
        <v>41145</v>
      </c>
      <c r="C34" s="1" t="s">
        <v>16</v>
      </c>
      <c r="D34" s="1" t="s">
        <v>27</v>
      </c>
      <c r="E34" s="1">
        <v>0.4912731481481481</v>
      </c>
      <c r="F34" s="1" t="s">
        <v>13</v>
      </c>
      <c r="G34" s="1">
        <v>3.17</v>
      </c>
      <c r="H34" s="1">
        <v>3.27</v>
      </c>
      <c r="I34" s="1">
        <v>0</v>
      </c>
      <c r="J34" s="4">
        <v>41146</v>
      </c>
      <c r="K34" s="4">
        <v>42607</v>
      </c>
      <c r="L34">
        <f t="shared" si="0"/>
        <v>3.2199999999999998</v>
      </c>
    </row>
    <row r="35" spans="1:12" x14ac:dyDescent="0.15">
      <c r="A35" s="1">
        <v>34</v>
      </c>
      <c r="B35" s="4">
        <v>41145</v>
      </c>
      <c r="C35" s="1" t="s">
        <v>22</v>
      </c>
      <c r="D35" s="1" t="s">
        <v>27</v>
      </c>
      <c r="E35" s="1">
        <v>0.49128472222222225</v>
      </c>
      <c r="F35" s="1" t="s">
        <v>13</v>
      </c>
      <c r="G35" s="1">
        <v>3.47</v>
      </c>
      <c r="H35" s="1">
        <v>3.56</v>
      </c>
      <c r="I35" s="1">
        <v>0</v>
      </c>
      <c r="J35" s="4">
        <v>41146</v>
      </c>
      <c r="K35" s="4">
        <v>41330</v>
      </c>
      <c r="L35">
        <f t="shared" si="0"/>
        <v>3.5150000000000001</v>
      </c>
    </row>
    <row r="36" spans="1:12" x14ac:dyDescent="0.15">
      <c r="A36" s="1">
        <v>35</v>
      </c>
      <c r="B36" s="4">
        <v>41145</v>
      </c>
      <c r="C36" s="1" t="s">
        <v>11</v>
      </c>
      <c r="D36" s="1" t="s">
        <v>27</v>
      </c>
      <c r="E36" s="1">
        <v>0.49128472222222225</v>
      </c>
      <c r="F36" s="1" t="s">
        <v>13</v>
      </c>
      <c r="G36" s="1">
        <v>3.17</v>
      </c>
      <c r="H36" s="1">
        <v>3.27</v>
      </c>
      <c r="I36" s="1">
        <v>0</v>
      </c>
      <c r="J36" s="4">
        <v>41146</v>
      </c>
      <c r="K36" s="4">
        <v>42241</v>
      </c>
      <c r="L36">
        <f t="shared" si="0"/>
        <v>3.2199999999999998</v>
      </c>
    </row>
    <row r="37" spans="1:12" x14ac:dyDescent="0.15">
      <c r="A37" s="1">
        <v>36</v>
      </c>
      <c r="B37" s="4">
        <v>41145</v>
      </c>
      <c r="C37" s="1" t="s">
        <v>14</v>
      </c>
      <c r="D37" s="1" t="s">
        <v>27</v>
      </c>
      <c r="E37" s="1">
        <v>0.4912731481481481</v>
      </c>
      <c r="F37" s="1" t="s">
        <v>13</v>
      </c>
      <c r="G37" s="1">
        <v>3.3</v>
      </c>
      <c r="H37" s="1">
        <v>3.38</v>
      </c>
      <c r="I37" s="1">
        <v>0</v>
      </c>
      <c r="J37" s="4">
        <v>41146</v>
      </c>
      <c r="K37" s="4">
        <v>41511</v>
      </c>
      <c r="L37">
        <f t="shared" si="0"/>
        <v>3.34</v>
      </c>
    </row>
    <row r="38" spans="1:12" x14ac:dyDescent="0.15">
      <c r="A38" s="1">
        <v>37</v>
      </c>
      <c r="B38" s="4">
        <v>41145</v>
      </c>
      <c r="C38" s="1" t="s">
        <v>18</v>
      </c>
      <c r="D38" s="1" t="s">
        <v>27</v>
      </c>
      <c r="E38" s="1">
        <v>0.49128472222222225</v>
      </c>
      <c r="F38" s="1" t="s">
        <v>13</v>
      </c>
      <c r="G38" s="1">
        <v>3.23</v>
      </c>
      <c r="H38" s="1">
        <v>3.33</v>
      </c>
      <c r="I38" s="1">
        <v>0</v>
      </c>
      <c r="J38" s="4">
        <v>41146</v>
      </c>
      <c r="K38" s="4">
        <v>41876</v>
      </c>
      <c r="L38">
        <f t="shared" si="0"/>
        <v>3.2800000000000002</v>
      </c>
    </row>
    <row r="39" spans="1:12" x14ac:dyDescent="0.15">
      <c r="A39" s="1">
        <v>38</v>
      </c>
      <c r="B39" s="4">
        <v>41144</v>
      </c>
      <c r="C39" s="1" t="s">
        <v>25</v>
      </c>
      <c r="D39" s="1" t="s">
        <v>27</v>
      </c>
      <c r="E39" s="1">
        <v>0.49034722222222221</v>
      </c>
      <c r="F39" s="1" t="s">
        <v>13</v>
      </c>
      <c r="G39" s="1">
        <v>3.21</v>
      </c>
      <c r="H39" s="1">
        <v>3.31</v>
      </c>
      <c r="I39" s="1">
        <v>0</v>
      </c>
      <c r="J39" s="4">
        <v>41145</v>
      </c>
      <c r="K39" s="4">
        <v>42971</v>
      </c>
      <c r="L39">
        <f t="shared" si="0"/>
        <v>3.26</v>
      </c>
    </row>
    <row r="40" spans="1:12" x14ac:dyDescent="0.15">
      <c r="A40" s="1">
        <v>39</v>
      </c>
      <c r="B40" s="4">
        <v>41144</v>
      </c>
      <c r="C40" s="1" t="s">
        <v>14</v>
      </c>
      <c r="D40" s="1" t="s">
        <v>27</v>
      </c>
      <c r="E40" s="1">
        <v>0.49034722222222221</v>
      </c>
      <c r="F40" s="1" t="s">
        <v>13</v>
      </c>
      <c r="G40" s="1">
        <v>3.35</v>
      </c>
      <c r="H40" s="1">
        <v>3.41</v>
      </c>
      <c r="I40" s="1">
        <v>0</v>
      </c>
      <c r="J40" s="4">
        <v>41145</v>
      </c>
      <c r="K40" s="4">
        <v>41510</v>
      </c>
      <c r="L40">
        <f t="shared" si="0"/>
        <v>3.38</v>
      </c>
    </row>
    <row r="41" spans="1:12" x14ac:dyDescent="0.15">
      <c r="A41" s="1">
        <v>40</v>
      </c>
      <c r="B41" s="4">
        <v>41144</v>
      </c>
      <c r="C41" s="1" t="s">
        <v>11</v>
      </c>
      <c r="D41" s="1" t="s">
        <v>27</v>
      </c>
      <c r="E41" s="1">
        <v>0.49035879629629631</v>
      </c>
      <c r="F41" s="1" t="s">
        <v>13</v>
      </c>
      <c r="G41" s="1">
        <v>3.21</v>
      </c>
      <c r="H41" s="1">
        <v>3.31</v>
      </c>
      <c r="I41" s="1">
        <v>0</v>
      </c>
      <c r="J41" s="4">
        <v>41145</v>
      </c>
      <c r="K41" s="4">
        <v>42240</v>
      </c>
      <c r="L41">
        <f t="shared" si="0"/>
        <v>3.26</v>
      </c>
    </row>
    <row r="42" spans="1:12" x14ac:dyDescent="0.15">
      <c r="A42" s="1">
        <v>41</v>
      </c>
      <c r="B42" s="4">
        <v>41144</v>
      </c>
      <c r="C42" s="1" t="s">
        <v>19</v>
      </c>
      <c r="D42" s="1" t="s">
        <v>27</v>
      </c>
      <c r="E42" s="1">
        <v>0.49034722222222221</v>
      </c>
      <c r="F42" s="1" t="s">
        <v>13</v>
      </c>
      <c r="G42" s="1">
        <v>3.43</v>
      </c>
      <c r="H42" s="1">
        <v>3.53</v>
      </c>
      <c r="I42" s="1">
        <v>0</v>
      </c>
      <c r="J42" s="4">
        <v>41145</v>
      </c>
      <c r="K42" s="4">
        <v>41418</v>
      </c>
      <c r="L42">
        <f t="shared" si="0"/>
        <v>3.48</v>
      </c>
    </row>
    <row r="43" spans="1:12" x14ac:dyDescent="0.15">
      <c r="A43" s="1">
        <v>42</v>
      </c>
      <c r="B43" s="4">
        <v>41144</v>
      </c>
      <c r="C43" s="1" t="s">
        <v>22</v>
      </c>
      <c r="D43" s="1" t="s">
        <v>27</v>
      </c>
      <c r="E43" s="1">
        <v>0.49034722222222221</v>
      </c>
      <c r="F43" s="1" t="s">
        <v>13</v>
      </c>
      <c r="G43" s="1">
        <v>3.5</v>
      </c>
      <c r="H43" s="1">
        <v>3.6</v>
      </c>
      <c r="I43" s="1">
        <v>0</v>
      </c>
      <c r="J43" s="4">
        <v>41145</v>
      </c>
      <c r="K43" s="4">
        <v>41329</v>
      </c>
      <c r="L43">
        <f t="shared" si="0"/>
        <v>3.55</v>
      </c>
    </row>
    <row r="44" spans="1:12" x14ac:dyDescent="0.15">
      <c r="A44" s="1">
        <v>43</v>
      </c>
      <c r="B44" s="4">
        <v>41144</v>
      </c>
      <c r="C44" s="1" t="s">
        <v>25</v>
      </c>
      <c r="D44" s="1" t="s">
        <v>15</v>
      </c>
      <c r="E44" s="1">
        <v>0.48194444444444445</v>
      </c>
      <c r="F44" s="1" t="s">
        <v>13</v>
      </c>
      <c r="G44" s="1">
        <v>3.26</v>
      </c>
      <c r="H44" s="1">
        <v>3.32</v>
      </c>
      <c r="I44" s="1">
        <v>0</v>
      </c>
      <c r="J44" s="4">
        <v>41145</v>
      </c>
      <c r="K44" s="4">
        <v>42971</v>
      </c>
      <c r="L44">
        <f t="shared" si="0"/>
        <v>3.29</v>
      </c>
    </row>
    <row r="45" spans="1:12" x14ac:dyDescent="0.15">
      <c r="A45" s="1">
        <v>44</v>
      </c>
      <c r="B45" s="4">
        <v>41144</v>
      </c>
      <c r="C45" s="1" t="s">
        <v>20</v>
      </c>
      <c r="D45" s="1" t="s">
        <v>15</v>
      </c>
      <c r="E45" s="1">
        <v>0.48194444444444445</v>
      </c>
      <c r="F45" s="1" t="s">
        <v>13</v>
      </c>
      <c r="G45" s="1">
        <v>3.34</v>
      </c>
      <c r="H45" s="1">
        <v>3.4</v>
      </c>
      <c r="I45" s="1">
        <v>0</v>
      </c>
      <c r="J45" s="4">
        <v>41145</v>
      </c>
      <c r="K45" s="4">
        <v>44797</v>
      </c>
      <c r="L45">
        <f t="shared" si="0"/>
        <v>3.37</v>
      </c>
    </row>
    <row r="46" spans="1:12" x14ac:dyDescent="0.15">
      <c r="A46" s="1">
        <v>45</v>
      </c>
      <c r="B46" s="4">
        <v>41144</v>
      </c>
      <c r="C46" s="1" t="s">
        <v>18</v>
      </c>
      <c r="D46" s="1" t="s">
        <v>27</v>
      </c>
      <c r="E46" s="1">
        <v>0.49034722222222221</v>
      </c>
      <c r="F46" s="1" t="s">
        <v>13</v>
      </c>
      <c r="G46" s="1">
        <v>3.3</v>
      </c>
      <c r="H46" s="1">
        <v>3.38</v>
      </c>
      <c r="I46" s="1">
        <v>0</v>
      </c>
      <c r="J46" s="4">
        <v>41145</v>
      </c>
      <c r="K46" s="4">
        <v>41875</v>
      </c>
      <c r="L46">
        <f t="shared" si="0"/>
        <v>3.34</v>
      </c>
    </row>
    <row r="47" spans="1:12" x14ac:dyDescent="0.15">
      <c r="A47" s="1">
        <v>46</v>
      </c>
      <c r="B47" s="4">
        <v>41144</v>
      </c>
      <c r="C47" s="1" t="s">
        <v>16</v>
      </c>
      <c r="D47" s="1" t="s">
        <v>27</v>
      </c>
      <c r="E47" s="1">
        <v>0.49034722222222221</v>
      </c>
      <c r="F47" s="1" t="s">
        <v>13</v>
      </c>
      <c r="G47" s="1">
        <v>3.21</v>
      </c>
      <c r="H47" s="1">
        <v>3.31</v>
      </c>
      <c r="I47" s="1">
        <v>0</v>
      </c>
      <c r="J47" s="4">
        <v>41145</v>
      </c>
      <c r="K47" s="4">
        <v>42606</v>
      </c>
      <c r="L47">
        <f t="shared" si="0"/>
        <v>3.26</v>
      </c>
    </row>
    <row r="48" spans="1:12" x14ac:dyDescent="0.15">
      <c r="A48" s="1">
        <v>47</v>
      </c>
      <c r="B48" s="4">
        <v>41144</v>
      </c>
      <c r="C48" s="1" t="s">
        <v>14</v>
      </c>
      <c r="D48" s="1" t="s">
        <v>26</v>
      </c>
      <c r="E48" s="1">
        <v>0.49525462962962963</v>
      </c>
      <c r="F48" s="1" t="s">
        <v>13</v>
      </c>
      <c r="G48" s="1">
        <v>3.38</v>
      </c>
      <c r="H48" s="1">
        <v>3.48</v>
      </c>
      <c r="I48" s="1">
        <v>0</v>
      </c>
      <c r="J48" s="4">
        <v>41145</v>
      </c>
      <c r="K48" s="4">
        <v>41510</v>
      </c>
      <c r="L48">
        <f t="shared" si="0"/>
        <v>3.4299999999999997</v>
      </c>
    </row>
    <row r="49" spans="1:12" x14ac:dyDescent="0.15">
      <c r="A49" s="1">
        <v>48</v>
      </c>
      <c r="B49" s="4">
        <v>41144</v>
      </c>
      <c r="C49" s="1" t="s">
        <v>16</v>
      </c>
      <c r="D49" s="1" t="s">
        <v>26</v>
      </c>
      <c r="E49" s="1">
        <v>0.49526620370370367</v>
      </c>
      <c r="F49" s="1" t="s">
        <v>13</v>
      </c>
      <c r="G49" s="1">
        <v>3.3</v>
      </c>
      <c r="H49" s="1">
        <v>3.4</v>
      </c>
      <c r="I49" s="1">
        <v>0</v>
      </c>
      <c r="J49" s="4">
        <v>41145</v>
      </c>
      <c r="K49" s="4">
        <v>42606</v>
      </c>
      <c r="L49">
        <f t="shared" si="0"/>
        <v>3.3499999999999996</v>
      </c>
    </row>
    <row r="50" spans="1:12" x14ac:dyDescent="0.15">
      <c r="A50" s="1">
        <v>49</v>
      </c>
      <c r="B50" s="4">
        <v>41144</v>
      </c>
      <c r="C50" s="1" t="s">
        <v>25</v>
      </c>
      <c r="D50" s="1" t="s">
        <v>26</v>
      </c>
      <c r="E50" s="1">
        <v>0.49526620370370367</v>
      </c>
      <c r="F50" s="1" t="s">
        <v>13</v>
      </c>
      <c r="G50" s="1">
        <v>3.3</v>
      </c>
      <c r="H50" s="1">
        <v>3.4</v>
      </c>
      <c r="I50" s="1">
        <v>0</v>
      </c>
      <c r="J50" s="4">
        <v>41145</v>
      </c>
      <c r="K50" s="4">
        <v>42971</v>
      </c>
      <c r="L50">
        <f t="shared" si="0"/>
        <v>3.3499999999999996</v>
      </c>
    </row>
    <row r="51" spans="1:12" x14ac:dyDescent="0.15">
      <c r="A51" s="1">
        <v>50</v>
      </c>
      <c r="B51" s="4">
        <v>41144</v>
      </c>
      <c r="C51" s="1" t="s">
        <v>14</v>
      </c>
      <c r="D51" s="1" t="s">
        <v>12</v>
      </c>
      <c r="E51" s="1">
        <v>0.66809027777777785</v>
      </c>
      <c r="F51" s="1" t="s">
        <v>13</v>
      </c>
      <c r="G51" s="1">
        <v>3.35</v>
      </c>
      <c r="H51" s="1">
        <v>3.45</v>
      </c>
      <c r="I51" s="1">
        <v>0</v>
      </c>
      <c r="J51" s="4">
        <v>41145</v>
      </c>
      <c r="K51" s="4">
        <v>41510</v>
      </c>
      <c r="L51">
        <f t="shared" si="0"/>
        <v>3.4000000000000004</v>
      </c>
    </row>
    <row r="52" spans="1:12" x14ac:dyDescent="0.15">
      <c r="A52" s="1">
        <v>51</v>
      </c>
      <c r="B52" s="4">
        <v>41144</v>
      </c>
      <c r="C52" s="1" t="s">
        <v>11</v>
      </c>
      <c r="D52" s="1" t="s">
        <v>26</v>
      </c>
      <c r="E52" s="1">
        <v>0.49526620370370367</v>
      </c>
      <c r="F52" s="1" t="s">
        <v>13</v>
      </c>
      <c r="G52" s="1">
        <v>3.3</v>
      </c>
      <c r="H52" s="1">
        <v>3.4</v>
      </c>
      <c r="I52" s="1">
        <v>0</v>
      </c>
      <c r="J52" s="4">
        <v>41145</v>
      </c>
      <c r="K52" s="4">
        <v>42240</v>
      </c>
      <c r="L52">
        <f t="shared" si="0"/>
        <v>3.3499999999999996</v>
      </c>
    </row>
    <row r="53" spans="1:12" x14ac:dyDescent="0.15">
      <c r="A53" s="1">
        <v>52</v>
      </c>
      <c r="B53" s="4">
        <v>41144</v>
      </c>
      <c r="C53" s="1" t="s">
        <v>22</v>
      </c>
      <c r="D53" s="1" t="s">
        <v>26</v>
      </c>
      <c r="E53" s="1">
        <v>0.49525462962962963</v>
      </c>
      <c r="F53" s="1" t="s">
        <v>13</v>
      </c>
      <c r="G53" s="1">
        <v>3.5</v>
      </c>
      <c r="H53" s="1">
        <v>3.6</v>
      </c>
      <c r="I53" s="1">
        <v>0</v>
      </c>
      <c r="J53" s="4">
        <v>41145</v>
      </c>
      <c r="K53" s="4">
        <v>41329</v>
      </c>
      <c r="L53">
        <f t="shared" si="0"/>
        <v>3.55</v>
      </c>
    </row>
    <row r="54" spans="1:12" x14ac:dyDescent="0.15">
      <c r="A54" s="1">
        <v>53</v>
      </c>
      <c r="B54" s="4">
        <v>41144</v>
      </c>
      <c r="C54" s="1" t="s">
        <v>18</v>
      </c>
      <c r="D54" s="1" t="s">
        <v>26</v>
      </c>
      <c r="E54" s="1">
        <v>0.49525462962962963</v>
      </c>
      <c r="F54" s="1" t="s">
        <v>13</v>
      </c>
      <c r="G54" s="1">
        <v>3.3</v>
      </c>
      <c r="H54" s="1">
        <v>3.4</v>
      </c>
      <c r="I54" s="1">
        <v>0</v>
      </c>
      <c r="J54" s="4">
        <v>41145</v>
      </c>
      <c r="K54" s="4">
        <v>41875</v>
      </c>
      <c r="L54">
        <f t="shared" si="0"/>
        <v>3.3499999999999996</v>
      </c>
    </row>
    <row r="55" spans="1:12" x14ac:dyDescent="0.15">
      <c r="A55" s="1">
        <v>54</v>
      </c>
      <c r="B55" s="4">
        <v>41144</v>
      </c>
      <c r="C55" s="1" t="s">
        <v>20</v>
      </c>
      <c r="D55" s="1" t="s">
        <v>26</v>
      </c>
      <c r="E55" s="1">
        <v>0.49525462962962963</v>
      </c>
      <c r="F55" s="1" t="s">
        <v>13</v>
      </c>
      <c r="G55" s="1">
        <v>3.3</v>
      </c>
      <c r="H55" s="1">
        <v>3.4</v>
      </c>
      <c r="I55" s="1">
        <v>0</v>
      </c>
      <c r="J55" s="4">
        <v>41145</v>
      </c>
      <c r="K55" s="4">
        <v>44797</v>
      </c>
      <c r="L55">
        <f t="shared" si="0"/>
        <v>3.3499999999999996</v>
      </c>
    </row>
    <row r="56" spans="1:12" x14ac:dyDescent="0.15">
      <c r="A56" s="1">
        <v>55</v>
      </c>
      <c r="B56" s="4">
        <v>41144</v>
      </c>
      <c r="C56" s="1" t="s">
        <v>19</v>
      </c>
      <c r="D56" s="1" t="s">
        <v>26</v>
      </c>
      <c r="E56" s="1">
        <v>0.49525462962962963</v>
      </c>
      <c r="F56" s="1" t="s">
        <v>13</v>
      </c>
      <c r="G56" s="1">
        <v>3.45</v>
      </c>
      <c r="H56" s="1">
        <v>3.55</v>
      </c>
      <c r="I56" s="1">
        <v>0</v>
      </c>
      <c r="J56" s="4">
        <v>41145</v>
      </c>
      <c r="K56" s="4">
        <v>41418</v>
      </c>
      <c r="L56">
        <f t="shared" si="0"/>
        <v>3.5</v>
      </c>
    </row>
    <row r="57" spans="1:12" x14ac:dyDescent="0.15">
      <c r="A57" s="1">
        <v>56</v>
      </c>
      <c r="B57" s="4">
        <v>41144</v>
      </c>
      <c r="C57" s="1" t="s">
        <v>21</v>
      </c>
      <c r="D57" s="1" t="s">
        <v>26</v>
      </c>
      <c r="E57" s="1">
        <v>0.49525462962962963</v>
      </c>
      <c r="F57" s="1" t="s">
        <v>13</v>
      </c>
      <c r="G57" s="1">
        <v>3.3</v>
      </c>
      <c r="H57" s="1">
        <v>3.4</v>
      </c>
      <c r="I57" s="1">
        <v>0</v>
      </c>
      <c r="J57" s="4">
        <v>41145</v>
      </c>
      <c r="K57" s="4">
        <v>43701</v>
      </c>
      <c r="L57">
        <f t="shared" si="0"/>
        <v>3.3499999999999996</v>
      </c>
    </row>
    <row r="58" spans="1:12" x14ac:dyDescent="0.15">
      <c r="A58" s="1">
        <v>57</v>
      </c>
      <c r="B58" s="4">
        <v>41144</v>
      </c>
      <c r="C58" s="1" t="s">
        <v>25</v>
      </c>
      <c r="D58" s="1" t="s">
        <v>12</v>
      </c>
      <c r="E58" s="1">
        <v>0.47898148148148145</v>
      </c>
      <c r="F58" s="1" t="s">
        <v>13</v>
      </c>
      <c r="G58" s="1">
        <v>3.23</v>
      </c>
      <c r="H58" s="1">
        <v>3.33</v>
      </c>
      <c r="I58" s="1">
        <v>0</v>
      </c>
      <c r="J58" s="4">
        <v>41145</v>
      </c>
      <c r="K58" s="4">
        <v>42971</v>
      </c>
      <c r="L58">
        <f t="shared" si="0"/>
        <v>3.2800000000000002</v>
      </c>
    </row>
    <row r="59" spans="1:12" x14ac:dyDescent="0.15">
      <c r="A59" s="1">
        <v>58</v>
      </c>
      <c r="B59" s="4">
        <v>41144</v>
      </c>
      <c r="C59" s="1" t="s">
        <v>24</v>
      </c>
      <c r="D59" s="1" t="s">
        <v>12</v>
      </c>
      <c r="E59" s="1">
        <v>0.47898148148148145</v>
      </c>
      <c r="F59" s="1" t="s">
        <v>13</v>
      </c>
      <c r="G59" s="1">
        <v>3.21</v>
      </c>
      <c r="H59" s="1">
        <v>3.61</v>
      </c>
      <c r="I59" s="1">
        <v>0</v>
      </c>
      <c r="J59" s="4">
        <v>41145</v>
      </c>
      <c r="K59" s="4">
        <v>44067</v>
      </c>
      <c r="L59">
        <f t="shared" si="0"/>
        <v>3.41</v>
      </c>
    </row>
    <row r="60" spans="1:12" x14ac:dyDescent="0.15">
      <c r="A60" s="1">
        <v>59</v>
      </c>
      <c r="B60" s="4">
        <v>41144</v>
      </c>
      <c r="C60" s="1" t="s">
        <v>19</v>
      </c>
      <c r="D60" s="1" t="s">
        <v>12</v>
      </c>
      <c r="E60" s="1">
        <v>0.47898148148148145</v>
      </c>
      <c r="F60" s="1" t="s">
        <v>13</v>
      </c>
      <c r="G60" s="1">
        <v>3.45</v>
      </c>
      <c r="H60" s="1">
        <v>3.55</v>
      </c>
      <c r="I60" s="1">
        <v>0</v>
      </c>
      <c r="J60" s="4">
        <v>41145</v>
      </c>
      <c r="K60" s="4">
        <v>41418</v>
      </c>
      <c r="L60">
        <f t="shared" si="0"/>
        <v>3.5</v>
      </c>
    </row>
    <row r="61" spans="1:12" x14ac:dyDescent="0.15">
      <c r="A61" s="1">
        <v>60</v>
      </c>
      <c r="B61" s="4">
        <v>41144</v>
      </c>
      <c r="C61" s="1" t="s">
        <v>16</v>
      </c>
      <c r="D61" s="1" t="s">
        <v>12</v>
      </c>
      <c r="E61" s="1">
        <v>0.47898148148148145</v>
      </c>
      <c r="F61" s="1" t="s">
        <v>13</v>
      </c>
      <c r="G61" s="1">
        <v>3.2</v>
      </c>
      <c r="H61" s="1">
        <v>3.3</v>
      </c>
      <c r="I61" s="1">
        <v>0</v>
      </c>
      <c r="J61" s="4">
        <v>41145</v>
      </c>
      <c r="K61" s="4">
        <v>42606</v>
      </c>
      <c r="L61">
        <f t="shared" si="0"/>
        <v>3.25</v>
      </c>
    </row>
    <row r="62" spans="1:12" x14ac:dyDescent="0.15">
      <c r="A62" s="1">
        <v>61</v>
      </c>
      <c r="B62" s="4">
        <v>41144</v>
      </c>
      <c r="C62" s="1" t="s">
        <v>23</v>
      </c>
      <c r="D62" s="1" t="s">
        <v>12</v>
      </c>
      <c r="E62" s="1">
        <v>0.47896990740740741</v>
      </c>
      <c r="F62" s="1" t="s">
        <v>13</v>
      </c>
      <c r="G62" s="1">
        <v>3.21</v>
      </c>
      <c r="H62" s="1">
        <v>3.31</v>
      </c>
      <c r="I62" s="1">
        <v>0</v>
      </c>
      <c r="J62" s="4">
        <v>41145</v>
      </c>
      <c r="K62" s="4">
        <v>43336</v>
      </c>
      <c r="L62">
        <f t="shared" si="0"/>
        <v>3.26</v>
      </c>
    </row>
    <row r="63" spans="1:12" x14ac:dyDescent="0.15">
      <c r="A63" s="1">
        <v>62</v>
      </c>
      <c r="B63" s="4">
        <v>41144</v>
      </c>
      <c r="C63" s="1" t="s">
        <v>14</v>
      </c>
      <c r="D63" s="1" t="s">
        <v>12</v>
      </c>
      <c r="E63" s="1">
        <v>0.47896990740740741</v>
      </c>
      <c r="F63" s="1" t="s">
        <v>13</v>
      </c>
      <c r="G63" s="1">
        <v>3.35</v>
      </c>
      <c r="H63" s="1">
        <v>3.45</v>
      </c>
      <c r="I63" s="1">
        <v>0</v>
      </c>
      <c r="J63" s="4">
        <v>41145</v>
      </c>
      <c r="K63" s="4">
        <v>41510</v>
      </c>
      <c r="L63">
        <f t="shared" si="0"/>
        <v>3.4000000000000004</v>
      </c>
    </row>
    <row r="64" spans="1:12" x14ac:dyDescent="0.15">
      <c r="A64" s="1">
        <v>63</v>
      </c>
      <c r="B64" s="4">
        <v>41144</v>
      </c>
      <c r="C64" s="1" t="s">
        <v>22</v>
      </c>
      <c r="D64" s="1" t="s">
        <v>12</v>
      </c>
      <c r="E64" s="1">
        <v>0.47896990740740741</v>
      </c>
      <c r="F64" s="1" t="s">
        <v>13</v>
      </c>
      <c r="G64" s="1">
        <v>3.55</v>
      </c>
      <c r="H64" s="1">
        <v>3.65</v>
      </c>
      <c r="I64" s="1">
        <v>0</v>
      </c>
      <c r="J64" s="4">
        <v>41145</v>
      </c>
      <c r="K64" s="4">
        <v>41329</v>
      </c>
      <c r="L64">
        <f t="shared" si="0"/>
        <v>3.5999999999999996</v>
      </c>
    </row>
    <row r="65" spans="1:12" x14ac:dyDescent="0.15">
      <c r="A65" s="1">
        <v>64</v>
      </c>
      <c r="B65" s="4">
        <v>41144</v>
      </c>
      <c r="C65" s="1" t="s">
        <v>21</v>
      </c>
      <c r="D65" s="1" t="s">
        <v>12</v>
      </c>
      <c r="E65" s="1">
        <v>0.47896990740740741</v>
      </c>
      <c r="F65" s="1" t="s">
        <v>13</v>
      </c>
      <c r="G65" s="1">
        <v>3.2</v>
      </c>
      <c r="H65" s="1">
        <v>3.6</v>
      </c>
      <c r="I65" s="1">
        <v>0</v>
      </c>
      <c r="J65" s="4">
        <v>41145</v>
      </c>
      <c r="K65" s="4">
        <v>43701</v>
      </c>
      <c r="L65">
        <f t="shared" si="0"/>
        <v>3.4000000000000004</v>
      </c>
    </row>
    <row r="66" spans="1:12" x14ac:dyDescent="0.15">
      <c r="A66" s="1">
        <v>65</v>
      </c>
      <c r="B66" s="4">
        <v>41144</v>
      </c>
      <c r="C66" s="1" t="s">
        <v>18</v>
      </c>
      <c r="D66" s="1" t="s">
        <v>12</v>
      </c>
      <c r="E66" s="1">
        <v>0.47896990740740741</v>
      </c>
      <c r="F66" s="1" t="s">
        <v>13</v>
      </c>
      <c r="G66" s="1">
        <v>3.25</v>
      </c>
      <c r="H66" s="1">
        <v>3.35</v>
      </c>
      <c r="I66" s="1">
        <v>0</v>
      </c>
      <c r="J66" s="4">
        <v>41145</v>
      </c>
      <c r="K66" s="4">
        <v>41875</v>
      </c>
      <c r="L66">
        <f t="shared" si="0"/>
        <v>3.3</v>
      </c>
    </row>
    <row r="67" spans="1:12" x14ac:dyDescent="0.15">
      <c r="A67" s="1">
        <v>66</v>
      </c>
      <c r="B67" s="4">
        <v>41144</v>
      </c>
      <c r="C67" s="1" t="s">
        <v>20</v>
      </c>
      <c r="D67" s="1" t="s">
        <v>12</v>
      </c>
      <c r="E67" s="1">
        <v>0.47898148148148145</v>
      </c>
      <c r="F67" s="1" t="s">
        <v>13</v>
      </c>
      <c r="G67" s="1">
        <v>3.23</v>
      </c>
      <c r="H67" s="1">
        <v>3.63</v>
      </c>
      <c r="I67" s="1">
        <v>0</v>
      </c>
      <c r="J67" s="4">
        <v>41145</v>
      </c>
      <c r="K67" s="4">
        <v>44797</v>
      </c>
      <c r="L67">
        <f t="shared" ref="L67:L130" si="1">AVERAGE(G67:H67)</f>
        <v>3.4299999999999997</v>
      </c>
    </row>
    <row r="68" spans="1:12" x14ac:dyDescent="0.15">
      <c r="A68" s="1">
        <v>67</v>
      </c>
      <c r="B68" s="4">
        <v>41144</v>
      </c>
      <c r="C68" s="1" t="s">
        <v>18</v>
      </c>
      <c r="D68" s="1" t="s">
        <v>15</v>
      </c>
      <c r="E68" s="1">
        <v>0.48194444444444445</v>
      </c>
      <c r="F68" s="1" t="s">
        <v>13</v>
      </c>
      <c r="G68" s="1">
        <v>3.29</v>
      </c>
      <c r="H68" s="1">
        <v>3.35</v>
      </c>
      <c r="I68" s="1">
        <v>0</v>
      </c>
      <c r="J68" s="4">
        <v>41145</v>
      </c>
      <c r="K68" s="4">
        <v>41875</v>
      </c>
      <c r="L68">
        <f t="shared" si="1"/>
        <v>3.3200000000000003</v>
      </c>
    </row>
    <row r="69" spans="1:12" x14ac:dyDescent="0.15">
      <c r="A69" s="1">
        <v>68</v>
      </c>
      <c r="B69" s="4">
        <v>41144</v>
      </c>
      <c r="C69" s="1" t="s">
        <v>11</v>
      </c>
      <c r="D69" s="1" t="s">
        <v>15</v>
      </c>
      <c r="E69" s="1">
        <v>0.48194444444444445</v>
      </c>
      <c r="F69" s="1" t="s">
        <v>13</v>
      </c>
      <c r="G69" s="1">
        <v>3.25</v>
      </c>
      <c r="H69" s="1">
        <v>3.31</v>
      </c>
      <c r="I69" s="1">
        <v>0</v>
      </c>
      <c r="J69" s="4">
        <v>41145</v>
      </c>
      <c r="K69" s="4">
        <v>42240</v>
      </c>
      <c r="L69">
        <f t="shared" si="1"/>
        <v>3.2800000000000002</v>
      </c>
    </row>
    <row r="70" spans="1:12" x14ac:dyDescent="0.15">
      <c r="A70" s="1">
        <v>69</v>
      </c>
      <c r="B70" s="4">
        <v>41144</v>
      </c>
      <c r="C70" s="1" t="s">
        <v>19</v>
      </c>
      <c r="D70" s="1" t="s">
        <v>15</v>
      </c>
      <c r="E70" s="1">
        <v>0.48194444444444445</v>
      </c>
      <c r="F70" s="1" t="s">
        <v>13</v>
      </c>
      <c r="G70" s="1">
        <v>3.45</v>
      </c>
      <c r="H70" s="1">
        <v>3.51</v>
      </c>
      <c r="I70" s="1">
        <v>0</v>
      </c>
      <c r="J70" s="4">
        <v>41145</v>
      </c>
      <c r="K70" s="4">
        <v>41418</v>
      </c>
      <c r="L70">
        <f t="shared" si="1"/>
        <v>3.48</v>
      </c>
    </row>
    <row r="71" spans="1:12" x14ac:dyDescent="0.15">
      <c r="A71" s="1">
        <v>70</v>
      </c>
      <c r="B71" s="4">
        <v>41144</v>
      </c>
      <c r="C71" s="1" t="s">
        <v>21</v>
      </c>
      <c r="D71" s="1" t="s">
        <v>15</v>
      </c>
      <c r="E71" s="1">
        <v>0.48194444444444445</v>
      </c>
      <c r="F71" s="1" t="s">
        <v>13</v>
      </c>
      <c r="G71" s="1">
        <v>3.31</v>
      </c>
      <c r="H71" s="1">
        <v>3.37</v>
      </c>
      <c r="I71" s="1">
        <v>0</v>
      </c>
      <c r="J71" s="4">
        <v>41145</v>
      </c>
      <c r="K71" s="4">
        <v>43701</v>
      </c>
      <c r="L71">
        <f t="shared" si="1"/>
        <v>3.34</v>
      </c>
    </row>
    <row r="72" spans="1:12" x14ac:dyDescent="0.15">
      <c r="A72" s="1">
        <v>71</v>
      </c>
      <c r="B72" s="4">
        <v>41144</v>
      </c>
      <c r="C72" s="1" t="s">
        <v>16</v>
      </c>
      <c r="D72" s="1" t="s">
        <v>15</v>
      </c>
      <c r="E72" s="1">
        <v>0.48194444444444445</v>
      </c>
      <c r="F72" s="1" t="s">
        <v>13</v>
      </c>
      <c r="G72" s="1">
        <v>3.24</v>
      </c>
      <c r="H72" s="1">
        <v>3.3</v>
      </c>
      <c r="I72" s="1">
        <v>0</v>
      </c>
      <c r="J72" s="4">
        <v>41145</v>
      </c>
      <c r="K72" s="4">
        <v>42606</v>
      </c>
      <c r="L72">
        <f t="shared" si="1"/>
        <v>3.27</v>
      </c>
    </row>
    <row r="73" spans="1:12" x14ac:dyDescent="0.15">
      <c r="A73" s="1">
        <v>72</v>
      </c>
      <c r="B73" s="4">
        <v>41144</v>
      </c>
      <c r="C73" s="1" t="s">
        <v>11</v>
      </c>
      <c r="D73" s="1" t="s">
        <v>12</v>
      </c>
      <c r="E73" s="1">
        <v>0.47899305555555555</v>
      </c>
      <c r="F73" s="1" t="s">
        <v>13</v>
      </c>
      <c r="G73" s="1">
        <v>3.2</v>
      </c>
      <c r="H73" s="1">
        <v>3.3</v>
      </c>
      <c r="I73" s="1">
        <v>0</v>
      </c>
      <c r="J73" s="4">
        <v>41145</v>
      </c>
      <c r="K73" s="4">
        <v>42240</v>
      </c>
      <c r="L73">
        <f t="shared" si="1"/>
        <v>3.25</v>
      </c>
    </row>
    <row r="74" spans="1:12" x14ac:dyDescent="0.15">
      <c r="A74" s="1">
        <v>73</v>
      </c>
      <c r="B74" s="4">
        <v>41144</v>
      </c>
      <c r="C74" s="1" t="s">
        <v>17</v>
      </c>
      <c r="D74" s="1" t="s">
        <v>12</v>
      </c>
      <c r="E74" s="1">
        <v>0.47899305555555555</v>
      </c>
      <c r="F74" s="1" t="s">
        <v>13</v>
      </c>
      <c r="G74" s="1">
        <v>3.22</v>
      </c>
      <c r="H74" s="1">
        <v>3.62</v>
      </c>
      <c r="I74" s="1">
        <v>0</v>
      </c>
      <c r="J74" s="4">
        <v>41145</v>
      </c>
      <c r="K74" s="4">
        <v>44432</v>
      </c>
      <c r="L74">
        <f t="shared" si="1"/>
        <v>3.42</v>
      </c>
    </row>
    <row r="75" spans="1:12" x14ac:dyDescent="0.15">
      <c r="A75" s="1">
        <v>74</v>
      </c>
      <c r="B75" s="4">
        <v>41144</v>
      </c>
      <c r="C75" s="1" t="s">
        <v>14</v>
      </c>
      <c r="D75" s="1" t="s">
        <v>15</v>
      </c>
      <c r="E75" s="1">
        <v>0.48193287037037041</v>
      </c>
      <c r="F75" s="1" t="s">
        <v>13</v>
      </c>
      <c r="G75" s="1">
        <v>3.37</v>
      </c>
      <c r="H75" s="1">
        <v>3.43</v>
      </c>
      <c r="I75" s="1">
        <v>0</v>
      </c>
      <c r="J75" s="4">
        <v>41145</v>
      </c>
      <c r="K75" s="4">
        <v>41510</v>
      </c>
      <c r="L75">
        <f t="shared" si="1"/>
        <v>3.4000000000000004</v>
      </c>
    </row>
    <row r="76" spans="1:12" x14ac:dyDescent="0.15">
      <c r="A76" s="1">
        <v>75</v>
      </c>
      <c r="B76" s="4">
        <v>41144</v>
      </c>
      <c r="C76" s="1" t="s">
        <v>22</v>
      </c>
      <c r="D76" s="1" t="s">
        <v>15</v>
      </c>
      <c r="E76" s="1">
        <v>0.48193287037037041</v>
      </c>
      <c r="F76" s="1" t="s">
        <v>13</v>
      </c>
      <c r="G76" s="1">
        <v>3.53</v>
      </c>
      <c r="H76" s="1">
        <v>3.59</v>
      </c>
      <c r="I76" s="1">
        <v>0</v>
      </c>
      <c r="J76" s="4">
        <v>41145</v>
      </c>
      <c r="K76" s="4">
        <v>41329</v>
      </c>
      <c r="L76">
        <f t="shared" si="1"/>
        <v>3.5599999999999996</v>
      </c>
    </row>
    <row r="77" spans="1:12" x14ac:dyDescent="0.15">
      <c r="A77" s="1">
        <v>76</v>
      </c>
      <c r="B77" s="4">
        <v>41144</v>
      </c>
      <c r="C77" s="1" t="s">
        <v>18</v>
      </c>
      <c r="D77" s="1" t="s">
        <v>12</v>
      </c>
      <c r="E77" s="1">
        <v>0.66809027777777785</v>
      </c>
      <c r="F77" s="1" t="s">
        <v>13</v>
      </c>
      <c r="G77" s="1">
        <v>3.25</v>
      </c>
      <c r="H77" s="1">
        <v>3.35</v>
      </c>
      <c r="I77" s="1">
        <v>0</v>
      </c>
      <c r="J77" s="4">
        <v>41145</v>
      </c>
      <c r="K77" s="4">
        <v>41875</v>
      </c>
      <c r="L77">
        <f t="shared" si="1"/>
        <v>3.3</v>
      </c>
    </row>
    <row r="78" spans="1:12" x14ac:dyDescent="0.15">
      <c r="A78" s="1">
        <v>77</v>
      </c>
      <c r="B78" s="4">
        <v>41144</v>
      </c>
      <c r="C78" s="1" t="s">
        <v>16</v>
      </c>
      <c r="D78" s="1" t="s">
        <v>15</v>
      </c>
      <c r="E78" s="1">
        <v>0.67525462962962957</v>
      </c>
      <c r="F78" s="1" t="s">
        <v>13</v>
      </c>
      <c r="G78" s="1">
        <v>3.24</v>
      </c>
      <c r="H78" s="1">
        <v>3.3</v>
      </c>
      <c r="I78" s="1">
        <v>0</v>
      </c>
      <c r="J78" s="4">
        <v>41145</v>
      </c>
      <c r="K78" s="4">
        <v>42606</v>
      </c>
      <c r="L78">
        <f t="shared" si="1"/>
        <v>3.27</v>
      </c>
    </row>
    <row r="79" spans="1:12" x14ac:dyDescent="0.15">
      <c r="A79" s="1">
        <v>78</v>
      </c>
      <c r="B79" s="4">
        <v>41144</v>
      </c>
      <c r="C79" s="1" t="s">
        <v>25</v>
      </c>
      <c r="D79" s="1" t="s">
        <v>15</v>
      </c>
      <c r="E79" s="1">
        <v>0.67525462962962957</v>
      </c>
      <c r="F79" s="1" t="s">
        <v>13</v>
      </c>
      <c r="G79" s="1">
        <v>3.26</v>
      </c>
      <c r="H79" s="1">
        <v>3.32</v>
      </c>
      <c r="I79" s="1">
        <v>0</v>
      </c>
      <c r="J79" s="4">
        <v>41145</v>
      </c>
      <c r="K79" s="4">
        <v>42971</v>
      </c>
      <c r="L79">
        <f t="shared" si="1"/>
        <v>3.29</v>
      </c>
    </row>
    <row r="80" spans="1:12" x14ac:dyDescent="0.15">
      <c r="A80" s="1">
        <v>79</v>
      </c>
      <c r="B80" s="4">
        <v>41144</v>
      </c>
      <c r="C80" s="1" t="s">
        <v>18</v>
      </c>
      <c r="D80" s="1" t="s">
        <v>15</v>
      </c>
      <c r="E80" s="1">
        <v>0.67525462962962957</v>
      </c>
      <c r="F80" s="1" t="s">
        <v>13</v>
      </c>
      <c r="G80" s="1">
        <v>3.29</v>
      </c>
      <c r="H80" s="1">
        <v>3.35</v>
      </c>
      <c r="I80" s="1">
        <v>0</v>
      </c>
      <c r="J80" s="4">
        <v>41145</v>
      </c>
      <c r="K80" s="4">
        <v>41875</v>
      </c>
      <c r="L80">
        <f t="shared" si="1"/>
        <v>3.3200000000000003</v>
      </c>
    </row>
    <row r="81" spans="1:12" x14ac:dyDescent="0.15">
      <c r="A81" s="1">
        <v>80</v>
      </c>
      <c r="B81" s="4">
        <v>41144</v>
      </c>
      <c r="C81" s="1" t="s">
        <v>11</v>
      </c>
      <c r="D81" s="1" t="s">
        <v>15</v>
      </c>
      <c r="E81" s="1">
        <v>0.67525462962962957</v>
      </c>
      <c r="F81" s="1" t="s">
        <v>13</v>
      </c>
      <c r="G81" s="1">
        <v>3.25</v>
      </c>
      <c r="H81" s="1">
        <v>3.31</v>
      </c>
      <c r="I81" s="1">
        <v>0</v>
      </c>
      <c r="J81" s="4">
        <v>41145</v>
      </c>
      <c r="K81" s="4">
        <v>42240</v>
      </c>
      <c r="L81">
        <f t="shared" si="1"/>
        <v>3.2800000000000002</v>
      </c>
    </row>
    <row r="82" spans="1:12" x14ac:dyDescent="0.15">
      <c r="A82" s="1">
        <v>81</v>
      </c>
      <c r="B82" s="4">
        <v>41144</v>
      </c>
      <c r="C82" s="1" t="s">
        <v>14</v>
      </c>
      <c r="D82" s="1" t="s">
        <v>15</v>
      </c>
      <c r="E82" s="1">
        <v>0.67524305555555564</v>
      </c>
      <c r="F82" s="1" t="s">
        <v>13</v>
      </c>
      <c r="G82" s="1">
        <v>3.37</v>
      </c>
      <c r="H82" s="1">
        <v>3.43</v>
      </c>
      <c r="I82" s="1">
        <v>0</v>
      </c>
      <c r="J82" s="4">
        <v>41145</v>
      </c>
      <c r="K82" s="4">
        <v>41510</v>
      </c>
      <c r="L82">
        <f t="shared" si="1"/>
        <v>3.4000000000000004</v>
      </c>
    </row>
    <row r="83" spans="1:12" x14ac:dyDescent="0.15">
      <c r="A83" s="1">
        <v>82</v>
      </c>
      <c r="B83" s="4">
        <v>41144</v>
      </c>
      <c r="C83" s="1" t="s">
        <v>21</v>
      </c>
      <c r="D83" s="1" t="s">
        <v>26</v>
      </c>
      <c r="E83" s="1">
        <v>0.67393518518518514</v>
      </c>
      <c r="F83" s="1" t="s">
        <v>13</v>
      </c>
      <c r="G83" s="1">
        <v>3</v>
      </c>
      <c r="H83" s="1">
        <v>3.3</v>
      </c>
      <c r="I83" s="1">
        <v>0</v>
      </c>
      <c r="J83" s="4">
        <v>41145</v>
      </c>
      <c r="K83" s="4">
        <v>43701</v>
      </c>
      <c r="L83">
        <f t="shared" si="1"/>
        <v>3.15</v>
      </c>
    </row>
    <row r="84" spans="1:12" x14ac:dyDescent="0.15">
      <c r="A84" s="1">
        <v>83</v>
      </c>
      <c r="B84" s="4">
        <v>41144</v>
      </c>
      <c r="C84" s="1" t="s">
        <v>17</v>
      </c>
      <c r="D84" s="1" t="s">
        <v>26</v>
      </c>
      <c r="E84" s="1">
        <v>0.67393518518518514</v>
      </c>
      <c r="F84" s="1" t="s">
        <v>13</v>
      </c>
      <c r="G84" s="1">
        <v>3</v>
      </c>
      <c r="H84" s="1">
        <v>3.3</v>
      </c>
      <c r="I84" s="1">
        <v>0</v>
      </c>
      <c r="J84" s="4">
        <v>41145</v>
      </c>
      <c r="K84" s="4">
        <v>44432</v>
      </c>
      <c r="L84">
        <f t="shared" si="1"/>
        <v>3.15</v>
      </c>
    </row>
    <row r="85" spans="1:12" x14ac:dyDescent="0.15">
      <c r="A85" s="1">
        <v>84</v>
      </c>
      <c r="B85" s="4">
        <v>41144</v>
      </c>
      <c r="C85" s="1" t="s">
        <v>22</v>
      </c>
      <c r="D85" s="1" t="s">
        <v>15</v>
      </c>
      <c r="E85" s="1">
        <v>0.67524305555555564</v>
      </c>
      <c r="F85" s="1" t="s">
        <v>13</v>
      </c>
      <c r="G85" s="1">
        <v>3.53</v>
      </c>
      <c r="H85" s="1">
        <v>3.59</v>
      </c>
      <c r="I85" s="1">
        <v>0</v>
      </c>
      <c r="J85" s="4">
        <v>41145</v>
      </c>
      <c r="K85" s="4">
        <v>41329</v>
      </c>
      <c r="L85">
        <f t="shared" si="1"/>
        <v>3.5599999999999996</v>
      </c>
    </row>
    <row r="86" spans="1:12" x14ac:dyDescent="0.15">
      <c r="A86" s="1">
        <v>85</v>
      </c>
      <c r="B86" s="4">
        <v>41144</v>
      </c>
      <c r="C86" s="1" t="s">
        <v>11</v>
      </c>
      <c r="D86" s="1" t="s">
        <v>26</v>
      </c>
      <c r="E86" s="1">
        <v>0.67394675925925929</v>
      </c>
      <c r="F86" s="1" t="s">
        <v>13</v>
      </c>
      <c r="G86" s="1">
        <v>3.3</v>
      </c>
      <c r="H86" s="1">
        <v>3.4</v>
      </c>
      <c r="I86" s="1">
        <v>0</v>
      </c>
      <c r="J86" s="4">
        <v>41145</v>
      </c>
      <c r="K86" s="4">
        <v>42240</v>
      </c>
      <c r="L86">
        <f t="shared" si="1"/>
        <v>3.3499999999999996</v>
      </c>
    </row>
    <row r="87" spans="1:12" x14ac:dyDescent="0.15">
      <c r="A87" s="1">
        <v>86</v>
      </c>
      <c r="B87" s="4">
        <v>41144</v>
      </c>
      <c r="C87" s="1" t="s">
        <v>21</v>
      </c>
      <c r="D87" s="1" t="s">
        <v>15</v>
      </c>
      <c r="E87" s="1">
        <v>0.67525462962962957</v>
      </c>
      <c r="F87" s="1" t="s">
        <v>13</v>
      </c>
      <c r="G87" s="1">
        <v>3.31</v>
      </c>
      <c r="H87" s="1">
        <v>3.37</v>
      </c>
      <c r="I87" s="1">
        <v>0</v>
      </c>
      <c r="J87" s="4">
        <v>41145</v>
      </c>
      <c r="K87" s="4">
        <v>43701</v>
      </c>
      <c r="L87">
        <f t="shared" si="1"/>
        <v>3.34</v>
      </c>
    </row>
    <row r="88" spans="1:12" x14ac:dyDescent="0.15">
      <c r="A88" s="1">
        <v>87</v>
      </c>
      <c r="B88" s="4">
        <v>41144</v>
      </c>
      <c r="C88" s="1" t="s">
        <v>18</v>
      </c>
      <c r="D88" s="1" t="s">
        <v>27</v>
      </c>
      <c r="E88" s="1">
        <v>0.67884259259259261</v>
      </c>
      <c r="F88" s="1" t="s">
        <v>13</v>
      </c>
      <c r="G88" s="1">
        <v>3.26</v>
      </c>
      <c r="H88" s="1">
        <v>3.36</v>
      </c>
      <c r="I88" s="1">
        <v>0</v>
      </c>
      <c r="J88" s="4">
        <v>41145</v>
      </c>
      <c r="K88" s="4">
        <v>41875</v>
      </c>
      <c r="L88">
        <f t="shared" si="1"/>
        <v>3.3099999999999996</v>
      </c>
    </row>
    <row r="89" spans="1:12" x14ac:dyDescent="0.15">
      <c r="A89" s="1">
        <v>88</v>
      </c>
      <c r="B89" s="4">
        <v>41144</v>
      </c>
      <c r="C89" s="1" t="s">
        <v>16</v>
      </c>
      <c r="D89" s="1" t="s">
        <v>27</v>
      </c>
      <c r="E89" s="1">
        <v>0.67883101851851846</v>
      </c>
      <c r="F89" s="1" t="s">
        <v>13</v>
      </c>
      <c r="G89" s="1">
        <v>3.22</v>
      </c>
      <c r="H89" s="1">
        <v>3.32</v>
      </c>
      <c r="I89" s="1">
        <v>0</v>
      </c>
      <c r="J89" s="4">
        <v>41145</v>
      </c>
      <c r="K89" s="4">
        <v>42606</v>
      </c>
      <c r="L89">
        <f t="shared" si="1"/>
        <v>3.27</v>
      </c>
    </row>
    <row r="90" spans="1:12" x14ac:dyDescent="0.15">
      <c r="A90" s="1">
        <v>89</v>
      </c>
      <c r="B90" s="4">
        <v>41144</v>
      </c>
      <c r="C90" s="1" t="s">
        <v>11</v>
      </c>
      <c r="D90" s="1" t="s">
        <v>27</v>
      </c>
      <c r="E90" s="1">
        <v>0.67884259259259261</v>
      </c>
      <c r="F90" s="1" t="s">
        <v>13</v>
      </c>
      <c r="G90" s="1">
        <v>3.22</v>
      </c>
      <c r="H90" s="1">
        <v>3.3</v>
      </c>
      <c r="I90" s="1">
        <v>0</v>
      </c>
      <c r="J90" s="4">
        <v>41145</v>
      </c>
      <c r="K90" s="4">
        <v>42240</v>
      </c>
      <c r="L90">
        <f t="shared" si="1"/>
        <v>3.26</v>
      </c>
    </row>
    <row r="91" spans="1:12" x14ac:dyDescent="0.15">
      <c r="A91" s="1">
        <v>90</v>
      </c>
      <c r="B91" s="4">
        <v>41144</v>
      </c>
      <c r="C91" s="1" t="s">
        <v>22</v>
      </c>
      <c r="D91" s="1" t="s">
        <v>27</v>
      </c>
      <c r="E91" s="1">
        <v>0.67884259259259261</v>
      </c>
      <c r="F91" s="1" t="s">
        <v>13</v>
      </c>
      <c r="G91" s="1">
        <v>3.52</v>
      </c>
      <c r="H91" s="1">
        <v>3.62</v>
      </c>
      <c r="I91" s="1">
        <v>0</v>
      </c>
      <c r="J91" s="4">
        <v>41145</v>
      </c>
      <c r="K91" s="4">
        <v>41329</v>
      </c>
      <c r="L91">
        <f t="shared" si="1"/>
        <v>3.5700000000000003</v>
      </c>
    </row>
    <row r="92" spans="1:12" x14ac:dyDescent="0.15">
      <c r="A92" s="1">
        <v>91</v>
      </c>
      <c r="B92" s="4">
        <v>41144</v>
      </c>
      <c r="C92" s="1" t="s">
        <v>19</v>
      </c>
      <c r="D92" s="1" t="s">
        <v>27</v>
      </c>
      <c r="E92" s="1">
        <v>0.67883101851851846</v>
      </c>
      <c r="F92" s="1" t="s">
        <v>13</v>
      </c>
      <c r="G92" s="1">
        <v>3.43</v>
      </c>
      <c r="H92" s="1">
        <v>3.53</v>
      </c>
      <c r="I92" s="1">
        <v>0</v>
      </c>
      <c r="J92" s="4">
        <v>41145</v>
      </c>
      <c r="K92" s="4">
        <v>41418</v>
      </c>
      <c r="L92">
        <f t="shared" si="1"/>
        <v>3.48</v>
      </c>
    </row>
    <row r="93" spans="1:12" x14ac:dyDescent="0.15">
      <c r="A93" s="1">
        <v>92</v>
      </c>
      <c r="B93" s="4">
        <v>41144</v>
      </c>
      <c r="C93" s="1" t="s">
        <v>20</v>
      </c>
      <c r="D93" s="1" t="s">
        <v>15</v>
      </c>
      <c r="E93" s="1">
        <v>0.67525462962962957</v>
      </c>
      <c r="F93" s="1" t="s">
        <v>13</v>
      </c>
      <c r="G93" s="1">
        <v>3.34</v>
      </c>
      <c r="H93" s="1">
        <v>3.4</v>
      </c>
      <c r="I93" s="1">
        <v>0</v>
      </c>
      <c r="J93" s="4">
        <v>41145</v>
      </c>
      <c r="K93" s="4">
        <v>44797</v>
      </c>
      <c r="L93">
        <f t="shared" si="1"/>
        <v>3.37</v>
      </c>
    </row>
    <row r="94" spans="1:12" x14ac:dyDescent="0.15">
      <c r="A94" s="1">
        <v>93</v>
      </c>
      <c r="B94" s="4">
        <v>41144</v>
      </c>
      <c r="C94" s="1" t="s">
        <v>19</v>
      </c>
      <c r="D94" s="1" t="s">
        <v>15</v>
      </c>
      <c r="E94" s="1">
        <v>0.67525462962962957</v>
      </c>
      <c r="F94" s="1" t="s">
        <v>13</v>
      </c>
      <c r="G94" s="1">
        <v>3.45</v>
      </c>
      <c r="H94" s="1">
        <v>3.51</v>
      </c>
      <c r="I94" s="1">
        <v>0</v>
      </c>
      <c r="J94" s="4">
        <v>41145</v>
      </c>
      <c r="K94" s="4">
        <v>41418</v>
      </c>
      <c r="L94">
        <f t="shared" si="1"/>
        <v>3.48</v>
      </c>
    </row>
    <row r="95" spans="1:12" x14ac:dyDescent="0.15">
      <c r="A95" s="1">
        <v>94</v>
      </c>
      <c r="B95" s="4">
        <v>41144</v>
      </c>
      <c r="C95" s="1" t="s">
        <v>25</v>
      </c>
      <c r="D95" s="1" t="s">
        <v>27</v>
      </c>
      <c r="E95" s="1">
        <v>0.67883101851851846</v>
      </c>
      <c r="F95" s="1" t="s">
        <v>13</v>
      </c>
      <c r="G95" s="1">
        <v>3.22</v>
      </c>
      <c r="H95" s="1">
        <v>3.3</v>
      </c>
      <c r="I95" s="1">
        <v>0</v>
      </c>
      <c r="J95" s="4">
        <v>41145</v>
      </c>
      <c r="K95" s="4">
        <v>42971</v>
      </c>
      <c r="L95">
        <f t="shared" si="1"/>
        <v>3.26</v>
      </c>
    </row>
    <row r="96" spans="1:12" x14ac:dyDescent="0.15">
      <c r="A96" s="1">
        <v>95</v>
      </c>
      <c r="B96" s="4">
        <v>41144</v>
      </c>
      <c r="C96" s="1" t="s">
        <v>14</v>
      </c>
      <c r="D96" s="1" t="s">
        <v>27</v>
      </c>
      <c r="E96" s="1">
        <v>0.67881944444444453</v>
      </c>
      <c r="F96" s="1" t="s">
        <v>13</v>
      </c>
      <c r="G96" s="1">
        <v>3.34</v>
      </c>
      <c r="H96" s="1">
        <v>3.39</v>
      </c>
      <c r="I96" s="1">
        <v>0</v>
      </c>
      <c r="J96" s="4">
        <v>41145</v>
      </c>
      <c r="K96" s="4">
        <v>41510</v>
      </c>
      <c r="L96">
        <f t="shared" si="1"/>
        <v>3.3650000000000002</v>
      </c>
    </row>
    <row r="97" spans="1:12" x14ac:dyDescent="0.15">
      <c r="A97" s="1">
        <v>96</v>
      </c>
      <c r="B97" s="4">
        <v>41144</v>
      </c>
      <c r="C97" s="1" t="s">
        <v>25</v>
      </c>
      <c r="D97" s="1" t="s">
        <v>12</v>
      </c>
      <c r="E97" s="1">
        <v>0.66811342592592593</v>
      </c>
      <c r="F97" s="1" t="s">
        <v>13</v>
      </c>
      <c r="G97" s="1">
        <v>3.23</v>
      </c>
      <c r="H97" s="1">
        <v>3.33</v>
      </c>
      <c r="I97" s="1">
        <v>0</v>
      </c>
      <c r="J97" s="4">
        <v>41145</v>
      </c>
      <c r="K97" s="4">
        <v>42971</v>
      </c>
      <c r="L97">
        <f t="shared" si="1"/>
        <v>3.2800000000000002</v>
      </c>
    </row>
    <row r="98" spans="1:12" x14ac:dyDescent="0.15">
      <c r="A98" s="1">
        <v>97</v>
      </c>
      <c r="B98" s="4">
        <v>41144</v>
      </c>
      <c r="C98" s="1" t="s">
        <v>24</v>
      </c>
      <c r="D98" s="1" t="s">
        <v>12</v>
      </c>
      <c r="E98" s="1">
        <v>0.66811342592592593</v>
      </c>
      <c r="F98" s="1" t="s">
        <v>13</v>
      </c>
      <c r="G98" s="1">
        <v>3.21</v>
      </c>
      <c r="H98" s="1">
        <v>3.61</v>
      </c>
      <c r="I98" s="1">
        <v>0</v>
      </c>
      <c r="J98" s="4">
        <v>41145</v>
      </c>
      <c r="K98" s="4">
        <v>44067</v>
      </c>
      <c r="L98">
        <f t="shared" si="1"/>
        <v>3.41</v>
      </c>
    </row>
    <row r="99" spans="1:12" x14ac:dyDescent="0.15">
      <c r="A99" s="1">
        <v>98</v>
      </c>
      <c r="B99" s="4">
        <v>41144</v>
      </c>
      <c r="C99" s="1" t="s">
        <v>17</v>
      </c>
      <c r="D99" s="1" t="s">
        <v>12</v>
      </c>
      <c r="E99" s="1">
        <v>0.66811342592592593</v>
      </c>
      <c r="F99" s="1" t="s">
        <v>13</v>
      </c>
      <c r="G99" s="1">
        <v>3.22</v>
      </c>
      <c r="H99" s="1">
        <v>3.62</v>
      </c>
      <c r="I99" s="1">
        <v>0</v>
      </c>
      <c r="J99" s="4">
        <v>41145</v>
      </c>
      <c r="K99" s="4">
        <v>44432</v>
      </c>
      <c r="L99">
        <f t="shared" si="1"/>
        <v>3.42</v>
      </c>
    </row>
    <row r="100" spans="1:12" x14ac:dyDescent="0.15">
      <c r="A100" s="1">
        <v>99</v>
      </c>
      <c r="B100" s="4">
        <v>41144</v>
      </c>
      <c r="C100" s="1" t="s">
        <v>16</v>
      </c>
      <c r="D100" s="1" t="s">
        <v>12</v>
      </c>
      <c r="E100" s="1">
        <v>0.66811342592592593</v>
      </c>
      <c r="F100" s="1" t="s">
        <v>13</v>
      </c>
      <c r="G100" s="1">
        <v>3.2</v>
      </c>
      <c r="H100" s="1">
        <v>3.3</v>
      </c>
      <c r="I100" s="1">
        <v>0</v>
      </c>
      <c r="J100" s="4">
        <v>41145</v>
      </c>
      <c r="K100" s="4">
        <v>42606</v>
      </c>
      <c r="L100">
        <f t="shared" si="1"/>
        <v>3.25</v>
      </c>
    </row>
    <row r="101" spans="1:12" x14ac:dyDescent="0.15">
      <c r="A101" s="1">
        <v>100</v>
      </c>
      <c r="B101" s="4">
        <v>41144</v>
      </c>
      <c r="C101" s="1" t="s">
        <v>20</v>
      </c>
      <c r="D101" s="1" t="s">
        <v>12</v>
      </c>
      <c r="E101" s="1">
        <v>0.66811342592592593</v>
      </c>
      <c r="F101" s="1" t="s">
        <v>13</v>
      </c>
      <c r="G101" s="1">
        <v>3.23</v>
      </c>
      <c r="H101" s="1">
        <v>3.63</v>
      </c>
      <c r="I101" s="1">
        <v>0</v>
      </c>
      <c r="J101" s="4">
        <v>41145</v>
      </c>
      <c r="K101" s="4">
        <v>44797</v>
      </c>
      <c r="L101">
        <f t="shared" si="1"/>
        <v>3.4299999999999997</v>
      </c>
    </row>
    <row r="102" spans="1:12" x14ac:dyDescent="0.15">
      <c r="A102" s="1">
        <v>101</v>
      </c>
      <c r="B102" s="4">
        <v>41144</v>
      </c>
      <c r="C102" s="1" t="s">
        <v>22</v>
      </c>
      <c r="D102" s="1" t="s">
        <v>12</v>
      </c>
      <c r="E102" s="1">
        <v>0.66809027777777785</v>
      </c>
      <c r="F102" s="1" t="s">
        <v>13</v>
      </c>
      <c r="G102" s="1">
        <v>3.55</v>
      </c>
      <c r="H102" s="1">
        <v>3.65</v>
      </c>
      <c r="I102" s="1">
        <v>0</v>
      </c>
      <c r="J102" s="4">
        <v>41145</v>
      </c>
      <c r="K102" s="4">
        <v>41329</v>
      </c>
      <c r="L102">
        <f t="shared" si="1"/>
        <v>3.5999999999999996</v>
      </c>
    </row>
    <row r="103" spans="1:12" x14ac:dyDescent="0.15">
      <c r="A103" s="1">
        <v>102</v>
      </c>
      <c r="B103" s="4">
        <v>41144</v>
      </c>
      <c r="C103" s="1" t="s">
        <v>23</v>
      </c>
      <c r="D103" s="1" t="s">
        <v>12</v>
      </c>
      <c r="E103" s="1">
        <v>0.66809027777777785</v>
      </c>
      <c r="F103" s="1" t="s">
        <v>13</v>
      </c>
      <c r="G103" s="1">
        <v>3.21</v>
      </c>
      <c r="H103" s="1">
        <v>3.31</v>
      </c>
      <c r="I103" s="1">
        <v>0</v>
      </c>
      <c r="J103" s="4">
        <v>41145</v>
      </c>
      <c r="K103" s="4">
        <v>43336</v>
      </c>
      <c r="L103">
        <f t="shared" si="1"/>
        <v>3.26</v>
      </c>
    </row>
    <row r="104" spans="1:12" x14ac:dyDescent="0.15">
      <c r="A104" s="1">
        <v>103</v>
      </c>
      <c r="B104" s="4">
        <v>41144</v>
      </c>
      <c r="C104" s="1" t="s">
        <v>19</v>
      </c>
      <c r="D104" s="1" t="s">
        <v>12</v>
      </c>
      <c r="E104" s="1">
        <v>0.66810185185185178</v>
      </c>
      <c r="F104" s="1" t="s">
        <v>13</v>
      </c>
      <c r="G104" s="1">
        <v>3.45</v>
      </c>
      <c r="H104" s="1">
        <v>3.55</v>
      </c>
      <c r="I104" s="1">
        <v>0</v>
      </c>
      <c r="J104" s="4">
        <v>41145</v>
      </c>
      <c r="K104" s="4">
        <v>41418</v>
      </c>
      <c r="L104">
        <f t="shared" si="1"/>
        <v>3.5</v>
      </c>
    </row>
    <row r="105" spans="1:12" x14ac:dyDescent="0.15">
      <c r="A105" s="1">
        <v>104</v>
      </c>
      <c r="B105" s="4">
        <v>41144</v>
      </c>
      <c r="C105" s="1" t="s">
        <v>21</v>
      </c>
      <c r="D105" s="1" t="s">
        <v>12</v>
      </c>
      <c r="E105" s="1">
        <v>0.66810185185185178</v>
      </c>
      <c r="F105" s="1" t="s">
        <v>13</v>
      </c>
      <c r="G105" s="1">
        <v>3.2</v>
      </c>
      <c r="H105" s="1">
        <v>3.6</v>
      </c>
      <c r="I105" s="1">
        <v>0</v>
      </c>
      <c r="J105" s="4">
        <v>41145</v>
      </c>
      <c r="K105" s="4">
        <v>43701</v>
      </c>
      <c r="L105">
        <f t="shared" si="1"/>
        <v>3.4000000000000004</v>
      </c>
    </row>
    <row r="106" spans="1:12" x14ac:dyDescent="0.15">
      <c r="A106" s="1">
        <v>105</v>
      </c>
      <c r="B106" s="4">
        <v>41144</v>
      </c>
      <c r="C106" s="1" t="s">
        <v>11</v>
      </c>
      <c r="D106" s="1" t="s">
        <v>12</v>
      </c>
      <c r="E106" s="1">
        <v>0.66811342592592593</v>
      </c>
      <c r="F106" s="1" t="s">
        <v>13</v>
      </c>
      <c r="G106" s="1">
        <v>3.2</v>
      </c>
      <c r="H106" s="1">
        <v>3.3</v>
      </c>
      <c r="I106" s="1">
        <v>0</v>
      </c>
      <c r="J106" s="4">
        <v>41145</v>
      </c>
      <c r="K106" s="4">
        <v>42240</v>
      </c>
      <c r="L106">
        <f t="shared" si="1"/>
        <v>3.25</v>
      </c>
    </row>
    <row r="107" spans="1:12" x14ac:dyDescent="0.15">
      <c r="A107" s="1">
        <v>106</v>
      </c>
      <c r="B107" s="4">
        <v>41144</v>
      </c>
      <c r="C107" s="1" t="s">
        <v>16</v>
      </c>
      <c r="D107" s="1" t="s">
        <v>26</v>
      </c>
      <c r="E107" s="1">
        <v>0.67393518518518514</v>
      </c>
      <c r="F107" s="1" t="s">
        <v>13</v>
      </c>
      <c r="G107" s="1">
        <v>3.25</v>
      </c>
      <c r="H107" s="1">
        <v>3.35</v>
      </c>
      <c r="I107" s="1">
        <v>0</v>
      </c>
      <c r="J107" s="4">
        <v>41145</v>
      </c>
      <c r="K107" s="4">
        <v>42606</v>
      </c>
      <c r="L107">
        <f t="shared" si="1"/>
        <v>3.3</v>
      </c>
    </row>
    <row r="108" spans="1:12" x14ac:dyDescent="0.15">
      <c r="A108" s="1">
        <v>107</v>
      </c>
      <c r="B108" s="4">
        <v>41144</v>
      </c>
      <c r="C108" s="1" t="s">
        <v>25</v>
      </c>
      <c r="D108" s="1" t="s">
        <v>26</v>
      </c>
      <c r="E108" s="1">
        <v>0.67393518518518514</v>
      </c>
      <c r="F108" s="1" t="s">
        <v>13</v>
      </c>
      <c r="G108" s="1">
        <v>3.25</v>
      </c>
      <c r="H108" s="1">
        <v>3.35</v>
      </c>
      <c r="I108" s="1">
        <v>0</v>
      </c>
      <c r="J108" s="4">
        <v>41145</v>
      </c>
      <c r="K108" s="4">
        <v>42971</v>
      </c>
      <c r="L108">
        <f t="shared" si="1"/>
        <v>3.3</v>
      </c>
    </row>
    <row r="109" spans="1:12" x14ac:dyDescent="0.15">
      <c r="A109" s="1">
        <v>108</v>
      </c>
      <c r="B109" s="4">
        <v>41144</v>
      </c>
      <c r="C109" s="1" t="s">
        <v>18</v>
      </c>
      <c r="D109" s="1" t="s">
        <v>26</v>
      </c>
      <c r="E109" s="1">
        <v>0.67393518518518514</v>
      </c>
      <c r="F109" s="1" t="s">
        <v>13</v>
      </c>
      <c r="G109" s="1">
        <v>3.3</v>
      </c>
      <c r="H109" s="1">
        <v>3.45</v>
      </c>
      <c r="I109" s="1">
        <v>0</v>
      </c>
      <c r="J109" s="4">
        <v>41145</v>
      </c>
      <c r="K109" s="4">
        <v>41875</v>
      </c>
      <c r="L109">
        <f t="shared" si="1"/>
        <v>3.375</v>
      </c>
    </row>
    <row r="110" spans="1:12" x14ac:dyDescent="0.15">
      <c r="A110" s="1">
        <v>109</v>
      </c>
      <c r="B110" s="4">
        <v>41144</v>
      </c>
      <c r="C110" s="1" t="s">
        <v>20</v>
      </c>
      <c r="D110" s="1" t="s">
        <v>26</v>
      </c>
      <c r="E110" s="1">
        <v>0.67393518518518514</v>
      </c>
      <c r="F110" s="1" t="s">
        <v>13</v>
      </c>
      <c r="G110" s="1">
        <v>3</v>
      </c>
      <c r="H110" s="1">
        <v>3.3</v>
      </c>
      <c r="I110" s="1">
        <v>0</v>
      </c>
      <c r="J110" s="4">
        <v>41145</v>
      </c>
      <c r="K110" s="4">
        <v>44797</v>
      </c>
      <c r="L110">
        <f t="shared" si="1"/>
        <v>3.15</v>
      </c>
    </row>
    <row r="111" spans="1:12" x14ac:dyDescent="0.15">
      <c r="A111" s="1">
        <v>110</v>
      </c>
      <c r="B111" s="4">
        <v>41144</v>
      </c>
      <c r="C111" s="1" t="s">
        <v>19</v>
      </c>
      <c r="D111" s="1" t="s">
        <v>26</v>
      </c>
      <c r="E111" s="1">
        <v>0.67393518518518514</v>
      </c>
      <c r="F111" s="1" t="s">
        <v>13</v>
      </c>
      <c r="G111" s="1">
        <v>3.5</v>
      </c>
      <c r="H111" s="1">
        <v>3.7</v>
      </c>
      <c r="I111" s="1">
        <v>0</v>
      </c>
      <c r="J111" s="4">
        <v>41145</v>
      </c>
      <c r="K111" s="4">
        <v>41418</v>
      </c>
      <c r="L111">
        <f t="shared" si="1"/>
        <v>3.6</v>
      </c>
    </row>
    <row r="112" spans="1:12" x14ac:dyDescent="0.15">
      <c r="A112" s="1">
        <v>111</v>
      </c>
      <c r="B112" s="4">
        <v>41144</v>
      </c>
      <c r="C112" s="1" t="s">
        <v>22</v>
      </c>
      <c r="D112" s="1" t="s">
        <v>26</v>
      </c>
      <c r="E112" s="1">
        <v>0.67391203703703706</v>
      </c>
      <c r="F112" s="1" t="s">
        <v>13</v>
      </c>
      <c r="G112" s="1">
        <v>3.3</v>
      </c>
      <c r="H112" s="1">
        <v>3.5</v>
      </c>
      <c r="I112" s="1">
        <v>0</v>
      </c>
      <c r="J112" s="4">
        <v>41145</v>
      </c>
      <c r="K112" s="4">
        <v>41329</v>
      </c>
      <c r="L112">
        <f t="shared" si="1"/>
        <v>3.4</v>
      </c>
    </row>
    <row r="113" spans="1:12" x14ac:dyDescent="0.15">
      <c r="A113" s="1">
        <v>112</v>
      </c>
      <c r="B113" s="4">
        <v>41144</v>
      </c>
      <c r="C113" s="1" t="s">
        <v>23</v>
      </c>
      <c r="D113" s="1" t="s">
        <v>26</v>
      </c>
      <c r="E113" s="1">
        <v>0.67391203703703706</v>
      </c>
      <c r="F113" s="1" t="s">
        <v>13</v>
      </c>
      <c r="G113" s="1">
        <v>3</v>
      </c>
      <c r="H113" s="1">
        <v>3.3</v>
      </c>
      <c r="I113" s="1">
        <v>0</v>
      </c>
      <c r="J113" s="4">
        <v>41145</v>
      </c>
      <c r="K113" s="4">
        <v>43336</v>
      </c>
      <c r="L113">
        <f t="shared" si="1"/>
        <v>3.15</v>
      </c>
    </row>
    <row r="114" spans="1:12" x14ac:dyDescent="0.15">
      <c r="A114" s="1">
        <v>113</v>
      </c>
      <c r="B114" s="4">
        <v>41144</v>
      </c>
      <c r="C114" s="1" t="s">
        <v>24</v>
      </c>
      <c r="D114" s="1" t="s">
        <v>26</v>
      </c>
      <c r="E114" s="1">
        <v>0.67392361111111121</v>
      </c>
      <c r="F114" s="1" t="s">
        <v>13</v>
      </c>
      <c r="G114" s="1">
        <v>3</v>
      </c>
      <c r="H114" s="1">
        <v>3.3</v>
      </c>
      <c r="I114" s="1">
        <v>0</v>
      </c>
      <c r="J114" s="4">
        <v>41145</v>
      </c>
      <c r="K114" s="4">
        <v>44067</v>
      </c>
      <c r="L114">
        <f t="shared" si="1"/>
        <v>3.15</v>
      </c>
    </row>
    <row r="115" spans="1:12" x14ac:dyDescent="0.15">
      <c r="A115" s="1">
        <v>114</v>
      </c>
      <c r="B115" s="4">
        <v>41144</v>
      </c>
      <c r="C115" s="1" t="s">
        <v>14</v>
      </c>
      <c r="D115" s="1" t="s">
        <v>26</v>
      </c>
      <c r="E115" s="1">
        <v>0.67392361111111121</v>
      </c>
      <c r="F115" s="1" t="s">
        <v>13</v>
      </c>
      <c r="G115" s="1">
        <v>3.3</v>
      </c>
      <c r="H115" s="1">
        <v>3.5</v>
      </c>
      <c r="I115" s="1">
        <v>0</v>
      </c>
      <c r="J115" s="4">
        <v>41145</v>
      </c>
      <c r="K115" s="4">
        <v>41510</v>
      </c>
      <c r="L115">
        <f t="shared" si="1"/>
        <v>3.4</v>
      </c>
    </row>
    <row r="116" spans="1:12" x14ac:dyDescent="0.15">
      <c r="A116" s="1">
        <v>115</v>
      </c>
      <c r="B116" s="4">
        <v>41143</v>
      </c>
      <c r="C116" s="1" t="s">
        <v>25</v>
      </c>
      <c r="D116" s="1" t="s">
        <v>27</v>
      </c>
      <c r="E116" s="1">
        <v>0.48561342592592593</v>
      </c>
      <c r="F116" s="1" t="s">
        <v>13</v>
      </c>
      <c r="G116" s="1">
        <v>3.26</v>
      </c>
      <c r="H116" s="1">
        <v>3.32</v>
      </c>
      <c r="I116" s="1">
        <v>0</v>
      </c>
      <c r="J116" s="4">
        <v>41144</v>
      </c>
      <c r="K116" s="4">
        <v>42970</v>
      </c>
      <c r="L116">
        <f t="shared" si="1"/>
        <v>3.29</v>
      </c>
    </row>
    <row r="117" spans="1:12" x14ac:dyDescent="0.15">
      <c r="A117" s="1">
        <v>116</v>
      </c>
      <c r="B117" s="4">
        <v>41143</v>
      </c>
      <c r="C117" s="1" t="s">
        <v>14</v>
      </c>
      <c r="D117" s="1" t="s">
        <v>27</v>
      </c>
      <c r="E117" s="1">
        <v>0.48561342592592593</v>
      </c>
      <c r="F117" s="1" t="s">
        <v>13</v>
      </c>
      <c r="G117" s="1">
        <v>3.41</v>
      </c>
      <c r="H117" s="1">
        <v>3.5</v>
      </c>
      <c r="I117" s="1">
        <v>0</v>
      </c>
      <c r="J117" s="4">
        <v>41144</v>
      </c>
      <c r="K117" s="4">
        <v>41509</v>
      </c>
      <c r="L117">
        <f t="shared" si="1"/>
        <v>3.4550000000000001</v>
      </c>
    </row>
    <row r="118" spans="1:12" x14ac:dyDescent="0.15">
      <c r="A118" s="1">
        <v>117</v>
      </c>
      <c r="B118" s="4">
        <v>41143</v>
      </c>
      <c r="C118" s="1" t="s">
        <v>11</v>
      </c>
      <c r="D118" s="1" t="s">
        <v>27</v>
      </c>
      <c r="E118" s="1">
        <v>0.48562499999999997</v>
      </c>
      <c r="F118" s="1" t="s">
        <v>13</v>
      </c>
      <c r="G118" s="1">
        <v>3.28</v>
      </c>
      <c r="H118" s="1">
        <v>3.35</v>
      </c>
      <c r="I118" s="1">
        <v>0</v>
      </c>
      <c r="J118" s="4">
        <v>41144</v>
      </c>
      <c r="K118" s="4">
        <v>42239</v>
      </c>
      <c r="L118">
        <f t="shared" si="1"/>
        <v>3.3149999999999999</v>
      </c>
    </row>
    <row r="119" spans="1:12" x14ac:dyDescent="0.15">
      <c r="A119" s="1">
        <v>118</v>
      </c>
      <c r="B119" s="4">
        <v>41143</v>
      </c>
      <c r="C119" s="1" t="s">
        <v>22</v>
      </c>
      <c r="D119" s="1" t="s">
        <v>27</v>
      </c>
      <c r="E119" s="1">
        <v>0.48562499999999997</v>
      </c>
      <c r="F119" s="1" t="s">
        <v>13</v>
      </c>
      <c r="G119" s="1">
        <v>3.59</v>
      </c>
      <c r="H119" s="1">
        <v>3.65</v>
      </c>
      <c r="I119" s="1">
        <v>0</v>
      </c>
      <c r="J119" s="4">
        <v>41144</v>
      </c>
      <c r="K119" s="4">
        <v>41328</v>
      </c>
      <c r="L119">
        <f t="shared" si="1"/>
        <v>3.62</v>
      </c>
    </row>
    <row r="120" spans="1:12" x14ac:dyDescent="0.15">
      <c r="A120" s="1">
        <v>119</v>
      </c>
      <c r="B120" s="4">
        <v>41143</v>
      </c>
      <c r="C120" s="1" t="s">
        <v>18</v>
      </c>
      <c r="D120" s="1" t="s">
        <v>27</v>
      </c>
      <c r="E120" s="1">
        <v>0.48561342592592593</v>
      </c>
      <c r="F120" s="1" t="s">
        <v>13</v>
      </c>
      <c r="G120" s="1">
        <v>3.31</v>
      </c>
      <c r="H120" s="1">
        <v>3.38</v>
      </c>
      <c r="I120" s="1">
        <v>0</v>
      </c>
      <c r="J120" s="4">
        <v>41144</v>
      </c>
      <c r="K120" s="4">
        <v>41874</v>
      </c>
      <c r="L120">
        <f t="shared" si="1"/>
        <v>3.3449999999999998</v>
      </c>
    </row>
    <row r="121" spans="1:12" x14ac:dyDescent="0.15">
      <c r="A121" s="1">
        <v>120</v>
      </c>
      <c r="B121" s="4">
        <v>41143</v>
      </c>
      <c r="C121" s="1" t="s">
        <v>11</v>
      </c>
      <c r="D121" s="1" t="s">
        <v>15</v>
      </c>
      <c r="E121" s="1">
        <v>0.48555555555555557</v>
      </c>
      <c r="F121" s="1" t="s">
        <v>13</v>
      </c>
      <c r="G121" s="1">
        <v>3.24</v>
      </c>
      <c r="H121" s="1">
        <v>3.3</v>
      </c>
      <c r="I121" s="1">
        <v>0</v>
      </c>
      <c r="J121" s="4">
        <v>41144</v>
      </c>
      <c r="K121" s="4">
        <v>42239</v>
      </c>
      <c r="L121">
        <f t="shared" si="1"/>
        <v>3.27</v>
      </c>
    </row>
    <row r="122" spans="1:12" x14ac:dyDescent="0.15">
      <c r="A122" s="1">
        <v>121</v>
      </c>
      <c r="B122" s="4">
        <v>41143</v>
      </c>
      <c r="C122" s="1" t="s">
        <v>16</v>
      </c>
      <c r="D122" s="1" t="s">
        <v>15</v>
      </c>
      <c r="E122" s="1">
        <v>0.48555555555555557</v>
      </c>
      <c r="F122" s="1" t="s">
        <v>13</v>
      </c>
      <c r="G122" s="1">
        <v>3.23</v>
      </c>
      <c r="H122" s="1">
        <v>3.29</v>
      </c>
      <c r="I122" s="1">
        <v>0</v>
      </c>
      <c r="J122" s="4">
        <v>41144</v>
      </c>
      <c r="K122" s="4">
        <v>42605</v>
      </c>
      <c r="L122">
        <f t="shared" si="1"/>
        <v>3.26</v>
      </c>
    </row>
    <row r="123" spans="1:12" x14ac:dyDescent="0.15">
      <c r="A123" s="1">
        <v>122</v>
      </c>
      <c r="B123" s="4">
        <v>41143</v>
      </c>
      <c r="C123" s="1" t="s">
        <v>16</v>
      </c>
      <c r="D123" s="1" t="s">
        <v>27</v>
      </c>
      <c r="E123" s="1">
        <v>0.48561342592592593</v>
      </c>
      <c r="F123" s="1" t="s">
        <v>13</v>
      </c>
      <c r="G123" s="1">
        <v>3.24</v>
      </c>
      <c r="H123" s="1">
        <v>3.33</v>
      </c>
      <c r="I123" s="1">
        <v>0</v>
      </c>
      <c r="J123" s="4">
        <v>41144</v>
      </c>
      <c r="K123" s="4">
        <v>42605</v>
      </c>
      <c r="L123">
        <f t="shared" si="1"/>
        <v>3.2850000000000001</v>
      </c>
    </row>
    <row r="124" spans="1:12" x14ac:dyDescent="0.15">
      <c r="A124" s="1">
        <v>123</v>
      </c>
      <c r="B124" s="4">
        <v>41143</v>
      </c>
      <c r="C124" s="1" t="s">
        <v>19</v>
      </c>
      <c r="D124" s="1" t="s">
        <v>27</v>
      </c>
      <c r="E124" s="1">
        <v>0.48561342592592593</v>
      </c>
      <c r="F124" s="1" t="s">
        <v>13</v>
      </c>
      <c r="G124" s="1">
        <v>3.44</v>
      </c>
      <c r="H124" s="1">
        <v>3.54</v>
      </c>
      <c r="I124" s="1">
        <v>0</v>
      </c>
      <c r="J124" s="4">
        <v>41144</v>
      </c>
      <c r="K124" s="4">
        <v>41417</v>
      </c>
      <c r="L124">
        <f t="shared" si="1"/>
        <v>3.49</v>
      </c>
    </row>
    <row r="125" spans="1:12" x14ac:dyDescent="0.15">
      <c r="A125" s="1">
        <v>124</v>
      </c>
      <c r="B125" s="4">
        <v>41143</v>
      </c>
      <c r="C125" s="1" t="s">
        <v>18</v>
      </c>
      <c r="D125" s="1" t="s">
        <v>26</v>
      </c>
      <c r="E125" s="1">
        <v>0.48920138888888887</v>
      </c>
      <c r="F125" s="1" t="s">
        <v>13</v>
      </c>
      <c r="G125" s="1">
        <v>3.3</v>
      </c>
      <c r="H125" s="1">
        <v>3.4</v>
      </c>
      <c r="I125" s="1">
        <v>0</v>
      </c>
      <c r="J125" s="4">
        <v>41144</v>
      </c>
      <c r="K125" s="4">
        <v>41874</v>
      </c>
      <c r="L125">
        <f t="shared" si="1"/>
        <v>3.3499999999999996</v>
      </c>
    </row>
    <row r="126" spans="1:12" x14ac:dyDescent="0.15">
      <c r="A126" s="1">
        <v>125</v>
      </c>
      <c r="B126" s="4">
        <v>41143</v>
      </c>
      <c r="C126" s="1" t="s">
        <v>16</v>
      </c>
      <c r="D126" s="1" t="s">
        <v>26</v>
      </c>
      <c r="E126" s="1">
        <v>0.48920138888888887</v>
      </c>
      <c r="F126" s="1" t="s">
        <v>13</v>
      </c>
      <c r="G126" s="1">
        <v>3.3</v>
      </c>
      <c r="H126" s="1">
        <v>3.35</v>
      </c>
      <c r="I126" s="1">
        <v>0</v>
      </c>
      <c r="J126" s="4">
        <v>41144</v>
      </c>
      <c r="K126" s="4">
        <v>42605</v>
      </c>
      <c r="L126">
        <f t="shared" si="1"/>
        <v>3.3250000000000002</v>
      </c>
    </row>
    <row r="127" spans="1:12" x14ac:dyDescent="0.15">
      <c r="A127" s="1">
        <v>126</v>
      </c>
      <c r="B127" s="4">
        <v>41143</v>
      </c>
      <c r="C127" s="1" t="s">
        <v>11</v>
      </c>
      <c r="D127" s="1" t="s">
        <v>26</v>
      </c>
      <c r="E127" s="1">
        <v>0.48921296296296296</v>
      </c>
      <c r="F127" s="1" t="s">
        <v>13</v>
      </c>
      <c r="G127" s="1">
        <v>3.3</v>
      </c>
      <c r="H127" s="1">
        <v>3.4</v>
      </c>
      <c r="I127" s="1">
        <v>0</v>
      </c>
      <c r="J127" s="4">
        <v>41144</v>
      </c>
      <c r="K127" s="4">
        <v>42239</v>
      </c>
      <c r="L127">
        <f t="shared" si="1"/>
        <v>3.3499999999999996</v>
      </c>
    </row>
    <row r="128" spans="1:12" x14ac:dyDescent="0.15">
      <c r="A128" s="1">
        <v>127</v>
      </c>
      <c r="B128" s="4">
        <v>41143</v>
      </c>
      <c r="C128" s="1" t="s">
        <v>21</v>
      </c>
      <c r="D128" s="1" t="s">
        <v>26</v>
      </c>
      <c r="E128" s="1">
        <v>0.48920138888888887</v>
      </c>
      <c r="F128" s="1" t="s">
        <v>13</v>
      </c>
      <c r="G128" s="1">
        <v>3.3</v>
      </c>
      <c r="H128" s="1">
        <v>3.16</v>
      </c>
      <c r="I128" s="1">
        <v>0</v>
      </c>
      <c r="J128" s="4">
        <v>41144</v>
      </c>
      <c r="K128" s="4">
        <v>43700</v>
      </c>
      <c r="L128">
        <f t="shared" si="1"/>
        <v>3.23</v>
      </c>
    </row>
    <row r="129" spans="1:12" x14ac:dyDescent="0.15">
      <c r="A129" s="1">
        <v>128</v>
      </c>
      <c r="B129" s="4">
        <v>41143</v>
      </c>
      <c r="C129" s="1" t="s">
        <v>25</v>
      </c>
      <c r="D129" s="1" t="s">
        <v>26</v>
      </c>
      <c r="E129" s="1">
        <v>0.48920138888888887</v>
      </c>
      <c r="F129" s="1" t="s">
        <v>13</v>
      </c>
      <c r="G129" s="1">
        <v>3.3</v>
      </c>
      <c r="H129" s="1">
        <v>3.35</v>
      </c>
      <c r="I129" s="1">
        <v>0</v>
      </c>
      <c r="J129" s="4">
        <v>41144</v>
      </c>
      <c r="K129" s="4">
        <v>42970</v>
      </c>
      <c r="L129">
        <f t="shared" si="1"/>
        <v>3.3250000000000002</v>
      </c>
    </row>
    <row r="130" spans="1:12" x14ac:dyDescent="0.15">
      <c r="A130" s="1">
        <v>129</v>
      </c>
      <c r="B130" s="4">
        <v>41143</v>
      </c>
      <c r="C130" s="1" t="s">
        <v>14</v>
      </c>
      <c r="D130" s="1" t="s">
        <v>26</v>
      </c>
      <c r="E130" s="1">
        <v>0.48918981481481483</v>
      </c>
      <c r="F130" s="1" t="s">
        <v>13</v>
      </c>
      <c r="G130" s="1">
        <v>3.38</v>
      </c>
      <c r="H130" s="1">
        <v>3.48</v>
      </c>
      <c r="I130" s="1">
        <v>0</v>
      </c>
      <c r="J130" s="4">
        <v>41144</v>
      </c>
      <c r="K130" s="4">
        <v>41509</v>
      </c>
      <c r="L130">
        <f t="shared" si="1"/>
        <v>3.4299999999999997</v>
      </c>
    </row>
    <row r="131" spans="1:12" x14ac:dyDescent="0.15">
      <c r="A131" s="1">
        <v>130</v>
      </c>
      <c r="B131" s="4">
        <v>41143</v>
      </c>
      <c r="C131" s="1" t="s">
        <v>22</v>
      </c>
      <c r="D131" s="1" t="s">
        <v>26</v>
      </c>
      <c r="E131" s="1">
        <v>0.48917824074074073</v>
      </c>
      <c r="F131" s="1" t="s">
        <v>13</v>
      </c>
      <c r="G131" s="1">
        <v>3.5</v>
      </c>
      <c r="H131" s="1">
        <v>3.6</v>
      </c>
      <c r="I131" s="1">
        <v>0</v>
      </c>
      <c r="J131" s="4">
        <v>41144</v>
      </c>
      <c r="K131" s="4">
        <v>41328</v>
      </c>
      <c r="L131">
        <f t="shared" ref="L131:L194" si="2">AVERAGE(G131:H131)</f>
        <v>3.55</v>
      </c>
    </row>
    <row r="132" spans="1:12" x14ac:dyDescent="0.15">
      <c r="A132" s="1">
        <v>131</v>
      </c>
      <c r="B132" s="4">
        <v>41143</v>
      </c>
      <c r="C132" s="1" t="s">
        <v>19</v>
      </c>
      <c r="D132" s="1" t="s">
        <v>26</v>
      </c>
      <c r="E132" s="1">
        <v>0.48920138888888887</v>
      </c>
      <c r="F132" s="1" t="s">
        <v>13</v>
      </c>
      <c r="G132" s="1">
        <v>3.45</v>
      </c>
      <c r="H132" s="1">
        <v>3.55</v>
      </c>
      <c r="I132" s="1">
        <v>0</v>
      </c>
      <c r="J132" s="4">
        <v>41144</v>
      </c>
      <c r="K132" s="4">
        <v>41417</v>
      </c>
      <c r="L132">
        <f t="shared" si="2"/>
        <v>3.5</v>
      </c>
    </row>
    <row r="133" spans="1:12" x14ac:dyDescent="0.15">
      <c r="A133" s="1">
        <v>132</v>
      </c>
      <c r="B133" s="4">
        <v>41143</v>
      </c>
      <c r="C133" s="1" t="s">
        <v>20</v>
      </c>
      <c r="D133" s="1" t="s">
        <v>26</v>
      </c>
      <c r="E133" s="1">
        <v>0.48918981481481483</v>
      </c>
      <c r="F133" s="1" t="s">
        <v>13</v>
      </c>
      <c r="G133" s="1">
        <v>3.3</v>
      </c>
      <c r="H133" s="1">
        <v>3.16</v>
      </c>
      <c r="I133" s="1">
        <v>0</v>
      </c>
      <c r="J133" s="4">
        <v>41144</v>
      </c>
      <c r="K133" s="4">
        <v>44796</v>
      </c>
      <c r="L133">
        <f t="shared" si="2"/>
        <v>3.23</v>
      </c>
    </row>
    <row r="134" spans="1:12" x14ac:dyDescent="0.15">
      <c r="A134" s="1">
        <v>133</v>
      </c>
      <c r="B134" s="4">
        <v>41143</v>
      </c>
      <c r="C134" s="1" t="s">
        <v>25</v>
      </c>
      <c r="D134" s="1" t="s">
        <v>15</v>
      </c>
      <c r="E134" s="1">
        <v>0.48555555555555557</v>
      </c>
      <c r="F134" s="1" t="s">
        <v>13</v>
      </c>
      <c r="G134" s="1">
        <v>3.24</v>
      </c>
      <c r="H134" s="1">
        <v>3.3</v>
      </c>
      <c r="I134" s="1">
        <v>0</v>
      </c>
      <c r="J134" s="4">
        <v>41144</v>
      </c>
      <c r="K134" s="4">
        <v>42970</v>
      </c>
      <c r="L134">
        <f t="shared" si="2"/>
        <v>3.27</v>
      </c>
    </row>
    <row r="135" spans="1:12" x14ac:dyDescent="0.15">
      <c r="A135" s="1">
        <v>134</v>
      </c>
      <c r="B135" s="4">
        <v>41143</v>
      </c>
      <c r="C135" s="1" t="s">
        <v>18</v>
      </c>
      <c r="D135" s="1" t="s">
        <v>12</v>
      </c>
      <c r="E135" s="1">
        <v>0.47917824074074072</v>
      </c>
      <c r="F135" s="1" t="s">
        <v>13</v>
      </c>
      <c r="G135" s="1">
        <v>3.25</v>
      </c>
      <c r="H135" s="1">
        <v>3.35</v>
      </c>
      <c r="I135" s="1">
        <v>0</v>
      </c>
      <c r="J135" s="4">
        <v>41144</v>
      </c>
      <c r="K135" s="4">
        <v>41874</v>
      </c>
      <c r="L135">
        <f t="shared" si="2"/>
        <v>3.3</v>
      </c>
    </row>
    <row r="136" spans="1:12" x14ac:dyDescent="0.15">
      <c r="A136" s="1">
        <v>135</v>
      </c>
      <c r="B136" s="4">
        <v>41143</v>
      </c>
      <c r="C136" s="1" t="s">
        <v>11</v>
      </c>
      <c r="D136" s="1" t="s">
        <v>12</v>
      </c>
      <c r="E136" s="1">
        <v>0.47917824074074072</v>
      </c>
      <c r="F136" s="1" t="s">
        <v>13</v>
      </c>
      <c r="G136" s="1">
        <v>3.2</v>
      </c>
      <c r="H136" s="1">
        <v>3.3</v>
      </c>
      <c r="I136" s="1">
        <v>0</v>
      </c>
      <c r="J136" s="4">
        <v>41144</v>
      </c>
      <c r="K136" s="4">
        <v>42239</v>
      </c>
      <c r="L136">
        <f t="shared" si="2"/>
        <v>3.25</v>
      </c>
    </row>
    <row r="137" spans="1:12" x14ac:dyDescent="0.15">
      <c r="A137" s="1">
        <v>136</v>
      </c>
      <c r="B137" s="4">
        <v>41143</v>
      </c>
      <c r="C137" s="1" t="s">
        <v>19</v>
      </c>
      <c r="D137" s="1" t="s">
        <v>12</v>
      </c>
      <c r="E137" s="1">
        <v>0.47917824074074072</v>
      </c>
      <c r="F137" s="1" t="s">
        <v>13</v>
      </c>
      <c r="G137" s="1">
        <v>3.45</v>
      </c>
      <c r="H137" s="1">
        <v>3.55</v>
      </c>
      <c r="I137" s="1">
        <v>0</v>
      </c>
      <c r="J137" s="4">
        <v>41144</v>
      </c>
      <c r="K137" s="4">
        <v>41417</v>
      </c>
      <c r="L137">
        <f t="shared" si="2"/>
        <v>3.5</v>
      </c>
    </row>
    <row r="138" spans="1:12" x14ac:dyDescent="0.15">
      <c r="A138" s="1">
        <v>137</v>
      </c>
      <c r="B138" s="4">
        <v>41143</v>
      </c>
      <c r="C138" s="1" t="s">
        <v>21</v>
      </c>
      <c r="D138" s="1" t="s">
        <v>12</v>
      </c>
      <c r="E138" s="1">
        <v>0.47917824074074072</v>
      </c>
      <c r="F138" s="1" t="s">
        <v>13</v>
      </c>
      <c r="G138" s="1">
        <v>3.2</v>
      </c>
      <c r="H138" s="1">
        <v>3.6</v>
      </c>
      <c r="I138" s="1">
        <v>0</v>
      </c>
      <c r="J138" s="4">
        <v>41144</v>
      </c>
      <c r="K138" s="4">
        <v>43700</v>
      </c>
      <c r="L138">
        <f t="shared" si="2"/>
        <v>3.4000000000000004</v>
      </c>
    </row>
    <row r="139" spans="1:12" x14ac:dyDescent="0.15">
      <c r="A139" s="1">
        <v>138</v>
      </c>
      <c r="B139" s="4">
        <v>41143</v>
      </c>
      <c r="C139" s="1" t="s">
        <v>17</v>
      </c>
      <c r="D139" s="1" t="s">
        <v>12</v>
      </c>
      <c r="E139" s="1">
        <v>0.47917824074074072</v>
      </c>
      <c r="F139" s="1" t="s">
        <v>13</v>
      </c>
      <c r="G139" s="1">
        <v>3.2</v>
      </c>
      <c r="H139" s="1">
        <v>3.6</v>
      </c>
      <c r="I139" s="1">
        <v>0</v>
      </c>
      <c r="J139" s="4">
        <v>41144</v>
      </c>
      <c r="K139" s="4">
        <v>44431</v>
      </c>
      <c r="L139">
        <f t="shared" si="2"/>
        <v>3.4000000000000004</v>
      </c>
    </row>
    <row r="140" spans="1:12" x14ac:dyDescent="0.15">
      <c r="A140" s="1">
        <v>139</v>
      </c>
      <c r="B140" s="4">
        <v>41143</v>
      </c>
      <c r="C140" s="1" t="s">
        <v>22</v>
      </c>
      <c r="D140" s="1" t="s">
        <v>12</v>
      </c>
      <c r="E140" s="1">
        <v>0.47916666666666669</v>
      </c>
      <c r="F140" s="1" t="s">
        <v>13</v>
      </c>
      <c r="G140" s="1">
        <v>3.55</v>
      </c>
      <c r="H140" s="1">
        <v>3.65</v>
      </c>
      <c r="I140" s="1">
        <v>0</v>
      </c>
      <c r="J140" s="4">
        <v>41144</v>
      </c>
      <c r="K140" s="4">
        <v>41328</v>
      </c>
      <c r="L140">
        <f t="shared" si="2"/>
        <v>3.5999999999999996</v>
      </c>
    </row>
    <row r="141" spans="1:12" x14ac:dyDescent="0.15">
      <c r="A141" s="1">
        <v>140</v>
      </c>
      <c r="B141" s="4">
        <v>41143</v>
      </c>
      <c r="C141" s="1" t="s">
        <v>23</v>
      </c>
      <c r="D141" s="1" t="s">
        <v>12</v>
      </c>
      <c r="E141" s="1">
        <v>0.47916666666666669</v>
      </c>
      <c r="F141" s="1" t="s">
        <v>13</v>
      </c>
      <c r="G141" s="1">
        <v>3.22</v>
      </c>
      <c r="H141" s="1">
        <v>3.32</v>
      </c>
      <c r="I141" s="1">
        <v>0</v>
      </c>
      <c r="J141" s="4">
        <v>41144</v>
      </c>
      <c r="K141" s="4">
        <v>43335</v>
      </c>
      <c r="L141">
        <f t="shared" si="2"/>
        <v>3.27</v>
      </c>
    </row>
    <row r="142" spans="1:12" x14ac:dyDescent="0.15">
      <c r="A142" s="1">
        <v>141</v>
      </c>
      <c r="B142" s="4">
        <v>41143</v>
      </c>
      <c r="C142" s="1" t="s">
        <v>16</v>
      </c>
      <c r="D142" s="1" t="s">
        <v>12</v>
      </c>
      <c r="E142" s="1">
        <v>0.47917824074074072</v>
      </c>
      <c r="F142" s="1" t="s">
        <v>13</v>
      </c>
      <c r="G142" s="1">
        <v>3.2</v>
      </c>
      <c r="H142" s="1">
        <v>3.3</v>
      </c>
      <c r="I142" s="1">
        <v>0</v>
      </c>
      <c r="J142" s="4">
        <v>41144</v>
      </c>
      <c r="K142" s="4">
        <v>42605</v>
      </c>
      <c r="L142">
        <f t="shared" si="2"/>
        <v>3.25</v>
      </c>
    </row>
    <row r="143" spans="1:12" x14ac:dyDescent="0.15">
      <c r="A143" s="1">
        <v>142</v>
      </c>
      <c r="B143" s="4">
        <v>41143</v>
      </c>
      <c r="C143" s="1" t="s">
        <v>14</v>
      </c>
      <c r="D143" s="1" t="s">
        <v>12</v>
      </c>
      <c r="E143" s="1">
        <v>0.47916666666666669</v>
      </c>
      <c r="F143" s="1" t="s">
        <v>13</v>
      </c>
      <c r="G143" s="1">
        <v>3.35</v>
      </c>
      <c r="H143" s="1">
        <v>3.45</v>
      </c>
      <c r="I143" s="1">
        <v>0</v>
      </c>
      <c r="J143" s="4">
        <v>41144</v>
      </c>
      <c r="K143" s="4">
        <v>41509</v>
      </c>
      <c r="L143">
        <f t="shared" si="2"/>
        <v>3.4000000000000004</v>
      </c>
    </row>
    <row r="144" spans="1:12" x14ac:dyDescent="0.15">
      <c r="A144" s="1">
        <v>143</v>
      </c>
      <c r="B144" s="4">
        <v>41143</v>
      </c>
      <c r="C144" s="1" t="s">
        <v>21</v>
      </c>
      <c r="D144" s="1" t="s">
        <v>15</v>
      </c>
      <c r="E144" s="1">
        <v>0.48554398148148148</v>
      </c>
      <c r="F144" s="1" t="s">
        <v>13</v>
      </c>
      <c r="G144" s="1">
        <v>3.29</v>
      </c>
      <c r="H144" s="1">
        <v>3.35</v>
      </c>
      <c r="I144" s="1">
        <v>0</v>
      </c>
      <c r="J144" s="4">
        <v>41144</v>
      </c>
      <c r="K144" s="4">
        <v>43700</v>
      </c>
      <c r="L144">
        <f t="shared" si="2"/>
        <v>3.3200000000000003</v>
      </c>
    </row>
    <row r="145" spans="1:12" x14ac:dyDescent="0.15">
      <c r="A145" s="1">
        <v>144</v>
      </c>
      <c r="B145" s="4">
        <v>41143</v>
      </c>
      <c r="C145" s="1" t="s">
        <v>18</v>
      </c>
      <c r="D145" s="1" t="s">
        <v>15</v>
      </c>
      <c r="E145" s="1">
        <v>0.48554398148148148</v>
      </c>
      <c r="F145" s="1" t="s">
        <v>13</v>
      </c>
      <c r="G145" s="1">
        <v>3.31</v>
      </c>
      <c r="H145" s="1">
        <v>3.37</v>
      </c>
      <c r="I145" s="1">
        <v>0</v>
      </c>
      <c r="J145" s="4">
        <v>41144</v>
      </c>
      <c r="K145" s="4">
        <v>41874</v>
      </c>
      <c r="L145">
        <f t="shared" si="2"/>
        <v>3.34</v>
      </c>
    </row>
    <row r="146" spans="1:12" x14ac:dyDescent="0.15">
      <c r="A146" s="1">
        <v>145</v>
      </c>
      <c r="B146" s="4">
        <v>41143</v>
      </c>
      <c r="C146" s="1" t="s">
        <v>20</v>
      </c>
      <c r="D146" s="1" t="s">
        <v>15</v>
      </c>
      <c r="E146" s="1">
        <v>0.48555555555555557</v>
      </c>
      <c r="F146" s="1" t="s">
        <v>13</v>
      </c>
      <c r="G146" s="1">
        <v>3.3</v>
      </c>
      <c r="H146" s="1">
        <v>3.36</v>
      </c>
      <c r="I146" s="1">
        <v>0</v>
      </c>
      <c r="J146" s="4">
        <v>41144</v>
      </c>
      <c r="K146" s="4">
        <v>44796</v>
      </c>
      <c r="L146">
        <f t="shared" si="2"/>
        <v>3.33</v>
      </c>
    </row>
    <row r="147" spans="1:12" x14ac:dyDescent="0.15">
      <c r="A147" s="1">
        <v>146</v>
      </c>
      <c r="B147" s="4">
        <v>41143</v>
      </c>
      <c r="C147" s="1" t="s">
        <v>19</v>
      </c>
      <c r="D147" s="1" t="s">
        <v>15</v>
      </c>
      <c r="E147" s="1">
        <v>0.48554398148148148</v>
      </c>
      <c r="F147" s="1" t="s">
        <v>13</v>
      </c>
      <c r="G147" s="1">
        <v>3.44</v>
      </c>
      <c r="H147" s="1">
        <v>3.5</v>
      </c>
      <c r="I147" s="1">
        <v>0</v>
      </c>
      <c r="J147" s="4">
        <v>41144</v>
      </c>
      <c r="K147" s="4">
        <v>41417</v>
      </c>
      <c r="L147">
        <f t="shared" si="2"/>
        <v>3.4699999999999998</v>
      </c>
    </row>
    <row r="148" spans="1:12" x14ac:dyDescent="0.15">
      <c r="A148" s="1">
        <v>147</v>
      </c>
      <c r="B148" s="4">
        <v>41143</v>
      </c>
      <c r="C148" s="1" t="s">
        <v>14</v>
      </c>
      <c r="D148" s="1" t="s">
        <v>15</v>
      </c>
      <c r="E148" s="1">
        <v>0.48554398148148148</v>
      </c>
      <c r="F148" s="1" t="s">
        <v>13</v>
      </c>
      <c r="G148" s="1">
        <v>3.38</v>
      </c>
      <c r="H148" s="1">
        <v>3.44</v>
      </c>
      <c r="I148" s="1">
        <v>0</v>
      </c>
      <c r="J148" s="4">
        <v>41144</v>
      </c>
      <c r="K148" s="4">
        <v>41509</v>
      </c>
      <c r="L148">
        <f t="shared" si="2"/>
        <v>3.41</v>
      </c>
    </row>
    <row r="149" spans="1:12" x14ac:dyDescent="0.15">
      <c r="A149" s="1">
        <v>148</v>
      </c>
      <c r="B149" s="4">
        <v>41143</v>
      </c>
      <c r="C149" s="1" t="s">
        <v>24</v>
      </c>
      <c r="D149" s="1" t="s">
        <v>12</v>
      </c>
      <c r="E149" s="1">
        <v>0.47917824074074072</v>
      </c>
      <c r="F149" s="1" t="s">
        <v>13</v>
      </c>
      <c r="G149" s="1">
        <v>3.2</v>
      </c>
      <c r="H149" s="1">
        <v>3.6</v>
      </c>
      <c r="I149" s="1">
        <v>0</v>
      </c>
      <c r="J149" s="4">
        <v>41144</v>
      </c>
      <c r="K149" s="4">
        <v>44066</v>
      </c>
      <c r="L149">
        <f t="shared" si="2"/>
        <v>3.4000000000000004</v>
      </c>
    </row>
    <row r="150" spans="1:12" x14ac:dyDescent="0.15">
      <c r="A150" s="1">
        <v>149</v>
      </c>
      <c r="B150" s="4">
        <v>41143</v>
      </c>
      <c r="C150" s="1" t="s">
        <v>20</v>
      </c>
      <c r="D150" s="1" t="s">
        <v>12</v>
      </c>
      <c r="E150" s="1">
        <v>0.47917824074074072</v>
      </c>
      <c r="F150" s="1" t="s">
        <v>13</v>
      </c>
      <c r="G150" s="1">
        <v>3.22</v>
      </c>
      <c r="H150" s="1">
        <v>3.62</v>
      </c>
      <c r="I150" s="1">
        <v>0</v>
      </c>
      <c r="J150" s="4">
        <v>41144</v>
      </c>
      <c r="K150" s="4">
        <v>44796</v>
      </c>
      <c r="L150">
        <f t="shared" si="2"/>
        <v>3.42</v>
      </c>
    </row>
    <row r="151" spans="1:12" x14ac:dyDescent="0.15">
      <c r="A151" s="1">
        <v>150</v>
      </c>
      <c r="B151" s="4">
        <v>41143</v>
      </c>
      <c r="C151" s="1" t="s">
        <v>22</v>
      </c>
      <c r="D151" s="1" t="s">
        <v>15</v>
      </c>
      <c r="E151" s="1">
        <v>0.48553240740740744</v>
      </c>
      <c r="F151" s="1" t="s">
        <v>13</v>
      </c>
      <c r="G151" s="1">
        <v>3.54</v>
      </c>
      <c r="H151" s="1">
        <v>3.6</v>
      </c>
      <c r="I151" s="1">
        <v>0</v>
      </c>
      <c r="J151" s="4">
        <v>41144</v>
      </c>
      <c r="K151" s="4">
        <v>41328</v>
      </c>
      <c r="L151">
        <f t="shared" si="2"/>
        <v>3.5700000000000003</v>
      </c>
    </row>
    <row r="152" spans="1:12" x14ac:dyDescent="0.15">
      <c r="A152" s="1">
        <v>151</v>
      </c>
      <c r="B152" s="4">
        <v>41143</v>
      </c>
      <c r="C152" s="1" t="s">
        <v>25</v>
      </c>
      <c r="D152" s="1" t="s">
        <v>12</v>
      </c>
      <c r="E152" s="1">
        <v>0.47917824074074072</v>
      </c>
      <c r="F152" s="1" t="s">
        <v>13</v>
      </c>
      <c r="G152" s="1">
        <v>3.24</v>
      </c>
      <c r="H152" s="1">
        <v>3.34</v>
      </c>
      <c r="I152" s="1">
        <v>0</v>
      </c>
      <c r="J152" s="4">
        <v>41144</v>
      </c>
      <c r="K152" s="4">
        <v>42970</v>
      </c>
      <c r="L152">
        <f t="shared" si="2"/>
        <v>3.29</v>
      </c>
    </row>
    <row r="153" spans="1:12" x14ac:dyDescent="0.15">
      <c r="A153" s="1">
        <v>152</v>
      </c>
      <c r="B153" s="4">
        <v>41143</v>
      </c>
      <c r="C153" s="1" t="s">
        <v>20</v>
      </c>
      <c r="D153" s="1" t="s">
        <v>15</v>
      </c>
      <c r="E153" s="1">
        <v>0.67633101851851851</v>
      </c>
      <c r="F153" s="1" t="s">
        <v>13</v>
      </c>
      <c r="G153" s="1">
        <v>3.38</v>
      </c>
      <c r="H153" s="1">
        <v>3.44</v>
      </c>
      <c r="I153" s="1">
        <v>0</v>
      </c>
      <c r="J153" s="4">
        <v>41144</v>
      </c>
      <c r="K153" s="4">
        <v>44796</v>
      </c>
      <c r="L153">
        <f t="shared" si="2"/>
        <v>3.41</v>
      </c>
    </row>
    <row r="154" spans="1:12" x14ac:dyDescent="0.15">
      <c r="A154" s="1">
        <v>153</v>
      </c>
      <c r="B154" s="4">
        <v>41143</v>
      </c>
      <c r="C154" s="1" t="s">
        <v>11</v>
      </c>
      <c r="D154" s="1" t="s">
        <v>15</v>
      </c>
      <c r="E154" s="1">
        <v>0.67633101851851851</v>
      </c>
      <c r="F154" s="1" t="s">
        <v>13</v>
      </c>
      <c r="G154" s="1">
        <v>3.3</v>
      </c>
      <c r="H154" s="1">
        <v>3.36</v>
      </c>
      <c r="I154" s="1">
        <v>0</v>
      </c>
      <c r="J154" s="4">
        <v>41144</v>
      </c>
      <c r="K154" s="4">
        <v>42239</v>
      </c>
      <c r="L154">
        <f t="shared" si="2"/>
        <v>3.33</v>
      </c>
    </row>
    <row r="155" spans="1:12" x14ac:dyDescent="0.15">
      <c r="A155" s="1">
        <v>154</v>
      </c>
      <c r="B155" s="4">
        <v>41143</v>
      </c>
      <c r="C155" s="1" t="s">
        <v>16</v>
      </c>
      <c r="D155" s="1" t="s">
        <v>15</v>
      </c>
      <c r="E155" s="1">
        <v>0.67633101851851851</v>
      </c>
      <c r="F155" s="1" t="s">
        <v>13</v>
      </c>
      <c r="G155" s="1">
        <v>3.28</v>
      </c>
      <c r="H155" s="1">
        <v>3.34</v>
      </c>
      <c r="I155" s="1">
        <v>0</v>
      </c>
      <c r="J155" s="4">
        <v>41144</v>
      </c>
      <c r="K155" s="4">
        <v>42605</v>
      </c>
      <c r="L155">
        <f t="shared" si="2"/>
        <v>3.3099999999999996</v>
      </c>
    </row>
    <row r="156" spans="1:12" x14ac:dyDescent="0.15">
      <c r="A156" s="1">
        <v>155</v>
      </c>
      <c r="B156" s="4">
        <v>41143</v>
      </c>
      <c r="C156" s="1" t="s">
        <v>25</v>
      </c>
      <c r="D156" s="1" t="s">
        <v>15</v>
      </c>
      <c r="E156" s="1">
        <v>0.67633101851851851</v>
      </c>
      <c r="F156" s="1" t="s">
        <v>13</v>
      </c>
      <c r="G156" s="1">
        <v>3.3</v>
      </c>
      <c r="H156" s="1">
        <v>3.36</v>
      </c>
      <c r="I156" s="1">
        <v>0</v>
      </c>
      <c r="J156" s="4">
        <v>41144</v>
      </c>
      <c r="K156" s="4">
        <v>42970</v>
      </c>
      <c r="L156">
        <f t="shared" si="2"/>
        <v>3.33</v>
      </c>
    </row>
    <row r="157" spans="1:12" x14ac:dyDescent="0.15">
      <c r="A157" s="1">
        <v>156</v>
      </c>
      <c r="B157" s="4">
        <v>41143</v>
      </c>
      <c r="C157" s="1" t="s">
        <v>22</v>
      </c>
      <c r="D157" s="1" t="s">
        <v>15</v>
      </c>
      <c r="E157" s="1">
        <v>0.67631944444444436</v>
      </c>
      <c r="F157" s="1" t="s">
        <v>13</v>
      </c>
      <c r="G157" s="1">
        <v>3.56</v>
      </c>
      <c r="H157" s="1">
        <v>3.62</v>
      </c>
      <c r="I157" s="1">
        <v>0</v>
      </c>
      <c r="J157" s="4">
        <v>41144</v>
      </c>
      <c r="K157" s="4">
        <v>41328</v>
      </c>
      <c r="L157">
        <f t="shared" si="2"/>
        <v>3.59</v>
      </c>
    </row>
    <row r="158" spans="1:12" x14ac:dyDescent="0.15">
      <c r="A158" s="1">
        <v>157</v>
      </c>
      <c r="B158" s="4">
        <v>41143</v>
      </c>
      <c r="C158" s="1" t="s">
        <v>18</v>
      </c>
      <c r="D158" s="1" t="s">
        <v>15</v>
      </c>
      <c r="E158" s="1">
        <v>0.67631944444444436</v>
      </c>
      <c r="F158" s="1" t="s">
        <v>13</v>
      </c>
      <c r="G158" s="1">
        <v>3.34</v>
      </c>
      <c r="H158" s="1">
        <v>3.4</v>
      </c>
      <c r="I158" s="1">
        <v>0</v>
      </c>
      <c r="J158" s="4">
        <v>41144</v>
      </c>
      <c r="K158" s="4">
        <v>41874</v>
      </c>
      <c r="L158">
        <f t="shared" si="2"/>
        <v>3.37</v>
      </c>
    </row>
    <row r="159" spans="1:12" x14ac:dyDescent="0.15">
      <c r="A159" s="1">
        <v>158</v>
      </c>
      <c r="B159" s="4">
        <v>41143</v>
      </c>
      <c r="C159" s="1" t="s">
        <v>14</v>
      </c>
      <c r="D159" s="1" t="s">
        <v>15</v>
      </c>
      <c r="E159" s="1">
        <v>0.67631944444444436</v>
      </c>
      <c r="F159" s="1" t="s">
        <v>13</v>
      </c>
      <c r="G159" s="1">
        <v>3.42</v>
      </c>
      <c r="H159" s="1">
        <v>3.48</v>
      </c>
      <c r="I159" s="1">
        <v>0</v>
      </c>
      <c r="J159" s="4">
        <v>41144</v>
      </c>
      <c r="K159" s="4">
        <v>41509</v>
      </c>
      <c r="L159">
        <f t="shared" si="2"/>
        <v>3.45</v>
      </c>
    </row>
    <row r="160" spans="1:12" x14ac:dyDescent="0.15">
      <c r="A160" s="1">
        <v>159</v>
      </c>
      <c r="B160" s="4">
        <v>41143</v>
      </c>
      <c r="C160" s="1" t="s">
        <v>19</v>
      </c>
      <c r="D160" s="1" t="s">
        <v>15</v>
      </c>
      <c r="E160" s="1">
        <v>0.67631944444444436</v>
      </c>
      <c r="F160" s="1" t="s">
        <v>13</v>
      </c>
      <c r="G160" s="1">
        <v>3.48</v>
      </c>
      <c r="H160" s="1">
        <v>3.54</v>
      </c>
      <c r="I160" s="1">
        <v>0</v>
      </c>
      <c r="J160" s="4">
        <v>41144</v>
      </c>
      <c r="K160" s="4">
        <v>41417</v>
      </c>
      <c r="L160">
        <f t="shared" si="2"/>
        <v>3.51</v>
      </c>
    </row>
    <row r="161" spans="1:12" x14ac:dyDescent="0.15">
      <c r="A161" s="1">
        <v>160</v>
      </c>
      <c r="B161" s="4">
        <v>41143</v>
      </c>
      <c r="C161" s="1" t="s">
        <v>21</v>
      </c>
      <c r="D161" s="1" t="s">
        <v>15</v>
      </c>
      <c r="E161" s="1">
        <v>0.67631944444444436</v>
      </c>
      <c r="F161" s="1" t="s">
        <v>13</v>
      </c>
      <c r="G161" s="1">
        <v>3.33</v>
      </c>
      <c r="H161" s="1">
        <v>3.39</v>
      </c>
      <c r="I161" s="1">
        <v>0</v>
      </c>
      <c r="J161" s="4">
        <v>41144</v>
      </c>
      <c r="K161" s="4">
        <v>43700</v>
      </c>
      <c r="L161">
        <f t="shared" si="2"/>
        <v>3.3600000000000003</v>
      </c>
    </row>
    <row r="162" spans="1:12" x14ac:dyDescent="0.15">
      <c r="A162" s="1">
        <v>161</v>
      </c>
      <c r="B162" s="4">
        <v>41143</v>
      </c>
      <c r="C162" s="1" t="s">
        <v>25</v>
      </c>
      <c r="D162" s="1" t="s">
        <v>26</v>
      </c>
      <c r="E162" s="1">
        <v>0.67672453703703705</v>
      </c>
      <c r="F162" s="1" t="s">
        <v>13</v>
      </c>
      <c r="G162" s="1">
        <v>3.3</v>
      </c>
      <c r="H162" s="1">
        <v>3.4</v>
      </c>
      <c r="I162" s="1">
        <v>0</v>
      </c>
      <c r="J162" s="4">
        <v>41144</v>
      </c>
      <c r="K162" s="4">
        <v>42970</v>
      </c>
      <c r="L162">
        <f t="shared" si="2"/>
        <v>3.3499999999999996</v>
      </c>
    </row>
    <row r="163" spans="1:12" x14ac:dyDescent="0.15">
      <c r="A163" s="1">
        <v>162</v>
      </c>
      <c r="B163" s="4">
        <v>41143</v>
      </c>
      <c r="C163" s="1" t="s">
        <v>19</v>
      </c>
      <c r="D163" s="1" t="s">
        <v>26</v>
      </c>
      <c r="E163" s="1">
        <v>0.67671296296296291</v>
      </c>
      <c r="F163" s="1" t="s">
        <v>13</v>
      </c>
      <c r="G163" s="1">
        <v>3.45</v>
      </c>
      <c r="H163" s="1">
        <v>3.55</v>
      </c>
      <c r="I163" s="1">
        <v>0</v>
      </c>
      <c r="J163" s="4">
        <v>41144</v>
      </c>
      <c r="K163" s="4">
        <v>41417</v>
      </c>
      <c r="L163">
        <f t="shared" si="2"/>
        <v>3.5</v>
      </c>
    </row>
    <row r="164" spans="1:12" x14ac:dyDescent="0.15">
      <c r="A164" s="1">
        <v>163</v>
      </c>
      <c r="B164" s="4">
        <v>41143</v>
      </c>
      <c r="C164" s="1" t="s">
        <v>11</v>
      </c>
      <c r="D164" s="1" t="s">
        <v>26</v>
      </c>
      <c r="E164" s="1">
        <v>0.67672453703703705</v>
      </c>
      <c r="F164" s="1" t="s">
        <v>13</v>
      </c>
      <c r="G164" s="1">
        <v>3.3</v>
      </c>
      <c r="H164" s="1">
        <v>3.4</v>
      </c>
      <c r="I164" s="1">
        <v>0</v>
      </c>
      <c r="J164" s="4">
        <v>41144</v>
      </c>
      <c r="K164" s="4">
        <v>42239</v>
      </c>
      <c r="L164">
        <f t="shared" si="2"/>
        <v>3.3499999999999996</v>
      </c>
    </row>
    <row r="165" spans="1:12" x14ac:dyDescent="0.15">
      <c r="A165" s="1">
        <v>164</v>
      </c>
      <c r="B165" s="4">
        <v>41143</v>
      </c>
      <c r="C165" s="1" t="s">
        <v>16</v>
      </c>
      <c r="D165" s="1" t="s">
        <v>26</v>
      </c>
      <c r="E165" s="1">
        <v>0.67672453703703705</v>
      </c>
      <c r="F165" s="1" t="s">
        <v>13</v>
      </c>
      <c r="G165" s="1">
        <v>3.3</v>
      </c>
      <c r="H165" s="1">
        <v>3.4</v>
      </c>
      <c r="I165" s="1">
        <v>0</v>
      </c>
      <c r="J165" s="4">
        <v>41144</v>
      </c>
      <c r="K165" s="4">
        <v>42605</v>
      </c>
      <c r="L165">
        <f t="shared" si="2"/>
        <v>3.3499999999999996</v>
      </c>
    </row>
    <row r="166" spans="1:12" x14ac:dyDescent="0.15">
      <c r="A166" s="1">
        <v>165</v>
      </c>
      <c r="B166" s="4">
        <v>41143</v>
      </c>
      <c r="C166" s="1" t="s">
        <v>21</v>
      </c>
      <c r="D166" s="1" t="s">
        <v>26</v>
      </c>
      <c r="E166" s="1">
        <v>0.67668981481481483</v>
      </c>
      <c r="F166" s="1" t="s">
        <v>13</v>
      </c>
      <c r="G166" s="1">
        <v>3.3</v>
      </c>
      <c r="H166" s="1">
        <v>3.4</v>
      </c>
      <c r="I166" s="1">
        <v>0</v>
      </c>
      <c r="J166" s="4">
        <v>41144</v>
      </c>
      <c r="K166" s="4">
        <v>43700</v>
      </c>
      <c r="L166">
        <f t="shared" si="2"/>
        <v>3.3499999999999996</v>
      </c>
    </row>
    <row r="167" spans="1:12" x14ac:dyDescent="0.15">
      <c r="A167" s="1">
        <v>166</v>
      </c>
      <c r="B167" s="4">
        <v>41143</v>
      </c>
      <c r="C167" s="1" t="s">
        <v>14</v>
      </c>
      <c r="D167" s="1" t="s">
        <v>26</v>
      </c>
      <c r="E167" s="1">
        <v>0.67668981481481483</v>
      </c>
      <c r="F167" s="1" t="s">
        <v>13</v>
      </c>
      <c r="G167" s="1">
        <v>3.38</v>
      </c>
      <c r="H167" s="1">
        <v>3.48</v>
      </c>
      <c r="I167" s="1">
        <v>0</v>
      </c>
      <c r="J167" s="4">
        <v>41144</v>
      </c>
      <c r="K167" s="4">
        <v>41509</v>
      </c>
      <c r="L167">
        <f t="shared" si="2"/>
        <v>3.4299999999999997</v>
      </c>
    </row>
    <row r="168" spans="1:12" x14ac:dyDescent="0.15">
      <c r="A168" s="1">
        <v>167</v>
      </c>
      <c r="B168" s="4">
        <v>41143</v>
      </c>
      <c r="C168" s="1" t="s">
        <v>22</v>
      </c>
      <c r="D168" s="1" t="s">
        <v>26</v>
      </c>
      <c r="E168" s="1">
        <v>0.67666666666666664</v>
      </c>
      <c r="F168" s="1" t="s">
        <v>13</v>
      </c>
      <c r="G168" s="1">
        <v>3.5</v>
      </c>
      <c r="H168" s="1">
        <v>3.6</v>
      </c>
      <c r="I168" s="1">
        <v>0</v>
      </c>
      <c r="J168" s="4">
        <v>41144</v>
      </c>
      <c r="K168" s="4">
        <v>41328</v>
      </c>
      <c r="L168">
        <f t="shared" si="2"/>
        <v>3.55</v>
      </c>
    </row>
    <row r="169" spans="1:12" x14ac:dyDescent="0.15">
      <c r="A169" s="1">
        <v>168</v>
      </c>
      <c r="B169" s="4">
        <v>41143</v>
      </c>
      <c r="C169" s="1" t="s">
        <v>18</v>
      </c>
      <c r="D169" s="1" t="s">
        <v>26</v>
      </c>
      <c r="E169" s="1">
        <v>0.67668981481481483</v>
      </c>
      <c r="F169" s="1" t="s">
        <v>13</v>
      </c>
      <c r="G169" s="1">
        <v>3.3</v>
      </c>
      <c r="H169" s="1">
        <v>3.4</v>
      </c>
      <c r="I169" s="1">
        <v>0</v>
      </c>
      <c r="J169" s="4">
        <v>41144</v>
      </c>
      <c r="K169" s="4">
        <v>41874</v>
      </c>
      <c r="L169">
        <f t="shared" si="2"/>
        <v>3.3499999999999996</v>
      </c>
    </row>
    <row r="170" spans="1:12" x14ac:dyDescent="0.15">
      <c r="A170" s="1">
        <v>169</v>
      </c>
      <c r="B170" s="4">
        <v>41143</v>
      </c>
      <c r="C170" s="1" t="s">
        <v>20</v>
      </c>
      <c r="D170" s="1" t="s">
        <v>26</v>
      </c>
      <c r="E170" s="1">
        <v>0.67668981481481483</v>
      </c>
      <c r="F170" s="1" t="s">
        <v>13</v>
      </c>
      <c r="G170" s="1">
        <v>3.3</v>
      </c>
      <c r="H170" s="1">
        <v>3.4</v>
      </c>
      <c r="I170" s="1">
        <v>0</v>
      </c>
      <c r="J170" s="4">
        <v>41144</v>
      </c>
      <c r="K170" s="4">
        <v>44796</v>
      </c>
      <c r="L170">
        <f t="shared" si="2"/>
        <v>3.3499999999999996</v>
      </c>
    </row>
    <row r="171" spans="1:12" x14ac:dyDescent="0.15">
      <c r="A171" s="1">
        <v>170</v>
      </c>
      <c r="B171" s="4">
        <v>41143</v>
      </c>
      <c r="C171" s="1" t="s">
        <v>18</v>
      </c>
      <c r="D171" s="1" t="s">
        <v>27</v>
      </c>
      <c r="E171" s="1">
        <v>0.67590277777777785</v>
      </c>
      <c r="F171" s="1" t="s">
        <v>13</v>
      </c>
      <c r="G171" s="1">
        <v>3.33</v>
      </c>
      <c r="H171" s="1">
        <v>3.43</v>
      </c>
      <c r="I171" s="1">
        <v>0</v>
      </c>
      <c r="J171" s="4">
        <v>41144</v>
      </c>
      <c r="K171" s="4">
        <v>41874</v>
      </c>
      <c r="L171">
        <f t="shared" si="2"/>
        <v>3.38</v>
      </c>
    </row>
    <row r="172" spans="1:12" x14ac:dyDescent="0.15">
      <c r="A172" s="1">
        <v>171</v>
      </c>
      <c r="B172" s="4">
        <v>41143</v>
      </c>
      <c r="C172" s="1" t="s">
        <v>17</v>
      </c>
      <c r="D172" s="1" t="s">
        <v>12</v>
      </c>
      <c r="E172" s="1">
        <v>0.66758101851851848</v>
      </c>
      <c r="F172" s="1" t="s">
        <v>13</v>
      </c>
      <c r="G172" s="1">
        <v>3.27</v>
      </c>
      <c r="H172" s="1">
        <v>3.67</v>
      </c>
      <c r="I172" s="1">
        <v>0</v>
      </c>
      <c r="J172" s="4">
        <v>41144</v>
      </c>
      <c r="K172" s="4">
        <v>44431</v>
      </c>
      <c r="L172">
        <f t="shared" si="2"/>
        <v>3.4699999999999998</v>
      </c>
    </row>
    <row r="173" spans="1:12" x14ac:dyDescent="0.15">
      <c r="A173" s="1">
        <v>172</v>
      </c>
      <c r="B173" s="4">
        <v>41143</v>
      </c>
      <c r="C173" s="1" t="s">
        <v>16</v>
      </c>
      <c r="D173" s="1" t="s">
        <v>12</v>
      </c>
      <c r="E173" s="1">
        <v>0.66758101851851848</v>
      </c>
      <c r="F173" s="1" t="s">
        <v>13</v>
      </c>
      <c r="G173" s="1">
        <v>3.25</v>
      </c>
      <c r="H173" s="1">
        <v>3.35</v>
      </c>
      <c r="I173" s="1">
        <v>0</v>
      </c>
      <c r="J173" s="4">
        <v>41144</v>
      </c>
      <c r="K173" s="4">
        <v>42605</v>
      </c>
      <c r="L173">
        <f t="shared" si="2"/>
        <v>3.3</v>
      </c>
    </row>
    <row r="174" spans="1:12" x14ac:dyDescent="0.15">
      <c r="A174" s="1">
        <v>173</v>
      </c>
      <c r="B174" s="4">
        <v>41143</v>
      </c>
      <c r="C174" s="1" t="s">
        <v>14</v>
      </c>
      <c r="D174" s="1" t="s">
        <v>12</v>
      </c>
      <c r="E174" s="1">
        <v>0.66758101851851848</v>
      </c>
      <c r="F174" s="1" t="s">
        <v>13</v>
      </c>
      <c r="G174" s="1">
        <v>3.4</v>
      </c>
      <c r="H174" s="1">
        <v>3.5</v>
      </c>
      <c r="I174" s="1">
        <v>0</v>
      </c>
      <c r="J174" s="4">
        <v>41144</v>
      </c>
      <c r="K174" s="4">
        <v>41509</v>
      </c>
      <c r="L174">
        <f t="shared" si="2"/>
        <v>3.45</v>
      </c>
    </row>
    <row r="175" spans="1:12" x14ac:dyDescent="0.15">
      <c r="A175" s="1">
        <v>174</v>
      </c>
      <c r="B175" s="4">
        <v>41143</v>
      </c>
      <c r="C175" s="1" t="s">
        <v>11</v>
      </c>
      <c r="D175" s="1" t="s">
        <v>12</v>
      </c>
      <c r="E175" s="1">
        <v>0.66758101851851848</v>
      </c>
      <c r="F175" s="1" t="s">
        <v>13</v>
      </c>
      <c r="G175" s="1">
        <v>3.25</v>
      </c>
      <c r="H175" s="1">
        <v>3.35</v>
      </c>
      <c r="I175" s="1">
        <v>0</v>
      </c>
      <c r="J175" s="4">
        <v>41144</v>
      </c>
      <c r="K175" s="4">
        <v>42239</v>
      </c>
      <c r="L175">
        <f t="shared" si="2"/>
        <v>3.3</v>
      </c>
    </row>
    <row r="176" spans="1:12" x14ac:dyDescent="0.15">
      <c r="A176" s="1">
        <v>175</v>
      </c>
      <c r="B176" s="4">
        <v>41143</v>
      </c>
      <c r="C176" s="1" t="s">
        <v>25</v>
      </c>
      <c r="D176" s="1" t="s">
        <v>12</v>
      </c>
      <c r="E176" s="1">
        <v>0.66758101851851848</v>
      </c>
      <c r="F176" s="1" t="s">
        <v>13</v>
      </c>
      <c r="G176" s="1">
        <v>3.28</v>
      </c>
      <c r="H176" s="1">
        <v>3.38</v>
      </c>
      <c r="I176" s="1">
        <v>0</v>
      </c>
      <c r="J176" s="4">
        <v>41144</v>
      </c>
      <c r="K176" s="4">
        <v>42970</v>
      </c>
      <c r="L176">
        <f t="shared" si="2"/>
        <v>3.33</v>
      </c>
    </row>
    <row r="177" spans="1:12" x14ac:dyDescent="0.15">
      <c r="A177" s="1">
        <v>176</v>
      </c>
      <c r="B177" s="4">
        <v>41143</v>
      </c>
      <c r="C177" s="1" t="s">
        <v>22</v>
      </c>
      <c r="D177" s="1" t="s">
        <v>12</v>
      </c>
      <c r="E177" s="1">
        <v>0.66756944444444455</v>
      </c>
      <c r="F177" s="1" t="s">
        <v>13</v>
      </c>
      <c r="G177" s="1">
        <v>3.55</v>
      </c>
      <c r="H177" s="1">
        <v>3.65</v>
      </c>
      <c r="I177" s="1">
        <v>0</v>
      </c>
      <c r="J177" s="4">
        <v>41144</v>
      </c>
      <c r="K177" s="4">
        <v>41328</v>
      </c>
      <c r="L177">
        <f t="shared" si="2"/>
        <v>3.5999999999999996</v>
      </c>
    </row>
    <row r="178" spans="1:12" x14ac:dyDescent="0.15">
      <c r="A178" s="1">
        <v>177</v>
      </c>
      <c r="B178" s="4">
        <v>41143</v>
      </c>
      <c r="C178" s="1" t="s">
        <v>23</v>
      </c>
      <c r="D178" s="1" t="s">
        <v>12</v>
      </c>
      <c r="E178" s="1">
        <v>0.66756944444444455</v>
      </c>
      <c r="F178" s="1" t="s">
        <v>13</v>
      </c>
      <c r="G178" s="1">
        <v>3.26</v>
      </c>
      <c r="H178" s="1">
        <v>3.36</v>
      </c>
      <c r="I178" s="1">
        <v>0</v>
      </c>
      <c r="J178" s="4">
        <v>41144</v>
      </c>
      <c r="K178" s="4">
        <v>43335</v>
      </c>
      <c r="L178">
        <f t="shared" si="2"/>
        <v>3.3099999999999996</v>
      </c>
    </row>
    <row r="179" spans="1:12" x14ac:dyDescent="0.15">
      <c r="A179" s="1">
        <v>178</v>
      </c>
      <c r="B179" s="4">
        <v>41143</v>
      </c>
      <c r="C179" s="1" t="s">
        <v>24</v>
      </c>
      <c r="D179" s="1" t="s">
        <v>12</v>
      </c>
      <c r="E179" s="1">
        <v>0.66758101851851848</v>
      </c>
      <c r="F179" s="1" t="s">
        <v>13</v>
      </c>
      <c r="G179" s="1">
        <v>3.26</v>
      </c>
      <c r="H179" s="1">
        <v>3.66</v>
      </c>
      <c r="I179" s="1">
        <v>0</v>
      </c>
      <c r="J179" s="4">
        <v>41144</v>
      </c>
      <c r="K179" s="4">
        <v>44066</v>
      </c>
      <c r="L179">
        <f t="shared" si="2"/>
        <v>3.46</v>
      </c>
    </row>
    <row r="180" spans="1:12" x14ac:dyDescent="0.15">
      <c r="A180" s="1">
        <v>179</v>
      </c>
      <c r="B180" s="4">
        <v>41143</v>
      </c>
      <c r="C180" s="1" t="s">
        <v>20</v>
      </c>
      <c r="D180" s="1" t="s">
        <v>12</v>
      </c>
      <c r="E180" s="1">
        <v>0.66758101851851848</v>
      </c>
      <c r="F180" s="1" t="s">
        <v>13</v>
      </c>
      <c r="G180" s="1">
        <v>3.28</v>
      </c>
      <c r="H180" s="1">
        <v>3.68</v>
      </c>
      <c r="I180" s="1">
        <v>0</v>
      </c>
      <c r="J180" s="4">
        <v>41144</v>
      </c>
      <c r="K180" s="4">
        <v>44796</v>
      </c>
      <c r="L180">
        <f t="shared" si="2"/>
        <v>3.48</v>
      </c>
    </row>
    <row r="181" spans="1:12" x14ac:dyDescent="0.15">
      <c r="A181" s="1">
        <v>180</v>
      </c>
      <c r="B181" s="4">
        <v>41143</v>
      </c>
      <c r="C181" s="1" t="s">
        <v>14</v>
      </c>
      <c r="D181" s="1" t="s">
        <v>27</v>
      </c>
      <c r="E181" s="1">
        <v>0.6758912037037037</v>
      </c>
      <c r="F181" s="1" t="s">
        <v>13</v>
      </c>
      <c r="G181" s="1">
        <v>3.43</v>
      </c>
      <c r="H181" s="1">
        <v>3.5</v>
      </c>
      <c r="I181" s="1">
        <v>0</v>
      </c>
      <c r="J181" s="4">
        <v>41144</v>
      </c>
      <c r="K181" s="4">
        <v>41509</v>
      </c>
      <c r="L181">
        <f t="shared" si="2"/>
        <v>3.4649999999999999</v>
      </c>
    </row>
    <row r="182" spans="1:12" x14ac:dyDescent="0.15">
      <c r="A182" s="1">
        <v>181</v>
      </c>
      <c r="B182" s="4">
        <v>41143</v>
      </c>
      <c r="C182" s="1" t="s">
        <v>16</v>
      </c>
      <c r="D182" s="1" t="s">
        <v>27</v>
      </c>
      <c r="E182" s="1">
        <v>0.6758912037037037</v>
      </c>
      <c r="F182" s="1" t="s">
        <v>13</v>
      </c>
      <c r="G182" s="1">
        <v>3.26</v>
      </c>
      <c r="H182" s="1">
        <v>3.36</v>
      </c>
      <c r="I182" s="1">
        <v>0</v>
      </c>
      <c r="J182" s="4">
        <v>41144</v>
      </c>
      <c r="K182" s="4">
        <v>42605</v>
      </c>
      <c r="L182">
        <f t="shared" si="2"/>
        <v>3.3099999999999996</v>
      </c>
    </row>
    <row r="183" spans="1:12" x14ac:dyDescent="0.15">
      <c r="A183" s="1">
        <v>182</v>
      </c>
      <c r="B183" s="4">
        <v>41143</v>
      </c>
      <c r="C183" s="1" t="s">
        <v>11</v>
      </c>
      <c r="D183" s="1" t="s">
        <v>27</v>
      </c>
      <c r="E183" s="1">
        <v>0.67590277777777785</v>
      </c>
      <c r="F183" s="1" t="s">
        <v>13</v>
      </c>
      <c r="G183" s="1">
        <v>3.26</v>
      </c>
      <c r="H183" s="1">
        <v>3.36</v>
      </c>
      <c r="I183" s="1">
        <v>0</v>
      </c>
      <c r="J183" s="4">
        <v>41144</v>
      </c>
      <c r="K183" s="4">
        <v>42239</v>
      </c>
      <c r="L183">
        <f t="shared" si="2"/>
        <v>3.3099999999999996</v>
      </c>
    </row>
    <row r="184" spans="1:12" x14ac:dyDescent="0.15">
      <c r="A184" s="1">
        <v>183</v>
      </c>
      <c r="B184" s="4">
        <v>41143</v>
      </c>
      <c r="C184" s="1" t="s">
        <v>22</v>
      </c>
      <c r="D184" s="1" t="s">
        <v>27</v>
      </c>
      <c r="E184" s="1">
        <v>0.67590277777777785</v>
      </c>
      <c r="F184" s="1" t="s">
        <v>13</v>
      </c>
      <c r="G184" s="1">
        <v>3.55</v>
      </c>
      <c r="H184" s="1">
        <v>3.65</v>
      </c>
      <c r="I184" s="1">
        <v>0</v>
      </c>
      <c r="J184" s="4">
        <v>41144</v>
      </c>
      <c r="K184" s="4">
        <v>41328</v>
      </c>
      <c r="L184">
        <f t="shared" si="2"/>
        <v>3.5999999999999996</v>
      </c>
    </row>
    <row r="185" spans="1:12" x14ac:dyDescent="0.15">
      <c r="A185" s="1">
        <v>184</v>
      </c>
      <c r="B185" s="4">
        <v>41143</v>
      </c>
      <c r="C185" s="1" t="s">
        <v>19</v>
      </c>
      <c r="D185" s="1" t="s">
        <v>27</v>
      </c>
      <c r="E185" s="1">
        <v>0.6758912037037037</v>
      </c>
      <c r="F185" s="1" t="s">
        <v>13</v>
      </c>
      <c r="G185" s="1">
        <v>3.48</v>
      </c>
      <c r="H185" s="1">
        <v>3.55</v>
      </c>
      <c r="I185" s="1">
        <v>0</v>
      </c>
      <c r="J185" s="4">
        <v>41144</v>
      </c>
      <c r="K185" s="4">
        <v>41417</v>
      </c>
      <c r="L185">
        <f t="shared" si="2"/>
        <v>3.5149999999999997</v>
      </c>
    </row>
    <row r="186" spans="1:12" x14ac:dyDescent="0.15">
      <c r="A186" s="1">
        <v>185</v>
      </c>
      <c r="B186" s="4">
        <v>41143</v>
      </c>
      <c r="C186" s="1" t="s">
        <v>21</v>
      </c>
      <c r="D186" s="1" t="s">
        <v>12</v>
      </c>
      <c r="E186" s="1">
        <v>0.66758101851851848</v>
      </c>
      <c r="F186" s="1" t="s">
        <v>13</v>
      </c>
      <c r="G186" s="1">
        <v>3.25</v>
      </c>
      <c r="H186" s="1">
        <v>3.65</v>
      </c>
      <c r="I186" s="1">
        <v>0</v>
      </c>
      <c r="J186" s="4">
        <v>41144</v>
      </c>
      <c r="K186" s="4">
        <v>43700</v>
      </c>
      <c r="L186">
        <f t="shared" si="2"/>
        <v>3.45</v>
      </c>
    </row>
    <row r="187" spans="1:12" x14ac:dyDescent="0.15">
      <c r="A187" s="1">
        <v>186</v>
      </c>
      <c r="B187" s="4">
        <v>41143</v>
      </c>
      <c r="C187" s="1" t="s">
        <v>18</v>
      </c>
      <c r="D187" s="1" t="s">
        <v>12</v>
      </c>
      <c r="E187" s="1">
        <v>0.66758101851851848</v>
      </c>
      <c r="F187" s="1" t="s">
        <v>13</v>
      </c>
      <c r="G187" s="1">
        <v>3.3</v>
      </c>
      <c r="H187" s="1">
        <v>3.4</v>
      </c>
      <c r="I187" s="1">
        <v>0</v>
      </c>
      <c r="J187" s="4">
        <v>41144</v>
      </c>
      <c r="K187" s="4">
        <v>41874</v>
      </c>
      <c r="L187">
        <f t="shared" si="2"/>
        <v>3.3499999999999996</v>
      </c>
    </row>
    <row r="188" spans="1:12" x14ac:dyDescent="0.15">
      <c r="A188" s="1">
        <v>187</v>
      </c>
      <c r="B188" s="4">
        <v>41143</v>
      </c>
      <c r="C188" s="1" t="s">
        <v>25</v>
      </c>
      <c r="D188" s="1" t="s">
        <v>27</v>
      </c>
      <c r="E188" s="1">
        <v>0.6758912037037037</v>
      </c>
      <c r="F188" s="1" t="s">
        <v>13</v>
      </c>
      <c r="G188" s="1">
        <v>3.31</v>
      </c>
      <c r="H188" s="1">
        <v>3.37</v>
      </c>
      <c r="I188" s="1">
        <v>0</v>
      </c>
      <c r="J188" s="4">
        <v>41144</v>
      </c>
      <c r="K188" s="4">
        <v>42970</v>
      </c>
      <c r="L188">
        <f t="shared" si="2"/>
        <v>3.34</v>
      </c>
    </row>
    <row r="189" spans="1:12" x14ac:dyDescent="0.15">
      <c r="A189" s="1">
        <v>188</v>
      </c>
      <c r="B189" s="4">
        <v>41143</v>
      </c>
      <c r="C189" s="1" t="s">
        <v>19</v>
      </c>
      <c r="D189" s="1" t="s">
        <v>12</v>
      </c>
      <c r="E189" s="1">
        <v>0.66758101851851848</v>
      </c>
      <c r="F189" s="1" t="s">
        <v>13</v>
      </c>
      <c r="G189" s="1">
        <v>3.45</v>
      </c>
      <c r="H189" s="1">
        <v>3.55</v>
      </c>
      <c r="I189" s="1">
        <v>0</v>
      </c>
      <c r="J189" s="4">
        <v>41144</v>
      </c>
      <c r="K189" s="4">
        <v>41417</v>
      </c>
      <c r="L189">
        <f t="shared" si="2"/>
        <v>3.5</v>
      </c>
    </row>
    <row r="190" spans="1:12" x14ac:dyDescent="0.15">
      <c r="A190" s="1">
        <v>189</v>
      </c>
      <c r="B190" s="4">
        <v>41142</v>
      </c>
      <c r="C190" s="1" t="s">
        <v>18</v>
      </c>
      <c r="D190" s="1" t="s">
        <v>26</v>
      </c>
      <c r="E190" s="1">
        <v>0.48995370370370367</v>
      </c>
      <c r="F190" s="1" t="s">
        <v>13</v>
      </c>
      <c r="G190" s="1">
        <v>3.13</v>
      </c>
      <c r="H190" s="1">
        <v>3.23</v>
      </c>
      <c r="I190" s="1">
        <v>0</v>
      </c>
      <c r="J190" s="4">
        <v>41143</v>
      </c>
      <c r="K190" s="4">
        <v>41873</v>
      </c>
      <c r="L190">
        <f t="shared" si="2"/>
        <v>3.1799999999999997</v>
      </c>
    </row>
    <row r="191" spans="1:12" x14ac:dyDescent="0.15">
      <c r="A191" s="1">
        <v>190</v>
      </c>
      <c r="B191" s="4">
        <v>41142</v>
      </c>
      <c r="C191" s="1" t="s">
        <v>20</v>
      </c>
      <c r="D191" s="1" t="s">
        <v>26</v>
      </c>
      <c r="E191" s="1">
        <v>0.48995370370370367</v>
      </c>
      <c r="F191" s="1" t="s">
        <v>13</v>
      </c>
      <c r="G191" s="1">
        <v>3.06</v>
      </c>
      <c r="H191" s="1">
        <v>3.16</v>
      </c>
      <c r="I191" s="1">
        <v>0</v>
      </c>
      <c r="J191" s="4">
        <v>41143</v>
      </c>
      <c r="K191" s="4">
        <v>44795</v>
      </c>
      <c r="L191">
        <f t="shared" si="2"/>
        <v>3.1100000000000003</v>
      </c>
    </row>
    <row r="192" spans="1:12" x14ac:dyDescent="0.15">
      <c r="A192" s="1">
        <v>191</v>
      </c>
      <c r="B192" s="4">
        <v>41142</v>
      </c>
      <c r="C192" s="1" t="s">
        <v>16</v>
      </c>
      <c r="D192" s="1" t="s">
        <v>26</v>
      </c>
      <c r="E192" s="1">
        <v>0.48997685185185186</v>
      </c>
      <c r="F192" s="1" t="s">
        <v>13</v>
      </c>
      <c r="G192" s="1">
        <v>3.06</v>
      </c>
      <c r="H192" s="1">
        <v>3.16</v>
      </c>
      <c r="I192" s="1">
        <v>0</v>
      </c>
      <c r="J192" s="4">
        <v>41143</v>
      </c>
      <c r="K192" s="4">
        <v>42604</v>
      </c>
      <c r="L192">
        <f t="shared" si="2"/>
        <v>3.1100000000000003</v>
      </c>
    </row>
    <row r="193" spans="1:12" x14ac:dyDescent="0.15">
      <c r="A193" s="1">
        <v>192</v>
      </c>
      <c r="B193" s="4">
        <v>41142</v>
      </c>
      <c r="C193" s="1" t="s">
        <v>21</v>
      </c>
      <c r="D193" s="1" t="s">
        <v>26</v>
      </c>
      <c r="E193" s="1">
        <v>0.48997685185185186</v>
      </c>
      <c r="F193" s="1" t="s">
        <v>13</v>
      </c>
      <c r="G193" s="1">
        <v>3.06</v>
      </c>
      <c r="H193" s="1">
        <v>3.16</v>
      </c>
      <c r="I193" s="1">
        <v>0</v>
      </c>
      <c r="J193" s="4">
        <v>41143</v>
      </c>
      <c r="K193" s="4">
        <v>43699</v>
      </c>
      <c r="L193">
        <f t="shared" si="2"/>
        <v>3.1100000000000003</v>
      </c>
    </row>
    <row r="194" spans="1:12" x14ac:dyDescent="0.15">
      <c r="A194" s="1">
        <v>193</v>
      </c>
      <c r="B194" s="4">
        <v>41142</v>
      </c>
      <c r="C194" s="1" t="s">
        <v>11</v>
      </c>
      <c r="D194" s="1" t="s">
        <v>26</v>
      </c>
      <c r="E194" s="1">
        <v>0.48997685185185186</v>
      </c>
      <c r="F194" s="1" t="s">
        <v>13</v>
      </c>
      <c r="G194" s="1">
        <v>3.1</v>
      </c>
      <c r="H194" s="1">
        <v>3.2</v>
      </c>
      <c r="I194" s="1">
        <v>0</v>
      </c>
      <c r="J194" s="4">
        <v>41143</v>
      </c>
      <c r="K194" s="4">
        <v>42238</v>
      </c>
      <c r="L194">
        <f t="shared" si="2"/>
        <v>3.1500000000000004</v>
      </c>
    </row>
    <row r="195" spans="1:12" x14ac:dyDescent="0.15">
      <c r="A195" s="1">
        <v>194</v>
      </c>
      <c r="B195" s="4">
        <v>41142</v>
      </c>
      <c r="C195" s="1" t="s">
        <v>14</v>
      </c>
      <c r="D195" s="1" t="s">
        <v>26</v>
      </c>
      <c r="E195" s="1">
        <v>0.48995370370370367</v>
      </c>
      <c r="F195" s="1" t="s">
        <v>13</v>
      </c>
      <c r="G195" s="1">
        <v>3.25</v>
      </c>
      <c r="H195" s="1">
        <v>3.35</v>
      </c>
      <c r="I195" s="1">
        <v>0</v>
      </c>
      <c r="J195" s="4">
        <v>41143</v>
      </c>
      <c r="K195" s="4">
        <v>41508</v>
      </c>
      <c r="L195">
        <f t="shared" ref="L195:L258" si="3">AVERAGE(G195:H195)</f>
        <v>3.3</v>
      </c>
    </row>
    <row r="196" spans="1:12" x14ac:dyDescent="0.15">
      <c r="A196" s="1">
        <v>195</v>
      </c>
      <c r="B196" s="4">
        <v>41142</v>
      </c>
      <c r="C196" s="1" t="s">
        <v>25</v>
      </c>
      <c r="D196" s="1" t="s">
        <v>27</v>
      </c>
      <c r="E196" s="1">
        <v>0.4872569444444444</v>
      </c>
      <c r="F196" s="1" t="s">
        <v>13</v>
      </c>
      <c r="G196" s="1">
        <v>3.13</v>
      </c>
      <c r="H196" s="1">
        <v>3.18</v>
      </c>
      <c r="I196" s="1">
        <v>0</v>
      </c>
      <c r="J196" s="4">
        <v>41143</v>
      </c>
      <c r="K196" s="4">
        <v>42969</v>
      </c>
      <c r="L196">
        <f t="shared" si="3"/>
        <v>3.1550000000000002</v>
      </c>
    </row>
    <row r="197" spans="1:12" x14ac:dyDescent="0.15">
      <c r="A197" s="1">
        <v>196</v>
      </c>
      <c r="B197" s="4">
        <v>41142</v>
      </c>
      <c r="C197" s="1" t="s">
        <v>14</v>
      </c>
      <c r="D197" s="1" t="s">
        <v>27</v>
      </c>
      <c r="E197" s="1">
        <v>0.4872569444444444</v>
      </c>
      <c r="F197" s="1" t="s">
        <v>13</v>
      </c>
      <c r="G197" s="1">
        <v>3.3</v>
      </c>
      <c r="H197" s="1">
        <v>3.35</v>
      </c>
      <c r="I197" s="1">
        <v>0</v>
      </c>
      <c r="J197" s="4">
        <v>41143</v>
      </c>
      <c r="K197" s="4">
        <v>41508</v>
      </c>
      <c r="L197">
        <f t="shared" si="3"/>
        <v>3.3250000000000002</v>
      </c>
    </row>
    <row r="198" spans="1:12" x14ac:dyDescent="0.15">
      <c r="A198" s="1">
        <v>197</v>
      </c>
      <c r="B198" s="4">
        <v>41142</v>
      </c>
      <c r="C198" s="1" t="s">
        <v>22</v>
      </c>
      <c r="D198" s="1" t="s">
        <v>27</v>
      </c>
      <c r="E198" s="1">
        <v>0.48726851851851855</v>
      </c>
      <c r="F198" s="1" t="s">
        <v>13</v>
      </c>
      <c r="G198" s="1">
        <v>3.44</v>
      </c>
      <c r="H198" s="1">
        <v>3.54</v>
      </c>
      <c r="I198" s="1">
        <v>0</v>
      </c>
      <c r="J198" s="4">
        <v>41143</v>
      </c>
      <c r="K198" s="4">
        <v>41327</v>
      </c>
      <c r="L198">
        <f t="shared" si="3"/>
        <v>3.49</v>
      </c>
    </row>
    <row r="199" spans="1:12" x14ac:dyDescent="0.15">
      <c r="A199" s="1">
        <v>198</v>
      </c>
      <c r="B199" s="4">
        <v>41142</v>
      </c>
      <c r="C199" s="1" t="s">
        <v>22</v>
      </c>
      <c r="D199" s="1" t="s">
        <v>26</v>
      </c>
      <c r="E199" s="1">
        <v>0.48995370370370367</v>
      </c>
      <c r="F199" s="1" t="s">
        <v>13</v>
      </c>
      <c r="G199" s="1">
        <v>3.48</v>
      </c>
      <c r="H199" s="1">
        <v>3.55</v>
      </c>
      <c r="I199" s="1">
        <v>0</v>
      </c>
      <c r="J199" s="4">
        <v>41143</v>
      </c>
      <c r="K199" s="4">
        <v>41327</v>
      </c>
      <c r="L199">
        <f t="shared" si="3"/>
        <v>3.5149999999999997</v>
      </c>
    </row>
    <row r="200" spans="1:12" x14ac:dyDescent="0.15">
      <c r="A200" s="1">
        <v>199</v>
      </c>
      <c r="B200" s="4">
        <v>41142</v>
      </c>
      <c r="C200" s="1" t="s">
        <v>11</v>
      </c>
      <c r="D200" s="1" t="s">
        <v>27</v>
      </c>
      <c r="E200" s="1">
        <v>0.48726851851851855</v>
      </c>
      <c r="F200" s="1" t="s">
        <v>13</v>
      </c>
      <c r="G200" s="1">
        <v>3.11</v>
      </c>
      <c r="H200" s="1">
        <v>3.16</v>
      </c>
      <c r="I200" s="1">
        <v>0</v>
      </c>
      <c r="J200" s="4">
        <v>41143</v>
      </c>
      <c r="K200" s="4">
        <v>42238</v>
      </c>
      <c r="L200">
        <f t="shared" si="3"/>
        <v>3.1349999999999998</v>
      </c>
    </row>
    <row r="201" spans="1:12" x14ac:dyDescent="0.15">
      <c r="A201" s="1">
        <v>200</v>
      </c>
      <c r="B201" s="4">
        <v>41142</v>
      </c>
      <c r="C201" s="1" t="s">
        <v>19</v>
      </c>
      <c r="D201" s="1" t="s">
        <v>26</v>
      </c>
      <c r="E201" s="1">
        <v>0.48997685185185186</v>
      </c>
      <c r="F201" s="1" t="s">
        <v>13</v>
      </c>
      <c r="G201" s="1">
        <v>3.35</v>
      </c>
      <c r="H201" s="1">
        <v>3.42</v>
      </c>
      <c r="I201" s="1">
        <v>0</v>
      </c>
      <c r="J201" s="4">
        <v>41143</v>
      </c>
      <c r="K201" s="4">
        <v>41416</v>
      </c>
      <c r="L201">
        <f t="shared" si="3"/>
        <v>3.3849999999999998</v>
      </c>
    </row>
    <row r="202" spans="1:12" x14ac:dyDescent="0.15">
      <c r="A202" s="1">
        <v>201</v>
      </c>
      <c r="B202" s="4">
        <v>41142</v>
      </c>
      <c r="C202" s="1" t="s">
        <v>18</v>
      </c>
      <c r="D202" s="1" t="s">
        <v>26</v>
      </c>
      <c r="E202" s="1">
        <v>0.49509259259259258</v>
      </c>
      <c r="F202" s="1" t="s">
        <v>13</v>
      </c>
      <c r="G202" s="1">
        <v>3.13</v>
      </c>
      <c r="H202" s="1">
        <v>3.23</v>
      </c>
      <c r="I202" s="1">
        <v>0</v>
      </c>
      <c r="J202" s="4">
        <v>41143</v>
      </c>
      <c r="K202" s="4">
        <v>41873</v>
      </c>
      <c r="L202">
        <f t="shared" si="3"/>
        <v>3.1799999999999997</v>
      </c>
    </row>
    <row r="203" spans="1:12" x14ac:dyDescent="0.15">
      <c r="A203" s="1">
        <v>202</v>
      </c>
      <c r="B203" s="4">
        <v>41142</v>
      </c>
      <c r="C203" s="1" t="s">
        <v>20</v>
      </c>
      <c r="D203" s="1" t="s">
        <v>26</v>
      </c>
      <c r="E203" s="1">
        <v>0.49509259259259258</v>
      </c>
      <c r="F203" s="1" t="s">
        <v>13</v>
      </c>
      <c r="G203" s="1">
        <v>3.06</v>
      </c>
      <c r="H203" s="1">
        <v>3.16</v>
      </c>
      <c r="I203" s="1">
        <v>0</v>
      </c>
      <c r="J203" s="4">
        <v>41143</v>
      </c>
      <c r="K203" s="4">
        <v>44795</v>
      </c>
      <c r="L203">
        <f t="shared" si="3"/>
        <v>3.1100000000000003</v>
      </c>
    </row>
    <row r="204" spans="1:12" x14ac:dyDescent="0.15">
      <c r="A204" s="1">
        <v>203</v>
      </c>
      <c r="B204" s="4">
        <v>41142</v>
      </c>
      <c r="C204" s="1" t="s">
        <v>21</v>
      </c>
      <c r="D204" s="1" t="s">
        <v>26</v>
      </c>
      <c r="E204" s="1">
        <v>0.49509259259259258</v>
      </c>
      <c r="F204" s="1" t="s">
        <v>13</v>
      </c>
      <c r="G204" s="1">
        <v>3.06</v>
      </c>
      <c r="H204" s="1">
        <v>3.16</v>
      </c>
      <c r="I204" s="1">
        <v>0</v>
      </c>
      <c r="J204" s="4">
        <v>41143</v>
      </c>
      <c r="K204" s="4">
        <v>43699</v>
      </c>
      <c r="L204">
        <f t="shared" si="3"/>
        <v>3.1100000000000003</v>
      </c>
    </row>
    <row r="205" spans="1:12" x14ac:dyDescent="0.15">
      <c r="A205" s="1">
        <v>204</v>
      </c>
      <c r="B205" s="4">
        <v>41142</v>
      </c>
      <c r="C205" s="1" t="s">
        <v>23</v>
      </c>
      <c r="D205" s="1" t="s">
        <v>12</v>
      </c>
      <c r="E205" s="1">
        <v>0.66686342592592596</v>
      </c>
      <c r="F205" s="1" t="s">
        <v>13</v>
      </c>
      <c r="G205" s="1">
        <v>3.17</v>
      </c>
      <c r="H205" s="1">
        <v>3.27</v>
      </c>
      <c r="I205" s="1">
        <v>0</v>
      </c>
      <c r="J205" s="4">
        <v>41143</v>
      </c>
      <c r="K205" s="4">
        <v>43334</v>
      </c>
      <c r="L205">
        <f t="shared" si="3"/>
        <v>3.2199999999999998</v>
      </c>
    </row>
    <row r="206" spans="1:12" x14ac:dyDescent="0.15">
      <c r="A206" s="1">
        <v>205</v>
      </c>
      <c r="B206" s="4">
        <v>41142</v>
      </c>
      <c r="C206" s="1" t="s">
        <v>19</v>
      </c>
      <c r="D206" s="1" t="s">
        <v>26</v>
      </c>
      <c r="E206" s="1">
        <v>0.49509259259259258</v>
      </c>
      <c r="F206" s="1" t="s">
        <v>13</v>
      </c>
      <c r="G206" s="1">
        <v>3.38</v>
      </c>
      <c r="H206" s="1">
        <v>3.48</v>
      </c>
      <c r="I206" s="1">
        <v>0</v>
      </c>
      <c r="J206" s="4">
        <v>41143</v>
      </c>
      <c r="K206" s="4">
        <v>41416</v>
      </c>
      <c r="L206">
        <f t="shared" si="3"/>
        <v>3.4299999999999997</v>
      </c>
    </row>
    <row r="207" spans="1:12" x14ac:dyDescent="0.15">
      <c r="A207" s="1">
        <v>206</v>
      </c>
      <c r="B207" s="4">
        <v>41142</v>
      </c>
      <c r="C207" s="1" t="s">
        <v>14</v>
      </c>
      <c r="D207" s="1" t="s">
        <v>26</v>
      </c>
      <c r="E207" s="1">
        <v>0.49509259259259258</v>
      </c>
      <c r="F207" s="1" t="s">
        <v>13</v>
      </c>
      <c r="G207" s="1">
        <v>3.3</v>
      </c>
      <c r="H207" s="1">
        <v>3.4</v>
      </c>
      <c r="I207" s="1">
        <v>0</v>
      </c>
      <c r="J207" s="4">
        <v>41143</v>
      </c>
      <c r="K207" s="4">
        <v>41508</v>
      </c>
      <c r="L207">
        <f t="shared" si="3"/>
        <v>3.3499999999999996</v>
      </c>
    </row>
    <row r="208" spans="1:12" x14ac:dyDescent="0.15">
      <c r="A208" s="1">
        <v>207</v>
      </c>
      <c r="B208" s="4">
        <v>41142</v>
      </c>
      <c r="C208" s="1" t="s">
        <v>22</v>
      </c>
      <c r="D208" s="1" t="s">
        <v>26</v>
      </c>
      <c r="E208" s="1">
        <v>0.49508101851851855</v>
      </c>
      <c r="F208" s="1" t="s">
        <v>13</v>
      </c>
      <c r="G208" s="1">
        <v>3.48</v>
      </c>
      <c r="H208" s="1">
        <v>3.55</v>
      </c>
      <c r="I208" s="1">
        <v>0</v>
      </c>
      <c r="J208" s="4">
        <v>41143</v>
      </c>
      <c r="K208" s="4">
        <v>41327</v>
      </c>
      <c r="L208">
        <f t="shared" si="3"/>
        <v>3.5149999999999997</v>
      </c>
    </row>
    <row r="209" spans="1:12" x14ac:dyDescent="0.15">
      <c r="A209" s="1">
        <v>208</v>
      </c>
      <c r="B209" s="4">
        <v>41142</v>
      </c>
      <c r="C209" s="1" t="s">
        <v>25</v>
      </c>
      <c r="D209" s="1" t="s">
        <v>26</v>
      </c>
      <c r="E209" s="1">
        <v>0.48997685185185186</v>
      </c>
      <c r="F209" s="1" t="s">
        <v>13</v>
      </c>
      <c r="G209" s="1">
        <v>3.06</v>
      </c>
      <c r="H209" s="1">
        <v>3.16</v>
      </c>
      <c r="I209" s="1">
        <v>0</v>
      </c>
      <c r="J209" s="4">
        <v>41143</v>
      </c>
      <c r="K209" s="4">
        <v>42969</v>
      </c>
      <c r="L209">
        <f t="shared" si="3"/>
        <v>3.1100000000000003</v>
      </c>
    </row>
    <row r="210" spans="1:12" x14ac:dyDescent="0.15">
      <c r="A210" s="1">
        <v>209</v>
      </c>
      <c r="B210" s="4">
        <v>41142</v>
      </c>
      <c r="C210" s="1" t="s">
        <v>25</v>
      </c>
      <c r="D210" s="1" t="s">
        <v>26</v>
      </c>
      <c r="E210" s="1">
        <v>0.49509259259259258</v>
      </c>
      <c r="F210" s="1" t="s">
        <v>13</v>
      </c>
      <c r="G210" s="1">
        <v>3.1</v>
      </c>
      <c r="H210" s="1">
        <v>3.2</v>
      </c>
      <c r="I210" s="1">
        <v>0</v>
      </c>
      <c r="J210" s="4">
        <v>41143</v>
      </c>
      <c r="K210" s="4">
        <v>42969</v>
      </c>
      <c r="L210">
        <f t="shared" si="3"/>
        <v>3.1500000000000004</v>
      </c>
    </row>
    <row r="211" spans="1:12" x14ac:dyDescent="0.15">
      <c r="A211" s="1">
        <v>210</v>
      </c>
      <c r="B211" s="4">
        <v>41142</v>
      </c>
      <c r="C211" s="1" t="s">
        <v>11</v>
      </c>
      <c r="D211" s="1" t="s">
        <v>26</v>
      </c>
      <c r="E211" s="1">
        <v>0.49509259259259258</v>
      </c>
      <c r="F211" s="1" t="s">
        <v>13</v>
      </c>
      <c r="G211" s="1">
        <v>3.1</v>
      </c>
      <c r="H211" s="1">
        <v>3.2</v>
      </c>
      <c r="I211" s="1">
        <v>0</v>
      </c>
      <c r="J211" s="4">
        <v>41143</v>
      </c>
      <c r="K211" s="4">
        <v>42238</v>
      </c>
      <c r="L211">
        <f t="shared" si="3"/>
        <v>3.1500000000000004</v>
      </c>
    </row>
    <row r="212" spans="1:12" x14ac:dyDescent="0.15">
      <c r="A212" s="1">
        <v>211</v>
      </c>
      <c r="B212" s="4">
        <v>41142</v>
      </c>
      <c r="C212" s="1" t="s">
        <v>16</v>
      </c>
      <c r="D212" s="1" t="s">
        <v>26</v>
      </c>
      <c r="E212" s="1">
        <v>0.49509259259259258</v>
      </c>
      <c r="F212" s="1" t="s">
        <v>13</v>
      </c>
      <c r="G212" s="1">
        <v>3.1</v>
      </c>
      <c r="H212" s="1">
        <v>3.2</v>
      </c>
      <c r="I212" s="1">
        <v>0</v>
      </c>
      <c r="J212" s="4">
        <v>41143</v>
      </c>
      <c r="K212" s="4">
        <v>42604</v>
      </c>
      <c r="L212">
        <f t="shared" si="3"/>
        <v>3.1500000000000004</v>
      </c>
    </row>
    <row r="213" spans="1:12" x14ac:dyDescent="0.15">
      <c r="A213" s="1">
        <v>212</v>
      </c>
      <c r="B213" s="4">
        <v>41142</v>
      </c>
      <c r="C213" s="1" t="s">
        <v>18</v>
      </c>
      <c r="D213" s="1" t="s">
        <v>27</v>
      </c>
      <c r="E213" s="1">
        <v>0.4872569444444444</v>
      </c>
      <c r="F213" s="1" t="s">
        <v>13</v>
      </c>
      <c r="G213" s="1">
        <v>3.14</v>
      </c>
      <c r="H213" s="1">
        <v>3.24</v>
      </c>
      <c r="I213" s="1">
        <v>0</v>
      </c>
      <c r="J213" s="4">
        <v>41143</v>
      </c>
      <c r="K213" s="4">
        <v>41873</v>
      </c>
      <c r="L213">
        <f t="shared" si="3"/>
        <v>3.1900000000000004</v>
      </c>
    </row>
    <row r="214" spans="1:12" x14ac:dyDescent="0.15">
      <c r="A214" s="1">
        <v>213</v>
      </c>
      <c r="B214" s="4">
        <v>41142</v>
      </c>
      <c r="C214" s="1" t="s">
        <v>24</v>
      </c>
      <c r="D214" s="1" t="s">
        <v>12</v>
      </c>
      <c r="E214" s="1">
        <v>0.47957175925925927</v>
      </c>
      <c r="F214" s="1" t="s">
        <v>13</v>
      </c>
      <c r="G214" s="1">
        <v>3.1</v>
      </c>
      <c r="H214" s="1">
        <v>3.5</v>
      </c>
      <c r="I214" s="1">
        <v>0</v>
      </c>
      <c r="J214" s="4">
        <v>41143</v>
      </c>
      <c r="K214" s="4">
        <v>44065</v>
      </c>
      <c r="L214">
        <f t="shared" si="3"/>
        <v>3.3</v>
      </c>
    </row>
    <row r="215" spans="1:12" x14ac:dyDescent="0.15">
      <c r="A215" s="1">
        <v>214</v>
      </c>
      <c r="B215" s="4">
        <v>41142</v>
      </c>
      <c r="C215" s="1" t="s">
        <v>20</v>
      </c>
      <c r="D215" s="1" t="s">
        <v>12</v>
      </c>
      <c r="E215" s="1">
        <v>0.47957175925925927</v>
      </c>
      <c r="F215" s="1" t="s">
        <v>13</v>
      </c>
      <c r="G215" s="1">
        <v>3.12</v>
      </c>
      <c r="H215" s="1">
        <v>3.52</v>
      </c>
      <c r="I215" s="1">
        <v>0</v>
      </c>
      <c r="J215" s="4">
        <v>41143</v>
      </c>
      <c r="K215" s="4">
        <v>44795</v>
      </c>
      <c r="L215">
        <f t="shared" si="3"/>
        <v>3.3200000000000003</v>
      </c>
    </row>
    <row r="216" spans="1:12" x14ac:dyDescent="0.15">
      <c r="A216" s="1">
        <v>215</v>
      </c>
      <c r="B216" s="4">
        <v>41142</v>
      </c>
      <c r="C216" s="1" t="s">
        <v>25</v>
      </c>
      <c r="D216" s="1" t="s">
        <v>12</v>
      </c>
      <c r="E216" s="1">
        <v>0.47957175925925927</v>
      </c>
      <c r="F216" s="1" t="s">
        <v>13</v>
      </c>
      <c r="G216" s="1">
        <v>3.14</v>
      </c>
      <c r="H216" s="1">
        <v>3.24</v>
      </c>
      <c r="I216" s="1">
        <v>0</v>
      </c>
      <c r="J216" s="4">
        <v>41143</v>
      </c>
      <c r="K216" s="4">
        <v>42969</v>
      </c>
      <c r="L216">
        <f t="shared" si="3"/>
        <v>3.1900000000000004</v>
      </c>
    </row>
    <row r="217" spans="1:12" x14ac:dyDescent="0.15">
      <c r="A217" s="1">
        <v>216</v>
      </c>
      <c r="B217" s="4">
        <v>41142</v>
      </c>
      <c r="C217" s="1" t="s">
        <v>17</v>
      </c>
      <c r="D217" s="1" t="s">
        <v>12</v>
      </c>
      <c r="E217" s="1">
        <v>0.47957175925925927</v>
      </c>
      <c r="F217" s="1" t="s">
        <v>13</v>
      </c>
      <c r="G217" s="1">
        <v>3.1</v>
      </c>
      <c r="H217" s="1">
        <v>3.5</v>
      </c>
      <c r="I217" s="1">
        <v>0</v>
      </c>
      <c r="J217" s="4">
        <v>41143</v>
      </c>
      <c r="K217" s="4">
        <v>44430</v>
      </c>
      <c r="L217">
        <f t="shared" si="3"/>
        <v>3.3</v>
      </c>
    </row>
    <row r="218" spans="1:12" x14ac:dyDescent="0.15">
      <c r="A218" s="1">
        <v>217</v>
      </c>
      <c r="B218" s="4">
        <v>41142</v>
      </c>
      <c r="C218" s="1" t="s">
        <v>16</v>
      </c>
      <c r="D218" s="1" t="s">
        <v>12</v>
      </c>
      <c r="E218" s="1">
        <v>0.47957175925925927</v>
      </c>
      <c r="F218" s="1" t="s">
        <v>13</v>
      </c>
      <c r="G218" s="1">
        <v>3.1</v>
      </c>
      <c r="H218" s="1">
        <v>3.2</v>
      </c>
      <c r="I218" s="1">
        <v>0</v>
      </c>
      <c r="J218" s="4">
        <v>41143</v>
      </c>
      <c r="K218" s="4">
        <v>42604</v>
      </c>
      <c r="L218">
        <f t="shared" si="3"/>
        <v>3.1500000000000004</v>
      </c>
    </row>
    <row r="219" spans="1:12" x14ac:dyDescent="0.15">
      <c r="A219" s="1">
        <v>218</v>
      </c>
      <c r="B219" s="4">
        <v>41142</v>
      </c>
      <c r="C219" s="1" t="s">
        <v>19</v>
      </c>
      <c r="D219" s="1" t="s">
        <v>12</v>
      </c>
      <c r="E219" s="1">
        <v>0.47957175925925927</v>
      </c>
      <c r="F219" s="1" t="s">
        <v>13</v>
      </c>
      <c r="G219" s="1">
        <v>3.35</v>
      </c>
      <c r="H219" s="1">
        <v>3.45</v>
      </c>
      <c r="I219" s="1">
        <v>0</v>
      </c>
      <c r="J219" s="4">
        <v>41143</v>
      </c>
      <c r="K219" s="4">
        <v>41416</v>
      </c>
      <c r="L219">
        <f t="shared" si="3"/>
        <v>3.4000000000000004</v>
      </c>
    </row>
    <row r="220" spans="1:12" x14ac:dyDescent="0.15">
      <c r="A220" s="1">
        <v>219</v>
      </c>
      <c r="B220" s="4">
        <v>41142</v>
      </c>
      <c r="C220" s="1" t="s">
        <v>22</v>
      </c>
      <c r="D220" s="1" t="s">
        <v>12</v>
      </c>
      <c r="E220" s="1">
        <v>0.47956018518518517</v>
      </c>
      <c r="F220" s="1" t="s">
        <v>13</v>
      </c>
      <c r="G220" s="1">
        <v>3.45</v>
      </c>
      <c r="H220" s="1">
        <v>3.55</v>
      </c>
      <c r="I220" s="1">
        <v>0</v>
      </c>
      <c r="J220" s="4">
        <v>41143</v>
      </c>
      <c r="K220" s="4">
        <v>41327</v>
      </c>
      <c r="L220">
        <f t="shared" si="3"/>
        <v>3.5</v>
      </c>
    </row>
    <row r="221" spans="1:12" x14ac:dyDescent="0.15">
      <c r="A221" s="1">
        <v>220</v>
      </c>
      <c r="B221" s="4">
        <v>41142</v>
      </c>
      <c r="C221" s="1" t="s">
        <v>23</v>
      </c>
      <c r="D221" s="1" t="s">
        <v>12</v>
      </c>
      <c r="E221" s="1">
        <v>0.47956018518518517</v>
      </c>
      <c r="F221" s="1" t="s">
        <v>13</v>
      </c>
      <c r="G221" s="1">
        <v>3.12</v>
      </c>
      <c r="H221" s="1">
        <v>3.22</v>
      </c>
      <c r="I221" s="1">
        <v>0</v>
      </c>
      <c r="J221" s="4">
        <v>41143</v>
      </c>
      <c r="K221" s="4">
        <v>43334</v>
      </c>
      <c r="L221">
        <f t="shared" si="3"/>
        <v>3.17</v>
      </c>
    </row>
    <row r="222" spans="1:12" x14ac:dyDescent="0.15">
      <c r="A222" s="1">
        <v>221</v>
      </c>
      <c r="B222" s="4">
        <v>41142</v>
      </c>
      <c r="C222" s="1" t="s">
        <v>14</v>
      </c>
      <c r="D222" s="1" t="s">
        <v>12</v>
      </c>
      <c r="E222" s="1">
        <v>0.47956018518518517</v>
      </c>
      <c r="F222" s="1" t="s">
        <v>13</v>
      </c>
      <c r="G222" s="1">
        <v>3.25</v>
      </c>
      <c r="H222" s="1">
        <v>3.35</v>
      </c>
      <c r="I222" s="1">
        <v>0</v>
      </c>
      <c r="J222" s="4">
        <v>41143</v>
      </c>
      <c r="K222" s="4">
        <v>41508</v>
      </c>
      <c r="L222">
        <f t="shared" si="3"/>
        <v>3.3</v>
      </c>
    </row>
    <row r="223" spans="1:12" x14ac:dyDescent="0.15">
      <c r="A223" s="1">
        <v>222</v>
      </c>
      <c r="B223" s="4">
        <v>41142</v>
      </c>
      <c r="C223" s="1" t="s">
        <v>21</v>
      </c>
      <c r="D223" s="1" t="s">
        <v>12</v>
      </c>
      <c r="E223" s="1">
        <v>0.47956018518518517</v>
      </c>
      <c r="F223" s="1" t="s">
        <v>13</v>
      </c>
      <c r="G223" s="1">
        <v>3.1</v>
      </c>
      <c r="H223" s="1">
        <v>3.5</v>
      </c>
      <c r="I223" s="1">
        <v>0</v>
      </c>
      <c r="J223" s="4">
        <v>41143</v>
      </c>
      <c r="K223" s="4">
        <v>43699</v>
      </c>
      <c r="L223">
        <f t="shared" si="3"/>
        <v>3.3</v>
      </c>
    </row>
    <row r="224" spans="1:12" x14ac:dyDescent="0.15">
      <c r="A224" s="1">
        <v>223</v>
      </c>
      <c r="B224" s="4">
        <v>41142</v>
      </c>
      <c r="C224" s="1" t="s">
        <v>18</v>
      </c>
      <c r="D224" s="1" t="s">
        <v>12</v>
      </c>
      <c r="E224" s="1">
        <v>0.47956018518518517</v>
      </c>
      <c r="F224" s="1" t="s">
        <v>13</v>
      </c>
      <c r="G224" s="1">
        <v>3.15</v>
      </c>
      <c r="H224" s="1">
        <v>3.25</v>
      </c>
      <c r="I224" s="1">
        <v>0</v>
      </c>
      <c r="J224" s="4">
        <v>41143</v>
      </c>
      <c r="K224" s="4">
        <v>41873</v>
      </c>
      <c r="L224">
        <f t="shared" si="3"/>
        <v>3.2</v>
      </c>
    </row>
    <row r="225" spans="1:12" x14ac:dyDescent="0.15">
      <c r="A225" s="1">
        <v>224</v>
      </c>
      <c r="B225" s="4">
        <v>41142</v>
      </c>
      <c r="C225" s="1" t="s">
        <v>11</v>
      </c>
      <c r="D225" s="1" t="s">
        <v>12</v>
      </c>
      <c r="E225" s="1">
        <v>0.47957175925925927</v>
      </c>
      <c r="F225" s="1" t="s">
        <v>13</v>
      </c>
      <c r="G225" s="1">
        <v>3.1</v>
      </c>
      <c r="H225" s="1">
        <v>3.2</v>
      </c>
      <c r="I225" s="1">
        <v>0</v>
      </c>
      <c r="J225" s="4">
        <v>41143</v>
      </c>
      <c r="K225" s="4">
        <v>42238</v>
      </c>
      <c r="L225">
        <f t="shared" si="3"/>
        <v>3.1500000000000004</v>
      </c>
    </row>
    <row r="226" spans="1:12" x14ac:dyDescent="0.15">
      <c r="A226" s="1">
        <v>225</v>
      </c>
      <c r="B226" s="4">
        <v>41142</v>
      </c>
      <c r="C226" s="1" t="s">
        <v>16</v>
      </c>
      <c r="D226" s="1" t="s">
        <v>15</v>
      </c>
      <c r="E226" s="1">
        <v>0.48593749999999997</v>
      </c>
      <c r="F226" s="1" t="s">
        <v>13</v>
      </c>
      <c r="G226" s="1">
        <v>3.11</v>
      </c>
      <c r="H226" s="1">
        <v>3.17</v>
      </c>
      <c r="I226" s="1">
        <v>0</v>
      </c>
      <c r="J226" s="4">
        <v>41143</v>
      </c>
      <c r="K226" s="4">
        <v>42604</v>
      </c>
      <c r="L226">
        <f t="shared" si="3"/>
        <v>3.1399999999999997</v>
      </c>
    </row>
    <row r="227" spans="1:12" x14ac:dyDescent="0.15">
      <c r="A227" s="1">
        <v>226</v>
      </c>
      <c r="B227" s="4">
        <v>41142</v>
      </c>
      <c r="C227" s="1" t="s">
        <v>25</v>
      </c>
      <c r="D227" s="1" t="s">
        <v>15</v>
      </c>
      <c r="E227" s="1">
        <v>0.48593749999999997</v>
      </c>
      <c r="F227" s="1" t="s">
        <v>13</v>
      </c>
      <c r="G227" s="1">
        <v>3.11</v>
      </c>
      <c r="H227" s="1">
        <v>3.17</v>
      </c>
      <c r="I227" s="1">
        <v>0</v>
      </c>
      <c r="J227" s="4">
        <v>41143</v>
      </c>
      <c r="K227" s="4">
        <v>42969</v>
      </c>
      <c r="L227">
        <f t="shared" si="3"/>
        <v>3.1399999999999997</v>
      </c>
    </row>
    <row r="228" spans="1:12" x14ac:dyDescent="0.15">
      <c r="A228" s="1">
        <v>227</v>
      </c>
      <c r="B228" s="4">
        <v>41142</v>
      </c>
      <c r="C228" s="1" t="s">
        <v>11</v>
      </c>
      <c r="D228" s="1" t="s">
        <v>15</v>
      </c>
      <c r="E228" s="1">
        <v>0.48593749999999997</v>
      </c>
      <c r="F228" s="1" t="s">
        <v>13</v>
      </c>
      <c r="G228" s="1">
        <v>3.11</v>
      </c>
      <c r="H228" s="1">
        <v>3.17</v>
      </c>
      <c r="I228" s="1">
        <v>0</v>
      </c>
      <c r="J228" s="4">
        <v>41143</v>
      </c>
      <c r="K228" s="4">
        <v>42238</v>
      </c>
      <c r="L228">
        <f t="shared" si="3"/>
        <v>3.1399999999999997</v>
      </c>
    </row>
    <row r="229" spans="1:12" x14ac:dyDescent="0.15">
      <c r="A229" s="1">
        <v>228</v>
      </c>
      <c r="B229" s="4">
        <v>41142</v>
      </c>
      <c r="C229" s="1" t="s">
        <v>16</v>
      </c>
      <c r="D229" s="1" t="s">
        <v>27</v>
      </c>
      <c r="E229" s="1">
        <v>0.4872569444444444</v>
      </c>
      <c r="F229" s="1" t="s">
        <v>13</v>
      </c>
      <c r="G229" s="1">
        <v>3.1</v>
      </c>
      <c r="H229" s="1">
        <v>3.2</v>
      </c>
      <c r="I229" s="1">
        <v>0</v>
      </c>
      <c r="J229" s="4">
        <v>41143</v>
      </c>
      <c r="K229" s="4">
        <v>42604</v>
      </c>
      <c r="L229">
        <f t="shared" si="3"/>
        <v>3.1500000000000004</v>
      </c>
    </row>
    <row r="230" spans="1:12" x14ac:dyDescent="0.15">
      <c r="A230" s="1">
        <v>229</v>
      </c>
      <c r="B230" s="4">
        <v>41142</v>
      </c>
      <c r="C230" s="1" t="s">
        <v>19</v>
      </c>
      <c r="D230" s="1" t="s">
        <v>27</v>
      </c>
      <c r="E230" s="1">
        <v>0.4872569444444444</v>
      </c>
      <c r="F230" s="1" t="s">
        <v>13</v>
      </c>
      <c r="G230" s="1">
        <v>3.34</v>
      </c>
      <c r="H230" s="1">
        <v>3.44</v>
      </c>
      <c r="I230" s="1">
        <v>0</v>
      </c>
      <c r="J230" s="4">
        <v>41143</v>
      </c>
      <c r="K230" s="4">
        <v>41416</v>
      </c>
      <c r="L230">
        <f t="shared" si="3"/>
        <v>3.3899999999999997</v>
      </c>
    </row>
    <row r="231" spans="1:12" x14ac:dyDescent="0.15">
      <c r="A231" s="1">
        <v>230</v>
      </c>
      <c r="B231" s="4">
        <v>41142</v>
      </c>
      <c r="C231" s="1" t="s">
        <v>20</v>
      </c>
      <c r="D231" s="1" t="s">
        <v>15</v>
      </c>
      <c r="E231" s="1">
        <v>0.48593749999999997</v>
      </c>
      <c r="F231" s="1" t="s">
        <v>13</v>
      </c>
      <c r="G231" s="1">
        <v>3.22</v>
      </c>
      <c r="H231" s="1">
        <v>3.28</v>
      </c>
      <c r="I231" s="1">
        <v>0</v>
      </c>
      <c r="J231" s="4">
        <v>41143</v>
      </c>
      <c r="K231" s="4">
        <v>44795</v>
      </c>
      <c r="L231">
        <f t="shared" si="3"/>
        <v>3.25</v>
      </c>
    </row>
    <row r="232" spans="1:12" x14ac:dyDescent="0.15">
      <c r="A232" s="1">
        <v>231</v>
      </c>
      <c r="B232" s="4">
        <v>41142</v>
      </c>
      <c r="C232" s="1" t="s">
        <v>18</v>
      </c>
      <c r="D232" s="1" t="s">
        <v>15</v>
      </c>
      <c r="E232" s="1">
        <v>0.48592592592592593</v>
      </c>
      <c r="F232" s="1" t="s">
        <v>13</v>
      </c>
      <c r="G232" s="1">
        <v>3.16</v>
      </c>
      <c r="H232" s="1">
        <v>3.22</v>
      </c>
      <c r="I232" s="1">
        <v>0</v>
      </c>
      <c r="J232" s="4">
        <v>41143</v>
      </c>
      <c r="K232" s="4">
        <v>41873</v>
      </c>
      <c r="L232">
        <f t="shared" si="3"/>
        <v>3.1900000000000004</v>
      </c>
    </row>
    <row r="233" spans="1:12" x14ac:dyDescent="0.15">
      <c r="A233" s="1">
        <v>232</v>
      </c>
      <c r="B233" s="4">
        <v>41142</v>
      </c>
      <c r="C233" s="1" t="s">
        <v>14</v>
      </c>
      <c r="D233" s="1" t="s">
        <v>15</v>
      </c>
      <c r="E233" s="1">
        <v>0.48592592592592593</v>
      </c>
      <c r="F233" s="1" t="s">
        <v>13</v>
      </c>
      <c r="G233" s="1">
        <v>3.27</v>
      </c>
      <c r="H233" s="1">
        <v>3.33</v>
      </c>
      <c r="I233" s="1">
        <v>0</v>
      </c>
      <c r="J233" s="4">
        <v>41143</v>
      </c>
      <c r="K233" s="4">
        <v>41508</v>
      </c>
      <c r="L233">
        <f t="shared" si="3"/>
        <v>3.3</v>
      </c>
    </row>
    <row r="234" spans="1:12" x14ac:dyDescent="0.15">
      <c r="A234" s="1">
        <v>233</v>
      </c>
      <c r="B234" s="4">
        <v>41142</v>
      </c>
      <c r="C234" s="1" t="s">
        <v>21</v>
      </c>
      <c r="D234" s="1" t="s">
        <v>15</v>
      </c>
      <c r="E234" s="1">
        <v>0.48592592592592593</v>
      </c>
      <c r="F234" s="1" t="s">
        <v>13</v>
      </c>
      <c r="G234" s="1">
        <v>3.17</v>
      </c>
      <c r="H234" s="1">
        <v>3.23</v>
      </c>
      <c r="I234" s="1">
        <v>0</v>
      </c>
      <c r="J234" s="4">
        <v>41143</v>
      </c>
      <c r="K234" s="4">
        <v>43699</v>
      </c>
      <c r="L234">
        <f t="shared" si="3"/>
        <v>3.2</v>
      </c>
    </row>
    <row r="235" spans="1:12" x14ac:dyDescent="0.15">
      <c r="A235" s="1">
        <v>234</v>
      </c>
      <c r="B235" s="4">
        <v>41142</v>
      </c>
      <c r="C235" s="1" t="s">
        <v>22</v>
      </c>
      <c r="D235" s="1" t="s">
        <v>15</v>
      </c>
      <c r="E235" s="1">
        <v>0.48592592592592593</v>
      </c>
      <c r="F235" s="1" t="s">
        <v>13</v>
      </c>
      <c r="G235" s="1">
        <v>3.47</v>
      </c>
      <c r="H235" s="1">
        <v>3.53</v>
      </c>
      <c r="I235" s="1">
        <v>0</v>
      </c>
      <c r="J235" s="4">
        <v>41143</v>
      </c>
      <c r="K235" s="4">
        <v>41327</v>
      </c>
      <c r="L235">
        <f t="shared" si="3"/>
        <v>3.5</v>
      </c>
    </row>
    <row r="236" spans="1:12" x14ac:dyDescent="0.15">
      <c r="A236" s="1">
        <v>235</v>
      </c>
      <c r="B236" s="4">
        <v>41142</v>
      </c>
      <c r="C236" s="1" t="s">
        <v>19</v>
      </c>
      <c r="D236" s="1" t="s">
        <v>15</v>
      </c>
      <c r="E236" s="1">
        <v>0.48592592592592593</v>
      </c>
      <c r="F236" s="1" t="s">
        <v>13</v>
      </c>
      <c r="G236" s="1">
        <v>3.37</v>
      </c>
      <c r="H236" s="1">
        <v>3.43</v>
      </c>
      <c r="I236" s="1">
        <v>0</v>
      </c>
      <c r="J236" s="4">
        <v>41143</v>
      </c>
      <c r="K236" s="4">
        <v>41416</v>
      </c>
      <c r="L236">
        <f t="shared" si="3"/>
        <v>3.4000000000000004</v>
      </c>
    </row>
    <row r="237" spans="1:12" x14ac:dyDescent="0.15">
      <c r="A237" s="1">
        <v>236</v>
      </c>
      <c r="B237" s="4">
        <v>41142</v>
      </c>
      <c r="C237" s="1" t="s">
        <v>22</v>
      </c>
      <c r="D237" s="1" t="s">
        <v>12</v>
      </c>
      <c r="E237" s="1">
        <v>0.66686342592592596</v>
      </c>
      <c r="F237" s="1" t="s">
        <v>13</v>
      </c>
      <c r="G237" s="1">
        <v>3.5</v>
      </c>
      <c r="H237" s="1">
        <v>3.6</v>
      </c>
      <c r="I237" s="1">
        <v>0</v>
      </c>
      <c r="J237" s="4">
        <v>41143</v>
      </c>
      <c r="K237" s="4">
        <v>41327</v>
      </c>
      <c r="L237">
        <f t="shared" si="3"/>
        <v>3.55</v>
      </c>
    </row>
    <row r="238" spans="1:12" x14ac:dyDescent="0.15">
      <c r="A238" s="1">
        <v>237</v>
      </c>
      <c r="B238" s="4">
        <v>41142</v>
      </c>
      <c r="C238" s="1" t="s">
        <v>23</v>
      </c>
      <c r="D238" s="1" t="s">
        <v>26</v>
      </c>
      <c r="E238" s="1">
        <v>0.68276620370370367</v>
      </c>
      <c r="F238" s="1" t="s">
        <v>13</v>
      </c>
      <c r="G238" s="1">
        <v>3</v>
      </c>
      <c r="H238" s="1">
        <v>3.3</v>
      </c>
      <c r="I238" s="1">
        <v>0</v>
      </c>
      <c r="J238" s="4">
        <v>41143</v>
      </c>
      <c r="K238" s="4">
        <v>43334</v>
      </c>
      <c r="L238">
        <f t="shared" si="3"/>
        <v>3.15</v>
      </c>
    </row>
    <row r="239" spans="1:12" x14ac:dyDescent="0.15">
      <c r="A239" s="1">
        <v>238</v>
      </c>
      <c r="B239" s="4">
        <v>41142</v>
      </c>
      <c r="C239" s="1" t="s">
        <v>19</v>
      </c>
      <c r="D239" s="1" t="s">
        <v>26</v>
      </c>
      <c r="E239" s="1">
        <v>0.68276620370370367</v>
      </c>
      <c r="F239" s="1" t="s">
        <v>13</v>
      </c>
      <c r="G239" s="1">
        <v>3.6</v>
      </c>
      <c r="H239" s="1">
        <v>3.7</v>
      </c>
      <c r="I239" s="1">
        <v>0</v>
      </c>
      <c r="J239" s="4">
        <v>41143</v>
      </c>
      <c r="K239" s="4">
        <v>41416</v>
      </c>
      <c r="L239">
        <f t="shared" si="3"/>
        <v>3.6500000000000004</v>
      </c>
    </row>
    <row r="240" spans="1:12" x14ac:dyDescent="0.15">
      <c r="A240" s="1">
        <v>239</v>
      </c>
      <c r="B240" s="4">
        <v>41142</v>
      </c>
      <c r="C240" s="1" t="s">
        <v>22</v>
      </c>
      <c r="D240" s="1" t="s">
        <v>26</v>
      </c>
      <c r="E240" s="1">
        <v>0.68276620370370367</v>
      </c>
      <c r="F240" s="1" t="s">
        <v>13</v>
      </c>
      <c r="G240" s="1">
        <v>3.3</v>
      </c>
      <c r="H240" s="1">
        <v>3.5</v>
      </c>
      <c r="I240" s="1">
        <v>0</v>
      </c>
      <c r="J240" s="4">
        <v>41143</v>
      </c>
      <c r="K240" s="4">
        <v>41327</v>
      </c>
      <c r="L240">
        <f t="shared" si="3"/>
        <v>3.4</v>
      </c>
    </row>
    <row r="241" spans="1:12" x14ac:dyDescent="0.15">
      <c r="A241" s="1">
        <v>240</v>
      </c>
      <c r="B241" s="4">
        <v>41142</v>
      </c>
      <c r="C241" s="1" t="s">
        <v>24</v>
      </c>
      <c r="D241" s="1" t="s">
        <v>26</v>
      </c>
      <c r="E241" s="1">
        <v>0.68276620370370367</v>
      </c>
      <c r="F241" s="1" t="s">
        <v>13</v>
      </c>
      <c r="G241" s="1">
        <v>3</v>
      </c>
      <c r="H241" s="1">
        <v>3.3</v>
      </c>
      <c r="I241" s="1">
        <v>0</v>
      </c>
      <c r="J241" s="4">
        <v>41143</v>
      </c>
      <c r="K241" s="4">
        <v>44065</v>
      </c>
      <c r="L241">
        <f t="shared" si="3"/>
        <v>3.15</v>
      </c>
    </row>
    <row r="242" spans="1:12" x14ac:dyDescent="0.15">
      <c r="A242" s="1">
        <v>241</v>
      </c>
      <c r="B242" s="4">
        <v>41142</v>
      </c>
      <c r="C242" s="1" t="s">
        <v>14</v>
      </c>
      <c r="D242" s="1" t="s">
        <v>26</v>
      </c>
      <c r="E242" s="1">
        <v>0.68276620370370367</v>
      </c>
      <c r="F242" s="1" t="s">
        <v>13</v>
      </c>
      <c r="G242" s="1">
        <v>3.3</v>
      </c>
      <c r="H242" s="1">
        <v>3.4</v>
      </c>
      <c r="I242" s="1">
        <v>0</v>
      </c>
      <c r="J242" s="4">
        <v>41143</v>
      </c>
      <c r="K242" s="4">
        <v>41508</v>
      </c>
      <c r="L242">
        <f t="shared" si="3"/>
        <v>3.3499999999999996</v>
      </c>
    </row>
    <row r="243" spans="1:12" x14ac:dyDescent="0.15">
      <c r="A243" s="1">
        <v>242</v>
      </c>
      <c r="B243" s="4">
        <v>41142</v>
      </c>
      <c r="C243" s="1" t="s">
        <v>21</v>
      </c>
      <c r="D243" s="1" t="s">
        <v>26</v>
      </c>
      <c r="E243" s="1">
        <v>0.68276620370370367</v>
      </c>
      <c r="F243" s="1" t="s">
        <v>13</v>
      </c>
      <c r="G243" s="1">
        <v>3</v>
      </c>
      <c r="H243" s="1">
        <v>3.3</v>
      </c>
      <c r="I243" s="1">
        <v>0</v>
      </c>
      <c r="J243" s="4">
        <v>41143</v>
      </c>
      <c r="K243" s="4">
        <v>43699</v>
      </c>
      <c r="L243">
        <f t="shared" si="3"/>
        <v>3.15</v>
      </c>
    </row>
    <row r="244" spans="1:12" x14ac:dyDescent="0.15">
      <c r="A244" s="1">
        <v>243</v>
      </c>
      <c r="B244" s="4">
        <v>41142</v>
      </c>
      <c r="C244" s="1" t="s">
        <v>11</v>
      </c>
      <c r="D244" s="1" t="s">
        <v>15</v>
      </c>
      <c r="E244" s="1">
        <v>0.67800925925925926</v>
      </c>
      <c r="F244" s="1" t="s">
        <v>13</v>
      </c>
      <c r="G244" s="1">
        <v>3.16</v>
      </c>
      <c r="H244" s="1">
        <v>3.22</v>
      </c>
      <c r="I244" s="1">
        <v>0</v>
      </c>
      <c r="J244" s="4">
        <v>41143</v>
      </c>
      <c r="K244" s="4">
        <v>42238</v>
      </c>
      <c r="L244">
        <f t="shared" si="3"/>
        <v>3.1900000000000004</v>
      </c>
    </row>
    <row r="245" spans="1:12" x14ac:dyDescent="0.15">
      <c r="A245" s="1">
        <v>244</v>
      </c>
      <c r="B245" s="4">
        <v>41142</v>
      </c>
      <c r="C245" s="1" t="s">
        <v>16</v>
      </c>
      <c r="D245" s="1" t="s">
        <v>15</v>
      </c>
      <c r="E245" s="1">
        <v>0.67800925925925926</v>
      </c>
      <c r="F245" s="1" t="s">
        <v>13</v>
      </c>
      <c r="G245" s="1">
        <v>3.15</v>
      </c>
      <c r="H245" s="1">
        <v>3.21</v>
      </c>
      <c r="I245" s="1">
        <v>0</v>
      </c>
      <c r="J245" s="4">
        <v>41143</v>
      </c>
      <c r="K245" s="4">
        <v>42604</v>
      </c>
      <c r="L245">
        <f t="shared" si="3"/>
        <v>3.1799999999999997</v>
      </c>
    </row>
    <row r="246" spans="1:12" x14ac:dyDescent="0.15">
      <c r="A246" s="1">
        <v>245</v>
      </c>
      <c r="B246" s="4">
        <v>41142</v>
      </c>
      <c r="C246" s="1" t="s">
        <v>20</v>
      </c>
      <c r="D246" s="1" t="s">
        <v>26</v>
      </c>
      <c r="E246" s="1">
        <v>0.68276620370370367</v>
      </c>
      <c r="F246" s="1" t="s">
        <v>13</v>
      </c>
      <c r="G246" s="1">
        <v>3</v>
      </c>
      <c r="H246" s="1">
        <v>3.3</v>
      </c>
      <c r="I246" s="1">
        <v>0</v>
      </c>
      <c r="J246" s="4">
        <v>41143</v>
      </c>
      <c r="K246" s="4">
        <v>44795</v>
      </c>
      <c r="L246">
        <f t="shared" si="3"/>
        <v>3.15</v>
      </c>
    </row>
    <row r="247" spans="1:12" x14ac:dyDescent="0.15">
      <c r="A247" s="1">
        <v>246</v>
      </c>
      <c r="B247" s="4">
        <v>41142</v>
      </c>
      <c r="C247" s="1" t="s">
        <v>17</v>
      </c>
      <c r="D247" s="1" t="s">
        <v>26</v>
      </c>
      <c r="E247" s="1">
        <v>0.68276620370370367</v>
      </c>
      <c r="F247" s="1" t="s">
        <v>13</v>
      </c>
      <c r="G247" s="1">
        <v>3</v>
      </c>
      <c r="H247" s="1">
        <v>3.3</v>
      </c>
      <c r="I247" s="1">
        <v>0</v>
      </c>
      <c r="J247" s="4">
        <v>41143</v>
      </c>
      <c r="K247" s="4">
        <v>44430</v>
      </c>
      <c r="L247">
        <f t="shared" si="3"/>
        <v>3.15</v>
      </c>
    </row>
    <row r="248" spans="1:12" x14ac:dyDescent="0.15">
      <c r="A248" s="1">
        <v>247</v>
      </c>
      <c r="B248" s="4">
        <v>41142</v>
      </c>
      <c r="C248" s="1" t="s">
        <v>18</v>
      </c>
      <c r="D248" s="1" t="s">
        <v>26</v>
      </c>
      <c r="E248" s="1">
        <v>0.68276620370370367</v>
      </c>
      <c r="F248" s="1" t="s">
        <v>13</v>
      </c>
      <c r="G248" s="1">
        <v>3.2</v>
      </c>
      <c r="H248" s="1">
        <v>3.3</v>
      </c>
      <c r="I248" s="1">
        <v>0</v>
      </c>
      <c r="J248" s="4">
        <v>41143</v>
      </c>
      <c r="K248" s="4">
        <v>41873</v>
      </c>
      <c r="L248">
        <f t="shared" si="3"/>
        <v>3.25</v>
      </c>
    </row>
    <row r="249" spans="1:12" x14ac:dyDescent="0.15">
      <c r="A249" s="1">
        <v>248</v>
      </c>
      <c r="B249" s="4">
        <v>41142</v>
      </c>
      <c r="C249" s="1" t="s">
        <v>25</v>
      </c>
      <c r="D249" s="1" t="s">
        <v>26</v>
      </c>
      <c r="E249" s="1">
        <v>0.68277777777777782</v>
      </c>
      <c r="F249" s="1" t="s">
        <v>13</v>
      </c>
      <c r="G249" s="1">
        <v>3.2</v>
      </c>
      <c r="H249" s="1">
        <v>3.3</v>
      </c>
      <c r="I249" s="1">
        <v>0</v>
      </c>
      <c r="J249" s="4">
        <v>41143</v>
      </c>
      <c r="K249" s="4">
        <v>42969</v>
      </c>
      <c r="L249">
        <f t="shared" si="3"/>
        <v>3.25</v>
      </c>
    </row>
    <row r="250" spans="1:12" x14ac:dyDescent="0.15">
      <c r="A250" s="1">
        <v>249</v>
      </c>
      <c r="B250" s="4">
        <v>41142</v>
      </c>
      <c r="C250" s="1" t="s">
        <v>20</v>
      </c>
      <c r="D250" s="1" t="s">
        <v>26</v>
      </c>
      <c r="E250" s="1">
        <v>0.68650462962962966</v>
      </c>
      <c r="F250" s="1" t="s">
        <v>13</v>
      </c>
      <c r="G250" s="1">
        <v>3.06</v>
      </c>
      <c r="H250" s="1">
        <v>3.16</v>
      </c>
      <c r="I250" s="1">
        <v>0</v>
      </c>
      <c r="J250" s="4">
        <v>41143</v>
      </c>
      <c r="K250" s="4">
        <v>44795</v>
      </c>
      <c r="L250">
        <f t="shared" si="3"/>
        <v>3.1100000000000003</v>
      </c>
    </row>
    <row r="251" spans="1:12" x14ac:dyDescent="0.15">
      <c r="A251" s="1">
        <v>250</v>
      </c>
      <c r="B251" s="4">
        <v>41142</v>
      </c>
      <c r="C251" s="1" t="s">
        <v>14</v>
      </c>
      <c r="D251" s="1" t="s">
        <v>26</v>
      </c>
      <c r="E251" s="1">
        <v>0.68650462962962966</v>
      </c>
      <c r="F251" s="1" t="s">
        <v>13</v>
      </c>
      <c r="G251" s="1">
        <v>3.3</v>
      </c>
      <c r="H251" s="1">
        <v>3.4</v>
      </c>
      <c r="I251" s="1">
        <v>0</v>
      </c>
      <c r="J251" s="4">
        <v>41143</v>
      </c>
      <c r="K251" s="4">
        <v>41508</v>
      </c>
      <c r="L251">
        <f t="shared" si="3"/>
        <v>3.3499999999999996</v>
      </c>
    </row>
    <row r="252" spans="1:12" x14ac:dyDescent="0.15">
      <c r="A252" s="1">
        <v>251</v>
      </c>
      <c r="B252" s="4">
        <v>41142</v>
      </c>
      <c r="C252" s="1" t="s">
        <v>18</v>
      </c>
      <c r="D252" s="1" t="s">
        <v>26</v>
      </c>
      <c r="E252" s="1">
        <v>0.68650462962962966</v>
      </c>
      <c r="F252" s="1" t="s">
        <v>13</v>
      </c>
      <c r="G252" s="1">
        <v>3.13</v>
      </c>
      <c r="H252" s="1">
        <v>3.23</v>
      </c>
      <c r="I252" s="1">
        <v>0</v>
      </c>
      <c r="J252" s="4">
        <v>41143</v>
      </c>
      <c r="K252" s="4">
        <v>41873</v>
      </c>
      <c r="L252">
        <f t="shared" si="3"/>
        <v>3.1799999999999997</v>
      </c>
    </row>
    <row r="253" spans="1:12" x14ac:dyDescent="0.15">
      <c r="A253" s="1">
        <v>252</v>
      </c>
      <c r="B253" s="4">
        <v>41142</v>
      </c>
      <c r="C253" s="1" t="s">
        <v>11</v>
      </c>
      <c r="D253" s="1" t="s">
        <v>26</v>
      </c>
      <c r="E253" s="1">
        <v>0.6865162037037037</v>
      </c>
      <c r="F253" s="1" t="s">
        <v>13</v>
      </c>
      <c r="G253" s="1">
        <v>3.1</v>
      </c>
      <c r="H253" s="1">
        <v>3.2</v>
      </c>
      <c r="I253" s="1">
        <v>0</v>
      </c>
      <c r="J253" s="4">
        <v>41143</v>
      </c>
      <c r="K253" s="4">
        <v>42238</v>
      </c>
      <c r="L253">
        <f t="shared" si="3"/>
        <v>3.1500000000000004</v>
      </c>
    </row>
    <row r="254" spans="1:12" x14ac:dyDescent="0.15">
      <c r="A254" s="1">
        <v>253</v>
      </c>
      <c r="B254" s="4">
        <v>41142</v>
      </c>
      <c r="C254" s="1" t="s">
        <v>21</v>
      </c>
      <c r="D254" s="1" t="s">
        <v>26</v>
      </c>
      <c r="E254" s="1">
        <v>0.68650462962962966</v>
      </c>
      <c r="F254" s="1" t="s">
        <v>13</v>
      </c>
      <c r="G254" s="1">
        <v>3.06</v>
      </c>
      <c r="H254" s="1">
        <v>3.16</v>
      </c>
      <c r="I254" s="1">
        <v>0</v>
      </c>
      <c r="J254" s="4">
        <v>41143</v>
      </c>
      <c r="K254" s="4">
        <v>43699</v>
      </c>
      <c r="L254">
        <f t="shared" si="3"/>
        <v>3.1100000000000003</v>
      </c>
    </row>
    <row r="255" spans="1:12" x14ac:dyDescent="0.15">
      <c r="A255" s="1">
        <v>254</v>
      </c>
      <c r="B255" s="4">
        <v>41142</v>
      </c>
      <c r="C255" s="1" t="s">
        <v>16</v>
      </c>
      <c r="D255" s="1" t="s">
        <v>26</v>
      </c>
      <c r="E255" s="1">
        <v>0.68650462962962966</v>
      </c>
      <c r="F255" s="1" t="s">
        <v>13</v>
      </c>
      <c r="G255" s="1">
        <v>3.1</v>
      </c>
      <c r="H255" s="1">
        <v>3.2</v>
      </c>
      <c r="I255" s="1">
        <v>0</v>
      </c>
      <c r="J255" s="4">
        <v>41143</v>
      </c>
      <c r="K255" s="4">
        <v>42604</v>
      </c>
      <c r="L255">
        <f t="shared" si="3"/>
        <v>3.1500000000000004</v>
      </c>
    </row>
    <row r="256" spans="1:12" x14ac:dyDescent="0.15">
      <c r="A256" s="1">
        <v>255</v>
      </c>
      <c r="B256" s="4">
        <v>41142</v>
      </c>
      <c r="C256" s="1" t="s">
        <v>11</v>
      </c>
      <c r="D256" s="1" t="s">
        <v>26</v>
      </c>
      <c r="E256" s="1">
        <v>0.68277777777777782</v>
      </c>
      <c r="F256" s="1" t="s">
        <v>13</v>
      </c>
      <c r="G256" s="1">
        <v>3.2</v>
      </c>
      <c r="H256" s="1">
        <v>3.3</v>
      </c>
      <c r="I256" s="1">
        <v>0</v>
      </c>
      <c r="J256" s="4">
        <v>41143</v>
      </c>
      <c r="K256" s="4">
        <v>42238</v>
      </c>
      <c r="L256">
        <f t="shared" si="3"/>
        <v>3.25</v>
      </c>
    </row>
    <row r="257" spans="1:12" x14ac:dyDescent="0.15">
      <c r="A257" s="1">
        <v>256</v>
      </c>
      <c r="B257" s="4">
        <v>41142</v>
      </c>
      <c r="C257" s="1" t="s">
        <v>16</v>
      </c>
      <c r="D257" s="1" t="s">
        <v>26</v>
      </c>
      <c r="E257" s="1">
        <v>0.68277777777777782</v>
      </c>
      <c r="F257" s="1" t="s">
        <v>13</v>
      </c>
      <c r="G257" s="1">
        <v>3.2</v>
      </c>
      <c r="H257" s="1">
        <v>3.3</v>
      </c>
      <c r="I257" s="1">
        <v>0</v>
      </c>
      <c r="J257" s="4">
        <v>41143</v>
      </c>
      <c r="K257" s="4">
        <v>42604</v>
      </c>
      <c r="L257">
        <f t="shared" si="3"/>
        <v>3.25</v>
      </c>
    </row>
    <row r="258" spans="1:12" x14ac:dyDescent="0.15">
      <c r="A258" s="1">
        <v>257</v>
      </c>
      <c r="B258" s="4">
        <v>41142</v>
      </c>
      <c r="C258" s="1" t="s">
        <v>22</v>
      </c>
      <c r="D258" s="1" t="s">
        <v>26</v>
      </c>
      <c r="E258" s="1">
        <v>0.68648148148148147</v>
      </c>
      <c r="F258" s="1" t="s">
        <v>13</v>
      </c>
      <c r="G258" s="1">
        <v>3.48</v>
      </c>
      <c r="H258" s="1">
        <v>3.55</v>
      </c>
      <c r="I258" s="1">
        <v>0</v>
      </c>
      <c r="J258" s="4">
        <v>41143</v>
      </c>
      <c r="K258" s="4">
        <v>41327</v>
      </c>
      <c r="L258">
        <f t="shared" si="3"/>
        <v>3.5149999999999997</v>
      </c>
    </row>
    <row r="259" spans="1:12" x14ac:dyDescent="0.15">
      <c r="A259" s="1">
        <v>258</v>
      </c>
      <c r="B259" s="4">
        <v>41142</v>
      </c>
      <c r="C259" s="1" t="s">
        <v>25</v>
      </c>
      <c r="D259" s="1" t="s">
        <v>26</v>
      </c>
      <c r="E259" s="1">
        <v>0.68650462962962966</v>
      </c>
      <c r="F259" s="1" t="s">
        <v>13</v>
      </c>
      <c r="G259" s="1">
        <v>3.1</v>
      </c>
      <c r="H259" s="1">
        <v>3.2</v>
      </c>
      <c r="I259" s="1">
        <v>0</v>
      </c>
      <c r="J259" s="4">
        <v>41143</v>
      </c>
      <c r="K259" s="4">
        <v>42969</v>
      </c>
      <c r="L259">
        <f t="shared" ref="L259:L322" si="4">AVERAGE(G259:H259)</f>
        <v>3.1500000000000004</v>
      </c>
    </row>
    <row r="260" spans="1:12" x14ac:dyDescent="0.15">
      <c r="A260" s="1">
        <v>259</v>
      </c>
      <c r="B260" s="4">
        <v>41142</v>
      </c>
      <c r="C260" s="1" t="s">
        <v>19</v>
      </c>
      <c r="D260" s="1" t="s">
        <v>26</v>
      </c>
      <c r="E260" s="1">
        <v>0.68650462962962966</v>
      </c>
      <c r="F260" s="1" t="s">
        <v>13</v>
      </c>
      <c r="G260" s="1">
        <v>3.38</v>
      </c>
      <c r="H260" s="1">
        <v>3.48</v>
      </c>
      <c r="I260" s="1">
        <v>0</v>
      </c>
      <c r="J260" s="4">
        <v>41143</v>
      </c>
      <c r="K260" s="4">
        <v>41416</v>
      </c>
      <c r="L260">
        <f t="shared" si="4"/>
        <v>3.4299999999999997</v>
      </c>
    </row>
    <row r="261" spans="1:12" x14ac:dyDescent="0.15">
      <c r="A261" s="1">
        <v>260</v>
      </c>
      <c r="B261" s="4">
        <v>41142</v>
      </c>
      <c r="C261" s="1" t="s">
        <v>25</v>
      </c>
      <c r="D261" s="1" t="s">
        <v>15</v>
      </c>
      <c r="E261" s="1">
        <v>0.67800925925925926</v>
      </c>
      <c r="F261" s="1" t="s">
        <v>13</v>
      </c>
      <c r="G261" s="1">
        <v>3.16</v>
      </c>
      <c r="H261" s="1">
        <v>3.22</v>
      </c>
      <c r="I261" s="1">
        <v>0</v>
      </c>
      <c r="J261" s="4">
        <v>41143</v>
      </c>
      <c r="K261" s="4">
        <v>42969</v>
      </c>
      <c r="L261">
        <f t="shared" si="4"/>
        <v>3.1900000000000004</v>
      </c>
    </row>
    <row r="262" spans="1:12" x14ac:dyDescent="0.15">
      <c r="A262" s="1">
        <v>261</v>
      </c>
      <c r="B262" s="4">
        <v>41142</v>
      </c>
      <c r="C262" s="1" t="s">
        <v>20</v>
      </c>
      <c r="D262" s="1" t="s">
        <v>12</v>
      </c>
      <c r="E262" s="1">
        <v>0.666875</v>
      </c>
      <c r="F262" s="1" t="s">
        <v>13</v>
      </c>
      <c r="G262" s="1">
        <v>3.17</v>
      </c>
      <c r="H262" s="1">
        <v>3.57</v>
      </c>
      <c r="I262" s="1">
        <v>0</v>
      </c>
      <c r="J262" s="4">
        <v>41143</v>
      </c>
      <c r="K262" s="4">
        <v>44795</v>
      </c>
      <c r="L262">
        <f t="shared" si="4"/>
        <v>3.37</v>
      </c>
    </row>
    <row r="263" spans="1:12" x14ac:dyDescent="0.15">
      <c r="A263" s="1">
        <v>262</v>
      </c>
      <c r="B263" s="4">
        <v>41142</v>
      </c>
      <c r="C263" s="1" t="s">
        <v>19</v>
      </c>
      <c r="D263" s="1" t="s">
        <v>12</v>
      </c>
      <c r="E263" s="1">
        <v>0.666875</v>
      </c>
      <c r="F263" s="1" t="s">
        <v>13</v>
      </c>
      <c r="G263" s="1">
        <v>3.4</v>
      </c>
      <c r="H263" s="1">
        <v>3.5</v>
      </c>
      <c r="I263" s="1">
        <v>0</v>
      </c>
      <c r="J263" s="4">
        <v>41143</v>
      </c>
      <c r="K263" s="4">
        <v>41416</v>
      </c>
      <c r="L263">
        <f t="shared" si="4"/>
        <v>3.45</v>
      </c>
    </row>
    <row r="264" spans="1:12" x14ac:dyDescent="0.15">
      <c r="A264" s="1">
        <v>263</v>
      </c>
      <c r="B264" s="4">
        <v>41142</v>
      </c>
      <c r="C264" s="1" t="s">
        <v>24</v>
      </c>
      <c r="D264" s="1" t="s">
        <v>12</v>
      </c>
      <c r="E264" s="1">
        <v>0.666875</v>
      </c>
      <c r="F264" s="1" t="s">
        <v>13</v>
      </c>
      <c r="G264" s="1">
        <v>3.15</v>
      </c>
      <c r="H264" s="1">
        <v>3.55</v>
      </c>
      <c r="I264" s="1">
        <v>0</v>
      </c>
      <c r="J264" s="4">
        <v>41143</v>
      </c>
      <c r="K264" s="4">
        <v>44065</v>
      </c>
      <c r="L264">
        <f t="shared" si="4"/>
        <v>3.3499999999999996</v>
      </c>
    </row>
    <row r="265" spans="1:12" x14ac:dyDescent="0.15">
      <c r="A265" s="1">
        <v>264</v>
      </c>
      <c r="B265" s="4">
        <v>41142</v>
      </c>
      <c r="C265" s="1" t="s">
        <v>14</v>
      </c>
      <c r="D265" s="1" t="s">
        <v>27</v>
      </c>
      <c r="E265" s="1">
        <v>0.6723958333333333</v>
      </c>
      <c r="F265" s="1" t="s">
        <v>13</v>
      </c>
      <c r="G265" s="1">
        <v>3.33</v>
      </c>
      <c r="H265" s="1">
        <v>3.4</v>
      </c>
      <c r="I265" s="1">
        <v>0</v>
      </c>
      <c r="J265" s="4">
        <v>41143</v>
      </c>
      <c r="K265" s="4">
        <v>41508</v>
      </c>
      <c r="L265">
        <f t="shared" si="4"/>
        <v>3.3650000000000002</v>
      </c>
    </row>
    <row r="266" spans="1:12" x14ac:dyDescent="0.15">
      <c r="A266" s="1">
        <v>265</v>
      </c>
      <c r="B266" s="4">
        <v>41142</v>
      </c>
      <c r="C266" s="1" t="s">
        <v>25</v>
      </c>
      <c r="D266" s="1" t="s">
        <v>12</v>
      </c>
      <c r="E266" s="1">
        <v>0.666875</v>
      </c>
      <c r="F266" s="1" t="s">
        <v>13</v>
      </c>
      <c r="G266" s="1">
        <v>3.19</v>
      </c>
      <c r="H266" s="1">
        <v>3.29</v>
      </c>
      <c r="I266" s="1">
        <v>0</v>
      </c>
      <c r="J266" s="4">
        <v>41143</v>
      </c>
      <c r="K266" s="4">
        <v>42969</v>
      </c>
      <c r="L266">
        <f t="shared" si="4"/>
        <v>3.24</v>
      </c>
    </row>
    <row r="267" spans="1:12" x14ac:dyDescent="0.15">
      <c r="A267" s="1">
        <v>266</v>
      </c>
      <c r="B267" s="4">
        <v>41142</v>
      </c>
      <c r="C267" s="1" t="s">
        <v>21</v>
      </c>
      <c r="D267" s="1" t="s">
        <v>12</v>
      </c>
      <c r="E267" s="1">
        <v>0.666875</v>
      </c>
      <c r="F267" s="1" t="s">
        <v>13</v>
      </c>
      <c r="G267" s="1">
        <v>3.15</v>
      </c>
      <c r="H267" s="1">
        <v>3.55</v>
      </c>
      <c r="I267" s="1">
        <v>0</v>
      </c>
      <c r="J267" s="4">
        <v>41143</v>
      </c>
      <c r="K267" s="4">
        <v>43699</v>
      </c>
      <c r="L267">
        <f t="shared" si="4"/>
        <v>3.3499999999999996</v>
      </c>
    </row>
    <row r="268" spans="1:12" x14ac:dyDescent="0.15">
      <c r="A268" s="1">
        <v>267</v>
      </c>
      <c r="B268" s="4">
        <v>41142</v>
      </c>
      <c r="C268" s="1" t="s">
        <v>18</v>
      </c>
      <c r="D268" s="1" t="s">
        <v>12</v>
      </c>
      <c r="E268" s="1">
        <v>0.66686342592592596</v>
      </c>
      <c r="F268" s="1" t="s">
        <v>13</v>
      </c>
      <c r="G268" s="1">
        <v>3.2</v>
      </c>
      <c r="H268" s="1">
        <v>3.3</v>
      </c>
      <c r="I268" s="1">
        <v>0</v>
      </c>
      <c r="J268" s="4">
        <v>41143</v>
      </c>
      <c r="K268" s="4">
        <v>41873</v>
      </c>
      <c r="L268">
        <f t="shared" si="4"/>
        <v>3.25</v>
      </c>
    </row>
    <row r="269" spans="1:12" x14ac:dyDescent="0.15">
      <c r="A269" s="1">
        <v>268</v>
      </c>
      <c r="B269" s="4">
        <v>41142</v>
      </c>
      <c r="C269" s="1" t="s">
        <v>14</v>
      </c>
      <c r="D269" s="1" t="s">
        <v>12</v>
      </c>
      <c r="E269" s="1">
        <v>0.66686342592592596</v>
      </c>
      <c r="F269" s="1" t="s">
        <v>13</v>
      </c>
      <c r="G269" s="1">
        <v>3.3</v>
      </c>
      <c r="H269" s="1">
        <v>3.4</v>
      </c>
      <c r="I269" s="1">
        <v>0</v>
      </c>
      <c r="J269" s="4">
        <v>41143</v>
      </c>
      <c r="K269" s="4">
        <v>41508</v>
      </c>
      <c r="L269">
        <f t="shared" si="4"/>
        <v>3.3499999999999996</v>
      </c>
    </row>
    <row r="270" spans="1:12" x14ac:dyDescent="0.15">
      <c r="A270" s="1">
        <v>269</v>
      </c>
      <c r="B270" s="4">
        <v>41142</v>
      </c>
      <c r="C270" s="1" t="s">
        <v>16</v>
      </c>
      <c r="D270" s="1" t="s">
        <v>12</v>
      </c>
      <c r="E270" s="1">
        <v>0.666875</v>
      </c>
      <c r="F270" s="1" t="s">
        <v>13</v>
      </c>
      <c r="G270" s="1">
        <v>3.15</v>
      </c>
      <c r="H270" s="1">
        <v>3.25</v>
      </c>
      <c r="I270" s="1">
        <v>0</v>
      </c>
      <c r="J270" s="4">
        <v>41143</v>
      </c>
      <c r="K270" s="4">
        <v>42604</v>
      </c>
      <c r="L270">
        <f t="shared" si="4"/>
        <v>3.2</v>
      </c>
    </row>
    <row r="271" spans="1:12" x14ac:dyDescent="0.15">
      <c r="A271" s="1">
        <v>270</v>
      </c>
      <c r="B271" s="4">
        <v>41142</v>
      </c>
      <c r="C271" s="1" t="s">
        <v>11</v>
      </c>
      <c r="D271" s="1" t="s">
        <v>12</v>
      </c>
      <c r="E271" s="1">
        <v>0.666875</v>
      </c>
      <c r="F271" s="1" t="s">
        <v>13</v>
      </c>
      <c r="G271" s="1">
        <v>3.15</v>
      </c>
      <c r="H271" s="1">
        <v>3.25</v>
      </c>
      <c r="I271" s="1">
        <v>0</v>
      </c>
      <c r="J271" s="4">
        <v>41143</v>
      </c>
      <c r="K271" s="4">
        <v>42238</v>
      </c>
      <c r="L271">
        <f t="shared" si="4"/>
        <v>3.2</v>
      </c>
    </row>
    <row r="272" spans="1:12" x14ac:dyDescent="0.15">
      <c r="A272" s="1">
        <v>271</v>
      </c>
      <c r="B272" s="4">
        <v>41142</v>
      </c>
      <c r="C272" s="1" t="s">
        <v>17</v>
      </c>
      <c r="D272" s="1" t="s">
        <v>12</v>
      </c>
      <c r="E272" s="1">
        <v>0.666875</v>
      </c>
      <c r="F272" s="1" t="s">
        <v>13</v>
      </c>
      <c r="G272" s="1">
        <v>3.15</v>
      </c>
      <c r="H272" s="1">
        <v>3.55</v>
      </c>
      <c r="I272" s="1">
        <v>0</v>
      </c>
      <c r="J272" s="4">
        <v>41143</v>
      </c>
      <c r="K272" s="4">
        <v>44430</v>
      </c>
      <c r="L272">
        <f t="shared" si="4"/>
        <v>3.3499999999999996</v>
      </c>
    </row>
    <row r="273" spans="1:12" x14ac:dyDescent="0.15">
      <c r="A273" s="1">
        <v>272</v>
      </c>
      <c r="B273" s="4">
        <v>41142</v>
      </c>
      <c r="C273" s="1" t="s">
        <v>25</v>
      </c>
      <c r="D273" s="1" t="s">
        <v>27</v>
      </c>
      <c r="E273" s="1">
        <v>0.67243055555555553</v>
      </c>
      <c r="F273" s="1" t="s">
        <v>13</v>
      </c>
      <c r="G273" s="1">
        <v>3.17</v>
      </c>
      <c r="H273" s="1">
        <v>3.23</v>
      </c>
      <c r="I273" s="1">
        <v>0</v>
      </c>
      <c r="J273" s="4">
        <v>41143</v>
      </c>
      <c r="K273" s="4">
        <v>42969</v>
      </c>
      <c r="L273">
        <f t="shared" si="4"/>
        <v>3.2</v>
      </c>
    </row>
    <row r="274" spans="1:12" x14ac:dyDescent="0.15">
      <c r="A274" s="1">
        <v>273</v>
      </c>
      <c r="B274" s="4">
        <v>41142</v>
      </c>
      <c r="C274" s="1" t="s">
        <v>19</v>
      </c>
      <c r="D274" s="1" t="s">
        <v>15</v>
      </c>
      <c r="E274" s="1">
        <v>0.67799768518518511</v>
      </c>
      <c r="F274" s="1" t="s">
        <v>13</v>
      </c>
      <c r="G274" s="1">
        <v>3.37</v>
      </c>
      <c r="H274" s="1">
        <v>3.43</v>
      </c>
      <c r="I274" s="1">
        <v>0</v>
      </c>
      <c r="J274" s="4">
        <v>41143</v>
      </c>
      <c r="K274" s="4">
        <v>41416</v>
      </c>
      <c r="L274">
        <f t="shared" si="4"/>
        <v>3.4000000000000004</v>
      </c>
    </row>
    <row r="275" spans="1:12" x14ac:dyDescent="0.15">
      <c r="A275" s="1">
        <v>274</v>
      </c>
      <c r="B275" s="4">
        <v>41142</v>
      </c>
      <c r="C275" s="1" t="s">
        <v>21</v>
      </c>
      <c r="D275" s="1" t="s">
        <v>15</v>
      </c>
      <c r="E275" s="1">
        <v>0.67799768518518511</v>
      </c>
      <c r="F275" s="1" t="s">
        <v>13</v>
      </c>
      <c r="G275" s="1">
        <v>3.17</v>
      </c>
      <c r="H275" s="1">
        <v>3.23</v>
      </c>
      <c r="I275" s="1">
        <v>0</v>
      </c>
      <c r="J275" s="4">
        <v>41143</v>
      </c>
      <c r="K275" s="4">
        <v>43699</v>
      </c>
      <c r="L275">
        <f t="shared" si="4"/>
        <v>3.2</v>
      </c>
    </row>
    <row r="276" spans="1:12" x14ac:dyDescent="0.15">
      <c r="A276" s="1">
        <v>275</v>
      </c>
      <c r="B276" s="4">
        <v>41142</v>
      </c>
      <c r="C276" s="1" t="s">
        <v>20</v>
      </c>
      <c r="D276" s="1" t="s">
        <v>15</v>
      </c>
      <c r="E276" s="1">
        <v>0.67799768518518511</v>
      </c>
      <c r="F276" s="1" t="s">
        <v>13</v>
      </c>
      <c r="G276" s="1">
        <v>3.27</v>
      </c>
      <c r="H276" s="1">
        <v>3.33</v>
      </c>
      <c r="I276" s="1">
        <v>0</v>
      </c>
      <c r="J276" s="4">
        <v>41143</v>
      </c>
      <c r="K276" s="4">
        <v>44795</v>
      </c>
      <c r="L276">
        <f t="shared" si="4"/>
        <v>3.3</v>
      </c>
    </row>
    <row r="277" spans="1:12" x14ac:dyDescent="0.15">
      <c r="A277" s="1">
        <v>276</v>
      </c>
      <c r="B277" s="4">
        <v>41142</v>
      </c>
      <c r="C277" s="1" t="s">
        <v>14</v>
      </c>
      <c r="D277" s="1" t="s">
        <v>15</v>
      </c>
      <c r="E277" s="1">
        <v>0.67799768518518511</v>
      </c>
      <c r="F277" s="1" t="s">
        <v>13</v>
      </c>
      <c r="G277" s="1">
        <v>3.34</v>
      </c>
      <c r="H277" s="1">
        <v>3.4</v>
      </c>
      <c r="I277" s="1">
        <v>0</v>
      </c>
      <c r="J277" s="4">
        <v>41143</v>
      </c>
      <c r="K277" s="4">
        <v>41508</v>
      </c>
      <c r="L277">
        <f t="shared" si="4"/>
        <v>3.37</v>
      </c>
    </row>
    <row r="278" spans="1:12" x14ac:dyDescent="0.15">
      <c r="A278" s="1">
        <v>277</v>
      </c>
      <c r="B278" s="4">
        <v>41142</v>
      </c>
      <c r="C278" s="1" t="s">
        <v>22</v>
      </c>
      <c r="D278" s="1" t="s">
        <v>15</v>
      </c>
      <c r="E278" s="1">
        <v>0.67799768518518511</v>
      </c>
      <c r="F278" s="1" t="s">
        <v>13</v>
      </c>
      <c r="G278" s="1">
        <v>3.51</v>
      </c>
      <c r="H278" s="1">
        <v>3.57</v>
      </c>
      <c r="I278" s="1">
        <v>0</v>
      </c>
      <c r="J278" s="4">
        <v>41143</v>
      </c>
      <c r="K278" s="4">
        <v>41327</v>
      </c>
      <c r="L278">
        <f t="shared" si="4"/>
        <v>3.54</v>
      </c>
    </row>
    <row r="279" spans="1:12" x14ac:dyDescent="0.15">
      <c r="A279" s="1">
        <v>278</v>
      </c>
      <c r="B279" s="4">
        <v>41142</v>
      </c>
      <c r="C279" s="1" t="s">
        <v>18</v>
      </c>
      <c r="D279" s="1" t="s">
        <v>15</v>
      </c>
      <c r="E279" s="1">
        <v>0.67799768518518511</v>
      </c>
      <c r="F279" s="1" t="s">
        <v>13</v>
      </c>
      <c r="G279" s="1">
        <v>3.21</v>
      </c>
      <c r="H279" s="1">
        <v>3.27</v>
      </c>
      <c r="I279" s="1">
        <v>0</v>
      </c>
      <c r="J279" s="4">
        <v>41143</v>
      </c>
      <c r="K279" s="4">
        <v>41873</v>
      </c>
      <c r="L279">
        <f t="shared" si="4"/>
        <v>3.24</v>
      </c>
    </row>
    <row r="280" spans="1:12" x14ac:dyDescent="0.15">
      <c r="A280" s="1">
        <v>279</v>
      </c>
      <c r="B280" s="4">
        <v>41142</v>
      </c>
      <c r="C280" s="1" t="s">
        <v>16</v>
      </c>
      <c r="D280" s="1" t="s">
        <v>27</v>
      </c>
      <c r="E280" s="1">
        <v>0.67243055555555553</v>
      </c>
      <c r="F280" s="1" t="s">
        <v>13</v>
      </c>
      <c r="G280" s="1">
        <v>3.17</v>
      </c>
      <c r="H280" s="1">
        <v>3.22</v>
      </c>
      <c r="I280" s="1">
        <v>0</v>
      </c>
      <c r="J280" s="4">
        <v>41143</v>
      </c>
      <c r="K280" s="4">
        <v>42604</v>
      </c>
      <c r="L280">
        <f t="shared" si="4"/>
        <v>3.1950000000000003</v>
      </c>
    </row>
    <row r="281" spans="1:12" x14ac:dyDescent="0.15">
      <c r="A281" s="1">
        <v>280</v>
      </c>
      <c r="B281" s="4">
        <v>41142</v>
      </c>
      <c r="C281" s="1" t="s">
        <v>19</v>
      </c>
      <c r="D281" s="1" t="s">
        <v>27</v>
      </c>
      <c r="E281" s="1">
        <v>0.67243055555555553</v>
      </c>
      <c r="F281" s="1" t="s">
        <v>13</v>
      </c>
      <c r="G281" s="1">
        <v>3.41</v>
      </c>
      <c r="H281" s="1">
        <v>3.51</v>
      </c>
      <c r="I281" s="1">
        <v>0</v>
      </c>
      <c r="J281" s="4">
        <v>41143</v>
      </c>
      <c r="K281" s="4">
        <v>41416</v>
      </c>
      <c r="L281">
        <f t="shared" si="4"/>
        <v>3.46</v>
      </c>
    </row>
    <row r="282" spans="1:12" x14ac:dyDescent="0.15">
      <c r="A282" s="1">
        <v>281</v>
      </c>
      <c r="B282" s="4">
        <v>41142</v>
      </c>
      <c r="C282" s="1" t="s">
        <v>18</v>
      </c>
      <c r="D282" s="1" t="s">
        <v>27</v>
      </c>
      <c r="E282" s="1">
        <v>0.67244212962962957</v>
      </c>
      <c r="F282" s="1" t="s">
        <v>13</v>
      </c>
      <c r="G282" s="1">
        <v>3.2</v>
      </c>
      <c r="H282" s="1">
        <v>3.28</v>
      </c>
      <c r="I282" s="1">
        <v>0</v>
      </c>
      <c r="J282" s="4">
        <v>41143</v>
      </c>
      <c r="K282" s="4">
        <v>41873</v>
      </c>
      <c r="L282">
        <f t="shared" si="4"/>
        <v>3.24</v>
      </c>
    </row>
    <row r="283" spans="1:12" x14ac:dyDescent="0.15">
      <c r="A283" s="1">
        <v>282</v>
      </c>
      <c r="B283" s="4">
        <v>41142</v>
      </c>
      <c r="C283" s="1" t="s">
        <v>11</v>
      </c>
      <c r="D283" s="1" t="s">
        <v>27</v>
      </c>
      <c r="E283" s="1">
        <v>0.67245370370370372</v>
      </c>
      <c r="F283" s="1" t="s">
        <v>13</v>
      </c>
      <c r="G283" s="1">
        <v>3.16</v>
      </c>
      <c r="H283" s="1">
        <v>3.21</v>
      </c>
      <c r="I283" s="1">
        <v>0</v>
      </c>
      <c r="J283" s="4">
        <v>41143</v>
      </c>
      <c r="K283" s="4">
        <v>42238</v>
      </c>
      <c r="L283">
        <f t="shared" si="4"/>
        <v>3.1850000000000001</v>
      </c>
    </row>
    <row r="284" spans="1:12" x14ac:dyDescent="0.15">
      <c r="A284" s="1">
        <v>283</v>
      </c>
      <c r="B284" s="4">
        <v>41142</v>
      </c>
      <c r="C284" s="1" t="s">
        <v>22</v>
      </c>
      <c r="D284" s="1" t="s">
        <v>27</v>
      </c>
      <c r="E284" s="1">
        <v>0.67244212962962957</v>
      </c>
      <c r="F284" s="1" t="s">
        <v>13</v>
      </c>
      <c r="G284" s="1">
        <v>3.49</v>
      </c>
      <c r="H284" s="1">
        <v>3.59</v>
      </c>
      <c r="I284" s="1">
        <v>0</v>
      </c>
      <c r="J284" s="4">
        <v>41143</v>
      </c>
      <c r="K284" s="4">
        <v>41327</v>
      </c>
      <c r="L284">
        <f t="shared" si="4"/>
        <v>3.54</v>
      </c>
    </row>
    <row r="285" spans="1:12" x14ac:dyDescent="0.15">
      <c r="A285" s="1">
        <v>284</v>
      </c>
      <c r="B285" s="4">
        <v>41141</v>
      </c>
      <c r="C285" s="1" t="s">
        <v>21</v>
      </c>
      <c r="D285" s="1" t="s">
        <v>26</v>
      </c>
      <c r="E285" s="1">
        <v>0.49168981481481483</v>
      </c>
      <c r="F285" s="1" t="s">
        <v>13</v>
      </c>
      <c r="G285" s="1">
        <v>3.06</v>
      </c>
      <c r="H285" s="1">
        <v>3.16</v>
      </c>
      <c r="I285" s="1">
        <v>0</v>
      </c>
      <c r="J285" s="4">
        <v>41142</v>
      </c>
      <c r="K285" s="4">
        <v>43698</v>
      </c>
      <c r="L285">
        <f t="shared" si="4"/>
        <v>3.1100000000000003</v>
      </c>
    </row>
    <row r="286" spans="1:12" x14ac:dyDescent="0.15">
      <c r="A286" s="1">
        <v>285</v>
      </c>
      <c r="B286" s="4">
        <v>41141</v>
      </c>
      <c r="C286" s="1" t="s">
        <v>18</v>
      </c>
      <c r="D286" s="1" t="s">
        <v>26</v>
      </c>
      <c r="E286" s="1">
        <v>0.49168981481481483</v>
      </c>
      <c r="F286" s="1" t="s">
        <v>13</v>
      </c>
      <c r="G286" s="1">
        <v>3.13</v>
      </c>
      <c r="H286" s="1">
        <v>3.23</v>
      </c>
      <c r="I286" s="1">
        <v>0</v>
      </c>
      <c r="J286" s="4">
        <v>41142</v>
      </c>
      <c r="K286" s="4">
        <v>41872</v>
      </c>
      <c r="L286">
        <f t="shared" si="4"/>
        <v>3.1799999999999997</v>
      </c>
    </row>
    <row r="287" spans="1:12" x14ac:dyDescent="0.15">
      <c r="A287" s="1">
        <v>286</v>
      </c>
      <c r="B287" s="4">
        <v>41141</v>
      </c>
      <c r="C287" s="1" t="s">
        <v>16</v>
      </c>
      <c r="D287" s="1" t="s">
        <v>26</v>
      </c>
      <c r="E287" s="1">
        <v>0.49171296296296302</v>
      </c>
      <c r="F287" s="1" t="s">
        <v>13</v>
      </c>
      <c r="G287" s="1">
        <v>3.06</v>
      </c>
      <c r="H287" s="1">
        <v>3.16</v>
      </c>
      <c r="I287" s="1">
        <v>0</v>
      </c>
      <c r="J287" s="4">
        <v>41142</v>
      </c>
      <c r="K287" s="4">
        <v>42603</v>
      </c>
      <c r="L287">
        <f t="shared" si="4"/>
        <v>3.1100000000000003</v>
      </c>
    </row>
    <row r="288" spans="1:12" x14ac:dyDescent="0.15">
      <c r="A288" s="1">
        <v>287</v>
      </c>
      <c r="B288" s="4">
        <v>41141</v>
      </c>
      <c r="C288" s="1" t="s">
        <v>25</v>
      </c>
      <c r="D288" s="1" t="s">
        <v>26</v>
      </c>
      <c r="E288" s="1">
        <v>0.49171296296296302</v>
      </c>
      <c r="F288" s="1" t="s">
        <v>13</v>
      </c>
      <c r="G288" s="1">
        <v>3.06</v>
      </c>
      <c r="H288" s="1">
        <v>3.16</v>
      </c>
      <c r="I288" s="1">
        <v>0</v>
      </c>
      <c r="J288" s="4">
        <v>41142</v>
      </c>
      <c r="K288" s="4">
        <v>42968</v>
      </c>
      <c r="L288">
        <f t="shared" si="4"/>
        <v>3.1100000000000003</v>
      </c>
    </row>
    <row r="289" spans="1:12" x14ac:dyDescent="0.15">
      <c r="A289" s="1">
        <v>288</v>
      </c>
      <c r="B289" s="4">
        <v>41141</v>
      </c>
      <c r="C289" s="1" t="s">
        <v>20</v>
      </c>
      <c r="D289" s="1" t="s">
        <v>26</v>
      </c>
      <c r="E289" s="1">
        <v>0.49167824074074074</v>
      </c>
      <c r="F289" s="1" t="s">
        <v>13</v>
      </c>
      <c r="G289" s="1">
        <v>3.06</v>
      </c>
      <c r="H289" s="1">
        <v>3.16</v>
      </c>
      <c r="I289" s="1">
        <v>0</v>
      </c>
      <c r="J289" s="4">
        <v>41142</v>
      </c>
      <c r="K289" s="4">
        <v>44794</v>
      </c>
      <c r="L289">
        <f t="shared" si="4"/>
        <v>3.1100000000000003</v>
      </c>
    </row>
    <row r="290" spans="1:12" x14ac:dyDescent="0.15">
      <c r="A290" s="1">
        <v>289</v>
      </c>
      <c r="B290" s="4">
        <v>41141</v>
      </c>
      <c r="C290" s="1" t="s">
        <v>16</v>
      </c>
      <c r="D290" s="1" t="s">
        <v>15</v>
      </c>
      <c r="E290" s="1">
        <v>0.48493055555555559</v>
      </c>
      <c r="F290" s="1" t="s">
        <v>13</v>
      </c>
      <c r="G290" s="1">
        <v>3.07</v>
      </c>
      <c r="H290" s="1">
        <v>3.13</v>
      </c>
      <c r="I290" s="1">
        <v>0</v>
      </c>
      <c r="J290" s="4">
        <v>41142</v>
      </c>
      <c r="K290" s="4">
        <v>42603</v>
      </c>
      <c r="L290">
        <f t="shared" si="4"/>
        <v>3.0999999999999996</v>
      </c>
    </row>
    <row r="291" spans="1:12" x14ac:dyDescent="0.15">
      <c r="A291" s="1">
        <v>290</v>
      </c>
      <c r="B291" s="4">
        <v>41141</v>
      </c>
      <c r="C291" s="1" t="s">
        <v>25</v>
      </c>
      <c r="D291" s="1" t="s">
        <v>15</v>
      </c>
      <c r="E291" s="1">
        <v>0.48493055555555559</v>
      </c>
      <c r="F291" s="1" t="s">
        <v>13</v>
      </c>
      <c r="G291" s="1">
        <v>3.07</v>
      </c>
      <c r="H291" s="1">
        <v>3.13</v>
      </c>
      <c r="I291" s="1">
        <v>0</v>
      </c>
      <c r="J291" s="4">
        <v>41142</v>
      </c>
      <c r="K291" s="4">
        <v>42968</v>
      </c>
      <c r="L291">
        <f t="shared" si="4"/>
        <v>3.0999999999999996</v>
      </c>
    </row>
    <row r="292" spans="1:12" x14ac:dyDescent="0.15">
      <c r="A292" s="1">
        <v>291</v>
      </c>
      <c r="B292" s="4">
        <v>41141</v>
      </c>
      <c r="C292" s="1" t="s">
        <v>14</v>
      </c>
      <c r="D292" s="1" t="s">
        <v>26</v>
      </c>
      <c r="E292" s="1">
        <v>0.49167824074074074</v>
      </c>
      <c r="F292" s="1" t="s">
        <v>13</v>
      </c>
      <c r="G292" s="1">
        <v>3.25</v>
      </c>
      <c r="H292" s="1">
        <v>3.35</v>
      </c>
      <c r="I292" s="1">
        <v>0</v>
      </c>
      <c r="J292" s="4">
        <v>41142</v>
      </c>
      <c r="K292" s="4">
        <v>41507</v>
      </c>
      <c r="L292">
        <f t="shared" si="4"/>
        <v>3.3</v>
      </c>
    </row>
    <row r="293" spans="1:12" x14ac:dyDescent="0.15">
      <c r="A293" s="1">
        <v>292</v>
      </c>
      <c r="B293" s="4">
        <v>41141</v>
      </c>
      <c r="C293" s="1" t="s">
        <v>22</v>
      </c>
      <c r="D293" s="1" t="s">
        <v>26</v>
      </c>
      <c r="E293" s="1">
        <v>0.4916666666666667</v>
      </c>
      <c r="F293" s="1" t="s">
        <v>13</v>
      </c>
      <c r="G293" s="1">
        <v>3.48</v>
      </c>
      <c r="H293" s="1">
        <v>3.55</v>
      </c>
      <c r="I293" s="1">
        <v>0</v>
      </c>
      <c r="J293" s="4">
        <v>41142</v>
      </c>
      <c r="K293" s="4">
        <v>41326</v>
      </c>
      <c r="L293">
        <f t="shared" si="4"/>
        <v>3.5149999999999997</v>
      </c>
    </row>
    <row r="294" spans="1:12" x14ac:dyDescent="0.15">
      <c r="A294" s="1">
        <v>293</v>
      </c>
      <c r="B294" s="4">
        <v>41141</v>
      </c>
      <c r="C294" s="1" t="s">
        <v>19</v>
      </c>
      <c r="D294" s="1" t="s">
        <v>27</v>
      </c>
      <c r="E294" s="1">
        <v>0.4934027777777778</v>
      </c>
      <c r="F294" s="1" t="s">
        <v>13</v>
      </c>
      <c r="G294" s="1">
        <v>3.38</v>
      </c>
      <c r="H294" s="1">
        <v>3.43</v>
      </c>
      <c r="I294" s="1">
        <v>0</v>
      </c>
      <c r="J294" s="4">
        <v>41142</v>
      </c>
      <c r="K294" s="4">
        <v>41415</v>
      </c>
      <c r="L294">
        <f t="shared" si="4"/>
        <v>3.4050000000000002</v>
      </c>
    </row>
    <row r="295" spans="1:12" x14ac:dyDescent="0.15">
      <c r="A295" s="1">
        <v>294</v>
      </c>
      <c r="B295" s="4">
        <v>41141</v>
      </c>
      <c r="C295" s="1" t="s">
        <v>25</v>
      </c>
      <c r="D295" s="1" t="s">
        <v>27</v>
      </c>
      <c r="E295" s="1">
        <v>0.4934027777777778</v>
      </c>
      <c r="F295" s="1" t="s">
        <v>13</v>
      </c>
      <c r="G295" s="1">
        <v>3.09</v>
      </c>
      <c r="H295" s="1">
        <v>3.15</v>
      </c>
      <c r="I295" s="1">
        <v>0</v>
      </c>
      <c r="J295" s="4">
        <v>41142</v>
      </c>
      <c r="K295" s="4">
        <v>42968</v>
      </c>
      <c r="L295">
        <f t="shared" si="4"/>
        <v>3.12</v>
      </c>
    </row>
    <row r="296" spans="1:12" x14ac:dyDescent="0.15">
      <c r="A296" s="1">
        <v>295</v>
      </c>
      <c r="B296" s="4">
        <v>41141</v>
      </c>
      <c r="C296" s="1" t="s">
        <v>11</v>
      </c>
      <c r="D296" s="1" t="s">
        <v>27</v>
      </c>
      <c r="E296" s="1">
        <v>0.49341435185185184</v>
      </c>
      <c r="F296" s="1" t="s">
        <v>13</v>
      </c>
      <c r="G296" s="1">
        <v>3.1</v>
      </c>
      <c r="H296" s="1">
        <v>3.2</v>
      </c>
      <c r="I296" s="1">
        <v>0</v>
      </c>
      <c r="J296" s="4">
        <v>41142</v>
      </c>
      <c r="K296" s="4">
        <v>42237</v>
      </c>
      <c r="L296">
        <f t="shared" si="4"/>
        <v>3.1500000000000004</v>
      </c>
    </row>
    <row r="297" spans="1:12" x14ac:dyDescent="0.15">
      <c r="A297" s="1">
        <v>296</v>
      </c>
      <c r="B297" s="4">
        <v>41141</v>
      </c>
      <c r="C297" s="1" t="s">
        <v>22</v>
      </c>
      <c r="D297" s="1" t="s">
        <v>27</v>
      </c>
      <c r="E297" s="1">
        <v>0.49341435185185184</v>
      </c>
      <c r="F297" s="1" t="s">
        <v>13</v>
      </c>
      <c r="G297" s="1">
        <v>3.46</v>
      </c>
      <c r="H297" s="1">
        <v>3.55</v>
      </c>
      <c r="I297" s="1">
        <v>0</v>
      </c>
      <c r="J297" s="4">
        <v>41142</v>
      </c>
      <c r="K297" s="4">
        <v>41326</v>
      </c>
      <c r="L297">
        <f t="shared" si="4"/>
        <v>3.5049999999999999</v>
      </c>
    </row>
    <row r="298" spans="1:12" x14ac:dyDescent="0.15">
      <c r="A298" s="1">
        <v>297</v>
      </c>
      <c r="B298" s="4">
        <v>41141</v>
      </c>
      <c r="C298" s="1" t="s">
        <v>14</v>
      </c>
      <c r="D298" s="1" t="s">
        <v>27</v>
      </c>
      <c r="E298" s="1">
        <v>0.4934027777777778</v>
      </c>
      <c r="F298" s="1" t="s">
        <v>13</v>
      </c>
      <c r="G298" s="1">
        <v>3.27</v>
      </c>
      <c r="H298" s="1">
        <v>3.32</v>
      </c>
      <c r="I298" s="1">
        <v>0</v>
      </c>
      <c r="J298" s="4">
        <v>41142</v>
      </c>
      <c r="K298" s="4">
        <v>41507</v>
      </c>
      <c r="L298">
        <f t="shared" si="4"/>
        <v>3.2949999999999999</v>
      </c>
    </row>
    <row r="299" spans="1:12" x14ac:dyDescent="0.15">
      <c r="A299" s="1">
        <v>298</v>
      </c>
      <c r="B299" s="4">
        <v>41141</v>
      </c>
      <c r="C299" s="1" t="s">
        <v>11</v>
      </c>
      <c r="D299" s="1" t="s">
        <v>26</v>
      </c>
      <c r="E299" s="1">
        <v>0.49172453703703706</v>
      </c>
      <c r="F299" s="1" t="s">
        <v>13</v>
      </c>
      <c r="G299" s="1">
        <v>3.1</v>
      </c>
      <c r="H299" s="1">
        <v>3.2</v>
      </c>
      <c r="I299" s="1">
        <v>0</v>
      </c>
      <c r="J299" s="4">
        <v>41142</v>
      </c>
      <c r="K299" s="4">
        <v>42237</v>
      </c>
      <c r="L299">
        <f t="shared" si="4"/>
        <v>3.1500000000000004</v>
      </c>
    </row>
    <row r="300" spans="1:12" x14ac:dyDescent="0.15">
      <c r="A300" s="1">
        <v>299</v>
      </c>
      <c r="B300" s="4">
        <v>41141</v>
      </c>
      <c r="C300" s="1" t="s">
        <v>19</v>
      </c>
      <c r="D300" s="1" t="s">
        <v>26</v>
      </c>
      <c r="E300" s="1">
        <v>0.49171296296296302</v>
      </c>
      <c r="F300" s="1" t="s">
        <v>13</v>
      </c>
      <c r="G300" s="1">
        <v>3.35</v>
      </c>
      <c r="H300" s="1">
        <v>3.42</v>
      </c>
      <c r="I300" s="1">
        <v>0</v>
      </c>
      <c r="J300" s="4">
        <v>41142</v>
      </c>
      <c r="K300" s="4">
        <v>41415</v>
      </c>
      <c r="L300">
        <f t="shared" si="4"/>
        <v>3.3849999999999998</v>
      </c>
    </row>
    <row r="301" spans="1:12" x14ac:dyDescent="0.15">
      <c r="A301" s="1">
        <v>300</v>
      </c>
      <c r="B301" s="4">
        <v>41141</v>
      </c>
      <c r="C301" s="1" t="s">
        <v>18</v>
      </c>
      <c r="D301" s="1" t="s">
        <v>27</v>
      </c>
      <c r="E301" s="1">
        <v>0.4934027777777778</v>
      </c>
      <c r="F301" s="1" t="s">
        <v>13</v>
      </c>
      <c r="G301" s="1">
        <v>3.12</v>
      </c>
      <c r="H301" s="1">
        <v>3.22</v>
      </c>
      <c r="I301" s="1">
        <v>0</v>
      </c>
      <c r="J301" s="4">
        <v>41142</v>
      </c>
      <c r="K301" s="4">
        <v>41872</v>
      </c>
      <c r="L301">
        <f t="shared" si="4"/>
        <v>3.17</v>
      </c>
    </row>
    <row r="302" spans="1:12" x14ac:dyDescent="0.15">
      <c r="A302" s="1">
        <v>301</v>
      </c>
      <c r="B302" s="4">
        <v>41141</v>
      </c>
      <c r="C302" s="1" t="s">
        <v>16</v>
      </c>
      <c r="D302" s="1" t="s">
        <v>27</v>
      </c>
      <c r="E302" s="1">
        <v>0.4934027777777778</v>
      </c>
      <c r="F302" s="1" t="s">
        <v>13</v>
      </c>
      <c r="G302" s="1">
        <v>3.08</v>
      </c>
      <c r="H302" s="1">
        <v>3.16</v>
      </c>
      <c r="I302" s="1">
        <v>0</v>
      </c>
      <c r="J302" s="4">
        <v>41142</v>
      </c>
      <c r="K302" s="4">
        <v>42603</v>
      </c>
      <c r="L302">
        <f t="shared" si="4"/>
        <v>3.12</v>
      </c>
    </row>
    <row r="303" spans="1:12" x14ac:dyDescent="0.15">
      <c r="A303" s="1">
        <v>302</v>
      </c>
      <c r="B303" s="4">
        <v>41141</v>
      </c>
      <c r="C303" s="1" t="s">
        <v>20</v>
      </c>
      <c r="D303" s="1" t="s">
        <v>15</v>
      </c>
      <c r="E303" s="1">
        <v>0.48493055555555559</v>
      </c>
      <c r="F303" s="1" t="s">
        <v>13</v>
      </c>
      <c r="G303" s="1">
        <v>3.22</v>
      </c>
      <c r="H303" s="1">
        <v>3.28</v>
      </c>
      <c r="I303" s="1">
        <v>0</v>
      </c>
      <c r="J303" s="4">
        <v>41142</v>
      </c>
      <c r="K303" s="4">
        <v>44794</v>
      </c>
      <c r="L303">
        <f t="shared" si="4"/>
        <v>3.25</v>
      </c>
    </row>
    <row r="304" spans="1:12" x14ac:dyDescent="0.15">
      <c r="A304" s="1">
        <v>303</v>
      </c>
      <c r="B304" s="4">
        <v>41141</v>
      </c>
      <c r="C304" s="1" t="s">
        <v>11</v>
      </c>
      <c r="D304" s="1" t="s">
        <v>12</v>
      </c>
      <c r="E304" s="1">
        <v>0.47950231481481481</v>
      </c>
      <c r="F304" s="1" t="s">
        <v>13</v>
      </c>
      <c r="G304" s="1">
        <v>3.05</v>
      </c>
      <c r="H304" s="1">
        <v>3.15</v>
      </c>
      <c r="I304" s="1">
        <v>0</v>
      </c>
      <c r="J304" s="4">
        <v>41142</v>
      </c>
      <c r="K304" s="4">
        <v>42237</v>
      </c>
      <c r="L304">
        <f t="shared" si="4"/>
        <v>3.0999999999999996</v>
      </c>
    </row>
    <row r="305" spans="1:12" x14ac:dyDescent="0.15">
      <c r="A305" s="1">
        <v>304</v>
      </c>
      <c r="B305" s="4">
        <v>41141</v>
      </c>
      <c r="C305" s="1" t="s">
        <v>17</v>
      </c>
      <c r="D305" s="1" t="s">
        <v>12</v>
      </c>
      <c r="E305" s="1">
        <v>0.47950231481481481</v>
      </c>
      <c r="F305" s="1" t="s">
        <v>13</v>
      </c>
      <c r="G305" s="1">
        <v>3.02</v>
      </c>
      <c r="H305" s="1">
        <v>3.42</v>
      </c>
      <c r="I305" s="1">
        <v>0</v>
      </c>
      <c r="J305" s="4">
        <v>41142</v>
      </c>
      <c r="K305" s="4">
        <v>44429</v>
      </c>
      <c r="L305">
        <f t="shared" si="4"/>
        <v>3.2199999999999998</v>
      </c>
    </row>
    <row r="306" spans="1:12" x14ac:dyDescent="0.15">
      <c r="A306" s="1">
        <v>305</v>
      </c>
      <c r="B306" s="4">
        <v>41141</v>
      </c>
      <c r="C306" s="1" t="s">
        <v>18</v>
      </c>
      <c r="D306" s="1" t="s">
        <v>12</v>
      </c>
      <c r="E306" s="1">
        <v>0.47950231481481481</v>
      </c>
      <c r="F306" s="1" t="s">
        <v>13</v>
      </c>
      <c r="G306" s="1">
        <v>3.12</v>
      </c>
      <c r="H306" s="1">
        <v>3.22</v>
      </c>
      <c r="I306" s="1">
        <v>0</v>
      </c>
      <c r="J306" s="4">
        <v>41142</v>
      </c>
      <c r="K306" s="4">
        <v>41872</v>
      </c>
      <c r="L306">
        <f t="shared" si="4"/>
        <v>3.17</v>
      </c>
    </row>
    <row r="307" spans="1:12" x14ac:dyDescent="0.15">
      <c r="A307" s="1">
        <v>306</v>
      </c>
      <c r="B307" s="4">
        <v>41141</v>
      </c>
      <c r="C307" s="1" t="s">
        <v>14</v>
      </c>
      <c r="D307" s="1" t="s">
        <v>12</v>
      </c>
      <c r="E307" s="1">
        <v>0.47950231481481481</v>
      </c>
      <c r="F307" s="1" t="s">
        <v>13</v>
      </c>
      <c r="G307" s="1">
        <v>3.25</v>
      </c>
      <c r="H307" s="1">
        <v>3.35</v>
      </c>
      <c r="I307" s="1">
        <v>0</v>
      </c>
      <c r="J307" s="4">
        <v>41142</v>
      </c>
      <c r="K307" s="4">
        <v>41507</v>
      </c>
      <c r="L307">
        <f t="shared" si="4"/>
        <v>3.3</v>
      </c>
    </row>
    <row r="308" spans="1:12" x14ac:dyDescent="0.15">
      <c r="A308" s="1">
        <v>307</v>
      </c>
      <c r="B308" s="4">
        <v>41141</v>
      </c>
      <c r="C308" s="1" t="s">
        <v>16</v>
      </c>
      <c r="D308" s="1" t="s">
        <v>12</v>
      </c>
      <c r="E308" s="1">
        <v>0.47950231481481481</v>
      </c>
      <c r="F308" s="1" t="s">
        <v>13</v>
      </c>
      <c r="G308" s="1">
        <v>3.04</v>
      </c>
      <c r="H308" s="1">
        <v>3.14</v>
      </c>
      <c r="I308" s="1">
        <v>0</v>
      </c>
      <c r="J308" s="4">
        <v>41142</v>
      </c>
      <c r="K308" s="4">
        <v>42603</v>
      </c>
      <c r="L308">
        <f t="shared" si="4"/>
        <v>3.09</v>
      </c>
    </row>
    <row r="309" spans="1:12" x14ac:dyDescent="0.15">
      <c r="A309" s="1">
        <v>308</v>
      </c>
      <c r="B309" s="4">
        <v>41141</v>
      </c>
      <c r="C309" s="1" t="s">
        <v>22</v>
      </c>
      <c r="D309" s="1" t="s">
        <v>12</v>
      </c>
      <c r="E309" s="1">
        <v>0.47949074074074072</v>
      </c>
      <c r="F309" s="1" t="s">
        <v>13</v>
      </c>
      <c r="G309" s="1">
        <v>3.45</v>
      </c>
      <c r="H309" s="1">
        <v>3.55</v>
      </c>
      <c r="I309" s="1">
        <v>0</v>
      </c>
      <c r="J309" s="4">
        <v>41142</v>
      </c>
      <c r="K309" s="4">
        <v>41326</v>
      </c>
      <c r="L309">
        <f t="shared" si="4"/>
        <v>3.5</v>
      </c>
    </row>
    <row r="310" spans="1:12" x14ac:dyDescent="0.15">
      <c r="A310" s="1">
        <v>309</v>
      </c>
      <c r="B310" s="4">
        <v>41141</v>
      </c>
      <c r="C310" s="1" t="s">
        <v>23</v>
      </c>
      <c r="D310" s="1" t="s">
        <v>12</v>
      </c>
      <c r="E310" s="1">
        <v>0.47949074074074072</v>
      </c>
      <c r="F310" s="1" t="s">
        <v>13</v>
      </c>
      <c r="G310" s="1">
        <v>3.03</v>
      </c>
      <c r="H310" s="1">
        <v>3.13</v>
      </c>
      <c r="I310" s="1">
        <v>0</v>
      </c>
      <c r="J310" s="4">
        <v>41142</v>
      </c>
      <c r="K310" s="4">
        <v>43333</v>
      </c>
      <c r="L310">
        <f t="shared" si="4"/>
        <v>3.08</v>
      </c>
    </row>
    <row r="311" spans="1:12" x14ac:dyDescent="0.15">
      <c r="A311" s="1">
        <v>310</v>
      </c>
      <c r="B311" s="4">
        <v>41141</v>
      </c>
      <c r="C311" s="1" t="s">
        <v>25</v>
      </c>
      <c r="D311" s="1" t="s">
        <v>12</v>
      </c>
      <c r="E311" s="1">
        <v>0.47950231481481481</v>
      </c>
      <c r="F311" s="1" t="s">
        <v>13</v>
      </c>
      <c r="G311" s="1">
        <v>3.04</v>
      </c>
      <c r="H311" s="1">
        <v>3.14</v>
      </c>
      <c r="I311" s="1">
        <v>0</v>
      </c>
      <c r="J311" s="4">
        <v>41142</v>
      </c>
      <c r="K311" s="4">
        <v>42968</v>
      </c>
      <c r="L311">
        <f t="shared" si="4"/>
        <v>3.09</v>
      </c>
    </row>
    <row r="312" spans="1:12" x14ac:dyDescent="0.15">
      <c r="A312" s="1">
        <v>311</v>
      </c>
      <c r="B312" s="4">
        <v>41141</v>
      </c>
      <c r="C312" s="1" t="s">
        <v>24</v>
      </c>
      <c r="D312" s="1" t="s">
        <v>12</v>
      </c>
      <c r="E312" s="1">
        <v>0.47950231481481481</v>
      </c>
      <c r="F312" s="1" t="s">
        <v>13</v>
      </c>
      <c r="G312" s="1">
        <v>3</v>
      </c>
      <c r="H312" s="1">
        <v>3.4</v>
      </c>
      <c r="I312" s="1">
        <v>0</v>
      </c>
      <c r="J312" s="4">
        <v>41142</v>
      </c>
      <c r="K312" s="4">
        <v>44064</v>
      </c>
      <c r="L312">
        <f t="shared" si="4"/>
        <v>3.2</v>
      </c>
    </row>
    <row r="313" spans="1:12" x14ac:dyDescent="0.15">
      <c r="A313" s="1">
        <v>312</v>
      </c>
      <c r="B313" s="4">
        <v>41141</v>
      </c>
      <c r="C313" s="1" t="s">
        <v>11</v>
      </c>
      <c r="D313" s="1" t="s">
        <v>15</v>
      </c>
      <c r="E313" s="1">
        <v>0.48493055555555559</v>
      </c>
      <c r="F313" s="1" t="s">
        <v>13</v>
      </c>
      <c r="G313" s="1">
        <v>3.11</v>
      </c>
      <c r="H313" s="1">
        <v>3.17</v>
      </c>
      <c r="I313" s="1">
        <v>0</v>
      </c>
      <c r="J313" s="4">
        <v>41142</v>
      </c>
      <c r="K313" s="4">
        <v>42237</v>
      </c>
      <c r="L313">
        <f t="shared" si="4"/>
        <v>3.1399999999999997</v>
      </c>
    </row>
    <row r="314" spans="1:12" x14ac:dyDescent="0.15">
      <c r="A314" s="1">
        <v>313</v>
      </c>
      <c r="B314" s="4">
        <v>41141</v>
      </c>
      <c r="C314" s="1" t="s">
        <v>22</v>
      </c>
      <c r="D314" s="1" t="s">
        <v>15</v>
      </c>
      <c r="E314" s="1">
        <v>0.4849074074074074</v>
      </c>
      <c r="F314" s="1" t="s">
        <v>13</v>
      </c>
      <c r="G314" s="1">
        <v>3.47</v>
      </c>
      <c r="H314" s="1">
        <v>3.53</v>
      </c>
      <c r="I314" s="1">
        <v>0</v>
      </c>
      <c r="J314" s="4">
        <v>41142</v>
      </c>
      <c r="K314" s="4">
        <v>41326</v>
      </c>
      <c r="L314">
        <f t="shared" si="4"/>
        <v>3.5</v>
      </c>
    </row>
    <row r="315" spans="1:12" x14ac:dyDescent="0.15">
      <c r="A315" s="1">
        <v>314</v>
      </c>
      <c r="B315" s="4">
        <v>41141</v>
      </c>
      <c r="C315" s="1" t="s">
        <v>19</v>
      </c>
      <c r="D315" s="1" t="s">
        <v>15</v>
      </c>
      <c r="E315" s="1">
        <v>0.48493055555555559</v>
      </c>
      <c r="F315" s="1" t="s">
        <v>13</v>
      </c>
      <c r="G315" s="1">
        <v>3.35</v>
      </c>
      <c r="H315" s="1">
        <v>3.41</v>
      </c>
      <c r="I315" s="1">
        <v>0</v>
      </c>
      <c r="J315" s="4">
        <v>41142</v>
      </c>
      <c r="K315" s="4">
        <v>41415</v>
      </c>
      <c r="L315">
        <f t="shared" si="4"/>
        <v>3.38</v>
      </c>
    </row>
    <row r="316" spans="1:12" x14ac:dyDescent="0.15">
      <c r="A316" s="1">
        <v>315</v>
      </c>
      <c r="B316" s="4">
        <v>41141</v>
      </c>
      <c r="C316" s="1" t="s">
        <v>21</v>
      </c>
      <c r="D316" s="1" t="s">
        <v>15</v>
      </c>
      <c r="E316" s="1">
        <v>0.48493055555555559</v>
      </c>
      <c r="F316" s="1" t="s">
        <v>13</v>
      </c>
      <c r="G316" s="1">
        <v>3.17</v>
      </c>
      <c r="H316" s="1">
        <v>3.23</v>
      </c>
      <c r="I316" s="1">
        <v>0</v>
      </c>
      <c r="J316" s="4">
        <v>41142</v>
      </c>
      <c r="K316" s="4">
        <v>43698</v>
      </c>
      <c r="L316">
        <f t="shared" si="4"/>
        <v>3.2</v>
      </c>
    </row>
    <row r="317" spans="1:12" x14ac:dyDescent="0.15">
      <c r="A317" s="1">
        <v>316</v>
      </c>
      <c r="B317" s="4">
        <v>41141</v>
      </c>
      <c r="C317" s="1" t="s">
        <v>18</v>
      </c>
      <c r="D317" s="1" t="s">
        <v>15</v>
      </c>
      <c r="E317" s="1">
        <v>0.4849074074074074</v>
      </c>
      <c r="F317" s="1" t="s">
        <v>13</v>
      </c>
      <c r="G317" s="1">
        <v>3.12</v>
      </c>
      <c r="H317" s="1">
        <v>3.18</v>
      </c>
      <c r="I317" s="1">
        <v>0</v>
      </c>
      <c r="J317" s="4">
        <v>41142</v>
      </c>
      <c r="K317" s="4">
        <v>41872</v>
      </c>
      <c r="L317">
        <f t="shared" si="4"/>
        <v>3.1500000000000004</v>
      </c>
    </row>
    <row r="318" spans="1:12" x14ac:dyDescent="0.15">
      <c r="A318" s="1">
        <v>317</v>
      </c>
      <c r="B318" s="4">
        <v>41141</v>
      </c>
      <c r="C318" s="1" t="s">
        <v>19</v>
      </c>
      <c r="D318" s="1" t="s">
        <v>12</v>
      </c>
      <c r="E318" s="1">
        <v>0.47950231481481481</v>
      </c>
      <c r="F318" s="1" t="s">
        <v>13</v>
      </c>
      <c r="G318" s="1">
        <v>3.35</v>
      </c>
      <c r="H318" s="1">
        <v>3.45</v>
      </c>
      <c r="I318" s="1">
        <v>0</v>
      </c>
      <c r="J318" s="4">
        <v>41142</v>
      </c>
      <c r="K318" s="4">
        <v>41415</v>
      </c>
      <c r="L318">
        <f t="shared" si="4"/>
        <v>3.4000000000000004</v>
      </c>
    </row>
    <row r="319" spans="1:12" x14ac:dyDescent="0.15">
      <c r="A319" s="1">
        <v>318</v>
      </c>
      <c r="B319" s="4">
        <v>41141</v>
      </c>
      <c r="C319" s="1" t="s">
        <v>21</v>
      </c>
      <c r="D319" s="1" t="s">
        <v>12</v>
      </c>
      <c r="E319" s="1">
        <v>0.47950231481481481</v>
      </c>
      <c r="F319" s="1" t="s">
        <v>13</v>
      </c>
      <c r="G319" s="1">
        <v>3</v>
      </c>
      <c r="H319" s="1">
        <v>3.4</v>
      </c>
      <c r="I319" s="1">
        <v>0</v>
      </c>
      <c r="J319" s="4">
        <v>41142</v>
      </c>
      <c r="K319" s="4">
        <v>43698</v>
      </c>
      <c r="L319">
        <f t="shared" si="4"/>
        <v>3.2</v>
      </c>
    </row>
    <row r="320" spans="1:12" x14ac:dyDescent="0.15">
      <c r="A320" s="1">
        <v>319</v>
      </c>
      <c r="B320" s="4">
        <v>41141</v>
      </c>
      <c r="C320" s="1" t="s">
        <v>14</v>
      </c>
      <c r="D320" s="1" t="s">
        <v>15</v>
      </c>
      <c r="E320" s="1">
        <v>0.4849074074074074</v>
      </c>
      <c r="F320" s="1" t="s">
        <v>13</v>
      </c>
      <c r="G320" s="1">
        <v>3.26</v>
      </c>
      <c r="H320" s="1">
        <v>3.32</v>
      </c>
      <c r="I320" s="1">
        <v>0</v>
      </c>
      <c r="J320" s="4">
        <v>41142</v>
      </c>
      <c r="K320" s="4">
        <v>41507</v>
      </c>
      <c r="L320">
        <f t="shared" si="4"/>
        <v>3.29</v>
      </c>
    </row>
    <row r="321" spans="1:12" x14ac:dyDescent="0.15">
      <c r="A321" s="1">
        <v>320</v>
      </c>
      <c r="B321" s="4">
        <v>41141</v>
      </c>
      <c r="C321" s="1" t="s">
        <v>20</v>
      </c>
      <c r="D321" s="1" t="s">
        <v>12</v>
      </c>
      <c r="E321" s="1">
        <v>0.47950231481481481</v>
      </c>
      <c r="F321" s="1" t="s">
        <v>13</v>
      </c>
      <c r="G321" s="1">
        <v>3.04</v>
      </c>
      <c r="H321" s="1">
        <v>3.44</v>
      </c>
      <c r="I321" s="1">
        <v>0</v>
      </c>
      <c r="J321" s="4">
        <v>41142</v>
      </c>
      <c r="K321" s="4">
        <v>44794</v>
      </c>
      <c r="L321">
        <f t="shared" si="4"/>
        <v>3.24</v>
      </c>
    </row>
    <row r="322" spans="1:12" x14ac:dyDescent="0.15">
      <c r="A322" s="1">
        <v>321</v>
      </c>
      <c r="B322" s="4">
        <v>41141</v>
      </c>
      <c r="C322" s="1" t="s">
        <v>19</v>
      </c>
      <c r="D322" s="1" t="s">
        <v>27</v>
      </c>
      <c r="E322" s="1">
        <v>0.67684027777777789</v>
      </c>
      <c r="F322" s="1" t="s">
        <v>13</v>
      </c>
      <c r="G322" s="1">
        <v>3.36</v>
      </c>
      <c r="H322" s="1">
        <v>3.45</v>
      </c>
      <c r="I322" s="1">
        <v>0</v>
      </c>
      <c r="J322" s="4">
        <v>41142</v>
      </c>
      <c r="K322" s="4">
        <v>41415</v>
      </c>
      <c r="L322">
        <f t="shared" si="4"/>
        <v>3.4050000000000002</v>
      </c>
    </row>
    <row r="323" spans="1:12" x14ac:dyDescent="0.15">
      <c r="A323" s="1">
        <v>322</v>
      </c>
      <c r="B323" s="4">
        <v>41141</v>
      </c>
      <c r="C323" s="1" t="s">
        <v>22</v>
      </c>
      <c r="D323" s="1" t="s">
        <v>27</v>
      </c>
      <c r="E323" s="1">
        <v>0.67684027777777789</v>
      </c>
      <c r="F323" s="1" t="s">
        <v>13</v>
      </c>
      <c r="G323" s="1">
        <v>3.46</v>
      </c>
      <c r="H323" s="1">
        <v>3.56</v>
      </c>
      <c r="I323" s="1">
        <v>0</v>
      </c>
      <c r="J323" s="4">
        <v>41142</v>
      </c>
      <c r="K323" s="4">
        <v>41326</v>
      </c>
      <c r="L323">
        <f t="shared" ref="L323:L386" si="5">AVERAGE(G323:H323)</f>
        <v>3.51</v>
      </c>
    </row>
    <row r="324" spans="1:12" x14ac:dyDescent="0.15">
      <c r="A324" s="1">
        <v>323</v>
      </c>
      <c r="B324" s="4">
        <v>41141</v>
      </c>
      <c r="C324" s="1" t="s">
        <v>11</v>
      </c>
      <c r="D324" s="1" t="s">
        <v>27</v>
      </c>
      <c r="E324" s="1">
        <v>0.67685185185185182</v>
      </c>
      <c r="F324" s="1" t="s">
        <v>13</v>
      </c>
      <c r="G324" s="1">
        <v>3.12</v>
      </c>
      <c r="H324" s="1">
        <v>3.2</v>
      </c>
      <c r="I324" s="1">
        <v>0</v>
      </c>
      <c r="J324" s="4">
        <v>41142</v>
      </c>
      <c r="K324" s="4">
        <v>42237</v>
      </c>
      <c r="L324">
        <f t="shared" si="5"/>
        <v>3.16</v>
      </c>
    </row>
    <row r="325" spans="1:12" x14ac:dyDescent="0.15">
      <c r="A325" s="1">
        <v>324</v>
      </c>
      <c r="B325" s="4">
        <v>41141</v>
      </c>
      <c r="C325" s="1" t="s">
        <v>16</v>
      </c>
      <c r="D325" s="1" t="s">
        <v>27</v>
      </c>
      <c r="E325" s="1">
        <v>0.67684027777777789</v>
      </c>
      <c r="F325" s="1" t="s">
        <v>13</v>
      </c>
      <c r="G325" s="1">
        <v>3.13</v>
      </c>
      <c r="H325" s="1">
        <v>3.2</v>
      </c>
      <c r="I325" s="1">
        <v>0</v>
      </c>
      <c r="J325" s="4">
        <v>41142</v>
      </c>
      <c r="K325" s="4">
        <v>42603</v>
      </c>
      <c r="L325">
        <f t="shared" si="5"/>
        <v>3.165</v>
      </c>
    </row>
    <row r="326" spans="1:12" x14ac:dyDescent="0.15">
      <c r="A326" s="1">
        <v>325</v>
      </c>
      <c r="B326" s="4">
        <v>41141</v>
      </c>
      <c r="C326" s="1" t="s">
        <v>18</v>
      </c>
      <c r="D326" s="1" t="s">
        <v>27</v>
      </c>
      <c r="E326" s="1">
        <v>0.67684027777777789</v>
      </c>
      <c r="F326" s="1" t="s">
        <v>13</v>
      </c>
      <c r="G326" s="1">
        <v>3.17</v>
      </c>
      <c r="H326" s="1">
        <v>3.24</v>
      </c>
      <c r="I326" s="1">
        <v>0</v>
      </c>
      <c r="J326" s="4">
        <v>41142</v>
      </c>
      <c r="K326" s="4">
        <v>41872</v>
      </c>
      <c r="L326">
        <f t="shared" si="5"/>
        <v>3.2050000000000001</v>
      </c>
    </row>
    <row r="327" spans="1:12" x14ac:dyDescent="0.15">
      <c r="A327" s="1">
        <v>326</v>
      </c>
      <c r="B327" s="4">
        <v>41141</v>
      </c>
      <c r="C327" s="1" t="s">
        <v>19</v>
      </c>
      <c r="D327" s="1" t="s">
        <v>26</v>
      </c>
      <c r="E327" s="1">
        <v>0.67413194444444446</v>
      </c>
      <c r="F327" s="1" t="s">
        <v>13</v>
      </c>
      <c r="G327" s="1">
        <v>3.35</v>
      </c>
      <c r="H327" s="1">
        <v>3.42</v>
      </c>
      <c r="I327" s="1">
        <v>0</v>
      </c>
      <c r="J327" s="4">
        <v>41142</v>
      </c>
      <c r="K327" s="4">
        <v>41415</v>
      </c>
      <c r="L327">
        <f t="shared" si="5"/>
        <v>3.3849999999999998</v>
      </c>
    </row>
    <row r="328" spans="1:12" x14ac:dyDescent="0.15">
      <c r="A328" s="1">
        <v>327</v>
      </c>
      <c r="B328" s="4">
        <v>41141</v>
      </c>
      <c r="C328" s="1" t="s">
        <v>21</v>
      </c>
      <c r="D328" s="1" t="s">
        <v>26</v>
      </c>
      <c r="E328" s="1">
        <v>0.67413194444444446</v>
      </c>
      <c r="F328" s="1" t="s">
        <v>13</v>
      </c>
      <c r="G328" s="1">
        <v>3.06</v>
      </c>
      <c r="H328" s="1">
        <v>3.16</v>
      </c>
      <c r="I328" s="1">
        <v>0</v>
      </c>
      <c r="J328" s="4">
        <v>41142</v>
      </c>
      <c r="K328" s="4">
        <v>43698</v>
      </c>
      <c r="L328">
        <f t="shared" si="5"/>
        <v>3.1100000000000003</v>
      </c>
    </row>
    <row r="329" spans="1:12" x14ac:dyDescent="0.15">
      <c r="A329" s="1">
        <v>328</v>
      </c>
      <c r="B329" s="4">
        <v>41141</v>
      </c>
      <c r="C329" s="1" t="s">
        <v>25</v>
      </c>
      <c r="D329" s="1" t="s">
        <v>27</v>
      </c>
      <c r="E329" s="1">
        <v>0.67682870370370374</v>
      </c>
      <c r="F329" s="1" t="s">
        <v>13</v>
      </c>
      <c r="G329" s="1">
        <v>3.14</v>
      </c>
      <c r="H329" s="1">
        <v>3.19</v>
      </c>
      <c r="I329" s="1">
        <v>0</v>
      </c>
      <c r="J329" s="4">
        <v>41142</v>
      </c>
      <c r="K329" s="4">
        <v>42968</v>
      </c>
      <c r="L329">
        <f t="shared" si="5"/>
        <v>3.165</v>
      </c>
    </row>
    <row r="330" spans="1:12" x14ac:dyDescent="0.15">
      <c r="A330" s="1">
        <v>329</v>
      </c>
      <c r="B330" s="4">
        <v>41141</v>
      </c>
      <c r="C330" s="1" t="s">
        <v>14</v>
      </c>
      <c r="D330" s="1" t="s">
        <v>27</v>
      </c>
      <c r="E330" s="1">
        <v>0.67682870370370374</v>
      </c>
      <c r="F330" s="1" t="s">
        <v>13</v>
      </c>
      <c r="G330" s="1">
        <v>3.3</v>
      </c>
      <c r="H330" s="1">
        <v>3.35</v>
      </c>
      <c r="I330" s="1">
        <v>0</v>
      </c>
      <c r="J330" s="4">
        <v>41142</v>
      </c>
      <c r="K330" s="4">
        <v>41507</v>
      </c>
      <c r="L330">
        <f t="shared" si="5"/>
        <v>3.3250000000000002</v>
      </c>
    </row>
    <row r="331" spans="1:12" x14ac:dyDescent="0.15">
      <c r="A331" s="1">
        <v>330</v>
      </c>
      <c r="B331" s="4">
        <v>41141</v>
      </c>
      <c r="C331" s="1" t="s">
        <v>21</v>
      </c>
      <c r="D331" s="1" t="s">
        <v>15</v>
      </c>
      <c r="E331" s="1">
        <v>0.68160879629629623</v>
      </c>
      <c r="F331" s="1" t="s">
        <v>13</v>
      </c>
      <c r="G331" s="1">
        <v>3.17</v>
      </c>
      <c r="H331" s="1">
        <v>3.23</v>
      </c>
      <c r="I331" s="1">
        <v>0</v>
      </c>
      <c r="J331" s="4">
        <v>41142</v>
      </c>
      <c r="K331" s="4">
        <v>43698</v>
      </c>
      <c r="L331">
        <f t="shared" si="5"/>
        <v>3.2</v>
      </c>
    </row>
    <row r="332" spans="1:12" x14ac:dyDescent="0.15">
      <c r="A332" s="1">
        <v>331</v>
      </c>
      <c r="B332" s="4">
        <v>41141</v>
      </c>
      <c r="C332" s="1" t="s">
        <v>18</v>
      </c>
      <c r="D332" s="1" t="s">
        <v>15</v>
      </c>
      <c r="E332" s="1">
        <v>0.68160879629629623</v>
      </c>
      <c r="F332" s="1" t="s">
        <v>13</v>
      </c>
      <c r="G332" s="1">
        <v>3.12</v>
      </c>
      <c r="H332" s="1">
        <v>3.18</v>
      </c>
      <c r="I332" s="1">
        <v>0</v>
      </c>
      <c r="J332" s="4">
        <v>41142</v>
      </c>
      <c r="K332" s="4">
        <v>41872</v>
      </c>
      <c r="L332">
        <f t="shared" si="5"/>
        <v>3.1500000000000004</v>
      </c>
    </row>
    <row r="333" spans="1:12" x14ac:dyDescent="0.15">
      <c r="A333" s="1">
        <v>332</v>
      </c>
      <c r="B333" s="4">
        <v>41141</v>
      </c>
      <c r="C333" s="1" t="s">
        <v>20</v>
      </c>
      <c r="D333" s="1" t="s">
        <v>15</v>
      </c>
      <c r="E333" s="1">
        <v>0.68160879629629623</v>
      </c>
      <c r="F333" s="1" t="s">
        <v>13</v>
      </c>
      <c r="G333" s="1">
        <v>3.22</v>
      </c>
      <c r="H333" s="1">
        <v>3.28</v>
      </c>
      <c r="I333" s="1">
        <v>0</v>
      </c>
      <c r="J333" s="4">
        <v>41142</v>
      </c>
      <c r="K333" s="4">
        <v>44794</v>
      </c>
      <c r="L333">
        <f t="shared" si="5"/>
        <v>3.25</v>
      </c>
    </row>
    <row r="334" spans="1:12" x14ac:dyDescent="0.15">
      <c r="A334" s="1">
        <v>333</v>
      </c>
      <c r="B334" s="4">
        <v>41141</v>
      </c>
      <c r="C334" s="1" t="s">
        <v>19</v>
      </c>
      <c r="D334" s="1" t="s">
        <v>15</v>
      </c>
      <c r="E334" s="1">
        <v>0.68160879629629623</v>
      </c>
      <c r="F334" s="1" t="s">
        <v>13</v>
      </c>
      <c r="G334" s="1">
        <v>3.35</v>
      </c>
      <c r="H334" s="1">
        <v>3.41</v>
      </c>
      <c r="I334" s="1">
        <v>0</v>
      </c>
      <c r="J334" s="4">
        <v>41142</v>
      </c>
      <c r="K334" s="4">
        <v>41415</v>
      </c>
      <c r="L334">
        <f t="shared" si="5"/>
        <v>3.38</v>
      </c>
    </row>
    <row r="335" spans="1:12" x14ac:dyDescent="0.15">
      <c r="A335" s="1">
        <v>334</v>
      </c>
      <c r="B335" s="4">
        <v>41141</v>
      </c>
      <c r="C335" s="1" t="s">
        <v>14</v>
      </c>
      <c r="D335" s="1" t="s">
        <v>15</v>
      </c>
      <c r="E335" s="1">
        <v>0.68160879629629623</v>
      </c>
      <c r="F335" s="1" t="s">
        <v>13</v>
      </c>
      <c r="G335" s="1">
        <v>3.26</v>
      </c>
      <c r="H335" s="1">
        <v>3.32</v>
      </c>
      <c r="I335" s="1">
        <v>0</v>
      </c>
      <c r="J335" s="4">
        <v>41142</v>
      </c>
      <c r="K335" s="4">
        <v>41507</v>
      </c>
      <c r="L335">
        <f t="shared" si="5"/>
        <v>3.29</v>
      </c>
    </row>
    <row r="336" spans="1:12" x14ac:dyDescent="0.15">
      <c r="A336" s="1">
        <v>335</v>
      </c>
      <c r="B336" s="4">
        <v>41141</v>
      </c>
      <c r="C336" s="1" t="s">
        <v>25</v>
      </c>
      <c r="D336" s="1" t="s">
        <v>15</v>
      </c>
      <c r="E336" s="1">
        <v>0.68160879629629623</v>
      </c>
      <c r="F336" s="1" t="s">
        <v>13</v>
      </c>
      <c r="G336" s="1">
        <v>3.07</v>
      </c>
      <c r="H336" s="1">
        <v>3.13</v>
      </c>
      <c r="I336" s="1">
        <v>0</v>
      </c>
      <c r="J336" s="4">
        <v>41142</v>
      </c>
      <c r="K336" s="4">
        <v>42968</v>
      </c>
      <c r="L336">
        <f t="shared" si="5"/>
        <v>3.0999999999999996</v>
      </c>
    </row>
    <row r="337" spans="1:12" x14ac:dyDescent="0.15">
      <c r="A337" s="1">
        <v>336</v>
      </c>
      <c r="B337" s="4">
        <v>41141</v>
      </c>
      <c r="C337" s="1" t="s">
        <v>22</v>
      </c>
      <c r="D337" s="1" t="s">
        <v>15</v>
      </c>
      <c r="E337" s="1">
        <v>0.68158564814814815</v>
      </c>
      <c r="F337" s="1" t="s">
        <v>13</v>
      </c>
      <c r="G337" s="1">
        <v>3.47</v>
      </c>
      <c r="H337" s="1">
        <v>3.53</v>
      </c>
      <c r="I337" s="1">
        <v>0</v>
      </c>
      <c r="J337" s="4">
        <v>41142</v>
      </c>
      <c r="K337" s="4">
        <v>41326</v>
      </c>
      <c r="L337">
        <f t="shared" si="5"/>
        <v>3.5</v>
      </c>
    </row>
    <row r="338" spans="1:12" x14ac:dyDescent="0.15">
      <c r="A338" s="1">
        <v>337</v>
      </c>
      <c r="B338" s="4">
        <v>41141</v>
      </c>
      <c r="C338" s="1" t="s">
        <v>11</v>
      </c>
      <c r="D338" s="1" t="s">
        <v>15</v>
      </c>
      <c r="E338" s="1">
        <v>0.68160879629629623</v>
      </c>
      <c r="F338" s="1" t="s">
        <v>13</v>
      </c>
      <c r="G338" s="1">
        <v>3.11</v>
      </c>
      <c r="H338" s="1">
        <v>3.17</v>
      </c>
      <c r="I338" s="1">
        <v>0</v>
      </c>
      <c r="J338" s="4">
        <v>41142</v>
      </c>
      <c r="K338" s="4">
        <v>42237</v>
      </c>
      <c r="L338">
        <f t="shared" si="5"/>
        <v>3.1399999999999997</v>
      </c>
    </row>
    <row r="339" spans="1:12" x14ac:dyDescent="0.15">
      <c r="A339" s="1">
        <v>338</v>
      </c>
      <c r="B339" s="4">
        <v>41141</v>
      </c>
      <c r="C339" s="1" t="s">
        <v>16</v>
      </c>
      <c r="D339" s="1" t="s">
        <v>15</v>
      </c>
      <c r="E339" s="1">
        <v>0.68160879629629623</v>
      </c>
      <c r="F339" s="1" t="s">
        <v>13</v>
      </c>
      <c r="G339" s="1">
        <v>3.07</v>
      </c>
      <c r="H339" s="1">
        <v>3.13</v>
      </c>
      <c r="I339" s="1">
        <v>0</v>
      </c>
      <c r="J339" s="4">
        <v>41142</v>
      </c>
      <c r="K339" s="4">
        <v>42603</v>
      </c>
      <c r="L339">
        <f t="shared" si="5"/>
        <v>3.0999999999999996</v>
      </c>
    </row>
    <row r="340" spans="1:12" x14ac:dyDescent="0.15">
      <c r="A340" s="1">
        <v>339</v>
      </c>
      <c r="B340" s="4">
        <v>41141</v>
      </c>
      <c r="C340" s="1" t="s">
        <v>11</v>
      </c>
      <c r="D340" s="1" t="s">
        <v>26</v>
      </c>
      <c r="E340" s="1">
        <v>0.67413194444444446</v>
      </c>
      <c r="F340" s="1" t="s">
        <v>13</v>
      </c>
      <c r="G340" s="1">
        <v>3.1</v>
      </c>
      <c r="H340" s="1">
        <v>3.2</v>
      </c>
      <c r="I340" s="1">
        <v>0</v>
      </c>
      <c r="J340" s="4">
        <v>41142</v>
      </c>
      <c r="K340" s="4">
        <v>42237</v>
      </c>
      <c r="L340">
        <f t="shared" si="5"/>
        <v>3.1500000000000004</v>
      </c>
    </row>
    <row r="341" spans="1:12" x14ac:dyDescent="0.15">
      <c r="A341" s="1">
        <v>340</v>
      </c>
      <c r="B341" s="4">
        <v>41141</v>
      </c>
      <c r="C341" s="1" t="s">
        <v>19</v>
      </c>
      <c r="D341" s="1" t="s">
        <v>12</v>
      </c>
      <c r="E341" s="1">
        <v>0.66684027777777777</v>
      </c>
      <c r="F341" s="1" t="s">
        <v>13</v>
      </c>
      <c r="G341" s="1">
        <v>3.35</v>
      </c>
      <c r="H341" s="1">
        <v>3.45</v>
      </c>
      <c r="I341" s="1">
        <v>0</v>
      </c>
      <c r="J341" s="4">
        <v>41142</v>
      </c>
      <c r="K341" s="4">
        <v>41415</v>
      </c>
      <c r="L341">
        <f t="shared" si="5"/>
        <v>3.4000000000000004</v>
      </c>
    </row>
    <row r="342" spans="1:12" x14ac:dyDescent="0.15">
      <c r="A342" s="1">
        <v>341</v>
      </c>
      <c r="B342" s="4">
        <v>41141</v>
      </c>
      <c r="C342" s="1" t="s">
        <v>11</v>
      </c>
      <c r="D342" s="1" t="s">
        <v>12</v>
      </c>
      <c r="E342" s="1">
        <v>0.66684027777777777</v>
      </c>
      <c r="F342" s="1" t="s">
        <v>13</v>
      </c>
      <c r="G342" s="1">
        <v>3.1</v>
      </c>
      <c r="H342" s="1">
        <v>3.2</v>
      </c>
      <c r="I342" s="1">
        <v>0</v>
      </c>
      <c r="J342" s="4">
        <v>41142</v>
      </c>
      <c r="K342" s="4">
        <v>42237</v>
      </c>
      <c r="L342">
        <f t="shared" si="5"/>
        <v>3.1500000000000004</v>
      </c>
    </row>
    <row r="343" spans="1:12" x14ac:dyDescent="0.15">
      <c r="A343" s="1">
        <v>342</v>
      </c>
      <c r="B343" s="4">
        <v>41141</v>
      </c>
      <c r="C343" s="1" t="s">
        <v>24</v>
      </c>
      <c r="D343" s="1" t="s">
        <v>12</v>
      </c>
      <c r="E343" s="1">
        <v>0.66684027777777777</v>
      </c>
      <c r="F343" s="1" t="s">
        <v>13</v>
      </c>
      <c r="G343" s="1">
        <v>3.1</v>
      </c>
      <c r="H343" s="1">
        <v>3.5</v>
      </c>
      <c r="I343" s="1">
        <v>0</v>
      </c>
      <c r="J343" s="4">
        <v>41142</v>
      </c>
      <c r="K343" s="4">
        <v>44064</v>
      </c>
      <c r="L343">
        <f t="shared" si="5"/>
        <v>3.3</v>
      </c>
    </row>
    <row r="344" spans="1:12" x14ac:dyDescent="0.15">
      <c r="A344" s="1">
        <v>343</v>
      </c>
      <c r="B344" s="4">
        <v>41141</v>
      </c>
      <c r="C344" s="1" t="s">
        <v>20</v>
      </c>
      <c r="D344" s="1" t="s">
        <v>12</v>
      </c>
      <c r="E344" s="1">
        <v>0.66684027777777777</v>
      </c>
      <c r="F344" s="1" t="s">
        <v>13</v>
      </c>
      <c r="G344" s="1">
        <v>3.12</v>
      </c>
      <c r="H344" s="1">
        <v>3.52</v>
      </c>
      <c r="I344" s="1">
        <v>0</v>
      </c>
      <c r="J344" s="4">
        <v>41142</v>
      </c>
      <c r="K344" s="4">
        <v>44794</v>
      </c>
      <c r="L344">
        <f t="shared" si="5"/>
        <v>3.3200000000000003</v>
      </c>
    </row>
    <row r="345" spans="1:12" x14ac:dyDescent="0.15">
      <c r="A345" s="1">
        <v>344</v>
      </c>
      <c r="B345" s="4">
        <v>41141</v>
      </c>
      <c r="C345" s="1" t="s">
        <v>22</v>
      </c>
      <c r="D345" s="1" t="s">
        <v>12</v>
      </c>
      <c r="E345" s="1">
        <v>0.66682870370370362</v>
      </c>
      <c r="F345" s="1" t="s">
        <v>13</v>
      </c>
      <c r="G345" s="1">
        <v>3.45</v>
      </c>
      <c r="H345" s="1">
        <v>3.55</v>
      </c>
      <c r="I345" s="1">
        <v>0</v>
      </c>
      <c r="J345" s="4">
        <v>41142</v>
      </c>
      <c r="K345" s="4">
        <v>41326</v>
      </c>
      <c r="L345">
        <f t="shared" si="5"/>
        <v>3.5</v>
      </c>
    </row>
    <row r="346" spans="1:12" x14ac:dyDescent="0.15">
      <c r="A346" s="1">
        <v>345</v>
      </c>
      <c r="B346" s="4">
        <v>41141</v>
      </c>
      <c r="C346" s="1" t="s">
        <v>18</v>
      </c>
      <c r="D346" s="1" t="s">
        <v>12</v>
      </c>
      <c r="E346" s="1">
        <v>0.66682870370370362</v>
      </c>
      <c r="F346" s="1" t="s">
        <v>13</v>
      </c>
      <c r="G346" s="1">
        <v>3.15</v>
      </c>
      <c r="H346" s="1">
        <v>3.25</v>
      </c>
      <c r="I346" s="1">
        <v>0</v>
      </c>
      <c r="J346" s="4">
        <v>41142</v>
      </c>
      <c r="K346" s="4">
        <v>41872</v>
      </c>
      <c r="L346">
        <f t="shared" si="5"/>
        <v>3.2</v>
      </c>
    </row>
    <row r="347" spans="1:12" x14ac:dyDescent="0.15">
      <c r="A347" s="1">
        <v>346</v>
      </c>
      <c r="B347" s="4">
        <v>41141</v>
      </c>
      <c r="C347" s="1" t="s">
        <v>14</v>
      </c>
      <c r="D347" s="1" t="s">
        <v>12</v>
      </c>
      <c r="E347" s="1">
        <v>0.66682870370370362</v>
      </c>
      <c r="F347" s="1" t="s">
        <v>13</v>
      </c>
      <c r="G347" s="1">
        <v>3.25</v>
      </c>
      <c r="H347" s="1">
        <v>3.35</v>
      </c>
      <c r="I347" s="1">
        <v>0</v>
      </c>
      <c r="J347" s="4">
        <v>41142</v>
      </c>
      <c r="K347" s="4">
        <v>41507</v>
      </c>
      <c r="L347">
        <f t="shared" si="5"/>
        <v>3.3</v>
      </c>
    </row>
    <row r="348" spans="1:12" x14ac:dyDescent="0.15">
      <c r="A348" s="1">
        <v>347</v>
      </c>
      <c r="B348" s="4">
        <v>41141</v>
      </c>
      <c r="C348" s="1" t="s">
        <v>23</v>
      </c>
      <c r="D348" s="1" t="s">
        <v>12</v>
      </c>
      <c r="E348" s="1">
        <v>0.66682870370370362</v>
      </c>
      <c r="F348" s="1" t="s">
        <v>13</v>
      </c>
      <c r="G348" s="1">
        <v>3.12</v>
      </c>
      <c r="H348" s="1">
        <v>3.22</v>
      </c>
      <c r="I348" s="1">
        <v>0</v>
      </c>
      <c r="J348" s="4">
        <v>41142</v>
      </c>
      <c r="K348" s="4">
        <v>43333</v>
      </c>
      <c r="L348">
        <f t="shared" si="5"/>
        <v>3.17</v>
      </c>
    </row>
    <row r="349" spans="1:12" x14ac:dyDescent="0.15">
      <c r="A349" s="1">
        <v>348</v>
      </c>
      <c r="B349" s="4">
        <v>41141</v>
      </c>
      <c r="C349" s="1" t="s">
        <v>21</v>
      </c>
      <c r="D349" s="1" t="s">
        <v>12</v>
      </c>
      <c r="E349" s="1">
        <v>0.66682870370370362</v>
      </c>
      <c r="F349" s="1" t="s">
        <v>13</v>
      </c>
      <c r="G349" s="1">
        <v>3.1</v>
      </c>
      <c r="H349" s="1">
        <v>3.5</v>
      </c>
      <c r="I349" s="1">
        <v>0</v>
      </c>
      <c r="J349" s="4">
        <v>41142</v>
      </c>
      <c r="K349" s="4">
        <v>43698</v>
      </c>
      <c r="L349">
        <f t="shared" si="5"/>
        <v>3.3</v>
      </c>
    </row>
    <row r="350" spans="1:12" x14ac:dyDescent="0.15">
      <c r="A350" s="1">
        <v>349</v>
      </c>
      <c r="B350" s="4">
        <v>41141</v>
      </c>
      <c r="C350" s="1" t="s">
        <v>22</v>
      </c>
      <c r="D350" s="1" t="s">
        <v>26</v>
      </c>
      <c r="E350" s="1">
        <v>0.67412037037037031</v>
      </c>
      <c r="F350" s="1" t="s">
        <v>13</v>
      </c>
      <c r="G350" s="1">
        <v>3.48</v>
      </c>
      <c r="H350" s="1">
        <v>3.55</v>
      </c>
      <c r="I350" s="1">
        <v>0</v>
      </c>
      <c r="J350" s="4">
        <v>41142</v>
      </c>
      <c r="K350" s="4">
        <v>41326</v>
      </c>
      <c r="L350">
        <f t="shared" si="5"/>
        <v>3.5149999999999997</v>
      </c>
    </row>
    <row r="351" spans="1:12" x14ac:dyDescent="0.15">
      <c r="A351" s="1">
        <v>350</v>
      </c>
      <c r="B351" s="4">
        <v>41141</v>
      </c>
      <c r="C351" s="1" t="s">
        <v>18</v>
      </c>
      <c r="D351" s="1" t="s">
        <v>26</v>
      </c>
      <c r="E351" s="1">
        <v>0.67412037037037031</v>
      </c>
      <c r="F351" s="1" t="s">
        <v>13</v>
      </c>
      <c r="G351" s="1">
        <v>3.13</v>
      </c>
      <c r="H351" s="1">
        <v>3.23</v>
      </c>
      <c r="I351" s="1">
        <v>0</v>
      </c>
      <c r="J351" s="4">
        <v>41142</v>
      </c>
      <c r="K351" s="4">
        <v>41872</v>
      </c>
      <c r="L351">
        <f t="shared" si="5"/>
        <v>3.1799999999999997</v>
      </c>
    </row>
    <row r="352" spans="1:12" x14ac:dyDescent="0.15">
      <c r="A352" s="1">
        <v>351</v>
      </c>
      <c r="B352" s="4">
        <v>41141</v>
      </c>
      <c r="C352" s="1" t="s">
        <v>16</v>
      </c>
      <c r="D352" s="1" t="s">
        <v>26</v>
      </c>
      <c r="E352" s="1">
        <v>0.67413194444444446</v>
      </c>
      <c r="F352" s="1" t="s">
        <v>13</v>
      </c>
      <c r="G352" s="1">
        <v>3.06</v>
      </c>
      <c r="H352" s="1">
        <v>3.16</v>
      </c>
      <c r="I352" s="1">
        <v>0</v>
      </c>
      <c r="J352" s="4">
        <v>41142</v>
      </c>
      <c r="K352" s="4">
        <v>42603</v>
      </c>
      <c r="L352">
        <f t="shared" si="5"/>
        <v>3.1100000000000003</v>
      </c>
    </row>
    <row r="353" spans="1:12" x14ac:dyDescent="0.15">
      <c r="A353" s="1">
        <v>352</v>
      </c>
      <c r="B353" s="4">
        <v>41141</v>
      </c>
      <c r="C353" s="1" t="s">
        <v>25</v>
      </c>
      <c r="D353" s="1" t="s">
        <v>26</v>
      </c>
      <c r="E353" s="1">
        <v>0.67413194444444446</v>
      </c>
      <c r="F353" s="1" t="s">
        <v>13</v>
      </c>
      <c r="G353" s="1">
        <v>3.06</v>
      </c>
      <c r="H353" s="1">
        <v>3.16</v>
      </c>
      <c r="I353" s="1">
        <v>0</v>
      </c>
      <c r="J353" s="4">
        <v>41142</v>
      </c>
      <c r="K353" s="4">
        <v>42968</v>
      </c>
      <c r="L353">
        <f t="shared" si="5"/>
        <v>3.1100000000000003</v>
      </c>
    </row>
    <row r="354" spans="1:12" x14ac:dyDescent="0.15">
      <c r="A354" s="1">
        <v>353</v>
      </c>
      <c r="B354" s="4">
        <v>41141</v>
      </c>
      <c r="C354" s="1" t="s">
        <v>20</v>
      </c>
      <c r="D354" s="1" t="s">
        <v>26</v>
      </c>
      <c r="E354" s="1">
        <v>0.67412037037037031</v>
      </c>
      <c r="F354" s="1" t="s">
        <v>13</v>
      </c>
      <c r="G354" s="1">
        <v>3.06</v>
      </c>
      <c r="H354" s="1">
        <v>3.16</v>
      </c>
      <c r="I354" s="1">
        <v>0</v>
      </c>
      <c r="J354" s="4">
        <v>41142</v>
      </c>
      <c r="K354" s="4">
        <v>44794</v>
      </c>
      <c r="L354">
        <f t="shared" si="5"/>
        <v>3.1100000000000003</v>
      </c>
    </row>
    <row r="355" spans="1:12" x14ac:dyDescent="0.15">
      <c r="A355" s="1">
        <v>354</v>
      </c>
      <c r="B355" s="4">
        <v>41141</v>
      </c>
      <c r="C355" s="1" t="s">
        <v>16</v>
      </c>
      <c r="D355" s="1" t="s">
        <v>12</v>
      </c>
      <c r="E355" s="1">
        <v>0.66684027777777777</v>
      </c>
      <c r="F355" s="1" t="s">
        <v>13</v>
      </c>
      <c r="G355" s="1">
        <v>3.1</v>
      </c>
      <c r="H355" s="1">
        <v>3.2</v>
      </c>
      <c r="I355" s="1">
        <v>0</v>
      </c>
      <c r="J355" s="4">
        <v>41142</v>
      </c>
      <c r="K355" s="4">
        <v>42603</v>
      </c>
      <c r="L355">
        <f t="shared" si="5"/>
        <v>3.1500000000000004</v>
      </c>
    </row>
    <row r="356" spans="1:12" x14ac:dyDescent="0.15">
      <c r="A356" s="1">
        <v>355</v>
      </c>
      <c r="B356" s="4">
        <v>41141</v>
      </c>
      <c r="C356" s="1" t="s">
        <v>25</v>
      </c>
      <c r="D356" s="1" t="s">
        <v>12</v>
      </c>
      <c r="E356" s="1">
        <v>0.66684027777777777</v>
      </c>
      <c r="F356" s="1" t="s">
        <v>13</v>
      </c>
      <c r="G356" s="1">
        <v>3.14</v>
      </c>
      <c r="H356" s="1">
        <v>3.24</v>
      </c>
      <c r="I356" s="1">
        <v>0</v>
      </c>
      <c r="J356" s="4">
        <v>41142</v>
      </c>
      <c r="K356" s="4">
        <v>42968</v>
      </c>
      <c r="L356">
        <f t="shared" si="5"/>
        <v>3.1900000000000004</v>
      </c>
    </row>
    <row r="357" spans="1:12" x14ac:dyDescent="0.15">
      <c r="A357" s="1">
        <v>356</v>
      </c>
      <c r="B357" s="4">
        <v>41141</v>
      </c>
      <c r="C357" s="1" t="s">
        <v>14</v>
      </c>
      <c r="D357" s="1" t="s">
        <v>26</v>
      </c>
      <c r="E357" s="1">
        <v>0.67412037037037031</v>
      </c>
      <c r="F357" s="1" t="s">
        <v>13</v>
      </c>
      <c r="G357" s="1">
        <v>3.25</v>
      </c>
      <c r="H357" s="1">
        <v>3.35</v>
      </c>
      <c r="I357" s="1">
        <v>0</v>
      </c>
      <c r="J357" s="4">
        <v>41142</v>
      </c>
      <c r="K357" s="4">
        <v>41507</v>
      </c>
      <c r="L357">
        <f t="shared" si="5"/>
        <v>3.3</v>
      </c>
    </row>
    <row r="358" spans="1:12" x14ac:dyDescent="0.15">
      <c r="A358" s="1">
        <v>357</v>
      </c>
      <c r="B358" s="4">
        <v>41141</v>
      </c>
      <c r="C358" s="1" t="s">
        <v>17</v>
      </c>
      <c r="D358" s="1" t="s">
        <v>12</v>
      </c>
      <c r="E358" s="1">
        <v>0.66684027777777777</v>
      </c>
      <c r="F358" s="1" t="s">
        <v>13</v>
      </c>
      <c r="G358" s="1">
        <v>3.1</v>
      </c>
      <c r="H358" s="1">
        <v>3.5</v>
      </c>
      <c r="I358" s="1">
        <v>0</v>
      </c>
      <c r="J358" s="4">
        <v>41142</v>
      </c>
      <c r="K358" s="4">
        <v>44429</v>
      </c>
      <c r="L358">
        <f t="shared" si="5"/>
        <v>3.3</v>
      </c>
    </row>
    <row r="359" spans="1:12" x14ac:dyDescent="0.15">
      <c r="A359" s="1">
        <v>358</v>
      </c>
      <c r="B359" s="4">
        <v>41138</v>
      </c>
      <c r="C359" s="1" t="s">
        <v>25</v>
      </c>
      <c r="D359" s="1" t="s">
        <v>27</v>
      </c>
      <c r="E359" s="1">
        <v>0.48600694444444442</v>
      </c>
      <c r="F359" s="1" t="s">
        <v>13</v>
      </c>
      <c r="G359" s="1">
        <v>3.03</v>
      </c>
      <c r="H359" s="1">
        <v>3.08</v>
      </c>
      <c r="I359" s="1">
        <v>0</v>
      </c>
      <c r="J359" s="4">
        <v>41139</v>
      </c>
      <c r="K359" s="4">
        <v>42965</v>
      </c>
      <c r="L359">
        <f t="shared" si="5"/>
        <v>3.0549999999999997</v>
      </c>
    </row>
    <row r="360" spans="1:12" x14ac:dyDescent="0.15">
      <c r="A360" s="1">
        <v>359</v>
      </c>
      <c r="B360" s="4">
        <v>41138</v>
      </c>
      <c r="C360" s="1" t="s">
        <v>14</v>
      </c>
      <c r="D360" s="1" t="s">
        <v>27</v>
      </c>
      <c r="E360" s="1">
        <v>0.48600694444444442</v>
      </c>
      <c r="F360" s="1" t="s">
        <v>13</v>
      </c>
      <c r="G360" s="1">
        <v>3.22</v>
      </c>
      <c r="H360" s="1">
        <v>3.27</v>
      </c>
      <c r="I360" s="1">
        <v>0</v>
      </c>
      <c r="J360" s="4">
        <v>41139</v>
      </c>
      <c r="K360" s="4">
        <v>41504</v>
      </c>
      <c r="L360">
        <f t="shared" si="5"/>
        <v>3.2450000000000001</v>
      </c>
    </row>
    <row r="361" spans="1:12" x14ac:dyDescent="0.15">
      <c r="A361" s="1">
        <v>360</v>
      </c>
      <c r="B361" s="4">
        <v>41138</v>
      </c>
      <c r="C361" s="1" t="s">
        <v>16</v>
      </c>
      <c r="D361" s="1" t="s">
        <v>27</v>
      </c>
      <c r="E361" s="1">
        <v>0.48601851851851857</v>
      </c>
      <c r="F361" s="1" t="s">
        <v>13</v>
      </c>
      <c r="G361" s="1">
        <v>3.03</v>
      </c>
      <c r="H361" s="1">
        <v>3.12</v>
      </c>
      <c r="I361" s="1">
        <v>0</v>
      </c>
      <c r="J361" s="4">
        <v>41139</v>
      </c>
      <c r="K361" s="4">
        <v>42600</v>
      </c>
      <c r="L361">
        <f t="shared" si="5"/>
        <v>3.0750000000000002</v>
      </c>
    </row>
    <row r="362" spans="1:12" x14ac:dyDescent="0.15">
      <c r="A362" s="1">
        <v>361</v>
      </c>
      <c r="B362" s="4">
        <v>41138</v>
      </c>
      <c r="C362" s="1" t="s">
        <v>19</v>
      </c>
      <c r="D362" s="1" t="s">
        <v>27</v>
      </c>
      <c r="E362" s="1">
        <v>0.48601851851851857</v>
      </c>
      <c r="F362" s="1" t="s">
        <v>13</v>
      </c>
      <c r="G362" s="1">
        <v>3.31</v>
      </c>
      <c r="H362" s="1">
        <v>3.41</v>
      </c>
      <c r="I362" s="1">
        <v>0</v>
      </c>
      <c r="J362" s="4">
        <v>41139</v>
      </c>
      <c r="K362" s="4">
        <v>41412</v>
      </c>
      <c r="L362">
        <f t="shared" si="5"/>
        <v>3.3600000000000003</v>
      </c>
    </row>
    <row r="363" spans="1:12" x14ac:dyDescent="0.15">
      <c r="A363" s="1">
        <v>362</v>
      </c>
      <c r="B363" s="4">
        <v>41138</v>
      </c>
      <c r="C363" s="1" t="s">
        <v>20</v>
      </c>
      <c r="D363" s="1" t="s">
        <v>15</v>
      </c>
      <c r="E363" s="1">
        <v>0.47922453703703699</v>
      </c>
      <c r="F363" s="1" t="s">
        <v>13</v>
      </c>
      <c r="G363" s="1">
        <v>3.2</v>
      </c>
      <c r="H363" s="1">
        <v>3.26</v>
      </c>
      <c r="I363" s="1">
        <v>0</v>
      </c>
      <c r="J363" s="4">
        <v>41139</v>
      </c>
      <c r="K363" s="4">
        <v>44791</v>
      </c>
      <c r="L363">
        <f t="shared" si="5"/>
        <v>3.23</v>
      </c>
    </row>
    <row r="364" spans="1:12" x14ac:dyDescent="0.15">
      <c r="A364" s="1">
        <v>363</v>
      </c>
      <c r="B364" s="4">
        <v>41138</v>
      </c>
      <c r="C364" s="1" t="s">
        <v>19</v>
      </c>
      <c r="D364" s="1" t="s">
        <v>15</v>
      </c>
      <c r="E364" s="1">
        <v>0.47922453703703699</v>
      </c>
      <c r="F364" s="1" t="s">
        <v>13</v>
      </c>
      <c r="G364" s="1">
        <v>3.32</v>
      </c>
      <c r="H364" s="1">
        <v>3.38</v>
      </c>
      <c r="I364" s="1">
        <v>0</v>
      </c>
      <c r="J364" s="4">
        <v>41139</v>
      </c>
      <c r="K364" s="4">
        <v>41412</v>
      </c>
      <c r="L364">
        <f t="shared" si="5"/>
        <v>3.3499999999999996</v>
      </c>
    </row>
    <row r="365" spans="1:12" x14ac:dyDescent="0.15">
      <c r="A365" s="1">
        <v>364</v>
      </c>
      <c r="B365" s="4">
        <v>41138</v>
      </c>
      <c r="C365" s="1" t="s">
        <v>16</v>
      </c>
      <c r="D365" s="1" t="s">
        <v>15</v>
      </c>
      <c r="E365" s="1">
        <v>0.47922453703703699</v>
      </c>
      <c r="F365" s="1" t="s">
        <v>13</v>
      </c>
      <c r="G365" s="1">
        <v>3.08</v>
      </c>
      <c r="H365" s="1">
        <v>3.14</v>
      </c>
      <c r="I365" s="1">
        <v>0</v>
      </c>
      <c r="J365" s="4">
        <v>41139</v>
      </c>
      <c r="K365" s="4">
        <v>42600</v>
      </c>
      <c r="L365">
        <f t="shared" si="5"/>
        <v>3.1100000000000003</v>
      </c>
    </row>
    <row r="366" spans="1:12" x14ac:dyDescent="0.15">
      <c r="A366" s="1">
        <v>365</v>
      </c>
      <c r="B366" s="4">
        <v>41138</v>
      </c>
      <c r="C366" s="1" t="s">
        <v>25</v>
      </c>
      <c r="D366" s="1" t="s">
        <v>15</v>
      </c>
      <c r="E366" s="1">
        <v>0.47922453703703699</v>
      </c>
      <c r="F366" s="1" t="s">
        <v>13</v>
      </c>
      <c r="G366" s="1">
        <v>3.08</v>
      </c>
      <c r="H366" s="1">
        <v>3.14</v>
      </c>
      <c r="I366" s="1">
        <v>0</v>
      </c>
      <c r="J366" s="4">
        <v>41139</v>
      </c>
      <c r="K366" s="4">
        <v>42965</v>
      </c>
      <c r="L366">
        <f t="shared" si="5"/>
        <v>3.1100000000000003</v>
      </c>
    </row>
    <row r="367" spans="1:12" x14ac:dyDescent="0.15">
      <c r="A367" s="1">
        <v>366</v>
      </c>
      <c r="B367" s="4">
        <v>41138</v>
      </c>
      <c r="C367" s="1" t="s">
        <v>18</v>
      </c>
      <c r="D367" s="1" t="s">
        <v>27</v>
      </c>
      <c r="E367" s="1">
        <v>0.48604166666666665</v>
      </c>
      <c r="F367" s="1" t="s">
        <v>13</v>
      </c>
      <c r="G367" s="1">
        <v>3.05</v>
      </c>
      <c r="H367" s="1">
        <v>3.14</v>
      </c>
      <c r="I367" s="1">
        <v>0</v>
      </c>
      <c r="J367" s="4">
        <v>41139</v>
      </c>
      <c r="K367" s="4">
        <v>41869</v>
      </c>
      <c r="L367">
        <f t="shared" si="5"/>
        <v>3.0949999999999998</v>
      </c>
    </row>
    <row r="368" spans="1:12" x14ac:dyDescent="0.15">
      <c r="A368" s="1">
        <v>367</v>
      </c>
      <c r="B368" s="4">
        <v>41138</v>
      </c>
      <c r="C368" s="1" t="s">
        <v>18</v>
      </c>
      <c r="D368" s="1" t="s">
        <v>12</v>
      </c>
      <c r="E368" s="1">
        <v>0.66685185185185192</v>
      </c>
      <c r="F368" s="1" t="s">
        <v>13</v>
      </c>
      <c r="G368" s="1">
        <v>3.05</v>
      </c>
      <c r="H368" s="1">
        <v>3.15</v>
      </c>
      <c r="I368" s="1">
        <v>0</v>
      </c>
      <c r="J368" s="4">
        <v>41139</v>
      </c>
      <c r="K368" s="4">
        <v>41869</v>
      </c>
      <c r="L368">
        <f t="shared" si="5"/>
        <v>3.0999999999999996</v>
      </c>
    </row>
    <row r="369" spans="1:12" x14ac:dyDescent="0.15">
      <c r="A369" s="1">
        <v>368</v>
      </c>
      <c r="B369" s="4">
        <v>41138</v>
      </c>
      <c r="C369" s="1" t="s">
        <v>14</v>
      </c>
      <c r="D369" s="1" t="s">
        <v>12</v>
      </c>
      <c r="E369" s="1">
        <v>0.66684027777777777</v>
      </c>
      <c r="F369" s="1" t="s">
        <v>13</v>
      </c>
      <c r="G369" s="1">
        <v>3.2</v>
      </c>
      <c r="H369" s="1">
        <v>3.3</v>
      </c>
      <c r="I369" s="1">
        <v>0</v>
      </c>
      <c r="J369" s="4">
        <v>41139</v>
      </c>
      <c r="K369" s="4">
        <v>41504</v>
      </c>
      <c r="L369">
        <f t="shared" si="5"/>
        <v>3.25</v>
      </c>
    </row>
    <row r="370" spans="1:12" x14ac:dyDescent="0.15">
      <c r="A370" s="1">
        <v>369</v>
      </c>
      <c r="B370" s="4">
        <v>41138</v>
      </c>
      <c r="C370" s="1" t="s">
        <v>19</v>
      </c>
      <c r="D370" s="1" t="s">
        <v>12</v>
      </c>
      <c r="E370" s="1">
        <v>0.66685185185185192</v>
      </c>
      <c r="F370" s="1" t="s">
        <v>13</v>
      </c>
      <c r="G370" s="1">
        <v>3.3</v>
      </c>
      <c r="H370" s="1">
        <v>3.4</v>
      </c>
      <c r="I370" s="1">
        <v>0</v>
      </c>
      <c r="J370" s="4">
        <v>41139</v>
      </c>
      <c r="K370" s="4">
        <v>41412</v>
      </c>
      <c r="L370">
        <f t="shared" si="5"/>
        <v>3.3499999999999996</v>
      </c>
    </row>
    <row r="371" spans="1:12" x14ac:dyDescent="0.15">
      <c r="A371" s="1">
        <v>370</v>
      </c>
      <c r="B371" s="4">
        <v>41138</v>
      </c>
      <c r="C371" s="1" t="s">
        <v>21</v>
      </c>
      <c r="D371" s="1" t="s">
        <v>12</v>
      </c>
      <c r="E371" s="1">
        <v>0.66685185185185192</v>
      </c>
      <c r="F371" s="1" t="s">
        <v>13</v>
      </c>
      <c r="G371" s="1">
        <v>3</v>
      </c>
      <c r="H371" s="1">
        <v>3.4</v>
      </c>
      <c r="I371" s="1">
        <v>0</v>
      </c>
      <c r="J371" s="4">
        <v>41139</v>
      </c>
      <c r="K371" s="4">
        <v>43695</v>
      </c>
      <c r="L371">
        <f t="shared" si="5"/>
        <v>3.2</v>
      </c>
    </row>
    <row r="372" spans="1:12" x14ac:dyDescent="0.15">
      <c r="A372" s="1">
        <v>371</v>
      </c>
      <c r="B372" s="4">
        <v>41138</v>
      </c>
      <c r="C372" s="1" t="s">
        <v>11</v>
      </c>
      <c r="D372" s="1" t="s">
        <v>27</v>
      </c>
      <c r="E372" s="1">
        <v>0.48605324074074074</v>
      </c>
      <c r="F372" s="1" t="s">
        <v>13</v>
      </c>
      <c r="G372" s="1">
        <v>3.03</v>
      </c>
      <c r="H372" s="1">
        <v>3.12</v>
      </c>
      <c r="I372" s="1">
        <v>0</v>
      </c>
      <c r="J372" s="4">
        <v>41139</v>
      </c>
      <c r="K372" s="4">
        <v>42234</v>
      </c>
      <c r="L372">
        <f t="shared" si="5"/>
        <v>3.0750000000000002</v>
      </c>
    </row>
    <row r="373" spans="1:12" x14ac:dyDescent="0.15">
      <c r="A373" s="1">
        <v>372</v>
      </c>
      <c r="B373" s="4">
        <v>41138</v>
      </c>
      <c r="C373" s="1" t="s">
        <v>22</v>
      </c>
      <c r="D373" s="1" t="s">
        <v>27</v>
      </c>
      <c r="E373" s="1">
        <v>0.48604166666666665</v>
      </c>
      <c r="F373" s="1" t="s">
        <v>13</v>
      </c>
      <c r="G373" s="1">
        <v>3.43</v>
      </c>
      <c r="H373" s="1">
        <v>3.53</v>
      </c>
      <c r="I373" s="1">
        <v>0</v>
      </c>
      <c r="J373" s="4">
        <v>41139</v>
      </c>
      <c r="K373" s="4">
        <v>41323</v>
      </c>
      <c r="L373">
        <f t="shared" si="5"/>
        <v>3.48</v>
      </c>
    </row>
    <row r="374" spans="1:12" x14ac:dyDescent="0.15">
      <c r="A374" s="1">
        <v>373</v>
      </c>
      <c r="B374" s="4">
        <v>41138</v>
      </c>
      <c r="C374" s="1" t="s">
        <v>22</v>
      </c>
      <c r="D374" s="1" t="s">
        <v>12</v>
      </c>
      <c r="E374" s="1">
        <v>0.66682870370370362</v>
      </c>
      <c r="F374" s="1" t="s">
        <v>13</v>
      </c>
      <c r="G374" s="1">
        <v>3.4</v>
      </c>
      <c r="H374" s="1">
        <v>3.5</v>
      </c>
      <c r="I374" s="1">
        <v>0</v>
      </c>
      <c r="J374" s="4">
        <v>41139</v>
      </c>
      <c r="K374" s="4">
        <v>41323</v>
      </c>
      <c r="L374">
        <f t="shared" si="5"/>
        <v>3.45</v>
      </c>
    </row>
    <row r="375" spans="1:12" x14ac:dyDescent="0.15">
      <c r="A375" s="1">
        <v>374</v>
      </c>
      <c r="B375" s="4">
        <v>41138</v>
      </c>
      <c r="C375" s="1" t="s">
        <v>23</v>
      </c>
      <c r="D375" s="1" t="s">
        <v>12</v>
      </c>
      <c r="E375" s="1">
        <v>0.66682870370370362</v>
      </c>
      <c r="F375" s="1" t="s">
        <v>13</v>
      </c>
      <c r="G375" s="1">
        <v>3.03</v>
      </c>
      <c r="H375" s="1">
        <v>3.13</v>
      </c>
      <c r="I375" s="1">
        <v>0</v>
      </c>
      <c r="J375" s="4">
        <v>41139</v>
      </c>
      <c r="K375" s="4">
        <v>43330</v>
      </c>
      <c r="L375">
        <f t="shared" si="5"/>
        <v>3.08</v>
      </c>
    </row>
    <row r="376" spans="1:12" x14ac:dyDescent="0.15">
      <c r="A376" s="1">
        <v>375</v>
      </c>
      <c r="B376" s="4">
        <v>41138</v>
      </c>
      <c r="C376" s="1" t="s">
        <v>22</v>
      </c>
      <c r="D376" s="1" t="s">
        <v>12</v>
      </c>
      <c r="E376" s="1">
        <v>0.47887731481481483</v>
      </c>
      <c r="F376" s="1" t="s">
        <v>13</v>
      </c>
      <c r="G376" s="1">
        <v>3.4</v>
      </c>
      <c r="H376" s="1">
        <v>3.5</v>
      </c>
      <c r="I376" s="1">
        <v>0</v>
      </c>
      <c r="J376" s="4">
        <v>41139</v>
      </c>
      <c r="K376" s="4">
        <v>41323</v>
      </c>
      <c r="L376">
        <f t="shared" si="5"/>
        <v>3.45</v>
      </c>
    </row>
    <row r="377" spans="1:12" x14ac:dyDescent="0.15">
      <c r="A377" s="1">
        <v>376</v>
      </c>
      <c r="B377" s="4">
        <v>41138</v>
      </c>
      <c r="C377" s="1" t="s">
        <v>23</v>
      </c>
      <c r="D377" s="1" t="s">
        <v>12</v>
      </c>
      <c r="E377" s="1">
        <v>0.47887731481481483</v>
      </c>
      <c r="F377" s="1" t="s">
        <v>13</v>
      </c>
      <c r="G377" s="1">
        <v>3.03</v>
      </c>
      <c r="H377" s="1">
        <v>3.13</v>
      </c>
      <c r="I377" s="1">
        <v>0</v>
      </c>
      <c r="J377" s="4">
        <v>41139</v>
      </c>
      <c r="K377" s="4">
        <v>43330</v>
      </c>
      <c r="L377">
        <f t="shared" si="5"/>
        <v>3.08</v>
      </c>
    </row>
    <row r="378" spans="1:12" x14ac:dyDescent="0.15">
      <c r="A378" s="1">
        <v>377</v>
      </c>
      <c r="B378" s="4">
        <v>41138</v>
      </c>
      <c r="C378" s="1" t="s">
        <v>24</v>
      </c>
      <c r="D378" s="1" t="s">
        <v>12</v>
      </c>
      <c r="E378" s="1">
        <v>0.47888888888888892</v>
      </c>
      <c r="F378" s="1" t="s">
        <v>13</v>
      </c>
      <c r="G378" s="1">
        <v>3</v>
      </c>
      <c r="H378" s="1">
        <v>3.4</v>
      </c>
      <c r="I378" s="1">
        <v>0</v>
      </c>
      <c r="J378" s="4">
        <v>41139</v>
      </c>
      <c r="K378" s="4">
        <v>44061</v>
      </c>
      <c r="L378">
        <f t="shared" si="5"/>
        <v>3.2</v>
      </c>
    </row>
    <row r="379" spans="1:12" x14ac:dyDescent="0.15">
      <c r="A379" s="1">
        <v>378</v>
      </c>
      <c r="B379" s="4">
        <v>41138</v>
      </c>
      <c r="C379" s="1" t="s">
        <v>20</v>
      </c>
      <c r="D379" s="1" t="s">
        <v>12</v>
      </c>
      <c r="E379" s="1">
        <v>0.47888888888888892</v>
      </c>
      <c r="F379" s="1" t="s">
        <v>13</v>
      </c>
      <c r="G379" s="1">
        <v>3.04</v>
      </c>
      <c r="H379" s="1">
        <v>3.44</v>
      </c>
      <c r="I379" s="1">
        <v>0</v>
      </c>
      <c r="J379" s="4">
        <v>41139</v>
      </c>
      <c r="K379" s="4">
        <v>44791</v>
      </c>
      <c r="L379">
        <f t="shared" si="5"/>
        <v>3.24</v>
      </c>
    </row>
    <row r="380" spans="1:12" x14ac:dyDescent="0.15">
      <c r="A380" s="1">
        <v>379</v>
      </c>
      <c r="B380" s="4">
        <v>41138</v>
      </c>
      <c r="C380" s="1" t="s">
        <v>18</v>
      </c>
      <c r="D380" s="1" t="s">
        <v>12</v>
      </c>
      <c r="E380" s="1">
        <v>0.47887731481481483</v>
      </c>
      <c r="F380" s="1" t="s">
        <v>13</v>
      </c>
      <c r="G380" s="1">
        <v>3.05</v>
      </c>
      <c r="H380" s="1">
        <v>3.15</v>
      </c>
      <c r="I380" s="1">
        <v>0</v>
      </c>
      <c r="J380" s="4">
        <v>41139</v>
      </c>
      <c r="K380" s="4">
        <v>41869</v>
      </c>
      <c r="L380">
        <f t="shared" si="5"/>
        <v>3.0999999999999996</v>
      </c>
    </row>
    <row r="381" spans="1:12" x14ac:dyDescent="0.15">
      <c r="A381" s="1">
        <v>380</v>
      </c>
      <c r="B381" s="4">
        <v>41138</v>
      </c>
      <c r="C381" s="1" t="s">
        <v>14</v>
      </c>
      <c r="D381" s="1" t="s">
        <v>12</v>
      </c>
      <c r="E381" s="1">
        <v>0.47887731481481483</v>
      </c>
      <c r="F381" s="1" t="s">
        <v>13</v>
      </c>
      <c r="G381" s="1">
        <v>3.2</v>
      </c>
      <c r="H381" s="1">
        <v>3.3</v>
      </c>
      <c r="I381" s="1">
        <v>0</v>
      </c>
      <c r="J381" s="4">
        <v>41139</v>
      </c>
      <c r="K381" s="4">
        <v>41504</v>
      </c>
      <c r="L381">
        <f t="shared" si="5"/>
        <v>3.25</v>
      </c>
    </row>
    <row r="382" spans="1:12" x14ac:dyDescent="0.15">
      <c r="A382" s="1">
        <v>381</v>
      </c>
      <c r="B382" s="4">
        <v>41138</v>
      </c>
      <c r="C382" s="1" t="s">
        <v>19</v>
      </c>
      <c r="D382" s="1" t="s">
        <v>12</v>
      </c>
      <c r="E382" s="1">
        <v>0.47887731481481483</v>
      </c>
      <c r="F382" s="1" t="s">
        <v>13</v>
      </c>
      <c r="G382" s="1">
        <v>3.3</v>
      </c>
      <c r="H382" s="1">
        <v>3.4</v>
      </c>
      <c r="I382" s="1">
        <v>0</v>
      </c>
      <c r="J382" s="4">
        <v>41139</v>
      </c>
      <c r="K382" s="4">
        <v>41412</v>
      </c>
      <c r="L382">
        <f t="shared" si="5"/>
        <v>3.3499999999999996</v>
      </c>
    </row>
    <row r="383" spans="1:12" x14ac:dyDescent="0.15">
      <c r="A383" s="1">
        <v>382</v>
      </c>
      <c r="B383" s="4">
        <v>41138</v>
      </c>
      <c r="C383" s="1" t="s">
        <v>21</v>
      </c>
      <c r="D383" s="1" t="s">
        <v>12</v>
      </c>
      <c r="E383" s="1">
        <v>0.47887731481481483</v>
      </c>
      <c r="F383" s="1" t="s">
        <v>13</v>
      </c>
      <c r="G383" s="1">
        <v>3</v>
      </c>
      <c r="H383" s="1">
        <v>3.4</v>
      </c>
      <c r="I383" s="1">
        <v>0</v>
      </c>
      <c r="J383" s="4">
        <v>41139</v>
      </c>
      <c r="K383" s="4">
        <v>43695</v>
      </c>
      <c r="L383">
        <f t="shared" si="5"/>
        <v>3.2</v>
      </c>
    </row>
    <row r="384" spans="1:12" x14ac:dyDescent="0.15">
      <c r="A384" s="1">
        <v>383</v>
      </c>
      <c r="B384" s="4">
        <v>41138</v>
      </c>
      <c r="C384" s="1" t="s">
        <v>25</v>
      </c>
      <c r="D384" s="1" t="s">
        <v>12</v>
      </c>
      <c r="E384" s="1">
        <v>0.47888888888888892</v>
      </c>
      <c r="F384" s="1" t="s">
        <v>13</v>
      </c>
      <c r="G384" s="1">
        <v>3.04</v>
      </c>
      <c r="H384" s="1">
        <v>3.14</v>
      </c>
      <c r="I384" s="1">
        <v>0</v>
      </c>
      <c r="J384" s="4">
        <v>41139</v>
      </c>
      <c r="K384" s="4">
        <v>42965</v>
      </c>
      <c r="L384">
        <f t="shared" si="5"/>
        <v>3.09</v>
      </c>
    </row>
    <row r="385" spans="1:12" x14ac:dyDescent="0.15">
      <c r="A385" s="1">
        <v>384</v>
      </c>
      <c r="B385" s="4">
        <v>41138</v>
      </c>
      <c r="C385" s="1" t="s">
        <v>18</v>
      </c>
      <c r="D385" s="1" t="s">
        <v>15</v>
      </c>
      <c r="E385" s="1">
        <v>0.47921296296296295</v>
      </c>
      <c r="F385" s="1" t="s">
        <v>13</v>
      </c>
      <c r="G385" s="1">
        <v>3.1</v>
      </c>
      <c r="H385" s="1">
        <v>3.16</v>
      </c>
      <c r="I385" s="1">
        <v>0</v>
      </c>
      <c r="J385" s="4">
        <v>41139</v>
      </c>
      <c r="K385" s="4">
        <v>41869</v>
      </c>
      <c r="L385">
        <f t="shared" si="5"/>
        <v>3.13</v>
      </c>
    </row>
    <row r="386" spans="1:12" x14ac:dyDescent="0.15">
      <c r="A386" s="1">
        <v>385</v>
      </c>
      <c r="B386" s="4">
        <v>41138</v>
      </c>
      <c r="C386" s="1" t="s">
        <v>14</v>
      </c>
      <c r="D386" s="1" t="s">
        <v>15</v>
      </c>
      <c r="E386" s="1">
        <v>0.47921296296296295</v>
      </c>
      <c r="F386" s="1" t="s">
        <v>13</v>
      </c>
      <c r="G386" s="1">
        <v>3.23</v>
      </c>
      <c r="H386" s="1">
        <v>3.29</v>
      </c>
      <c r="I386" s="1">
        <v>0</v>
      </c>
      <c r="J386" s="4">
        <v>41139</v>
      </c>
      <c r="K386" s="4">
        <v>41504</v>
      </c>
      <c r="L386">
        <f t="shared" si="5"/>
        <v>3.26</v>
      </c>
    </row>
    <row r="387" spans="1:12" x14ac:dyDescent="0.15">
      <c r="A387" s="1">
        <v>386</v>
      </c>
      <c r="B387" s="4">
        <v>41138</v>
      </c>
      <c r="C387" s="1" t="s">
        <v>21</v>
      </c>
      <c r="D387" s="1" t="s">
        <v>15</v>
      </c>
      <c r="E387" s="1">
        <v>0.47922453703703699</v>
      </c>
      <c r="F387" s="1" t="s">
        <v>13</v>
      </c>
      <c r="G387" s="1">
        <v>3.15</v>
      </c>
      <c r="H387" s="1">
        <v>3.21</v>
      </c>
      <c r="I387" s="1">
        <v>0</v>
      </c>
      <c r="J387" s="4">
        <v>41139</v>
      </c>
      <c r="K387" s="4">
        <v>43695</v>
      </c>
      <c r="L387">
        <f t="shared" ref="L387:L450" si="6">AVERAGE(G387:H387)</f>
        <v>3.1799999999999997</v>
      </c>
    </row>
    <row r="388" spans="1:12" x14ac:dyDescent="0.15">
      <c r="A388" s="1">
        <v>387</v>
      </c>
      <c r="B388" s="4">
        <v>41138</v>
      </c>
      <c r="C388" s="1" t="s">
        <v>11</v>
      </c>
      <c r="D388" s="1" t="s">
        <v>15</v>
      </c>
      <c r="E388" s="1">
        <v>0.47922453703703699</v>
      </c>
      <c r="F388" s="1" t="s">
        <v>13</v>
      </c>
      <c r="G388" s="1">
        <v>3.08</v>
      </c>
      <c r="H388" s="1">
        <v>3.14</v>
      </c>
      <c r="I388" s="1">
        <v>0</v>
      </c>
      <c r="J388" s="4">
        <v>41139</v>
      </c>
      <c r="K388" s="4">
        <v>42234</v>
      </c>
      <c r="L388">
        <f t="shared" si="6"/>
        <v>3.1100000000000003</v>
      </c>
    </row>
    <row r="389" spans="1:12" x14ac:dyDescent="0.15">
      <c r="A389" s="1">
        <v>388</v>
      </c>
      <c r="B389" s="4">
        <v>41138</v>
      </c>
      <c r="C389" s="1" t="s">
        <v>17</v>
      </c>
      <c r="D389" s="1" t="s">
        <v>12</v>
      </c>
      <c r="E389" s="1">
        <v>0.47888888888888892</v>
      </c>
      <c r="F389" s="1" t="s">
        <v>13</v>
      </c>
      <c r="G389" s="1">
        <v>3.02</v>
      </c>
      <c r="H389" s="1">
        <v>3.42</v>
      </c>
      <c r="I389" s="1">
        <v>0</v>
      </c>
      <c r="J389" s="4">
        <v>41139</v>
      </c>
      <c r="K389" s="4">
        <v>44426</v>
      </c>
      <c r="L389">
        <f t="shared" si="6"/>
        <v>3.2199999999999998</v>
      </c>
    </row>
    <row r="390" spans="1:12" x14ac:dyDescent="0.15">
      <c r="A390" s="1">
        <v>389</v>
      </c>
      <c r="B390" s="4">
        <v>41138</v>
      </c>
      <c r="C390" s="1" t="s">
        <v>16</v>
      </c>
      <c r="D390" s="1" t="s">
        <v>12</v>
      </c>
      <c r="E390" s="1">
        <v>0.47888888888888892</v>
      </c>
      <c r="F390" s="1" t="s">
        <v>13</v>
      </c>
      <c r="G390" s="1">
        <v>3.04</v>
      </c>
      <c r="H390" s="1">
        <v>3.14</v>
      </c>
      <c r="I390" s="1">
        <v>0</v>
      </c>
      <c r="J390" s="4">
        <v>41139</v>
      </c>
      <c r="K390" s="4">
        <v>42600</v>
      </c>
      <c r="L390">
        <f t="shared" si="6"/>
        <v>3.09</v>
      </c>
    </row>
    <row r="391" spans="1:12" x14ac:dyDescent="0.15">
      <c r="A391" s="1">
        <v>390</v>
      </c>
      <c r="B391" s="4">
        <v>41138</v>
      </c>
      <c r="C391" s="1" t="s">
        <v>22</v>
      </c>
      <c r="D391" s="1" t="s">
        <v>15</v>
      </c>
      <c r="E391" s="1">
        <v>0.47921296296296295</v>
      </c>
      <c r="F391" s="1" t="s">
        <v>13</v>
      </c>
      <c r="G391" s="1">
        <v>3.46</v>
      </c>
      <c r="H391" s="1">
        <v>3.52</v>
      </c>
      <c r="I391" s="1">
        <v>0</v>
      </c>
      <c r="J391" s="4">
        <v>41139</v>
      </c>
      <c r="K391" s="4">
        <v>41323</v>
      </c>
      <c r="L391">
        <f t="shared" si="6"/>
        <v>3.49</v>
      </c>
    </row>
    <row r="392" spans="1:12" x14ac:dyDescent="0.15">
      <c r="A392" s="1">
        <v>391</v>
      </c>
      <c r="B392" s="4">
        <v>41138</v>
      </c>
      <c r="C392" s="1" t="s">
        <v>11</v>
      </c>
      <c r="D392" s="1" t="s">
        <v>12</v>
      </c>
      <c r="E392" s="1">
        <v>0.47888888888888892</v>
      </c>
      <c r="F392" s="1" t="s">
        <v>13</v>
      </c>
      <c r="G392" s="1">
        <v>3.05</v>
      </c>
      <c r="H392" s="1">
        <v>3.15</v>
      </c>
      <c r="I392" s="1">
        <v>0</v>
      </c>
      <c r="J392" s="4">
        <v>41139</v>
      </c>
      <c r="K392" s="4">
        <v>42234</v>
      </c>
      <c r="L392">
        <f t="shared" si="6"/>
        <v>3.0999999999999996</v>
      </c>
    </row>
    <row r="393" spans="1:12" x14ac:dyDescent="0.15">
      <c r="A393" s="1">
        <v>392</v>
      </c>
      <c r="B393" s="4">
        <v>41138</v>
      </c>
      <c r="C393" s="1" t="s">
        <v>20</v>
      </c>
      <c r="D393" s="1" t="s">
        <v>26</v>
      </c>
      <c r="E393" s="1">
        <v>0.67984953703703699</v>
      </c>
      <c r="F393" s="1" t="s">
        <v>13</v>
      </c>
      <c r="G393" s="1">
        <v>3</v>
      </c>
      <c r="H393" s="1">
        <v>3.3</v>
      </c>
      <c r="I393" s="1">
        <v>0</v>
      </c>
      <c r="J393" s="4">
        <v>41139</v>
      </c>
      <c r="K393" s="4">
        <v>44791</v>
      </c>
      <c r="L393">
        <f t="shared" si="6"/>
        <v>3.15</v>
      </c>
    </row>
    <row r="394" spans="1:12" x14ac:dyDescent="0.15">
      <c r="A394" s="1">
        <v>393</v>
      </c>
      <c r="B394" s="4">
        <v>41138</v>
      </c>
      <c r="C394" s="1" t="s">
        <v>24</v>
      </c>
      <c r="D394" s="1" t="s">
        <v>26</v>
      </c>
      <c r="E394" s="1">
        <v>0.67984953703703699</v>
      </c>
      <c r="F394" s="1" t="s">
        <v>13</v>
      </c>
      <c r="G394" s="1">
        <v>3</v>
      </c>
      <c r="H394" s="1">
        <v>3.3</v>
      </c>
      <c r="I394" s="1">
        <v>0</v>
      </c>
      <c r="J394" s="4">
        <v>41139</v>
      </c>
      <c r="K394" s="4">
        <v>44061</v>
      </c>
      <c r="L394">
        <f t="shared" si="6"/>
        <v>3.15</v>
      </c>
    </row>
    <row r="395" spans="1:12" x14ac:dyDescent="0.15">
      <c r="A395" s="1">
        <v>394</v>
      </c>
      <c r="B395" s="4">
        <v>41138</v>
      </c>
      <c r="C395" s="1" t="s">
        <v>17</v>
      </c>
      <c r="D395" s="1" t="s">
        <v>26</v>
      </c>
      <c r="E395" s="1">
        <v>0.67984953703703699</v>
      </c>
      <c r="F395" s="1" t="s">
        <v>13</v>
      </c>
      <c r="G395" s="1">
        <v>3</v>
      </c>
      <c r="H395" s="1">
        <v>3.3</v>
      </c>
      <c r="I395" s="1">
        <v>0</v>
      </c>
      <c r="J395" s="4">
        <v>41139</v>
      </c>
      <c r="K395" s="4">
        <v>44426</v>
      </c>
      <c r="L395">
        <f t="shared" si="6"/>
        <v>3.15</v>
      </c>
    </row>
    <row r="396" spans="1:12" x14ac:dyDescent="0.15">
      <c r="A396" s="1">
        <v>395</v>
      </c>
      <c r="B396" s="4">
        <v>41138</v>
      </c>
      <c r="C396" s="1" t="s">
        <v>18</v>
      </c>
      <c r="D396" s="1" t="s">
        <v>26</v>
      </c>
      <c r="E396" s="1">
        <v>0.67984953703703699</v>
      </c>
      <c r="F396" s="1" t="s">
        <v>13</v>
      </c>
      <c r="G396" s="1">
        <v>3</v>
      </c>
      <c r="H396" s="1">
        <v>3.05</v>
      </c>
      <c r="I396" s="1">
        <v>0</v>
      </c>
      <c r="J396" s="4">
        <v>41139</v>
      </c>
      <c r="K396" s="4">
        <v>41869</v>
      </c>
      <c r="L396">
        <f t="shared" si="6"/>
        <v>3.0249999999999999</v>
      </c>
    </row>
    <row r="397" spans="1:12" x14ac:dyDescent="0.15">
      <c r="A397" s="1">
        <v>396</v>
      </c>
      <c r="B397" s="4">
        <v>41138</v>
      </c>
      <c r="C397" s="1" t="s">
        <v>16</v>
      </c>
      <c r="D397" s="1" t="s">
        <v>26</v>
      </c>
      <c r="E397" s="1">
        <v>0.67984953703703699</v>
      </c>
      <c r="F397" s="1" t="s">
        <v>13</v>
      </c>
      <c r="G397" s="1">
        <v>3</v>
      </c>
      <c r="H397" s="1">
        <v>3.05</v>
      </c>
      <c r="I397" s="1">
        <v>0</v>
      </c>
      <c r="J397" s="4">
        <v>41139</v>
      </c>
      <c r="K397" s="4">
        <v>42600</v>
      </c>
      <c r="L397">
        <f t="shared" si="6"/>
        <v>3.0249999999999999</v>
      </c>
    </row>
    <row r="398" spans="1:12" x14ac:dyDescent="0.15">
      <c r="A398" s="1">
        <v>397</v>
      </c>
      <c r="B398" s="4">
        <v>41138</v>
      </c>
      <c r="C398" s="1" t="s">
        <v>25</v>
      </c>
      <c r="D398" s="1" t="s">
        <v>26</v>
      </c>
      <c r="E398" s="1">
        <v>0.67984953703703699</v>
      </c>
      <c r="F398" s="1" t="s">
        <v>13</v>
      </c>
      <c r="G398" s="1">
        <v>3.05</v>
      </c>
      <c r="H398" s="1">
        <v>3.1</v>
      </c>
      <c r="I398" s="1">
        <v>0</v>
      </c>
      <c r="J398" s="4">
        <v>41139</v>
      </c>
      <c r="K398" s="4">
        <v>42965</v>
      </c>
      <c r="L398">
        <f t="shared" si="6"/>
        <v>3.0750000000000002</v>
      </c>
    </row>
    <row r="399" spans="1:12" x14ac:dyDescent="0.15">
      <c r="A399" s="1">
        <v>398</v>
      </c>
      <c r="B399" s="4">
        <v>41138</v>
      </c>
      <c r="C399" s="1" t="s">
        <v>14</v>
      </c>
      <c r="D399" s="1" t="s">
        <v>26</v>
      </c>
      <c r="E399" s="1">
        <v>0.67984953703703699</v>
      </c>
      <c r="F399" s="1" t="s">
        <v>13</v>
      </c>
      <c r="G399" s="1">
        <v>3.1</v>
      </c>
      <c r="H399" s="1">
        <v>3.15</v>
      </c>
      <c r="I399" s="1">
        <v>0</v>
      </c>
      <c r="J399" s="4">
        <v>41139</v>
      </c>
      <c r="K399" s="4">
        <v>41504</v>
      </c>
      <c r="L399">
        <f t="shared" si="6"/>
        <v>3.125</v>
      </c>
    </row>
    <row r="400" spans="1:12" x14ac:dyDescent="0.15">
      <c r="A400" s="1">
        <v>399</v>
      </c>
      <c r="B400" s="4">
        <v>41138</v>
      </c>
      <c r="C400" s="1" t="s">
        <v>22</v>
      </c>
      <c r="D400" s="1" t="s">
        <v>26</v>
      </c>
      <c r="E400" s="1">
        <v>0.67984953703703699</v>
      </c>
      <c r="F400" s="1" t="s">
        <v>13</v>
      </c>
      <c r="G400" s="1">
        <v>3.3</v>
      </c>
      <c r="H400" s="1">
        <v>3.5</v>
      </c>
      <c r="I400" s="1">
        <v>0</v>
      </c>
      <c r="J400" s="4">
        <v>41139</v>
      </c>
      <c r="K400" s="4">
        <v>41323</v>
      </c>
      <c r="L400">
        <f t="shared" si="6"/>
        <v>3.4</v>
      </c>
    </row>
    <row r="401" spans="1:12" x14ac:dyDescent="0.15">
      <c r="A401" s="1">
        <v>400</v>
      </c>
      <c r="B401" s="4">
        <v>41138</v>
      </c>
      <c r="C401" s="1" t="s">
        <v>21</v>
      </c>
      <c r="D401" s="1" t="s">
        <v>26</v>
      </c>
      <c r="E401" s="1">
        <v>0.67984953703703699</v>
      </c>
      <c r="F401" s="1" t="s">
        <v>13</v>
      </c>
      <c r="G401" s="1">
        <v>3</v>
      </c>
      <c r="H401" s="1">
        <v>3.3</v>
      </c>
      <c r="I401" s="1">
        <v>0</v>
      </c>
      <c r="J401" s="4">
        <v>41139</v>
      </c>
      <c r="K401" s="4">
        <v>43695</v>
      </c>
      <c r="L401">
        <f t="shared" si="6"/>
        <v>3.15</v>
      </c>
    </row>
    <row r="402" spans="1:12" x14ac:dyDescent="0.15">
      <c r="A402" s="1">
        <v>401</v>
      </c>
      <c r="B402" s="4">
        <v>41138</v>
      </c>
      <c r="C402" s="1" t="s">
        <v>18</v>
      </c>
      <c r="D402" s="1" t="s">
        <v>27</v>
      </c>
      <c r="E402" s="1">
        <v>0.68543981481481486</v>
      </c>
      <c r="F402" s="1" t="s">
        <v>13</v>
      </c>
      <c r="G402" s="1">
        <v>3.06</v>
      </c>
      <c r="H402" s="1">
        <v>3.16</v>
      </c>
      <c r="I402" s="1">
        <v>0</v>
      </c>
      <c r="J402" s="4">
        <v>41139</v>
      </c>
      <c r="K402" s="4">
        <v>41869</v>
      </c>
      <c r="L402">
        <f t="shared" si="6"/>
        <v>3.1100000000000003</v>
      </c>
    </row>
    <row r="403" spans="1:12" x14ac:dyDescent="0.15">
      <c r="A403" s="1">
        <v>402</v>
      </c>
      <c r="B403" s="4">
        <v>41138</v>
      </c>
      <c r="C403" s="1" t="s">
        <v>16</v>
      </c>
      <c r="D403" s="1" t="s">
        <v>27</v>
      </c>
      <c r="E403" s="1">
        <v>0.68542824074074071</v>
      </c>
      <c r="F403" s="1" t="s">
        <v>13</v>
      </c>
      <c r="G403" s="1">
        <v>3</v>
      </c>
      <c r="H403" s="1">
        <v>3.1</v>
      </c>
      <c r="I403" s="1">
        <v>0</v>
      </c>
      <c r="J403" s="4">
        <v>41139</v>
      </c>
      <c r="K403" s="4">
        <v>42600</v>
      </c>
      <c r="L403">
        <f t="shared" si="6"/>
        <v>3.05</v>
      </c>
    </row>
    <row r="404" spans="1:12" x14ac:dyDescent="0.15">
      <c r="A404" s="1">
        <v>403</v>
      </c>
      <c r="B404" s="4">
        <v>41138</v>
      </c>
      <c r="C404" s="1" t="s">
        <v>11</v>
      </c>
      <c r="D404" s="1" t="s">
        <v>27</v>
      </c>
      <c r="E404" s="1">
        <v>0.68547453703703709</v>
      </c>
      <c r="F404" s="1" t="s">
        <v>13</v>
      </c>
      <c r="G404" s="1">
        <v>3</v>
      </c>
      <c r="H404" s="1">
        <v>3.1</v>
      </c>
      <c r="I404" s="1">
        <v>0</v>
      </c>
      <c r="J404" s="4">
        <v>41139</v>
      </c>
      <c r="K404" s="4">
        <v>42234</v>
      </c>
      <c r="L404">
        <f t="shared" si="6"/>
        <v>3.05</v>
      </c>
    </row>
    <row r="405" spans="1:12" x14ac:dyDescent="0.15">
      <c r="A405" s="1">
        <v>404</v>
      </c>
      <c r="B405" s="4">
        <v>41138</v>
      </c>
      <c r="C405" s="1" t="s">
        <v>22</v>
      </c>
      <c r="D405" s="1" t="s">
        <v>27</v>
      </c>
      <c r="E405" s="1">
        <v>0.68547453703703709</v>
      </c>
      <c r="F405" s="1" t="s">
        <v>13</v>
      </c>
      <c r="G405" s="1">
        <v>3.41</v>
      </c>
      <c r="H405" s="1">
        <v>3.51</v>
      </c>
      <c r="I405" s="1">
        <v>0</v>
      </c>
      <c r="J405" s="4">
        <v>41139</v>
      </c>
      <c r="K405" s="4">
        <v>41323</v>
      </c>
      <c r="L405">
        <f t="shared" si="6"/>
        <v>3.46</v>
      </c>
    </row>
    <row r="406" spans="1:12" x14ac:dyDescent="0.15">
      <c r="A406" s="1">
        <v>405</v>
      </c>
      <c r="B406" s="4">
        <v>41138</v>
      </c>
      <c r="C406" s="1" t="s">
        <v>14</v>
      </c>
      <c r="D406" s="1" t="s">
        <v>27</v>
      </c>
      <c r="E406" s="1">
        <v>0.68542824074074071</v>
      </c>
      <c r="F406" s="1" t="s">
        <v>13</v>
      </c>
      <c r="G406" s="1">
        <v>3.16</v>
      </c>
      <c r="H406" s="1">
        <v>3.21</v>
      </c>
      <c r="I406" s="1">
        <v>0</v>
      </c>
      <c r="J406" s="4">
        <v>41139</v>
      </c>
      <c r="K406" s="4">
        <v>41504</v>
      </c>
      <c r="L406">
        <f t="shared" si="6"/>
        <v>3.1850000000000001</v>
      </c>
    </row>
    <row r="407" spans="1:12" x14ac:dyDescent="0.15">
      <c r="A407" s="1">
        <v>406</v>
      </c>
      <c r="B407" s="4">
        <v>41138</v>
      </c>
      <c r="C407" s="1" t="s">
        <v>11</v>
      </c>
      <c r="D407" s="1" t="s">
        <v>26</v>
      </c>
      <c r="E407" s="1">
        <v>0.67986111111111114</v>
      </c>
      <c r="F407" s="1" t="s">
        <v>13</v>
      </c>
      <c r="G407" s="1">
        <v>3</v>
      </c>
      <c r="H407" s="1">
        <v>3.05</v>
      </c>
      <c r="I407" s="1">
        <v>0</v>
      </c>
      <c r="J407" s="4">
        <v>41139</v>
      </c>
      <c r="K407" s="4">
        <v>42234</v>
      </c>
      <c r="L407">
        <f t="shared" si="6"/>
        <v>3.0249999999999999</v>
      </c>
    </row>
    <row r="408" spans="1:12" x14ac:dyDescent="0.15">
      <c r="A408" s="1">
        <v>407</v>
      </c>
      <c r="B408" s="4">
        <v>41138</v>
      </c>
      <c r="C408" s="1" t="s">
        <v>19</v>
      </c>
      <c r="D408" s="1" t="s">
        <v>27</v>
      </c>
      <c r="E408" s="1">
        <v>0.68542824074074071</v>
      </c>
      <c r="F408" s="1" t="s">
        <v>13</v>
      </c>
      <c r="G408" s="1">
        <v>3.27</v>
      </c>
      <c r="H408" s="1">
        <v>3.37</v>
      </c>
      <c r="I408" s="1">
        <v>0</v>
      </c>
      <c r="J408" s="4">
        <v>41139</v>
      </c>
      <c r="K408" s="4">
        <v>41412</v>
      </c>
      <c r="L408">
        <f t="shared" si="6"/>
        <v>3.3200000000000003</v>
      </c>
    </row>
    <row r="409" spans="1:12" x14ac:dyDescent="0.15">
      <c r="A409" s="1">
        <v>408</v>
      </c>
      <c r="B409" s="4">
        <v>41138</v>
      </c>
      <c r="C409" s="1" t="s">
        <v>25</v>
      </c>
      <c r="D409" s="1" t="s">
        <v>27</v>
      </c>
      <c r="E409" s="1">
        <v>0.68542824074074071</v>
      </c>
      <c r="F409" s="1" t="s">
        <v>13</v>
      </c>
      <c r="G409" s="1">
        <v>3.27</v>
      </c>
      <c r="H409" s="1">
        <v>3.37</v>
      </c>
      <c r="I409" s="1">
        <v>0</v>
      </c>
      <c r="J409" s="4">
        <v>41139</v>
      </c>
      <c r="K409" s="4">
        <v>42965</v>
      </c>
      <c r="L409">
        <f t="shared" si="6"/>
        <v>3.3200000000000003</v>
      </c>
    </row>
    <row r="410" spans="1:12" x14ac:dyDescent="0.15">
      <c r="A410" s="1">
        <v>409</v>
      </c>
      <c r="B410" s="4">
        <v>41138</v>
      </c>
      <c r="C410" s="1" t="s">
        <v>16</v>
      </c>
      <c r="D410" s="1" t="s">
        <v>12</v>
      </c>
      <c r="E410" s="1">
        <v>0.66686342592592596</v>
      </c>
      <c r="F410" s="1" t="s">
        <v>13</v>
      </c>
      <c r="G410" s="1">
        <v>3.04</v>
      </c>
      <c r="H410" s="1">
        <v>3.14</v>
      </c>
      <c r="I410" s="1">
        <v>0</v>
      </c>
      <c r="J410" s="4">
        <v>41139</v>
      </c>
      <c r="K410" s="4">
        <v>42600</v>
      </c>
      <c r="L410">
        <f t="shared" si="6"/>
        <v>3.09</v>
      </c>
    </row>
    <row r="411" spans="1:12" x14ac:dyDescent="0.15">
      <c r="A411" s="1">
        <v>410</v>
      </c>
      <c r="B411" s="4">
        <v>41138</v>
      </c>
      <c r="C411" s="1" t="s">
        <v>25</v>
      </c>
      <c r="D411" s="1" t="s">
        <v>12</v>
      </c>
      <c r="E411" s="1">
        <v>0.66686342592592596</v>
      </c>
      <c r="F411" s="1" t="s">
        <v>13</v>
      </c>
      <c r="G411" s="1">
        <v>3.04</v>
      </c>
      <c r="H411" s="1">
        <v>3.14</v>
      </c>
      <c r="I411" s="1">
        <v>0</v>
      </c>
      <c r="J411" s="4">
        <v>41139</v>
      </c>
      <c r="K411" s="4">
        <v>42965</v>
      </c>
      <c r="L411">
        <f t="shared" si="6"/>
        <v>3.09</v>
      </c>
    </row>
    <row r="412" spans="1:12" x14ac:dyDescent="0.15">
      <c r="A412" s="1">
        <v>411</v>
      </c>
      <c r="B412" s="4">
        <v>41138</v>
      </c>
      <c r="C412" s="1" t="s">
        <v>14</v>
      </c>
      <c r="D412" s="1" t="s">
        <v>15</v>
      </c>
      <c r="E412" s="1">
        <v>0.67655092592592592</v>
      </c>
      <c r="F412" s="1" t="s">
        <v>13</v>
      </c>
      <c r="G412" s="1">
        <v>3.23</v>
      </c>
      <c r="H412" s="1">
        <v>3.29</v>
      </c>
      <c r="I412" s="1">
        <v>0</v>
      </c>
      <c r="J412" s="4">
        <v>41139</v>
      </c>
      <c r="K412" s="4">
        <v>41504</v>
      </c>
      <c r="L412">
        <f t="shared" si="6"/>
        <v>3.26</v>
      </c>
    </row>
    <row r="413" spans="1:12" x14ac:dyDescent="0.15">
      <c r="A413" s="1">
        <v>412</v>
      </c>
      <c r="B413" s="4">
        <v>41138</v>
      </c>
      <c r="C413" s="1" t="s">
        <v>22</v>
      </c>
      <c r="D413" s="1" t="s">
        <v>15</v>
      </c>
      <c r="E413" s="1">
        <v>0.67655092592592592</v>
      </c>
      <c r="F413" s="1" t="s">
        <v>13</v>
      </c>
      <c r="G413" s="1">
        <v>3.46</v>
      </c>
      <c r="H413" s="1">
        <v>3.52</v>
      </c>
      <c r="I413" s="1">
        <v>0</v>
      </c>
      <c r="J413" s="4">
        <v>41139</v>
      </c>
      <c r="K413" s="4">
        <v>41323</v>
      </c>
      <c r="L413">
        <f t="shared" si="6"/>
        <v>3.49</v>
      </c>
    </row>
    <row r="414" spans="1:12" x14ac:dyDescent="0.15">
      <c r="A414" s="1">
        <v>413</v>
      </c>
      <c r="B414" s="4">
        <v>41138</v>
      </c>
      <c r="C414" s="1" t="s">
        <v>17</v>
      </c>
      <c r="D414" s="1" t="s">
        <v>12</v>
      </c>
      <c r="E414" s="1">
        <v>0.66686342592592596</v>
      </c>
      <c r="F414" s="1" t="s">
        <v>13</v>
      </c>
      <c r="G414" s="1">
        <v>3.02</v>
      </c>
      <c r="H414" s="1">
        <v>3.42</v>
      </c>
      <c r="I414" s="1">
        <v>0</v>
      </c>
      <c r="J414" s="4">
        <v>41139</v>
      </c>
      <c r="K414" s="4">
        <v>44426</v>
      </c>
      <c r="L414">
        <f t="shared" si="6"/>
        <v>3.2199999999999998</v>
      </c>
    </row>
    <row r="415" spans="1:12" x14ac:dyDescent="0.15">
      <c r="A415" s="1">
        <v>414</v>
      </c>
      <c r="B415" s="4">
        <v>41138</v>
      </c>
      <c r="C415" s="1" t="s">
        <v>20</v>
      </c>
      <c r="D415" s="1" t="s">
        <v>12</v>
      </c>
      <c r="E415" s="1">
        <v>0.66685185185185192</v>
      </c>
      <c r="F415" s="1" t="s">
        <v>13</v>
      </c>
      <c r="G415" s="1">
        <v>3.04</v>
      </c>
      <c r="H415" s="1">
        <v>3.44</v>
      </c>
      <c r="I415" s="1">
        <v>0</v>
      </c>
      <c r="J415" s="4">
        <v>41139</v>
      </c>
      <c r="K415" s="4">
        <v>44791</v>
      </c>
      <c r="L415">
        <f t="shared" si="6"/>
        <v>3.24</v>
      </c>
    </row>
    <row r="416" spans="1:12" x14ac:dyDescent="0.15">
      <c r="A416" s="1">
        <v>415</v>
      </c>
      <c r="B416" s="4">
        <v>41138</v>
      </c>
      <c r="C416" s="1" t="s">
        <v>24</v>
      </c>
      <c r="D416" s="1" t="s">
        <v>12</v>
      </c>
      <c r="E416" s="1">
        <v>0.66686342592592596</v>
      </c>
      <c r="F416" s="1" t="s">
        <v>13</v>
      </c>
      <c r="G416" s="1">
        <v>3</v>
      </c>
      <c r="H416" s="1">
        <v>3.4</v>
      </c>
      <c r="I416" s="1">
        <v>0</v>
      </c>
      <c r="J416" s="4">
        <v>41139</v>
      </c>
      <c r="K416" s="4">
        <v>44061</v>
      </c>
      <c r="L416">
        <f t="shared" si="6"/>
        <v>3.2</v>
      </c>
    </row>
    <row r="417" spans="1:12" x14ac:dyDescent="0.15">
      <c r="A417" s="1">
        <v>416</v>
      </c>
      <c r="B417" s="4">
        <v>41138</v>
      </c>
      <c r="C417" s="1" t="s">
        <v>11</v>
      </c>
      <c r="D417" s="1" t="s">
        <v>12</v>
      </c>
      <c r="E417" s="1">
        <v>0.66686342592592596</v>
      </c>
      <c r="F417" s="1" t="s">
        <v>13</v>
      </c>
      <c r="G417" s="1">
        <v>3.05</v>
      </c>
      <c r="H417" s="1">
        <v>3.15</v>
      </c>
      <c r="I417" s="1">
        <v>0</v>
      </c>
      <c r="J417" s="4">
        <v>41139</v>
      </c>
      <c r="K417" s="4">
        <v>42234</v>
      </c>
      <c r="L417">
        <f t="shared" si="6"/>
        <v>3.0999999999999996</v>
      </c>
    </row>
    <row r="418" spans="1:12" x14ac:dyDescent="0.15">
      <c r="A418" s="1">
        <v>417</v>
      </c>
      <c r="B418" s="4">
        <v>41138</v>
      </c>
      <c r="C418" s="1" t="s">
        <v>18</v>
      </c>
      <c r="D418" s="1" t="s">
        <v>15</v>
      </c>
      <c r="E418" s="1">
        <v>0.67655092592592592</v>
      </c>
      <c r="F418" s="1" t="s">
        <v>13</v>
      </c>
      <c r="G418" s="1">
        <v>3.1</v>
      </c>
      <c r="H418" s="1">
        <v>3.16</v>
      </c>
      <c r="I418" s="1">
        <v>0</v>
      </c>
      <c r="J418" s="4">
        <v>41139</v>
      </c>
      <c r="K418" s="4">
        <v>41869</v>
      </c>
      <c r="L418">
        <f t="shared" si="6"/>
        <v>3.13</v>
      </c>
    </row>
    <row r="419" spans="1:12" x14ac:dyDescent="0.15">
      <c r="A419" s="1">
        <v>418</v>
      </c>
      <c r="B419" s="4">
        <v>41138</v>
      </c>
      <c r="C419" s="1" t="s">
        <v>16</v>
      </c>
      <c r="D419" s="1" t="s">
        <v>15</v>
      </c>
      <c r="E419" s="1">
        <v>0.67656250000000007</v>
      </c>
      <c r="F419" s="1" t="s">
        <v>13</v>
      </c>
      <c r="G419" s="1">
        <v>3.08</v>
      </c>
      <c r="H419" s="1">
        <v>3.14</v>
      </c>
      <c r="I419" s="1">
        <v>0</v>
      </c>
      <c r="J419" s="4">
        <v>41139</v>
      </c>
      <c r="K419" s="4">
        <v>42600</v>
      </c>
      <c r="L419">
        <f t="shared" si="6"/>
        <v>3.1100000000000003</v>
      </c>
    </row>
    <row r="420" spans="1:12" x14ac:dyDescent="0.15">
      <c r="A420" s="1">
        <v>419</v>
      </c>
      <c r="B420" s="4">
        <v>41138</v>
      </c>
      <c r="C420" s="1" t="s">
        <v>25</v>
      </c>
      <c r="D420" s="1" t="s">
        <v>15</v>
      </c>
      <c r="E420" s="1">
        <v>0.67656250000000007</v>
      </c>
      <c r="F420" s="1" t="s">
        <v>13</v>
      </c>
      <c r="G420" s="1">
        <v>3.08</v>
      </c>
      <c r="H420" s="1">
        <v>3.14</v>
      </c>
      <c r="I420" s="1">
        <v>0</v>
      </c>
      <c r="J420" s="4">
        <v>41139</v>
      </c>
      <c r="K420" s="4">
        <v>42965</v>
      </c>
      <c r="L420">
        <f t="shared" si="6"/>
        <v>3.1100000000000003</v>
      </c>
    </row>
    <row r="421" spans="1:12" x14ac:dyDescent="0.15">
      <c r="A421" s="1">
        <v>420</v>
      </c>
      <c r="B421" s="4">
        <v>41138</v>
      </c>
      <c r="C421" s="1" t="s">
        <v>19</v>
      </c>
      <c r="D421" s="1" t="s">
        <v>26</v>
      </c>
      <c r="E421" s="1">
        <v>0.67984953703703699</v>
      </c>
      <c r="F421" s="1" t="s">
        <v>13</v>
      </c>
      <c r="G421" s="1">
        <v>3.6</v>
      </c>
      <c r="H421" s="1">
        <v>3.7</v>
      </c>
      <c r="I421" s="1">
        <v>0</v>
      </c>
      <c r="J421" s="4">
        <v>41139</v>
      </c>
      <c r="K421" s="4">
        <v>41412</v>
      </c>
      <c r="L421">
        <f t="shared" si="6"/>
        <v>3.6500000000000004</v>
      </c>
    </row>
    <row r="422" spans="1:12" x14ac:dyDescent="0.15">
      <c r="A422" s="1">
        <v>421</v>
      </c>
      <c r="B422" s="4">
        <v>41138</v>
      </c>
      <c r="C422" s="1" t="s">
        <v>23</v>
      </c>
      <c r="D422" s="1" t="s">
        <v>26</v>
      </c>
      <c r="E422" s="1">
        <v>0.67983796296296306</v>
      </c>
      <c r="F422" s="1" t="s">
        <v>13</v>
      </c>
      <c r="G422" s="1">
        <v>3</v>
      </c>
      <c r="H422" s="1">
        <v>3.3</v>
      </c>
      <c r="I422" s="1">
        <v>0</v>
      </c>
      <c r="J422" s="4">
        <v>41139</v>
      </c>
      <c r="K422" s="4">
        <v>43330</v>
      </c>
      <c r="L422">
        <f t="shared" si="6"/>
        <v>3.15</v>
      </c>
    </row>
    <row r="423" spans="1:12" x14ac:dyDescent="0.15">
      <c r="A423" s="1">
        <v>422</v>
      </c>
      <c r="B423" s="4">
        <v>41138</v>
      </c>
      <c r="C423" s="1" t="s">
        <v>21</v>
      </c>
      <c r="D423" s="1" t="s">
        <v>15</v>
      </c>
      <c r="E423" s="1">
        <v>0.67656250000000007</v>
      </c>
      <c r="F423" s="1" t="s">
        <v>13</v>
      </c>
      <c r="G423" s="1">
        <v>3.15</v>
      </c>
      <c r="H423" s="1">
        <v>3.21</v>
      </c>
      <c r="I423" s="1">
        <v>0</v>
      </c>
      <c r="J423" s="4">
        <v>41139</v>
      </c>
      <c r="K423" s="4">
        <v>43695</v>
      </c>
      <c r="L423">
        <f t="shared" si="6"/>
        <v>3.1799999999999997</v>
      </c>
    </row>
    <row r="424" spans="1:12" x14ac:dyDescent="0.15">
      <c r="A424" s="1">
        <v>423</v>
      </c>
      <c r="B424" s="4">
        <v>41138</v>
      </c>
      <c r="C424" s="1" t="s">
        <v>11</v>
      </c>
      <c r="D424" s="1" t="s">
        <v>15</v>
      </c>
      <c r="E424" s="1">
        <v>0.67656250000000007</v>
      </c>
      <c r="F424" s="1" t="s">
        <v>13</v>
      </c>
      <c r="G424" s="1">
        <v>3.08</v>
      </c>
      <c r="H424" s="1">
        <v>3.14</v>
      </c>
      <c r="I424" s="1">
        <v>0</v>
      </c>
      <c r="J424" s="4">
        <v>41139</v>
      </c>
      <c r="K424" s="4">
        <v>42234</v>
      </c>
      <c r="L424">
        <f t="shared" si="6"/>
        <v>3.1100000000000003</v>
      </c>
    </row>
    <row r="425" spans="1:12" x14ac:dyDescent="0.15">
      <c r="A425" s="1">
        <v>424</v>
      </c>
      <c r="B425" s="4">
        <v>41138</v>
      </c>
      <c r="C425" s="1" t="s">
        <v>20</v>
      </c>
      <c r="D425" s="1" t="s">
        <v>15</v>
      </c>
      <c r="E425" s="1">
        <v>0.67656250000000007</v>
      </c>
      <c r="F425" s="1" t="s">
        <v>13</v>
      </c>
      <c r="G425" s="1">
        <v>3.2</v>
      </c>
      <c r="H425" s="1">
        <v>3.26</v>
      </c>
      <c r="I425" s="1">
        <v>0</v>
      </c>
      <c r="J425" s="4">
        <v>41139</v>
      </c>
      <c r="K425" s="4">
        <v>44791</v>
      </c>
      <c r="L425">
        <f t="shared" si="6"/>
        <v>3.23</v>
      </c>
    </row>
    <row r="426" spans="1:12" x14ac:dyDescent="0.15">
      <c r="A426" s="1">
        <v>425</v>
      </c>
      <c r="B426" s="4">
        <v>41138</v>
      </c>
      <c r="C426" s="1" t="s">
        <v>19</v>
      </c>
      <c r="D426" s="1" t="s">
        <v>15</v>
      </c>
      <c r="E426" s="1">
        <v>0.67656250000000007</v>
      </c>
      <c r="F426" s="1" t="s">
        <v>13</v>
      </c>
      <c r="G426" s="1">
        <v>3.32</v>
      </c>
      <c r="H426" s="1">
        <v>3.38</v>
      </c>
      <c r="I426" s="1">
        <v>0</v>
      </c>
      <c r="J426" s="4">
        <v>41139</v>
      </c>
      <c r="K426" s="4">
        <v>41412</v>
      </c>
      <c r="L426">
        <f t="shared" si="6"/>
        <v>3.3499999999999996</v>
      </c>
    </row>
    <row r="427" spans="1:12" x14ac:dyDescent="0.15">
      <c r="A427" s="1">
        <v>426</v>
      </c>
      <c r="B427" s="4">
        <v>41137</v>
      </c>
      <c r="C427" s="1" t="s">
        <v>16</v>
      </c>
      <c r="D427" s="1" t="s">
        <v>15</v>
      </c>
      <c r="E427" s="1">
        <v>0.48925925925925928</v>
      </c>
      <c r="F427" s="1" t="s">
        <v>13</v>
      </c>
      <c r="G427" s="1">
        <v>3.06</v>
      </c>
      <c r="H427" s="1">
        <v>3.12</v>
      </c>
      <c r="I427" s="1">
        <v>0</v>
      </c>
      <c r="J427" s="4">
        <v>41138</v>
      </c>
      <c r="K427" s="4">
        <v>42599</v>
      </c>
      <c r="L427">
        <f t="shared" si="6"/>
        <v>3.09</v>
      </c>
    </row>
    <row r="428" spans="1:12" x14ac:dyDescent="0.15">
      <c r="A428" s="1">
        <v>427</v>
      </c>
      <c r="B428" s="4">
        <v>41137</v>
      </c>
      <c r="C428" s="1" t="s">
        <v>11</v>
      </c>
      <c r="D428" s="1" t="s">
        <v>15</v>
      </c>
      <c r="E428" s="1">
        <v>0.48925925925925928</v>
      </c>
      <c r="F428" s="1" t="s">
        <v>13</v>
      </c>
      <c r="G428" s="1">
        <v>3.07</v>
      </c>
      <c r="H428" s="1">
        <v>3.13</v>
      </c>
      <c r="I428" s="1">
        <v>0</v>
      </c>
      <c r="J428" s="4">
        <v>41138</v>
      </c>
      <c r="K428" s="4">
        <v>42233</v>
      </c>
      <c r="L428">
        <f t="shared" si="6"/>
        <v>3.0999999999999996</v>
      </c>
    </row>
    <row r="429" spans="1:12" x14ac:dyDescent="0.15">
      <c r="A429" s="1">
        <v>428</v>
      </c>
      <c r="B429" s="4">
        <v>41137</v>
      </c>
      <c r="C429" s="1" t="s">
        <v>14</v>
      </c>
      <c r="D429" s="1" t="s">
        <v>27</v>
      </c>
      <c r="E429" s="1">
        <v>0.49204861111111109</v>
      </c>
      <c r="F429" s="1" t="s">
        <v>13</v>
      </c>
      <c r="G429" s="1">
        <v>3.21</v>
      </c>
      <c r="H429" s="1">
        <v>3.3</v>
      </c>
      <c r="I429" s="1">
        <v>0</v>
      </c>
      <c r="J429" s="4">
        <v>41138</v>
      </c>
      <c r="K429" s="4">
        <v>41503</v>
      </c>
      <c r="L429">
        <f t="shared" si="6"/>
        <v>3.2549999999999999</v>
      </c>
    </row>
    <row r="430" spans="1:12" x14ac:dyDescent="0.15">
      <c r="A430" s="1">
        <v>429</v>
      </c>
      <c r="B430" s="4">
        <v>41137</v>
      </c>
      <c r="C430" s="1" t="s">
        <v>25</v>
      </c>
      <c r="D430" s="1" t="s">
        <v>15</v>
      </c>
      <c r="E430" s="1">
        <v>0.48925925925925928</v>
      </c>
      <c r="F430" s="1" t="s">
        <v>13</v>
      </c>
      <c r="G430" s="1">
        <v>3.08</v>
      </c>
      <c r="H430" s="1">
        <v>3.14</v>
      </c>
      <c r="I430" s="1">
        <v>0</v>
      </c>
      <c r="J430" s="4">
        <v>41138</v>
      </c>
      <c r="K430" s="4">
        <v>42964</v>
      </c>
      <c r="L430">
        <f t="shared" si="6"/>
        <v>3.1100000000000003</v>
      </c>
    </row>
    <row r="431" spans="1:12" x14ac:dyDescent="0.15">
      <c r="A431" s="1">
        <v>430</v>
      </c>
      <c r="B431" s="4">
        <v>41137</v>
      </c>
      <c r="C431" s="1" t="s">
        <v>21</v>
      </c>
      <c r="D431" s="1" t="s">
        <v>15</v>
      </c>
      <c r="E431" s="1">
        <v>0.48924768518518519</v>
      </c>
      <c r="F431" s="1" t="s">
        <v>13</v>
      </c>
      <c r="G431" s="1">
        <v>3.15</v>
      </c>
      <c r="H431" s="1">
        <v>3.21</v>
      </c>
      <c r="I431" s="1">
        <v>0</v>
      </c>
      <c r="J431" s="4">
        <v>41138</v>
      </c>
      <c r="K431" s="4">
        <v>43694</v>
      </c>
      <c r="L431">
        <f t="shared" si="6"/>
        <v>3.1799999999999997</v>
      </c>
    </row>
    <row r="432" spans="1:12" x14ac:dyDescent="0.15">
      <c r="A432" s="1">
        <v>431</v>
      </c>
      <c r="B432" s="4">
        <v>41137</v>
      </c>
      <c r="C432" s="1" t="s">
        <v>19</v>
      </c>
      <c r="D432" s="1" t="s">
        <v>15</v>
      </c>
      <c r="E432" s="1">
        <v>0.48924768518518519</v>
      </c>
      <c r="F432" s="1" t="s">
        <v>13</v>
      </c>
      <c r="G432" s="1">
        <v>3.31</v>
      </c>
      <c r="H432" s="1">
        <v>3.37</v>
      </c>
      <c r="I432" s="1">
        <v>0</v>
      </c>
      <c r="J432" s="4">
        <v>41138</v>
      </c>
      <c r="K432" s="4">
        <v>41411</v>
      </c>
      <c r="L432">
        <f t="shared" si="6"/>
        <v>3.34</v>
      </c>
    </row>
    <row r="433" spans="1:12" x14ac:dyDescent="0.15">
      <c r="A433" s="1">
        <v>432</v>
      </c>
      <c r="B433" s="4">
        <v>41137</v>
      </c>
      <c r="C433" s="1" t="s">
        <v>20</v>
      </c>
      <c r="D433" s="1" t="s">
        <v>15</v>
      </c>
      <c r="E433" s="1">
        <v>0.48925925925925928</v>
      </c>
      <c r="F433" s="1" t="s">
        <v>13</v>
      </c>
      <c r="G433" s="1">
        <v>3.21</v>
      </c>
      <c r="H433" s="1">
        <v>3.27</v>
      </c>
      <c r="I433" s="1">
        <v>0</v>
      </c>
      <c r="J433" s="4">
        <v>41138</v>
      </c>
      <c r="K433" s="4">
        <v>44790</v>
      </c>
      <c r="L433">
        <f t="shared" si="6"/>
        <v>3.24</v>
      </c>
    </row>
    <row r="434" spans="1:12" x14ac:dyDescent="0.15">
      <c r="A434" s="1">
        <v>433</v>
      </c>
      <c r="B434" s="4">
        <v>41137</v>
      </c>
      <c r="C434" s="1" t="s">
        <v>16</v>
      </c>
      <c r="D434" s="1" t="s">
        <v>27</v>
      </c>
      <c r="E434" s="1">
        <v>0.49206018518518518</v>
      </c>
      <c r="F434" s="1" t="s">
        <v>13</v>
      </c>
      <c r="G434" s="1">
        <v>3.06</v>
      </c>
      <c r="H434" s="1">
        <v>3.16</v>
      </c>
      <c r="I434" s="1">
        <v>0</v>
      </c>
      <c r="J434" s="4">
        <v>41138</v>
      </c>
      <c r="K434" s="4">
        <v>42599</v>
      </c>
      <c r="L434">
        <f t="shared" si="6"/>
        <v>3.1100000000000003</v>
      </c>
    </row>
    <row r="435" spans="1:12" x14ac:dyDescent="0.15">
      <c r="A435" s="1">
        <v>434</v>
      </c>
      <c r="B435" s="4">
        <v>41137</v>
      </c>
      <c r="C435" s="1" t="s">
        <v>18</v>
      </c>
      <c r="D435" s="1" t="s">
        <v>27</v>
      </c>
      <c r="E435" s="1">
        <v>0.49206018518518518</v>
      </c>
      <c r="F435" s="1" t="s">
        <v>13</v>
      </c>
      <c r="G435" s="1">
        <v>3.08</v>
      </c>
      <c r="H435" s="1">
        <v>3.18</v>
      </c>
      <c r="I435" s="1">
        <v>0</v>
      </c>
      <c r="J435" s="4">
        <v>41138</v>
      </c>
      <c r="K435" s="4">
        <v>41868</v>
      </c>
      <c r="L435">
        <f t="shared" si="6"/>
        <v>3.13</v>
      </c>
    </row>
    <row r="436" spans="1:12" x14ac:dyDescent="0.15">
      <c r="A436" s="1">
        <v>435</v>
      </c>
      <c r="B436" s="4">
        <v>41137</v>
      </c>
      <c r="C436" s="1" t="s">
        <v>14</v>
      </c>
      <c r="D436" s="1" t="s">
        <v>12</v>
      </c>
      <c r="E436" s="1">
        <v>0.67178240740740736</v>
      </c>
      <c r="F436" s="1" t="s">
        <v>13</v>
      </c>
      <c r="G436" s="1">
        <v>3.2</v>
      </c>
      <c r="H436" s="1">
        <v>3.3</v>
      </c>
      <c r="I436" s="1">
        <v>0</v>
      </c>
      <c r="J436" s="4">
        <v>41138</v>
      </c>
      <c r="K436" s="4">
        <v>41503</v>
      </c>
      <c r="L436">
        <f t="shared" si="6"/>
        <v>3.25</v>
      </c>
    </row>
    <row r="437" spans="1:12" x14ac:dyDescent="0.15">
      <c r="A437" s="1">
        <v>436</v>
      </c>
      <c r="B437" s="4">
        <v>41137</v>
      </c>
      <c r="C437" s="1" t="s">
        <v>11</v>
      </c>
      <c r="D437" s="1" t="s">
        <v>27</v>
      </c>
      <c r="E437" s="1">
        <v>0.49206018518518518</v>
      </c>
      <c r="F437" s="1" t="s">
        <v>13</v>
      </c>
      <c r="G437" s="1">
        <v>3.08</v>
      </c>
      <c r="H437" s="1">
        <v>3.13</v>
      </c>
      <c r="I437" s="1">
        <v>0</v>
      </c>
      <c r="J437" s="4">
        <v>41138</v>
      </c>
      <c r="K437" s="4">
        <v>42233</v>
      </c>
      <c r="L437">
        <f t="shared" si="6"/>
        <v>3.105</v>
      </c>
    </row>
    <row r="438" spans="1:12" x14ac:dyDescent="0.15">
      <c r="A438" s="1">
        <v>437</v>
      </c>
      <c r="B438" s="4">
        <v>41137</v>
      </c>
      <c r="C438" s="1" t="s">
        <v>25</v>
      </c>
      <c r="D438" s="1" t="s">
        <v>27</v>
      </c>
      <c r="E438" s="1">
        <v>0.49204861111111109</v>
      </c>
      <c r="F438" s="1" t="s">
        <v>13</v>
      </c>
      <c r="G438" s="1">
        <v>3.09</v>
      </c>
      <c r="H438" s="1">
        <v>3.14</v>
      </c>
      <c r="I438" s="1">
        <v>0</v>
      </c>
      <c r="J438" s="4">
        <v>41138</v>
      </c>
      <c r="K438" s="4">
        <v>42964</v>
      </c>
      <c r="L438">
        <f t="shared" si="6"/>
        <v>3.1150000000000002</v>
      </c>
    </row>
    <row r="439" spans="1:12" x14ac:dyDescent="0.15">
      <c r="A439" s="1">
        <v>438</v>
      </c>
      <c r="B439" s="4">
        <v>41137</v>
      </c>
      <c r="C439" s="1" t="s">
        <v>19</v>
      </c>
      <c r="D439" s="1" t="s">
        <v>27</v>
      </c>
      <c r="E439" s="1">
        <v>0.49204861111111109</v>
      </c>
      <c r="F439" s="1" t="s">
        <v>13</v>
      </c>
      <c r="G439" s="1">
        <v>3.32</v>
      </c>
      <c r="H439" s="1">
        <v>3.42</v>
      </c>
      <c r="I439" s="1">
        <v>0</v>
      </c>
      <c r="J439" s="4">
        <v>41138</v>
      </c>
      <c r="K439" s="4">
        <v>41411</v>
      </c>
      <c r="L439">
        <f t="shared" si="6"/>
        <v>3.37</v>
      </c>
    </row>
    <row r="440" spans="1:12" x14ac:dyDescent="0.15">
      <c r="A440" s="1">
        <v>439</v>
      </c>
      <c r="B440" s="4">
        <v>41137</v>
      </c>
      <c r="C440" s="1" t="s">
        <v>22</v>
      </c>
      <c r="D440" s="1" t="s">
        <v>27</v>
      </c>
      <c r="E440" s="1">
        <v>0.49206018518518518</v>
      </c>
      <c r="F440" s="1" t="s">
        <v>13</v>
      </c>
      <c r="G440" s="1">
        <v>3.42</v>
      </c>
      <c r="H440" s="1">
        <v>3.52</v>
      </c>
      <c r="I440" s="1">
        <v>0</v>
      </c>
      <c r="J440" s="4">
        <v>41138</v>
      </c>
      <c r="K440" s="4">
        <v>41322</v>
      </c>
      <c r="L440">
        <f t="shared" si="6"/>
        <v>3.4699999999999998</v>
      </c>
    </row>
    <row r="441" spans="1:12" x14ac:dyDescent="0.15">
      <c r="A441" s="1">
        <v>440</v>
      </c>
      <c r="B441" s="4">
        <v>41137</v>
      </c>
      <c r="C441" s="1" t="s">
        <v>18</v>
      </c>
      <c r="D441" s="1" t="s">
        <v>15</v>
      </c>
      <c r="E441" s="1">
        <v>0.48923611111111115</v>
      </c>
      <c r="F441" s="1" t="s">
        <v>13</v>
      </c>
      <c r="G441" s="1">
        <v>3.09</v>
      </c>
      <c r="H441" s="1">
        <v>3.15</v>
      </c>
      <c r="I441" s="1">
        <v>0</v>
      </c>
      <c r="J441" s="4">
        <v>41138</v>
      </c>
      <c r="K441" s="4">
        <v>41868</v>
      </c>
      <c r="L441">
        <f t="shared" si="6"/>
        <v>3.12</v>
      </c>
    </row>
    <row r="442" spans="1:12" x14ac:dyDescent="0.15">
      <c r="A442" s="1">
        <v>441</v>
      </c>
      <c r="B442" s="4">
        <v>41137</v>
      </c>
      <c r="C442" s="1" t="s">
        <v>21</v>
      </c>
      <c r="D442" s="1" t="s">
        <v>12</v>
      </c>
      <c r="E442" s="1">
        <v>0.47908564814814819</v>
      </c>
      <c r="F442" s="1" t="s">
        <v>13</v>
      </c>
      <c r="G442" s="1">
        <v>3</v>
      </c>
      <c r="H442" s="1">
        <v>3.4</v>
      </c>
      <c r="I442" s="1">
        <v>0</v>
      </c>
      <c r="J442" s="4">
        <v>41138</v>
      </c>
      <c r="K442" s="4">
        <v>43694</v>
      </c>
      <c r="L442">
        <f t="shared" si="6"/>
        <v>3.2</v>
      </c>
    </row>
    <row r="443" spans="1:12" x14ac:dyDescent="0.15">
      <c r="A443" s="1">
        <v>442</v>
      </c>
      <c r="B443" s="4">
        <v>41137</v>
      </c>
      <c r="C443" s="1" t="s">
        <v>19</v>
      </c>
      <c r="D443" s="1" t="s">
        <v>12</v>
      </c>
      <c r="E443" s="1">
        <v>0.47908564814814819</v>
      </c>
      <c r="F443" s="1" t="s">
        <v>13</v>
      </c>
      <c r="G443" s="1">
        <v>3.3</v>
      </c>
      <c r="H443" s="1">
        <v>3.4</v>
      </c>
      <c r="I443" s="1">
        <v>0</v>
      </c>
      <c r="J443" s="4">
        <v>41138</v>
      </c>
      <c r="K443" s="4">
        <v>41411</v>
      </c>
      <c r="L443">
        <f t="shared" si="6"/>
        <v>3.3499999999999996</v>
      </c>
    </row>
    <row r="444" spans="1:12" x14ac:dyDescent="0.15">
      <c r="A444" s="1">
        <v>443</v>
      </c>
      <c r="B444" s="4">
        <v>41137</v>
      </c>
      <c r="C444" s="1" t="s">
        <v>20</v>
      </c>
      <c r="D444" s="1" t="s">
        <v>12</v>
      </c>
      <c r="E444" s="1">
        <v>0.47908564814814819</v>
      </c>
      <c r="F444" s="1" t="s">
        <v>13</v>
      </c>
      <c r="G444" s="1">
        <v>3.04</v>
      </c>
      <c r="H444" s="1">
        <v>3.44</v>
      </c>
      <c r="I444" s="1">
        <v>0</v>
      </c>
      <c r="J444" s="4">
        <v>41138</v>
      </c>
      <c r="K444" s="4">
        <v>44790</v>
      </c>
      <c r="L444">
        <f t="shared" si="6"/>
        <v>3.24</v>
      </c>
    </row>
    <row r="445" spans="1:12" x14ac:dyDescent="0.15">
      <c r="A445" s="1">
        <v>444</v>
      </c>
      <c r="B445" s="4">
        <v>41137</v>
      </c>
      <c r="C445" s="1" t="s">
        <v>18</v>
      </c>
      <c r="D445" s="1" t="s">
        <v>12</v>
      </c>
      <c r="E445" s="1">
        <v>0.47907407407407404</v>
      </c>
      <c r="F445" s="1" t="s">
        <v>13</v>
      </c>
      <c r="G445" s="1">
        <v>3.05</v>
      </c>
      <c r="H445" s="1">
        <v>3.15</v>
      </c>
      <c r="I445" s="1">
        <v>0</v>
      </c>
      <c r="J445" s="4">
        <v>41138</v>
      </c>
      <c r="K445" s="4">
        <v>41868</v>
      </c>
      <c r="L445">
        <f t="shared" si="6"/>
        <v>3.0999999999999996</v>
      </c>
    </row>
    <row r="446" spans="1:12" x14ac:dyDescent="0.15">
      <c r="A446" s="1">
        <v>445</v>
      </c>
      <c r="B446" s="4">
        <v>41137</v>
      </c>
      <c r="C446" s="1" t="s">
        <v>23</v>
      </c>
      <c r="D446" s="1" t="s">
        <v>12</v>
      </c>
      <c r="E446" s="1">
        <v>0.47907407407407404</v>
      </c>
      <c r="F446" s="1" t="s">
        <v>13</v>
      </c>
      <c r="G446" s="1">
        <v>3.03</v>
      </c>
      <c r="H446" s="1">
        <v>3.13</v>
      </c>
      <c r="I446" s="1">
        <v>0</v>
      </c>
      <c r="J446" s="4">
        <v>41138</v>
      </c>
      <c r="K446" s="4">
        <v>43329</v>
      </c>
      <c r="L446">
        <f t="shared" si="6"/>
        <v>3.08</v>
      </c>
    </row>
    <row r="447" spans="1:12" x14ac:dyDescent="0.15">
      <c r="A447" s="1">
        <v>446</v>
      </c>
      <c r="B447" s="4">
        <v>41137</v>
      </c>
      <c r="C447" s="1" t="s">
        <v>22</v>
      </c>
      <c r="D447" s="1" t="s">
        <v>12</v>
      </c>
      <c r="E447" s="1">
        <v>0.47907407407407404</v>
      </c>
      <c r="F447" s="1" t="s">
        <v>13</v>
      </c>
      <c r="G447" s="1">
        <v>3.4</v>
      </c>
      <c r="H447" s="1">
        <v>3.5</v>
      </c>
      <c r="I447" s="1">
        <v>0</v>
      </c>
      <c r="J447" s="4">
        <v>41138</v>
      </c>
      <c r="K447" s="4">
        <v>41322</v>
      </c>
      <c r="L447">
        <f t="shared" si="6"/>
        <v>3.45</v>
      </c>
    </row>
    <row r="448" spans="1:12" x14ac:dyDescent="0.15">
      <c r="A448" s="1">
        <v>447</v>
      </c>
      <c r="B448" s="4">
        <v>41137</v>
      </c>
      <c r="C448" s="1" t="s">
        <v>14</v>
      </c>
      <c r="D448" s="1" t="s">
        <v>12</v>
      </c>
      <c r="E448" s="1">
        <v>0.47907407407407404</v>
      </c>
      <c r="F448" s="1" t="s">
        <v>13</v>
      </c>
      <c r="G448" s="1">
        <v>3.2</v>
      </c>
      <c r="H448" s="1">
        <v>3.3</v>
      </c>
      <c r="I448" s="1">
        <v>0</v>
      </c>
      <c r="J448" s="4">
        <v>41138</v>
      </c>
      <c r="K448" s="4">
        <v>41503</v>
      </c>
      <c r="L448">
        <f t="shared" si="6"/>
        <v>3.25</v>
      </c>
    </row>
    <row r="449" spans="1:12" x14ac:dyDescent="0.15">
      <c r="A449" s="1">
        <v>448</v>
      </c>
      <c r="B449" s="4">
        <v>41137</v>
      </c>
      <c r="C449" s="1" t="s">
        <v>11</v>
      </c>
      <c r="D449" s="1" t="s">
        <v>12</v>
      </c>
      <c r="E449" s="1">
        <v>0.47908564814814819</v>
      </c>
      <c r="F449" s="1" t="s">
        <v>13</v>
      </c>
      <c r="G449" s="1">
        <v>3.05</v>
      </c>
      <c r="H449" s="1">
        <v>3.15</v>
      </c>
      <c r="I449" s="1">
        <v>0</v>
      </c>
      <c r="J449" s="4">
        <v>41138</v>
      </c>
      <c r="K449" s="4">
        <v>42233</v>
      </c>
      <c r="L449">
        <f t="shared" si="6"/>
        <v>3.0999999999999996</v>
      </c>
    </row>
    <row r="450" spans="1:12" x14ac:dyDescent="0.15">
      <c r="A450" s="1">
        <v>449</v>
      </c>
      <c r="B450" s="4">
        <v>41137</v>
      </c>
      <c r="C450" s="1" t="s">
        <v>22</v>
      </c>
      <c r="D450" s="1" t="s">
        <v>15</v>
      </c>
      <c r="E450" s="1">
        <v>0.48923611111111115</v>
      </c>
      <c r="F450" s="1" t="s">
        <v>13</v>
      </c>
      <c r="G450" s="1">
        <v>3.43</v>
      </c>
      <c r="H450" s="1">
        <v>3.49</v>
      </c>
      <c r="I450" s="1">
        <v>0</v>
      </c>
      <c r="J450" s="4">
        <v>41138</v>
      </c>
      <c r="K450" s="4">
        <v>41322</v>
      </c>
      <c r="L450">
        <f t="shared" si="6"/>
        <v>3.46</v>
      </c>
    </row>
    <row r="451" spans="1:12" x14ac:dyDescent="0.15">
      <c r="A451" s="1">
        <v>450</v>
      </c>
      <c r="B451" s="4">
        <v>41137</v>
      </c>
      <c r="C451" s="1" t="s">
        <v>14</v>
      </c>
      <c r="D451" s="1" t="s">
        <v>15</v>
      </c>
      <c r="E451" s="1">
        <v>0.48923611111111115</v>
      </c>
      <c r="F451" s="1" t="s">
        <v>13</v>
      </c>
      <c r="G451" s="1">
        <v>3.2</v>
      </c>
      <c r="H451" s="1">
        <v>3.26</v>
      </c>
      <c r="I451" s="1">
        <v>0</v>
      </c>
      <c r="J451" s="4">
        <v>41138</v>
      </c>
      <c r="K451" s="4">
        <v>41503</v>
      </c>
      <c r="L451">
        <f t="shared" ref="L451:L514" si="7">AVERAGE(G451:H451)</f>
        <v>3.23</v>
      </c>
    </row>
    <row r="452" spans="1:12" x14ac:dyDescent="0.15">
      <c r="A452" s="1">
        <v>451</v>
      </c>
      <c r="B452" s="4">
        <v>41137</v>
      </c>
      <c r="C452" s="1" t="s">
        <v>17</v>
      </c>
      <c r="D452" s="1" t="s">
        <v>12</v>
      </c>
      <c r="E452" s="1">
        <v>0.47908564814814819</v>
      </c>
      <c r="F452" s="1" t="s">
        <v>13</v>
      </c>
      <c r="G452" s="1">
        <v>3.02</v>
      </c>
      <c r="H452" s="1">
        <v>3.42</v>
      </c>
      <c r="I452" s="1">
        <v>0</v>
      </c>
      <c r="J452" s="4">
        <v>41138</v>
      </c>
      <c r="K452" s="4">
        <v>44425</v>
      </c>
      <c r="L452">
        <f t="shared" si="7"/>
        <v>3.2199999999999998</v>
      </c>
    </row>
    <row r="453" spans="1:12" x14ac:dyDescent="0.15">
      <c r="A453" s="1">
        <v>452</v>
      </c>
      <c r="B453" s="4">
        <v>41137</v>
      </c>
      <c r="C453" s="1" t="s">
        <v>24</v>
      </c>
      <c r="D453" s="1" t="s">
        <v>12</v>
      </c>
      <c r="E453" s="1">
        <v>0.47908564814814819</v>
      </c>
      <c r="F453" s="1" t="s">
        <v>13</v>
      </c>
      <c r="G453" s="1">
        <v>3</v>
      </c>
      <c r="H453" s="1">
        <v>3.4</v>
      </c>
      <c r="I453" s="1">
        <v>0</v>
      </c>
      <c r="J453" s="4">
        <v>41138</v>
      </c>
      <c r="K453" s="4">
        <v>44060</v>
      </c>
      <c r="L453">
        <f t="shared" si="7"/>
        <v>3.2</v>
      </c>
    </row>
    <row r="454" spans="1:12" x14ac:dyDescent="0.15">
      <c r="A454" s="1">
        <v>453</v>
      </c>
      <c r="B454" s="4">
        <v>41137</v>
      </c>
      <c r="C454" s="1" t="s">
        <v>25</v>
      </c>
      <c r="D454" s="1" t="s">
        <v>12</v>
      </c>
      <c r="E454" s="1">
        <v>0.47908564814814819</v>
      </c>
      <c r="F454" s="1" t="s">
        <v>13</v>
      </c>
      <c r="G454" s="1">
        <v>3.04</v>
      </c>
      <c r="H454" s="1">
        <v>3.14</v>
      </c>
      <c r="I454" s="1">
        <v>0</v>
      </c>
      <c r="J454" s="4">
        <v>41138</v>
      </c>
      <c r="K454" s="4">
        <v>42964</v>
      </c>
      <c r="L454">
        <f t="shared" si="7"/>
        <v>3.09</v>
      </c>
    </row>
    <row r="455" spans="1:12" x14ac:dyDescent="0.15">
      <c r="A455" s="1">
        <v>454</v>
      </c>
      <c r="B455" s="4">
        <v>41137</v>
      </c>
      <c r="C455" s="1" t="s">
        <v>16</v>
      </c>
      <c r="D455" s="1" t="s">
        <v>12</v>
      </c>
      <c r="E455" s="1">
        <v>0.47908564814814819</v>
      </c>
      <c r="F455" s="1" t="s">
        <v>13</v>
      </c>
      <c r="G455" s="1">
        <v>3.04</v>
      </c>
      <c r="H455" s="1">
        <v>3.14</v>
      </c>
      <c r="I455" s="1">
        <v>0</v>
      </c>
      <c r="J455" s="4">
        <v>41138</v>
      </c>
      <c r="K455" s="4">
        <v>42599</v>
      </c>
      <c r="L455">
        <f t="shared" si="7"/>
        <v>3.09</v>
      </c>
    </row>
    <row r="456" spans="1:12" x14ac:dyDescent="0.15">
      <c r="A456" s="1">
        <v>455</v>
      </c>
      <c r="B456" s="4">
        <v>41137</v>
      </c>
      <c r="C456" s="1" t="s">
        <v>18</v>
      </c>
      <c r="D456" s="1" t="s">
        <v>12</v>
      </c>
      <c r="E456" s="1">
        <v>0.67178240740740736</v>
      </c>
      <c r="F456" s="1" t="s">
        <v>13</v>
      </c>
      <c r="G456" s="1">
        <v>3.05</v>
      </c>
      <c r="H456" s="1">
        <v>3.15</v>
      </c>
      <c r="I456" s="1">
        <v>0</v>
      </c>
      <c r="J456" s="4">
        <v>41138</v>
      </c>
      <c r="K456" s="4">
        <v>41868</v>
      </c>
      <c r="L456">
        <f t="shared" si="7"/>
        <v>3.0999999999999996</v>
      </c>
    </row>
    <row r="457" spans="1:12" x14ac:dyDescent="0.15">
      <c r="A457" s="1">
        <v>456</v>
      </c>
      <c r="B457" s="4">
        <v>41137</v>
      </c>
      <c r="C457" s="1" t="s">
        <v>21</v>
      </c>
      <c r="D457" s="1" t="s">
        <v>26</v>
      </c>
      <c r="E457" s="1">
        <v>0.67447916666666663</v>
      </c>
      <c r="F457" s="1" t="s">
        <v>13</v>
      </c>
      <c r="G457" s="1">
        <v>3</v>
      </c>
      <c r="H457" s="1">
        <v>3.3</v>
      </c>
      <c r="I457" s="1">
        <v>0</v>
      </c>
      <c r="J457" s="4">
        <v>41138</v>
      </c>
      <c r="K457" s="4">
        <v>43694</v>
      </c>
      <c r="L457">
        <f t="shared" si="7"/>
        <v>3.15</v>
      </c>
    </row>
    <row r="458" spans="1:12" x14ac:dyDescent="0.15">
      <c r="A458" s="1">
        <v>457</v>
      </c>
      <c r="B458" s="4">
        <v>41137</v>
      </c>
      <c r="C458" s="1" t="s">
        <v>16</v>
      </c>
      <c r="D458" s="1" t="s">
        <v>26</v>
      </c>
      <c r="E458" s="1">
        <v>0.67449074074074078</v>
      </c>
      <c r="F458" s="1" t="s">
        <v>13</v>
      </c>
      <c r="G458" s="1">
        <v>3</v>
      </c>
      <c r="H458" s="1">
        <v>3.05</v>
      </c>
      <c r="I458" s="1">
        <v>0</v>
      </c>
      <c r="J458" s="4">
        <v>41138</v>
      </c>
      <c r="K458" s="4">
        <v>42599</v>
      </c>
      <c r="L458">
        <f t="shared" si="7"/>
        <v>3.0249999999999999</v>
      </c>
    </row>
    <row r="459" spans="1:12" x14ac:dyDescent="0.15">
      <c r="A459" s="1">
        <v>458</v>
      </c>
      <c r="B459" s="4">
        <v>41137</v>
      </c>
      <c r="C459" s="1" t="s">
        <v>11</v>
      </c>
      <c r="D459" s="1" t="s">
        <v>26</v>
      </c>
      <c r="E459" s="1">
        <v>0.67450231481481471</v>
      </c>
      <c r="F459" s="1" t="s">
        <v>13</v>
      </c>
      <c r="G459" s="1">
        <v>3</v>
      </c>
      <c r="H459" s="1">
        <v>3.05</v>
      </c>
      <c r="I459" s="1">
        <v>0</v>
      </c>
      <c r="J459" s="4">
        <v>41138</v>
      </c>
      <c r="K459" s="4">
        <v>42233</v>
      </c>
      <c r="L459">
        <f t="shared" si="7"/>
        <v>3.0249999999999999</v>
      </c>
    </row>
    <row r="460" spans="1:12" x14ac:dyDescent="0.15">
      <c r="A460" s="1">
        <v>459</v>
      </c>
      <c r="B460" s="4">
        <v>41137</v>
      </c>
      <c r="C460" s="1" t="s">
        <v>17</v>
      </c>
      <c r="D460" s="1" t="s">
        <v>26</v>
      </c>
      <c r="E460" s="1">
        <v>0.67447916666666663</v>
      </c>
      <c r="F460" s="1" t="s">
        <v>13</v>
      </c>
      <c r="G460" s="1">
        <v>3</v>
      </c>
      <c r="H460" s="1">
        <v>3.3</v>
      </c>
      <c r="I460" s="1">
        <v>0</v>
      </c>
      <c r="J460" s="4">
        <v>41138</v>
      </c>
      <c r="K460" s="4">
        <v>44425</v>
      </c>
      <c r="L460">
        <f t="shared" si="7"/>
        <v>3.15</v>
      </c>
    </row>
    <row r="461" spans="1:12" x14ac:dyDescent="0.15">
      <c r="A461" s="1">
        <v>460</v>
      </c>
      <c r="B461" s="4">
        <v>41137</v>
      </c>
      <c r="C461" s="1" t="s">
        <v>25</v>
      </c>
      <c r="D461" s="1" t="s">
        <v>26</v>
      </c>
      <c r="E461" s="1">
        <v>0.67447916666666663</v>
      </c>
      <c r="F461" s="1" t="s">
        <v>13</v>
      </c>
      <c r="G461" s="1">
        <v>3.05</v>
      </c>
      <c r="H461" s="1">
        <v>3.1</v>
      </c>
      <c r="I461" s="1">
        <v>0</v>
      </c>
      <c r="J461" s="4">
        <v>41138</v>
      </c>
      <c r="K461" s="4">
        <v>42964</v>
      </c>
      <c r="L461">
        <f t="shared" si="7"/>
        <v>3.0750000000000002</v>
      </c>
    </row>
    <row r="462" spans="1:12" x14ac:dyDescent="0.15">
      <c r="A462" s="1">
        <v>461</v>
      </c>
      <c r="B462" s="4">
        <v>41137</v>
      </c>
      <c r="C462" s="1" t="s">
        <v>20</v>
      </c>
      <c r="D462" s="1" t="s">
        <v>26</v>
      </c>
      <c r="E462" s="1">
        <v>0.67447916666666663</v>
      </c>
      <c r="F462" s="1" t="s">
        <v>13</v>
      </c>
      <c r="G462" s="1">
        <v>3</v>
      </c>
      <c r="H462" s="1">
        <v>3.3</v>
      </c>
      <c r="I462" s="1">
        <v>0</v>
      </c>
      <c r="J462" s="4">
        <v>41138</v>
      </c>
      <c r="K462" s="4">
        <v>44790</v>
      </c>
      <c r="L462">
        <f t="shared" si="7"/>
        <v>3.15</v>
      </c>
    </row>
    <row r="463" spans="1:12" x14ac:dyDescent="0.15">
      <c r="A463" s="1">
        <v>462</v>
      </c>
      <c r="B463" s="4">
        <v>41137</v>
      </c>
      <c r="C463" s="1" t="s">
        <v>18</v>
      </c>
      <c r="D463" s="1" t="s">
        <v>26</v>
      </c>
      <c r="E463" s="1">
        <v>0.67447916666666663</v>
      </c>
      <c r="F463" s="1" t="s">
        <v>13</v>
      </c>
      <c r="G463" s="1">
        <v>3</v>
      </c>
      <c r="H463" s="1">
        <v>3.05</v>
      </c>
      <c r="I463" s="1">
        <v>0</v>
      </c>
      <c r="J463" s="4">
        <v>41138</v>
      </c>
      <c r="K463" s="4">
        <v>41868</v>
      </c>
      <c r="L463">
        <f t="shared" si="7"/>
        <v>3.0249999999999999</v>
      </c>
    </row>
    <row r="464" spans="1:12" x14ac:dyDescent="0.15">
      <c r="A464" s="1">
        <v>463</v>
      </c>
      <c r="B464" s="4">
        <v>41137</v>
      </c>
      <c r="C464" s="1" t="s">
        <v>19</v>
      </c>
      <c r="D464" s="1" t="s">
        <v>27</v>
      </c>
      <c r="E464" s="1">
        <v>0.67543981481481474</v>
      </c>
      <c r="F464" s="1" t="s">
        <v>13</v>
      </c>
      <c r="G464" s="1">
        <v>3.28</v>
      </c>
      <c r="H464" s="1">
        <v>3.38</v>
      </c>
      <c r="I464" s="1">
        <v>0</v>
      </c>
      <c r="J464" s="4">
        <v>41138</v>
      </c>
      <c r="K464" s="4">
        <v>41411</v>
      </c>
      <c r="L464">
        <f t="shared" si="7"/>
        <v>3.33</v>
      </c>
    </row>
    <row r="465" spans="1:12" x14ac:dyDescent="0.15">
      <c r="A465" s="1">
        <v>464</v>
      </c>
      <c r="B465" s="4">
        <v>41137</v>
      </c>
      <c r="C465" s="1" t="s">
        <v>11</v>
      </c>
      <c r="D465" s="1" t="s">
        <v>27</v>
      </c>
      <c r="E465" s="1">
        <v>0.67545138888888889</v>
      </c>
      <c r="F465" s="1" t="s">
        <v>13</v>
      </c>
      <c r="G465" s="1">
        <v>3.04</v>
      </c>
      <c r="H465" s="1">
        <v>3.12</v>
      </c>
      <c r="I465" s="1">
        <v>0</v>
      </c>
      <c r="J465" s="4">
        <v>41138</v>
      </c>
      <c r="K465" s="4">
        <v>42233</v>
      </c>
      <c r="L465">
        <f t="shared" si="7"/>
        <v>3.08</v>
      </c>
    </row>
    <row r="466" spans="1:12" x14ac:dyDescent="0.15">
      <c r="A466" s="1">
        <v>465</v>
      </c>
      <c r="B466" s="4">
        <v>41137</v>
      </c>
      <c r="C466" s="1" t="s">
        <v>22</v>
      </c>
      <c r="D466" s="1" t="s">
        <v>27</v>
      </c>
      <c r="E466" s="1">
        <v>0.67545138888888889</v>
      </c>
      <c r="F466" s="1" t="s">
        <v>13</v>
      </c>
      <c r="G466" s="1">
        <v>3.42</v>
      </c>
      <c r="H466" s="1">
        <v>3.52</v>
      </c>
      <c r="I466" s="1">
        <v>0</v>
      </c>
      <c r="J466" s="4">
        <v>41138</v>
      </c>
      <c r="K466" s="4">
        <v>41322</v>
      </c>
      <c r="L466">
        <f t="shared" si="7"/>
        <v>3.4699999999999998</v>
      </c>
    </row>
    <row r="467" spans="1:12" x14ac:dyDescent="0.15">
      <c r="A467" s="1">
        <v>466</v>
      </c>
      <c r="B467" s="4">
        <v>41137</v>
      </c>
      <c r="C467" s="1" t="s">
        <v>25</v>
      </c>
      <c r="D467" s="1" t="s">
        <v>27</v>
      </c>
      <c r="E467" s="1">
        <v>0.67543981481481474</v>
      </c>
      <c r="F467" s="1" t="s">
        <v>13</v>
      </c>
      <c r="G467" s="1">
        <v>3.04</v>
      </c>
      <c r="H467" s="1">
        <v>3.09</v>
      </c>
      <c r="I467" s="1">
        <v>0</v>
      </c>
      <c r="J467" s="4">
        <v>41138</v>
      </c>
      <c r="K467" s="4">
        <v>42964</v>
      </c>
      <c r="L467">
        <f t="shared" si="7"/>
        <v>3.0649999999999999</v>
      </c>
    </row>
    <row r="468" spans="1:12" x14ac:dyDescent="0.15">
      <c r="A468" s="1">
        <v>467</v>
      </c>
      <c r="B468" s="4">
        <v>41137</v>
      </c>
      <c r="C468" s="1" t="s">
        <v>16</v>
      </c>
      <c r="D468" s="1" t="s">
        <v>27</v>
      </c>
      <c r="E468" s="1">
        <v>0.67543981481481474</v>
      </c>
      <c r="F468" s="1" t="s">
        <v>13</v>
      </c>
      <c r="G468" s="1">
        <v>3.02</v>
      </c>
      <c r="H468" s="1">
        <v>3.12</v>
      </c>
      <c r="I468" s="1">
        <v>0</v>
      </c>
      <c r="J468" s="4">
        <v>41138</v>
      </c>
      <c r="K468" s="4">
        <v>42599</v>
      </c>
      <c r="L468">
        <f t="shared" si="7"/>
        <v>3.0700000000000003</v>
      </c>
    </row>
    <row r="469" spans="1:12" x14ac:dyDescent="0.15">
      <c r="A469" s="1">
        <v>468</v>
      </c>
      <c r="B469" s="4">
        <v>41137</v>
      </c>
      <c r="C469" s="1" t="s">
        <v>18</v>
      </c>
      <c r="D469" s="1" t="s">
        <v>27</v>
      </c>
      <c r="E469" s="1">
        <v>0.67543981481481474</v>
      </c>
      <c r="F469" s="1" t="s">
        <v>13</v>
      </c>
      <c r="G469" s="1">
        <v>3.04</v>
      </c>
      <c r="H469" s="1">
        <v>3.14</v>
      </c>
      <c r="I469" s="1">
        <v>0</v>
      </c>
      <c r="J469" s="4">
        <v>41138</v>
      </c>
      <c r="K469" s="4">
        <v>41868</v>
      </c>
      <c r="L469">
        <f t="shared" si="7"/>
        <v>3.09</v>
      </c>
    </row>
    <row r="470" spans="1:12" x14ac:dyDescent="0.15">
      <c r="A470" s="1">
        <v>469</v>
      </c>
      <c r="B470" s="4">
        <v>41137</v>
      </c>
      <c r="C470" s="1" t="s">
        <v>14</v>
      </c>
      <c r="D470" s="1" t="s">
        <v>27</v>
      </c>
      <c r="E470" s="1">
        <v>0.67543981481481474</v>
      </c>
      <c r="F470" s="1" t="s">
        <v>13</v>
      </c>
      <c r="G470" s="1">
        <v>3.21</v>
      </c>
      <c r="H470" s="1">
        <v>3.29</v>
      </c>
      <c r="I470" s="1">
        <v>0</v>
      </c>
      <c r="J470" s="4">
        <v>41138</v>
      </c>
      <c r="K470" s="4">
        <v>41503</v>
      </c>
      <c r="L470">
        <f t="shared" si="7"/>
        <v>3.25</v>
      </c>
    </row>
    <row r="471" spans="1:12" x14ac:dyDescent="0.15">
      <c r="A471" s="1">
        <v>470</v>
      </c>
      <c r="B471" s="4">
        <v>41137</v>
      </c>
      <c r="C471" s="1" t="s">
        <v>19</v>
      </c>
      <c r="D471" s="1" t="s">
        <v>26</v>
      </c>
      <c r="E471" s="1">
        <v>0.67447916666666663</v>
      </c>
      <c r="F471" s="1" t="s">
        <v>13</v>
      </c>
      <c r="G471" s="1">
        <v>3.6</v>
      </c>
      <c r="H471" s="1">
        <v>3.7</v>
      </c>
      <c r="I471" s="1">
        <v>0</v>
      </c>
      <c r="J471" s="4">
        <v>41138</v>
      </c>
      <c r="K471" s="4">
        <v>41411</v>
      </c>
      <c r="L471">
        <f t="shared" si="7"/>
        <v>3.6500000000000004</v>
      </c>
    </row>
    <row r="472" spans="1:12" x14ac:dyDescent="0.15">
      <c r="A472" s="1">
        <v>471</v>
      </c>
      <c r="B472" s="4">
        <v>41137</v>
      </c>
      <c r="C472" s="1" t="s">
        <v>22</v>
      </c>
      <c r="D472" s="1" t="s">
        <v>12</v>
      </c>
      <c r="E472" s="1">
        <v>0.67178240740740736</v>
      </c>
      <c r="F472" s="1" t="s">
        <v>13</v>
      </c>
      <c r="G472" s="1">
        <v>3.4</v>
      </c>
      <c r="H472" s="1">
        <v>3.5</v>
      </c>
      <c r="I472" s="1">
        <v>0</v>
      </c>
      <c r="J472" s="4">
        <v>41138</v>
      </c>
      <c r="K472" s="4">
        <v>41322</v>
      </c>
      <c r="L472">
        <f t="shared" si="7"/>
        <v>3.45</v>
      </c>
    </row>
    <row r="473" spans="1:12" x14ac:dyDescent="0.15">
      <c r="A473" s="1">
        <v>472</v>
      </c>
      <c r="B473" s="4">
        <v>41137</v>
      </c>
      <c r="C473" s="1" t="s">
        <v>24</v>
      </c>
      <c r="D473" s="1" t="s">
        <v>12</v>
      </c>
      <c r="E473" s="1">
        <v>0.67179398148148151</v>
      </c>
      <c r="F473" s="1" t="s">
        <v>13</v>
      </c>
      <c r="G473" s="1">
        <v>3</v>
      </c>
      <c r="H473" s="1">
        <v>3.4</v>
      </c>
      <c r="I473" s="1">
        <v>0</v>
      </c>
      <c r="J473" s="4">
        <v>41138</v>
      </c>
      <c r="K473" s="4">
        <v>44060</v>
      </c>
      <c r="L473">
        <f t="shared" si="7"/>
        <v>3.2</v>
      </c>
    </row>
    <row r="474" spans="1:12" x14ac:dyDescent="0.15">
      <c r="A474" s="1">
        <v>473</v>
      </c>
      <c r="B474" s="4">
        <v>41137</v>
      </c>
      <c r="C474" s="1" t="s">
        <v>25</v>
      </c>
      <c r="D474" s="1" t="s">
        <v>12</v>
      </c>
      <c r="E474" s="1">
        <v>0.67179398148148151</v>
      </c>
      <c r="F474" s="1" t="s">
        <v>13</v>
      </c>
      <c r="G474" s="1">
        <v>3.04</v>
      </c>
      <c r="H474" s="1">
        <v>3.14</v>
      </c>
      <c r="I474" s="1">
        <v>0</v>
      </c>
      <c r="J474" s="4">
        <v>41138</v>
      </c>
      <c r="K474" s="4">
        <v>42964</v>
      </c>
      <c r="L474">
        <f t="shared" si="7"/>
        <v>3.09</v>
      </c>
    </row>
    <row r="475" spans="1:12" x14ac:dyDescent="0.15">
      <c r="A475" s="1">
        <v>474</v>
      </c>
      <c r="B475" s="4">
        <v>41137</v>
      </c>
      <c r="C475" s="1" t="s">
        <v>23</v>
      </c>
      <c r="D475" s="1" t="s">
        <v>12</v>
      </c>
      <c r="E475" s="1">
        <v>0.67178240740740736</v>
      </c>
      <c r="F475" s="1" t="s">
        <v>13</v>
      </c>
      <c r="G475" s="1">
        <v>3.03</v>
      </c>
      <c r="H475" s="1">
        <v>3.13</v>
      </c>
      <c r="I475" s="1">
        <v>0</v>
      </c>
      <c r="J475" s="4">
        <v>41138</v>
      </c>
      <c r="K475" s="4">
        <v>43329</v>
      </c>
      <c r="L475">
        <f t="shared" si="7"/>
        <v>3.08</v>
      </c>
    </row>
    <row r="476" spans="1:12" x14ac:dyDescent="0.15">
      <c r="A476" s="1">
        <v>475</v>
      </c>
      <c r="B476" s="4">
        <v>41137</v>
      </c>
      <c r="C476" s="1" t="s">
        <v>21</v>
      </c>
      <c r="D476" s="1" t="s">
        <v>12</v>
      </c>
      <c r="E476" s="1">
        <v>0.67178240740740736</v>
      </c>
      <c r="F476" s="1" t="s">
        <v>13</v>
      </c>
      <c r="G476" s="1">
        <v>3</v>
      </c>
      <c r="H476" s="1">
        <v>3.4</v>
      </c>
      <c r="I476" s="1">
        <v>0</v>
      </c>
      <c r="J476" s="4">
        <v>41138</v>
      </c>
      <c r="K476" s="4">
        <v>43694</v>
      </c>
      <c r="L476">
        <f t="shared" si="7"/>
        <v>3.2</v>
      </c>
    </row>
    <row r="477" spans="1:12" x14ac:dyDescent="0.15">
      <c r="A477" s="1">
        <v>476</v>
      </c>
      <c r="B477" s="4">
        <v>41137</v>
      </c>
      <c r="C477" s="1" t="s">
        <v>19</v>
      </c>
      <c r="D477" s="1" t="s">
        <v>12</v>
      </c>
      <c r="E477" s="1">
        <v>0.67178240740740736</v>
      </c>
      <c r="F477" s="1" t="s">
        <v>13</v>
      </c>
      <c r="G477" s="1">
        <v>3.3</v>
      </c>
      <c r="H477" s="1">
        <v>3.4</v>
      </c>
      <c r="I477" s="1">
        <v>0</v>
      </c>
      <c r="J477" s="4">
        <v>41138</v>
      </c>
      <c r="K477" s="4">
        <v>41411</v>
      </c>
      <c r="L477">
        <f t="shared" si="7"/>
        <v>3.3499999999999996</v>
      </c>
    </row>
    <row r="478" spans="1:12" x14ac:dyDescent="0.15">
      <c r="A478" s="1">
        <v>477</v>
      </c>
      <c r="B478" s="4">
        <v>41137</v>
      </c>
      <c r="C478" s="1" t="s">
        <v>20</v>
      </c>
      <c r="D478" s="1" t="s">
        <v>12</v>
      </c>
      <c r="E478" s="1">
        <v>0.67178240740740736</v>
      </c>
      <c r="F478" s="1" t="s">
        <v>13</v>
      </c>
      <c r="G478" s="1">
        <v>3.04</v>
      </c>
      <c r="H478" s="1">
        <v>3.44</v>
      </c>
      <c r="I478" s="1">
        <v>0</v>
      </c>
      <c r="J478" s="4">
        <v>41138</v>
      </c>
      <c r="K478" s="4">
        <v>44790</v>
      </c>
      <c r="L478">
        <f t="shared" si="7"/>
        <v>3.24</v>
      </c>
    </row>
    <row r="479" spans="1:12" x14ac:dyDescent="0.15">
      <c r="A479" s="1">
        <v>478</v>
      </c>
      <c r="B479" s="4">
        <v>41137</v>
      </c>
      <c r="C479" s="1" t="s">
        <v>22</v>
      </c>
      <c r="D479" s="1" t="s">
        <v>26</v>
      </c>
      <c r="E479" s="1">
        <v>0.67444444444444451</v>
      </c>
      <c r="F479" s="1" t="s">
        <v>13</v>
      </c>
      <c r="G479" s="1">
        <v>3.3</v>
      </c>
      <c r="H479" s="1">
        <v>3.5</v>
      </c>
      <c r="I479" s="1">
        <v>0</v>
      </c>
      <c r="J479" s="4">
        <v>41138</v>
      </c>
      <c r="K479" s="4">
        <v>41322</v>
      </c>
      <c r="L479">
        <f t="shared" si="7"/>
        <v>3.4</v>
      </c>
    </row>
    <row r="480" spans="1:12" x14ac:dyDescent="0.15">
      <c r="A480" s="1">
        <v>479</v>
      </c>
      <c r="B480" s="4">
        <v>41137</v>
      </c>
      <c r="C480" s="1" t="s">
        <v>14</v>
      </c>
      <c r="D480" s="1" t="s">
        <v>26</v>
      </c>
      <c r="E480" s="1">
        <v>0.67446759259259259</v>
      </c>
      <c r="F480" s="1" t="s">
        <v>13</v>
      </c>
      <c r="G480" s="1">
        <v>3.1</v>
      </c>
      <c r="H480" s="1">
        <v>3.15</v>
      </c>
      <c r="I480" s="1">
        <v>0</v>
      </c>
      <c r="J480" s="4">
        <v>41138</v>
      </c>
      <c r="K480" s="4">
        <v>41503</v>
      </c>
      <c r="L480">
        <f t="shared" si="7"/>
        <v>3.125</v>
      </c>
    </row>
    <row r="481" spans="1:12" x14ac:dyDescent="0.15">
      <c r="A481" s="1">
        <v>480</v>
      </c>
      <c r="B481" s="4">
        <v>41137</v>
      </c>
      <c r="C481" s="1" t="s">
        <v>24</v>
      </c>
      <c r="D481" s="1" t="s">
        <v>26</v>
      </c>
      <c r="E481" s="1">
        <v>0.67446759259259259</v>
      </c>
      <c r="F481" s="1" t="s">
        <v>13</v>
      </c>
      <c r="G481" s="1">
        <v>3</v>
      </c>
      <c r="H481" s="1">
        <v>3.3</v>
      </c>
      <c r="I481" s="1">
        <v>0</v>
      </c>
      <c r="J481" s="4">
        <v>41138</v>
      </c>
      <c r="K481" s="4">
        <v>44060</v>
      </c>
      <c r="L481">
        <f t="shared" si="7"/>
        <v>3.15</v>
      </c>
    </row>
    <row r="482" spans="1:12" x14ac:dyDescent="0.15">
      <c r="A482" s="1">
        <v>481</v>
      </c>
      <c r="B482" s="4">
        <v>41137</v>
      </c>
      <c r="C482" s="1" t="s">
        <v>23</v>
      </c>
      <c r="D482" s="1" t="s">
        <v>26</v>
      </c>
      <c r="E482" s="1">
        <v>0.67444444444444451</v>
      </c>
      <c r="F482" s="1" t="s">
        <v>13</v>
      </c>
      <c r="G482" s="1">
        <v>3</v>
      </c>
      <c r="H482" s="1">
        <v>3.3</v>
      </c>
      <c r="I482" s="1">
        <v>0</v>
      </c>
      <c r="J482" s="4">
        <v>41138</v>
      </c>
      <c r="K482" s="4">
        <v>43329</v>
      </c>
      <c r="L482">
        <f t="shared" si="7"/>
        <v>3.15</v>
      </c>
    </row>
    <row r="483" spans="1:12" x14ac:dyDescent="0.15">
      <c r="A483" s="1">
        <v>482</v>
      </c>
      <c r="B483" s="4">
        <v>41137</v>
      </c>
      <c r="C483" s="1" t="s">
        <v>16</v>
      </c>
      <c r="D483" s="1" t="s">
        <v>12</v>
      </c>
      <c r="E483" s="1">
        <v>0.67179398148148151</v>
      </c>
      <c r="F483" s="1" t="s">
        <v>13</v>
      </c>
      <c r="G483" s="1">
        <v>3.04</v>
      </c>
      <c r="H483" s="1">
        <v>3.14</v>
      </c>
      <c r="I483" s="1">
        <v>0</v>
      </c>
      <c r="J483" s="4">
        <v>41138</v>
      </c>
      <c r="K483" s="4">
        <v>42599</v>
      </c>
      <c r="L483">
        <f t="shared" si="7"/>
        <v>3.09</v>
      </c>
    </row>
    <row r="484" spans="1:12" x14ac:dyDescent="0.15">
      <c r="A484" s="1">
        <v>483</v>
      </c>
      <c r="B484" s="4">
        <v>41137</v>
      </c>
      <c r="C484" s="1" t="s">
        <v>17</v>
      </c>
      <c r="D484" s="1" t="s">
        <v>12</v>
      </c>
      <c r="E484" s="1">
        <v>0.67179398148148151</v>
      </c>
      <c r="F484" s="1" t="s">
        <v>13</v>
      </c>
      <c r="G484" s="1">
        <v>3.02</v>
      </c>
      <c r="H484" s="1">
        <v>3.42</v>
      </c>
      <c r="I484" s="1">
        <v>0</v>
      </c>
      <c r="J484" s="4">
        <v>41138</v>
      </c>
      <c r="K484" s="4">
        <v>44425</v>
      </c>
      <c r="L484">
        <f t="shared" si="7"/>
        <v>3.2199999999999998</v>
      </c>
    </row>
    <row r="485" spans="1:12" x14ac:dyDescent="0.15">
      <c r="A485" s="1">
        <v>484</v>
      </c>
      <c r="B485" s="4">
        <v>41137</v>
      </c>
      <c r="C485" s="1" t="s">
        <v>11</v>
      </c>
      <c r="D485" s="1" t="s">
        <v>12</v>
      </c>
      <c r="E485" s="1">
        <v>0.67179398148148151</v>
      </c>
      <c r="F485" s="1" t="s">
        <v>13</v>
      </c>
      <c r="G485" s="1">
        <v>3.05</v>
      </c>
      <c r="H485" s="1">
        <v>3.15</v>
      </c>
      <c r="I485" s="1">
        <v>0</v>
      </c>
      <c r="J485" s="4">
        <v>41138</v>
      </c>
      <c r="K485" s="4">
        <v>42233</v>
      </c>
      <c r="L485">
        <f t="shared" si="7"/>
        <v>3.0999999999999996</v>
      </c>
    </row>
    <row r="486" spans="1:12" x14ac:dyDescent="0.15">
      <c r="A486" s="1">
        <v>485</v>
      </c>
      <c r="B486" s="4">
        <v>41136</v>
      </c>
      <c r="C486" s="1" t="s">
        <v>25</v>
      </c>
      <c r="D486" s="1" t="s">
        <v>26</v>
      </c>
      <c r="E486" s="1">
        <v>0.48563657407407407</v>
      </c>
      <c r="F486" s="1" t="s">
        <v>13</v>
      </c>
      <c r="G486" s="1">
        <v>3.05</v>
      </c>
      <c r="H486" s="1">
        <v>3.1</v>
      </c>
      <c r="I486" s="1">
        <v>0</v>
      </c>
      <c r="J486" s="4">
        <v>41137</v>
      </c>
      <c r="K486" s="4">
        <v>42963</v>
      </c>
      <c r="L486">
        <f t="shared" si="7"/>
        <v>3.0750000000000002</v>
      </c>
    </row>
    <row r="487" spans="1:12" x14ac:dyDescent="0.15">
      <c r="A487" s="1">
        <v>486</v>
      </c>
      <c r="B487" s="4">
        <v>41136</v>
      </c>
      <c r="C487" s="1" t="s">
        <v>19</v>
      </c>
      <c r="D487" s="1" t="s">
        <v>26</v>
      </c>
      <c r="E487" s="1">
        <v>0.48563657407407407</v>
      </c>
      <c r="F487" s="1" t="s">
        <v>13</v>
      </c>
      <c r="G487" s="1">
        <v>3.6</v>
      </c>
      <c r="H487" s="1">
        <v>3.7</v>
      </c>
      <c r="I487" s="1">
        <v>0</v>
      </c>
      <c r="J487" s="4">
        <v>41137</v>
      </c>
      <c r="K487" s="4">
        <v>41410</v>
      </c>
      <c r="L487">
        <f t="shared" si="7"/>
        <v>3.6500000000000004</v>
      </c>
    </row>
    <row r="488" spans="1:12" x14ac:dyDescent="0.15">
      <c r="A488" s="1">
        <v>487</v>
      </c>
      <c r="B488" s="4">
        <v>41136</v>
      </c>
      <c r="C488" s="1" t="s">
        <v>18</v>
      </c>
      <c r="D488" s="1" t="s">
        <v>27</v>
      </c>
      <c r="E488" s="1">
        <v>0.48684027777777777</v>
      </c>
      <c r="F488" s="1" t="s">
        <v>13</v>
      </c>
      <c r="G488" s="1">
        <v>3.05</v>
      </c>
      <c r="H488" s="1">
        <v>3.15</v>
      </c>
      <c r="I488" s="1">
        <v>0</v>
      </c>
      <c r="J488" s="4">
        <v>41137</v>
      </c>
      <c r="K488" s="4">
        <v>41867</v>
      </c>
      <c r="L488">
        <f t="shared" si="7"/>
        <v>3.0999999999999996</v>
      </c>
    </row>
    <row r="489" spans="1:12" x14ac:dyDescent="0.15">
      <c r="A489" s="1">
        <v>488</v>
      </c>
      <c r="B489" s="4">
        <v>41136</v>
      </c>
      <c r="C489" s="1" t="s">
        <v>16</v>
      </c>
      <c r="D489" s="1" t="s">
        <v>26</v>
      </c>
      <c r="E489" s="1">
        <v>0.48563657407407407</v>
      </c>
      <c r="F489" s="1" t="s">
        <v>13</v>
      </c>
      <c r="G489" s="1">
        <v>3</v>
      </c>
      <c r="H489" s="1">
        <v>3.05</v>
      </c>
      <c r="I489" s="1">
        <v>0</v>
      </c>
      <c r="J489" s="4">
        <v>41137</v>
      </c>
      <c r="K489" s="4">
        <v>42598</v>
      </c>
      <c r="L489">
        <f t="shared" si="7"/>
        <v>3.0249999999999999</v>
      </c>
    </row>
    <row r="490" spans="1:12" x14ac:dyDescent="0.15">
      <c r="A490" s="1">
        <v>489</v>
      </c>
      <c r="B490" s="4">
        <v>41136</v>
      </c>
      <c r="C490" s="1" t="s">
        <v>23</v>
      </c>
      <c r="D490" s="1" t="s">
        <v>26</v>
      </c>
      <c r="E490" s="1">
        <v>0.48562499999999997</v>
      </c>
      <c r="F490" s="1" t="s">
        <v>13</v>
      </c>
      <c r="G490" s="1">
        <v>3</v>
      </c>
      <c r="H490" s="1">
        <v>3.3</v>
      </c>
      <c r="I490" s="1">
        <v>0</v>
      </c>
      <c r="J490" s="4">
        <v>41137</v>
      </c>
      <c r="K490" s="4">
        <v>43328</v>
      </c>
      <c r="L490">
        <f t="shared" si="7"/>
        <v>3.15</v>
      </c>
    </row>
    <row r="491" spans="1:12" x14ac:dyDescent="0.15">
      <c r="A491" s="1">
        <v>490</v>
      </c>
      <c r="B491" s="4">
        <v>41136</v>
      </c>
      <c r="C491" s="1" t="s">
        <v>21</v>
      </c>
      <c r="D491" s="1" t="s">
        <v>26</v>
      </c>
      <c r="E491" s="1">
        <v>0.48562499999999997</v>
      </c>
      <c r="F491" s="1" t="s">
        <v>13</v>
      </c>
      <c r="G491" s="1">
        <v>3</v>
      </c>
      <c r="H491" s="1">
        <v>3.3</v>
      </c>
      <c r="I491" s="1">
        <v>0</v>
      </c>
      <c r="J491" s="4">
        <v>41137</v>
      </c>
      <c r="K491" s="4">
        <v>43693</v>
      </c>
      <c r="L491">
        <f t="shared" si="7"/>
        <v>3.15</v>
      </c>
    </row>
    <row r="492" spans="1:12" x14ac:dyDescent="0.15">
      <c r="A492" s="1">
        <v>491</v>
      </c>
      <c r="B492" s="4">
        <v>41136</v>
      </c>
      <c r="C492" s="1" t="s">
        <v>11</v>
      </c>
      <c r="D492" s="1" t="s">
        <v>26</v>
      </c>
      <c r="E492" s="1">
        <v>0.48563657407407407</v>
      </c>
      <c r="F492" s="1" t="s">
        <v>13</v>
      </c>
      <c r="G492" s="1">
        <v>3</v>
      </c>
      <c r="H492" s="1">
        <v>3.05</v>
      </c>
      <c r="I492" s="1">
        <v>0</v>
      </c>
      <c r="J492" s="4">
        <v>41137</v>
      </c>
      <c r="K492" s="4">
        <v>42232</v>
      </c>
      <c r="L492">
        <f t="shared" si="7"/>
        <v>3.0249999999999999</v>
      </c>
    </row>
    <row r="493" spans="1:12" x14ac:dyDescent="0.15">
      <c r="A493" s="1">
        <v>492</v>
      </c>
      <c r="B493" s="4">
        <v>41136</v>
      </c>
      <c r="C493" s="1" t="s">
        <v>22</v>
      </c>
      <c r="D493" s="1" t="s">
        <v>26</v>
      </c>
      <c r="E493" s="1">
        <v>0.48562499999999997</v>
      </c>
      <c r="F493" s="1" t="s">
        <v>13</v>
      </c>
      <c r="G493" s="1">
        <v>3.3</v>
      </c>
      <c r="H493" s="1">
        <v>3.5</v>
      </c>
      <c r="I493" s="1">
        <v>0</v>
      </c>
      <c r="J493" s="4">
        <v>41137</v>
      </c>
      <c r="K493" s="4">
        <v>41321</v>
      </c>
      <c r="L493">
        <f t="shared" si="7"/>
        <v>3.4</v>
      </c>
    </row>
    <row r="494" spans="1:12" x14ac:dyDescent="0.15">
      <c r="A494" s="1">
        <v>493</v>
      </c>
      <c r="B494" s="4">
        <v>41136</v>
      </c>
      <c r="C494" s="1" t="s">
        <v>22</v>
      </c>
      <c r="D494" s="1" t="s">
        <v>27</v>
      </c>
      <c r="E494" s="1">
        <v>0.48684027777777777</v>
      </c>
      <c r="F494" s="1" t="s">
        <v>13</v>
      </c>
      <c r="G494" s="1">
        <v>3.39</v>
      </c>
      <c r="H494" s="1">
        <v>3.49</v>
      </c>
      <c r="I494" s="1">
        <v>0</v>
      </c>
      <c r="J494" s="4">
        <v>41137</v>
      </c>
      <c r="K494" s="4">
        <v>41321</v>
      </c>
      <c r="L494">
        <f t="shared" si="7"/>
        <v>3.4400000000000004</v>
      </c>
    </row>
    <row r="495" spans="1:12" x14ac:dyDescent="0.15">
      <c r="A495" s="1">
        <v>494</v>
      </c>
      <c r="B495" s="4">
        <v>41136</v>
      </c>
      <c r="C495" s="1" t="s">
        <v>22</v>
      </c>
      <c r="D495" s="1" t="s">
        <v>15</v>
      </c>
      <c r="E495" s="1">
        <v>0.4944675925925926</v>
      </c>
      <c r="F495" s="1" t="s">
        <v>13</v>
      </c>
      <c r="G495" s="1">
        <v>3.39</v>
      </c>
      <c r="H495" s="1">
        <v>3.45</v>
      </c>
      <c r="I495" s="1">
        <v>0</v>
      </c>
      <c r="J495" s="4">
        <v>41137</v>
      </c>
      <c r="K495" s="4">
        <v>41321</v>
      </c>
      <c r="L495">
        <f t="shared" si="7"/>
        <v>3.42</v>
      </c>
    </row>
    <row r="496" spans="1:12" x14ac:dyDescent="0.15">
      <c r="A496" s="1">
        <v>495</v>
      </c>
      <c r="B496" s="4">
        <v>41136</v>
      </c>
      <c r="C496" s="1" t="s">
        <v>16</v>
      </c>
      <c r="D496" s="1" t="s">
        <v>27</v>
      </c>
      <c r="E496" s="1">
        <v>0.48684027777777777</v>
      </c>
      <c r="F496" s="1" t="s">
        <v>13</v>
      </c>
      <c r="G496" s="1">
        <v>3.02</v>
      </c>
      <c r="H496" s="1">
        <v>3.12</v>
      </c>
      <c r="I496" s="1">
        <v>0</v>
      </c>
      <c r="J496" s="4">
        <v>41137</v>
      </c>
      <c r="K496" s="4">
        <v>42598</v>
      </c>
      <c r="L496">
        <f t="shared" si="7"/>
        <v>3.0700000000000003</v>
      </c>
    </row>
    <row r="497" spans="1:12" x14ac:dyDescent="0.15">
      <c r="A497" s="1">
        <v>496</v>
      </c>
      <c r="B497" s="4">
        <v>41136</v>
      </c>
      <c r="C497" s="1" t="s">
        <v>18</v>
      </c>
      <c r="D497" s="1" t="s">
        <v>15</v>
      </c>
      <c r="E497" s="1">
        <v>0.4944675925925926</v>
      </c>
      <c r="F497" s="1" t="s">
        <v>13</v>
      </c>
      <c r="G497" s="1">
        <v>3.08</v>
      </c>
      <c r="H497" s="1">
        <v>3.14</v>
      </c>
      <c r="I497" s="1">
        <v>0</v>
      </c>
      <c r="J497" s="4">
        <v>41137</v>
      </c>
      <c r="K497" s="4">
        <v>41867</v>
      </c>
      <c r="L497">
        <f t="shared" si="7"/>
        <v>3.1100000000000003</v>
      </c>
    </row>
    <row r="498" spans="1:12" x14ac:dyDescent="0.15">
      <c r="A498" s="1">
        <v>497</v>
      </c>
      <c r="B498" s="4">
        <v>41136</v>
      </c>
      <c r="C498" s="1" t="s">
        <v>14</v>
      </c>
      <c r="D498" s="1" t="s">
        <v>15</v>
      </c>
      <c r="E498" s="1">
        <v>0.4944675925925926</v>
      </c>
      <c r="F498" s="1" t="s">
        <v>13</v>
      </c>
      <c r="G498" s="1">
        <v>3.17</v>
      </c>
      <c r="H498" s="1">
        <v>3.23</v>
      </c>
      <c r="I498" s="1">
        <v>0</v>
      </c>
      <c r="J498" s="4">
        <v>41137</v>
      </c>
      <c r="K498" s="4">
        <v>41502</v>
      </c>
      <c r="L498">
        <f t="shared" si="7"/>
        <v>3.2</v>
      </c>
    </row>
    <row r="499" spans="1:12" x14ac:dyDescent="0.15">
      <c r="A499" s="1">
        <v>498</v>
      </c>
      <c r="B499" s="4">
        <v>41136</v>
      </c>
      <c r="C499" s="1" t="s">
        <v>14</v>
      </c>
      <c r="D499" s="1" t="s">
        <v>27</v>
      </c>
      <c r="E499" s="1">
        <v>0.48684027777777777</v>
      </c>
      <c r="F499" s="1" t="s">
        <v>13</v>
      </c>
      <c r="G499" s="1">
        <v>3.17</v>
      </c>
      <c r="H499" s="1">
        <v>3.25</v>
      </c>
      <c r="I499" s="1">
        <v>0</v>
      </c>
      <c r="J499" s="4">
        <v>41137</v>
      </c>
      <c r="K499" s="4">
        <v>41502</v>
      </c>
      <c r="L499">
        <f t="shared" si="7"/>
        <v>3.21</v>
      </c>
    </row>
    <row r="500" spans="1:12" x14ac:dyDescent="0.15">
      <c r="A500" s="1">
        <v>499</v>
      </c>
      <c r="B500" s="4">
        <v>41136</v>
      </c>
      <c r="C500" s="1" t="s">
        <v>11</v>
      </c>
      <c r="D500" s="1" t="s">
        <v>27</v>
      </c>
      <c r="E500" s="1">
        <v>0.48684027777777777</v>
      </c>
      <c r="F500" s="1" t="s">
        <v>13</v>
      </c>
      <c r="G500" s="1">
        <v>3.02</v>
      </c>
      <c r="H500" s="1">
        <v>3.12</v>
      </c>
      <c r="I500" s="1">
        <v>0</v>
      </c>
      <c r="J500" s="4">
        <v>41137</v>
      </c>
      <c r="K500" s="4">
        <v>42232</v>
      </c>
      <c r="L500">
        <f t="shared" si="7"/>
        <v>3.0700000000000003</v>
      </c>
    </row>
    <row r="501" spans="1:12" x14ac:dyDescent="0.15">
      <c r="A501" s="1">
        <v>500</v>
      </c>
      <c r="B501" s="4">
        <v>41136</v>
      </c>
      <c r="C501" s="1" t="s">
        <v>19</v>
      </c>
      <c r="D501" s="1" t="s">
        <v>27</v>
      </c>
      <c r="E501" s="1">
        <v>0.48684027777777777</v>
      </c>
      <c r="F501" s="1" t="s">
        <v>13</v>
      </c>
      <c r="G501" s="1">
        <v>3.27</v>
      </c>
      <c r="H501" s="1">
        <v>3.37</v>
      </c>
      <c r="I501" s="1">
        <v>0</v>
      </c>
      <c r="J501" s="4">
        <v>41137</v>
      </c>
      <c r="K501" s="4">
        <v>41410</v>
      </c>
      <c r="L501">
        <f t="shared" si="7"/>
        <v>3.3200000000000003</v>
      </c>
    </row>
    <row r="502" spans="1:12" x14ac:dyDescent="0.15">
      <c r="A502" s="1">
        <v>501</v>
      </c>
      <c r="B502" s="4">
        <v>41136</v>
      </c>
      <c r="C502" s="1" t="s">
        <v>25</v>
      </c>
      <c r="D502" s="1" t="s">
        <v>27</v>
      </c>
      <c r="E502" s="1">
        <v>0.48684027777777777</v>
      </c>
      <c r="F502" s="1" t="s">
        <v>13</v>
      </c>
      <c r="G502" s="1">
        <v>3.02</v>
      </c>
      <c r="H502" s="1">
        <v>3.12</v>
      </c>
      <c r="I502" s="1">
        <v>0</v>
      </c>
      <c r="J502" s="4">
        <v>41137</v>
      </c>
      <c r="K502" s="4">
        <v>42963</v>
      </c>
      <c r="L502">
        <f t="shared" si="7"/>
        <v>3.0700000000000003</v>
      </c>
    </row>
    <row r="503" spans="1:12" x14ac:dyDescent="0.15">
      <c r="A503" s="1">
        <v>502</v>
      </c>
      <c r="B503" s="4">
        <v>41136</v>
      </c>
      <c r="C503" s="1" t="s">
        <v>24</v>
      </c>
      <c r="D503" s="1" t="s">
        <v>12</v>
      </c>
      <c r="E503" s="1">
        <v>0.47951388888888885</v>
      </c>
      <c r="F503" s="1" t="s">
        <v>13</v>
      </c>
      <c r="G503" s="1">
        <v>2.98</v>
      </c>
      <c r="H503" s="1">
        <v>3.38</v>
      </c>
      <c r="I503" s="1">
        <v>0</v>
      </c>
      <c r="J503" s="4">
        <v>41137</v>
      </c>
      <c r="K503" s="4">
        <v>44059</v>
      </c>
      <c r="L503">
        <f t="shared" si="7"/>
        <v>3.1799999999999997</v>
      </c>
    </row>
    <row r="504" spans="1:12" x14ac:dyDescent="0.15">
      <c r="A504" s="1">
        <v>503</v>
      </c>
      <c r="B504" s="4">
        <v>41136</v>
      </c>
      <c r="C504" s="1" t="s">
        <v>20</v>
      </c>
      <c r="D504" s="1" t="s">
        <v>12</v>
      </c>
      <c r="E504" s="1">
        <v>0.47951388888888885</v>
      </c>
      <c r="F504" s="1" t="s">
        <v>13</v>
      </c>
      <c r="G504" s="1">
        <v>3.02</v>
      </c>
      <c r="H504" s="1">
        <v>3.42</v>
      </c>
      <c r="I504" s="1">
        <v>0</v>
      </c>
      <c r="J504" s="4">
        <v>41137</v>
      </c>
      <c r="K504" s="4">
        <v>44789</v>
      </c>
      <c r="L504">
        <f t="shared" si="7"/>
        <v>3.2199999999999998</v>
      </c>
    </row>
    <row r="505" spans="1:12" x14ac:dyDescent="0.15">
      <c r="A505" s="1">
        <v>504</v>
      </c>
      <c r="B505" s="4">
        <v>41136</v>
      </c>
      <c r="C505" s="1" t="s">
        <v>22</v>
      </c>
      <c r="D505" s="1" t="s">
        <v>12</v>
      </c>
      <c r="E505" s="1">
        <v>0.47951388888888885</v>
      </c>
      <c r="F505" s="1" t="s">
        <v>13</v>
      </c>
      <c r="G505" s="1">
        <v>3.4</v>
      </c>
      <c r="H505" s="1">
        <v>3.5</v>
      </c>
      <c r="I505" s="1">
        <v>0</v>
      </c>
      <c r="J505" s="4">
        <v>41137</v>
      </c>
      <c r="K505" s="4">
        <v>41321</v>
      </c>
      <c r="L505">
        <f t="shared" si="7"/>
        <v>3.45</v>
      </c>
    </row>
    <row r="506" spans="1:12" x14ac:dyDescent="0.15">
      <c r="A506" s="1">
        <v>505</v>
      </c>
      <c r="B506" s="4">
        <v>41136</v>
      </c>
      <c r="C506" s="1" t="s">
        <v>23</v>
      </c>
      <c r="D506" s="1" t="s">
        <v>12</v>
      </c>
      <c r="E506" s="1">
        <v>0.47951388888888885</v>
      </c>
      <c r="F506" s="1" t="s">
        <v>13</v>
      </c>
      <c r="G506" s="1">
        <v>3</v>
      </c>
      <c r="H506" s="1">
        <v>3.1</v>
      </c>
      <c r="I506" s="1">
        <v>0</v>
      </c>
      <c r="J506" s="4">
        <v>41137</v>
      </c>
      <c r="K506" s="4">
        <v>43328</v>
      </c>
      <c r="L506">
        <f t="shared" si="7"/>
        <v>3.05</v>
      </c>
    </row>
    <row r="507" spans="1:12" x14ac:dyDescent="0.15">
      <c r="A507" s="1">
        <v>506</v>
      </c>
      <c r="B507" s="4">
        <v>41136</v>
      </c>
      <c r="C507" s="1" t="s">
        <v>18</v>
      </c>
      <c r="D507" s="1" t="s">
        <v>12</v>
      </c>
      <c r="E507" s="1">
        <v>0.47951388888888885</v>
      </c>
      <c r="F507" s="1" t="s">
        <v>13</v>
      </c>
      <c r="G507" s="1">
        <v>3.05</v>
      </c>
      <c r="H507" s="1">
        <v>3.15</v>
      </c>
      <c r="I507" s="1">
        <v>0</v>
      </c>
      <c r="J507" s="4">
        <v>41137</v>
      </c>
      <c r="K507" s="4">
        <v>41867</v>
      </c>
      <c r="L507">
        <f t="shared" si="7"/>
        <v>3.0999999999999996</v>
      </c>
    </row>
    <row r="508" spans="1:12" x14ac:dyDescent="0.15">
      <c r="A508" s="1">
        <v>507</v>
      </c>
      <c r="B508" s="4">
        <v>41136</v>
      </c>
      <c r="C508" s="1" t="s">
        <v>14</v>
      </c>
      <c r="D508" s="1" t="s">
        <v>12</v>
      </c>
      <c r="E508" s="1">
        <v>0.47951388888888885</v>
      </c>
      <c r="F508" s="1" t="s">
        <v>13</v>
      </c>
      <c r="G508" s="1">
        <v>3.15</v>
      </c>
      <c r="H508" s="1">
        <v>3.25</v>
      </c>
      <c r="I508" s="1">
        <v>0</v>
      </c>
      <c r="J508" s="4">
        <v>41137</v>
      </c>
      <c r="K508" s="4">
        <v>41502</v>
      </c>
      <c r="L508">
        <f t="shared" si="7"/>
        <v>3.2</v>
      </c>
    </row>
    <row r="509" spans="1:12" x14ac:dyDescent="0.15">
      <c r="A509" s="1">
        <v>508</v>
      </c>
      <c r="B509" s="4">
        <v>41136</v>
      </c>
      <c r="C509" s="1" t="s">
        <v>19</v>
      </c>
      <c r="D509" s="1" t="s">
        <v>12</v>
      </c>
      <c r="E509" s="1">
        <v>0.47951388888888885</v>
      </c>
      <c r="F509" s="1" t="s">
        <v>13</v>
      </c>
      <c r="G509" s="1">
        <v>3.25</v>
      </c>
      <c r="H509" s="1">
        <v>3.35</v>
      </c>
      <c r="I509" s="1">
        <v>0</v>
      </c>
      <c r="J509" s="4">
        <v>41137</v>
      </c>
      <c r="K509" s="4">
        <v>41410</v>
      </c>
      <c r="L509">
        <f t="shared" si="7"/>
        <v>3.3</v>
      </c>
    </row>
    <row r="510" spans="1:12" x14ac:dyDescent="0.15">
      <c r="A510" s="1">
        <v>509</v>
      </c>
      <c r="B510" s="4">
        <v>41136</v>
      </c>
      <c r="C510" s="1" t="s">
        <v>21</v>
      </c>
      <c r="D510" s="1" t="s">
        <v>12</v>
      </c>
      <c r="E510" s="1">
        <v>0.47951388888888885</v>
      </c>
      <c r="F510" s="1" t="s">
        <v>13</v>
      </c>
      <c r="G510" s="1">
        <v>2.98</v>
      </c>
      <c r="H510" s="1">
        <v>3.38</v>
      </c>
      <c r="I510" s="1">
        <v>0</v>
      </c>
      <c r="J510" s="4">
        <v>41137</v>
      </c>
      <c r="K510" s="4">
        <v>43693</v>
      </c>
      <c r="L510">
        <f t="shared" si="7"/>
        <v>3.1799999999999997</v>
      </c>
    </row>
    <row r="511" spans="1:12" x14ac:dyDescent="0.15">
      <c r="A511" s="1">
        <v>510</v>
      </c>
      <c r="B511" s="4">
        <v>41136</v>
      </c>
      <c r="C511" s="1" t="s">
        <v>25</v>
      </c>
      <c r="D511" s="1" t="s">
        <v>12</v>
      </c>
      <c r="E511" s="1">
        <v>0.479525462962963</v>
      </c>
      <c r="F511" s="1" t="s">
        <v>13</v>
      </c>
      <c r="G511" s="1">
        <v>3.02</v>
      </c>
      <c r="H511" s="1">
        <v>3.12</v>
      </c>
      <c r="I511" s="1">
        <v>0</v>
      </c>
      <c r="J511" s="4">
        <v>41137</v>
      </c>
      <c r="K511" s="4">
        <v>42963</v>
      </c>
      <c r="L511">
        <f t="shared" si="7"/>
        <v>3.0700000000000003</v>
      </c>
    </row>
    <row r="512" spans="1:12" x14ac:dyDescent="0.15">
      <c r="A512" s="1">
        <v>511</v>
      </c>
      <c r="B512" s="4">
        <v>41136</v>
      </c>
      <c r="C512" s="1" t="s">
        <v>20</v>
      </c>
      <c r="D512" s="1" t="s">
        <v>26</v>
      </c>
      <c r="E512" s="1">
        <v>0.48562499999999997</v>
      </c>
      <c r="F512" s="1" t="s">
        <v>13</v>
      </c>
      <c r="G512" s="1">
        <v>3</v>
      </c>
      <c r="H512" s="1">
        <v>3.3</v>
      </c>
      <c r="I512" s="1">
        <v>0</v>
      </c>
      <c r="J512" s="4">
        <v>41137</v>
      </c>
      <c r="K512" s="4">
        <v>44789</v>
      </c>
      <c r="L512">
        <f t="shared" si="7"/>
        <v>3.15</v>
      </c>
    </row>
    <row r="513" spans="1:12" x14ac:dyDescent="0.15">
      <c r="A513" s="1">
        <v>512</v>
      </c>
      <c r="B513" s="4">
        <v>41136</v>
      </c>
      <c r="C513" s="1" t="s">
        <v>24</v>
      </c>
      <c r="D513" s="1" t="s">
        <v>26</v>
      </c>
      <c r="E513" s="1">
        <v>0.48562499999999997</v>
      </c>
      <c r="F513" s="1" t="s">
        <v>13</v>
      </c>
      <c r="G513" s="1">
        <v>3</v>
      </c>
      <c r="H513" s="1">
        <v>3.3</v>
      </c>
      <c r="I513" s="1">
        <v>0</v>
      </c>
      <c r="J513" s="4">
        <v>41137</v>
      </c>
      <c r="K513" s="4">
        <v>44059</v>
      </c>
      <c r="L513">
        <f t="shared" si="7"/>
        <v>3.15</v>
      </c>
    </row>
    <row r="514" spans="1:12" x14ac:dyDescent="0.15">
      <c r="A514" s="1">
        <v>513</v>
      </c>
      <c r="B514" s="4">
        <v>41136</v>
      </c>
      <c r="C514" s="1" t="s">
        <v>17</v>
      </c>
      <c r="D514" s="1" t="s">
        <v>26</v>
      </c>
      <c r="E514" s="1">
        <v>0.48562499999999997</v>
      </c>
      <c r="F514" s="1" t="s">
        <v>13</v>
      </c>
      <c r="G514" s="1">
        <v>3</v>
      </c>
      <c r="H514" s="1">
        <v>3.3</v>
      </c>
      <c r="I514" s="1">
        <v>0</v>
      </c>
      <c r="J514" s="4">
        <v>41137</v>
      </c>
      <c r="K514" s="4">
        <v>44424</v>
      </c>
      <c r="L514">
        <f t="shared" si="7"/>
        <v>3.15</v>
      </c>
    </row>
    <row r="515" spans="1:12" x14ac:dyDescent="0.15">
      <c r="A515" s="1">
        <v>514</v>
      </c>
      <c r="B515" s="4">
        <v>41136</v>
      </c>
      <c r="C515" s="1" t="s">
        <v>18</v>
      </c>
      <c r="D515" s="1" t="s">
        <v>26</v>
      </c>
      <c r="E515" s="1">
        <v>0.48562499999999997</v>
      </c>
      <c r="F515" s="1" t="s">
        <v>13</v>
      </c>
      <c r="G515" s="1">
        <v>3</v>
      </c>
      <c r="H515" s="1">
        <v>3.05</v>
      </c>
      <c r="I515" s="1">
        <v>0</v>
      </c>
      <c r="J515" s="4">
        <v>41137</v>
      </c>
      <c r="K515" s="4">
        <v>41867</v>
      </c>
      <c r="L515">
        <f t="shared" ref="L515:L578" si="8">AVERAGE(G515:H515)</f>
        <v>3.0249999999999999</v>
      </c>
    </row>
    <row r="516" spans="1:12" x14ac:dyDescent="0.15">
      <c r="A516" s="1">
        <v>515</v>
      </c>
      <c r="B516" s="4">
        <v>41136</v>
      </c>
      <c r="C516" s="1" t="s">
        <v>17</v>
      </c>
      <c r="D516" s="1" t="s">
        <v>12</v>
      </c>
      <c r="E516" s="1">
        <v>0.479525462962963</v>
      </c>
      <c r="F516" s="1" t="s">
        <v>13</v>
      </c>
      <c r="G516" s="1">
        <v>3</v>
      </c>
      <c r="H516" s="1">
        <v>3.4</v>
      </c>
      <c r="I516" s="1">
        <v>0</v>
      </c>
      <c r="J516" s="4">
        <v>41137</v>
      </c>
      <c r="K516" s="4">
        <v>44424</v>
      </c>
      <c r="L516">
        <f t="shared" si="8"/>
        <v>3.2</v>
      </c>
    </row>
    <row r="517" spans="1:12" x14ac:dyDescent="0.15">
      <c r="A517" s="1">
        <v>516</v>
      </c>
      <c r="B517" s="4">
        <v>41136</v>
      </c>
      <c r="C517" s="1" t="s">
        <v>16</v>
      </c>
      <c r="D517" s="1" t="s">
        <v>12</v>
      </c>
      <c r="E517" s="1">
        <v>0.479525462962963</v>
      </c>
      <c r="F517" s="1" t="s">
        <v>13</v>
      </c>
      <c r="G517" s="1">
        <v>3.02</v>
      </c>
      <c r="H517" s="1">
        <v>3.12</v>
      </c>
      <c r="I517" s="1">
        <v>0</v>
      </c>
      <c r="J517" s="4">
        <v>41137</v>
      </c>
      <c r="K517" s="4">
        <v>42598</v>
      </c>
      <c r="L517">
        <f t="shared" si="8"/>
        <v>3.0700000000000003</v>
      </c>
    </row>
    <row r="518" spans="1:12" x14ac:dyDescent="0.15">
      <c r="A518" s="1">
        <v>517</v>
      </c>
      <c r="B518" s="4">
        <v>41136</v>
      </c>
      <c r="C518" s="1" t="s">
        <v>14</v>
      </c>
      <c r="D518" s="1" t="s">
        <v>26</v>
      </c>
      <c r="E518" s="1">
        <v>0.48562499999999997</v>
      </c>
      <c r="F518" s="1" t="s">
        <v>13</v>
      </c>
      <c r="G518" s="1">
        <v>3.1</v>
      </c>
      <c r="H518" s="1">
        <v>3.15</v>
      </c>
      <c r="I518" s="1">
        <v>0</v>
      </c>
      <c r="J518" s="4">
        <v>41137</v>
      </c>
      <c r="K518" s="4">
        <v>41502</v>
      </c>
      <c r="L518">
        <f t="shared" si="8"/>
        <v>3.125</v>
      </c>
    </row>
    <row r="519" spans="1:12" x14ac:dyDescent="0.15">
      <c r="A519" s="1">
        <v>518</v>
      </c>
      <c r="B519" s="4">
        <v>41136</v>
      </c>
      <c r="C519" s="1" t="s">
        <v>11</v>
      </c>
      <c r="D519" s="1" t="s">
        <v>12</v>
      </c>
      <c r="E519" s="1">
        <v>0.479525462962963</v>
      </c>
      <c r="F519" s="1" t="s">
        <v>13</v>
      </c>
      <c r="G519" s="1">
        <v>3.02</v>
      </c>
      <c r="H519" s="1">
        <v>3.12</v>
      </c>
      <c r="I519" s="1">
        <v>0</v>
      </c>
      <c r="J519" s="4">
        <v>41137</v>
      </c>
      <c r="K519" s="4">
        <v>42232</v>
      </c>
      <c r="L519">
        <f t="shared" si="8"/>
        <v>3.0700000000000003</v>
      </c>
    </row>
    <row r="520" spans="1:12" x14ac:dyDescent="0.15">
      <c r="A520" s="1">
        <v>519</v>
      </c>
      <c r="B520" s="4">
        <v>41136</v>
      </c>
      <c r="C520" s="1" t="s">
        <v>16</v>
      </c>
      <c r="D520" s="1" t="s">
        <v>27</v>
      </c>
      <c r="E520" s="1">
        <v>0.67425925925925922</v>
      </c>
      <c r="F520" s="1" t="s">
        <v>13</v>
      </c>
      <c r="G520" s="1">
        <v>3.05</v>
      </c>
      <c r="H520" s="1">
        <v>3.11</v>
      </c>
      <c r="I520" s="1">
        <v>0</v>
      </c>
      <c r="J520" s="4">
        <v>41137</v>
      </c>
      <c r="K520" s="4">
        <v>42598</v>
      </c>
      <c r="L520">
        <f t="shared" si="8"/>
        <v>3.08</v>
      </c>
    </row>
    <row r="521" spans="1:12" x14ac:dyDescent="0.15">
      <c r="A521" s="1">
        <v>520</v>
      </c>
      <c r="B521" s="4">
        <v>41136</v>
      </c>
      <c r="C521" s="1" t="s">
        <v>11</v>
      </c>
      <c r="D521" s="1" t="s">
        <v>27</v>
      </c>
      <c r="E521" s="1">
        <v>0.67425925925925922</v>
      </c>
      <c r="F521" s="1" t="s">
        <v>13</v>
      </c>
      <c r="G521" s="1">
        <v>3.07</v>
      </c>
      <c r="H521" s="1">
        <v>3.12</v>
      </c>
      <c r="I521" s="1">
        <v>0</v>
      </c>
      <c r="J521" s="4">
        <v>41137</v>
      </c>
      <c r="K521" s="4">
        <v>42232</v>
      </c>
      <c r="L521">
        <f t="shared" si="8"/>
        <v>3.0949999999999998</v>
      </c>
    </row>
    <row r="522" spans="1:12" x14ac:dyDescent="0.15">
      <c r="A522" s="1">
        <v>521</v>
      </c>
      <c r="B522" s="4">
        <v>41136</v>
      </c>
      <c r="C522" s="1" t="s">
        <v>22</v>
      </c>
      <c r="D522" s="1" t="s">
        <v>27</v>
      </c>
      <c r="E522" s="1">
        <v>0.67425925925925922</v>
      </c>
      <c r="F522" s="1" t="s">
        <v>13</v>
      </c>
      <c r="G522" s="1">
        <v>3.41</v>
      </c>
      <c r="H522" s="1">
        <v>3.51</v>
      </c>
      <c r="I522" s="1">
        <v>0</v>
      </c>
      <c r="J522" s="4">
        <v>41137</v>
      </c>
      <c r="K522" s="4">
        <v>41321</v>
      </c>
      <c r="L522">
        <f t="shared" si="8"/>
        <v>3.46</v>
      </c>
    </row>
    <row r="523" spans="1:12" x14ac:dyDescent="0.15">
      <c r="A523" s="1">
        <v>522</v>
      </c>
      <c r="B523" s="4">
        <v>41136</v>
      </c>
      <c r="C523" s="1" t="s">
        <v>18</v>
      </c>
      <c r="D523" s="1" t="s">
        <v>27</v>
      </c>
      <c r="E523" s="1">
        <v>0.67425925925925922</v>
      </c>
      <c r="F523" s="1" t="s">
        <v>13</v>
      </c>
      <c r="G523" s="1">
        <v>3.05</v>
      </c>
      <c r="H523" s="1">
        <v>3.15</v>
      </c>
      <c r="I523" s="1">
        <v>0</v>
      </c>
      <c r="J523" s="4">
        <v>41137</v>
      </c>
      <c r="K523" s="4">
        <v>41867</v>
      </c>
      <c r="L523">
        <f t="shared" si="8"/>
        <v>3.0999999999999996</v>
      </c>
    </row>
    <row r="524" spans="1:12" x14ac:dyDescent="0.15">
      <c r="A524" s="1">
        <v>523</v>
      </c>
      <c r="B524" s="4">
        <v>41136</v>
      </c>
      <c r="C524" s="1" t="s">
        <v>14</v>
      </c>
      <c r="D524" s="1" t="s">
        <v>27</v>
      </c>
      <c r="E524" s="1">
        <v>0.67424768518518519</v>
      </c>
      <c r="F524" s="1" t="s">
        <v>13</v>
      </c>
      <c r="G524" s="1">
        <v>3.19</v>
      </c>
      <c r="H524" s="1">
        <v>3.24</v>
      </c>
      <c r="I524" s="1">
        <v>0</v>
      </c>
      <c r="J524" s="4">
        <v>41137</v>
      </c>
      <c r="K524" s="4">
        <v>41502</v>
      </c>
      <c r="L524">
        <f t="shared" si="8"/>
        <v>3.2149999999999999</v>
      </c>
    </row>
    <row r="525" spans="1:12" x14ac:dyDescent="0.15">
      <c r="A525" s="1">
        <v>524</v>
      </c>
      <c r="B525" s="4">
        <v>41136</v>
      </c>
      <c r="C525" s="1" t="s">
        <v>11</v>
      </c>
      <c r="D525" s="1" t="s">
        <v>12</v>
      </c>
      <c r="E525" s="1">
        <v>0.66615740740740736</v>
      </c>
      <c r="F525" s="1" t="s">
        <v>13</v>
      </c>
      <c r="G525" s="1">
        <v>3.02</v>
      </c>
      <c r="H525" s="1">
        <v>3.12</v>
      </c>
      <c r="I525" s="1">
        <v>0</v>
      </c>
      <c r="J525" s="4">
        <v>41137</v>
      </c>
      <c r="K525" s="4">
        <v>42232</v>
      </c>
      <c r="L525">
        <f t="shared" si="8"/>
        <v>3.0700000000000003</v>
      </c>
    </row>
    <row r="526" spans="1:12" x14ac:dyDescent="0.15">
      <c r="A526" s="1">
        <v>525</v>
      </c>
      <c r="B526" s="4">
        <v>41136</v>
      </c>
      <c r="C526" s="1" t="s">
        <v>19</v>
      </c>
      <c r="D526" s="1" t="s">
        <v>27</v>
      </c>
      <c r="E526" s="1">
        <v>0.67424768518518519</v>
      </c>
      <c r="F526" s="1" t="s">
        <v>13</v>
      </c>
      <c r="G526" s="1">
        <v>3.27</v>
      </c>
      <c r="H526" s="1">
        <v>3.37</v>
      </c>
      <c r="I526" s="1">
        <v>0</v>
      </c>
      <c r="J526" s="4">
        <v>41137</v>
      </c>
      <c r="K526" s="4">
        <v>41410</v>
      </c>
      <c r="L526">
        <f t="shared" si="8"/>
        <v>3.3200000000000003</v>
      </c>
    </row>
    <row r="527" spans="1:12" x14ac:dyDescent="0.15">
      <c r="A527" s="1">
        <v>526</v>
      </c>
      <c r="B527" s="4">
        <v>41136</v>
      </c>
      <c r="C527" s="1" t="s">
        <v>25</v>
      </c>
      <c r="D527" s="1" t="s">
        <v>27</v>
      </c>
      <c r="E527" s="1">
        <v>0.67424768518518519</v>
      </c>
      <c r="F527" s="1" t="s">
        <v>13</v>
      </c>
      <c r="G527" s="1">
        <v>3.04</v>
      </c>
      <c r="H527" s="1">
        <v>3.14</v>
      </c>
      <c r="I527" s="1">
        <v>0</v>
      </c>
      <c r="J527" s="4">
        <v>41137</v>
      </c>
      <c r="K527" s="4">
        <v>42963</v>
      </c>
      <c r="L527">
        <f t="shared" si="8"/>
        <v>3.09</v>
      </c>
    </row>
    <row r="528" spans="1:12" x14ac:dyDescent="0.15">
      <c r="A528" s="1">
        <v>527</v>
      </c>
      <c r="B528" s="4">
        <v>41136</v>
      </c>
      <c r="C528" s="1" t="s">
        <v>21</v>
      </c>
      <c r="D528" s="1" t="s">
        <v>15</v>
      </c>
      <c r="E528" s="1">
        <v>0.6812731481481481</v>
      </c>
      <c r="F528" s="1" t="s">
        <v>13</v>
      </c>
      <c r="G528" s="1">
        <v>3.15</v>
      </c>
      <c r="H528" s="1">
        <v>3.21</v>
      </c>
      <c r="I528" s="1">
        <v>0</v>
      </c>
      <c r="J528" s="4">
        <v>41137</v>
      </c>
      <c r="K528" s="4">
        <v>43693</v>
      </c>
      <c r="L528">
        <f t="shared" si="8"/>
        <v>3.1799999999999997</v>
      </c>
    </row>
    <row r="529" spans="1:12" x14ac:dyDescent="0.15">
      <c r="A529" s="1">
        <v>528</v>
      </c>
      <c r="B529" s="4">
        <v>41136</v>
      </c>
      <c r="C529" s="1" t="s">
        <v>18</v>
      </c>
      <c r="D529" s="1" t="s">
        <v>15</v>
      </c>
      <c r="E529" s="1">
        <v>0.6812731481481481</v>
      </c>
      <c r="F529" s="1" t="s">
        <v>13</v>
      </c>
      <c r="G529" s="1">
        <v>3.08</v>
      </c>
      <c r="H529" s="1">
        <v>3.14</v>
      </c>
      <c r="I529" s="1">
        <v>0</v>
      </c>
      <c r="J529" s="4">
        <v>41137</v>
      </c>
      <c r="K529" s="4">
        <v>41867</v>
      </c>
      <c r="L529">
        <f t="shared" si="8"/>
        <v>3.1100000000000003</v>
      </c>
    </row>
    <row r="530" spans="1:12" x14ac:dyDescent="0.15">
      <c r="A530" s="1">
        <v>529</v>
      </c>
      <c r="B530" s="4">
        <v>41136</v>
      </c>
      <c r="C530" s="1" t="s">
        <v>14</v>
      </c>
      <c r="D530" s="1" t="s">
        <v>15</v>
      </c>
      <c r="E530" s="1">
        <v>0.6812731481481481</v>
      </c>
      <c r="F530" s="1" t="s">
        <v>13</v>
      </c>
      <c r="G530" s="1">
        <v>3.17</v>
      </c>
      <c r="H530" s="1">
        <v>3.23</v>
      </c>
      <c r="I530" s="1">
        <v>0</v>
      </c>
      <c r="J530" s="4">
        <v>41137</v>
      </c>
      <c r="K530" s="4">
        <v>41502</v>
      </c>
      <c r="L530">
        <f t="shared" si="8"/>
        <v>3.2</v>
      </c>
    </row>
    <row r="531" spans="1:12" x14ac:dyDescent="0.15">
      <c r="A531" s="1">
        <v>530</v>
      </c>
      <c r="B531" s="4">
        <v>41136</v>
      </c>
      <c r="C531" s="1" t="s">
        <v>11</v>
      </c>
      <c r="D531" s="1" t="s">
        <v>15</v>
      </c>
      <c r="E531" s="1">
        <v>0.68128472222222225</v>
      </c>
      <c r="F531" s="1" t="s">
        <v>13</v>
      </c>
      <c r="G531" s="1">
        <v>3.05</v>
      </c>
      <c r="H531" s="1">
        <v>3.11</v>
      </c>
      <c r="I531" s="1">
        <v>0</v>
      </c>
      <c r="J531" s="4">
        <v>41137</v>
      </c>
      <c r="K531" s="4">
        <v>42232</v>
      </c>
      <c r="L531">
        <f t="shared" si="8"/>
        <v>3.08</v>
      </c>
    </row>
    <row r="532" spans="1:12" x14ac:dyDescent="0.15">
      <c r="A532" s="1">
        <v>531</v>
      </c>
      <c r="B532" s="4">
        <v>41136</v>
      </c>
      <c r="C532" s="1" t="s">
        <v>16</v>
      </c>
      <c r="D532" s="1" t="s">
        <v>15</v>
      </c>
      <c r="E532" s="1">
        <v>0.68128472222222225</v>
      </c>
      <c r="F532" s="1" t="s">
        <v>13</v>
      </c>
      <c r="G532" s="1">
        <v>3.05</v>
      </c>
      <c r="H532" s="1">
        <v>3.11</v>
      </c>
      <c r="I532" s="1">
        <v>0</v>
      </c>
      <c r="J532" s="4">
        <v>41137</v>
      </c>
      <c r="K532" s="4">
        <v>42598</v>
      </c>
      <c r="L532">
        <f t="shared" si="8"/>
        <v>3.08</v>
      </c>
    </row>
    <row r="533" spans="1:12" x14ac:dyDescent="0.15">
      <c r="A533" s="1">
        <v>532</v>
      </c>
      <c r="B533" s="4">
        <v>41136</v>
      </c>
      <c r="C533" s="1" t="s">
        <v>20</v>
      </c>
      <c r="D533" s="1" t="s">
        <v>15</v>
      </c>
      <c r="E533" s="1">
        <v>0.6812731481481481</v>
      </c>
      <c r="F533" s="1" t="s">
        <v>13</v>
      </c>
      <c r="G533" s="1">
        <v>3.2</v>
      </c>
      <c r="H533" s="1">
        <v>3.26</v>
      </c>
      <c r="I533" s="1">
        <v>0</v>
      </c>
      <c r="J533" s="4">
        <v>41137</v>
      </c>
      <c r="K533" s="4">
        <v>44789</v>
      </c>
      <c r="L533">
        <f t="shared" si="8"/>
        <v>3.23</v>
      </c>
    </row>
    <row r="534" spans="1:12" x14ac:dyDescent="0.15">
      <c r="A534" s="1">
        <v>533</v>
      </c>
      <c r="B534" s="4">
        <v>41136</v>
      </c>
      <c r="C534" s="1" t="s">
        <v>19</v>
      </c>
      <c r="D534" s="1" t="s">
        <v>15</v>
      </c>
      <c r="E534" s="1">
        <v>0.6812731481481481</v>
      </c>
      <c r="F534" s="1" t="s">
        <v>13</v>
      </c>
      <c r="G534" s="1">
        <v>3.26</v>
      </c>
      <c r="H534" s="1">
        <v>3.32</v>
      </c>
      <c r="I534" s="1">
        <v>0</v>
      </c>
      <c r="J534" s="4">
        <v>41137</v>
      </c>
      <c r="K534" s="4">
        <v>41410</v>
      </c>
      <c r="L534">
        <f t="shared" si="8"/>
        <v>3.29</v>
      </c>
    </row>
    <row r="535" spans="1:12" x14ac:dyDescent="0.15">
      <c r="A535" s="1">
        <v>534</v>
      </c>
      <c r="B535" s="4">
        <v>41136</v>
      </c>
      <c r="C535" s="1" t="s">
        <v>22</v>
      </c>
      <c r="D535" s="1" t="s">
        <v>15</v>
      </c>
      <c r="E535" s="1">
        <v>0.6812731481481481</v>
      </c>
      <c r="F535" s="1" t="s">
        <v>13</v>
      </c>
      <c r="G535" s="1">
        <v>3.39</v>
      </c>
      <c r="H535" s="1">
        <v>3.45</v>
      </c>
      <c r="I535" s="1">
        <v>0</v>
      </c>
      <c r="J535" s="4">
        <v>41137</v>
      </c>
      <c r="K535" s="4">
        <v>41321</v>
      </c>
      <c r="L535">
        <f t="shared" si="8"/>
        <v>3.42</v>
      </c>
    </row>
    <row r="536" spans="1:12" x14ac:dyDescent="0.15">
      <c r="A536" s="1">
        <v>535</v>
      </c>
      <c r="B536" s="4">
        <v>41136</v>
      </c>
      <c r="C536" s="1" t="s">
        <v>25</v>
      </c>
      <c r="D536" s="1" t="s">
        <v>15</v>
      </c>
      <c r="E536" s="1">
        <v>0.6812731481481481</v>
      </c>
      <c r="F536" s="1" t="s">
        <v>13</v>
      </c>
      <c r="G536" s="1">
        <v>3.07</v>
      </c>
      <c r="H536" s="1">
        <v>3.13</v>
      </c>
      <c r="I536" s="1">
        <v>0</v>
      </c>
      <c r="J536" s="4">
        <v>41137</v>
      </c>
      <c r="K536" s="4">
        <v>42963</v>
      </c>
      <c r="L536">
        <f t="shared" si="8"/>
        <v>3.0999999999999996</v>
      </c>
    </row>
    <row r="537" spans="1:12" x14ac:dyDescent="0.15">
      <c r="A537" s="1">
        <v>536</v>
      </c>
      <c r="B537" s="4">
        <v>41136</v>
      </c>
      <c r="C537" s="1" t="s">
        <v>20</v>
      </c>
      <c r="D537" s="1" t="s">
        <v>15</v>
      </c>
      <c r="E537" s="1">
        <v>0.49447916666666664</v>
      </c>
      <c r="F537" s="1" t="s">
        <v>13</v>
      </c>
      <c r="G537" s="1">
        <v>3.2</v>
      </c>
      <c r="H537" s="1">
        <v>3.26</v>
      </c>
      <c r="I537" s="1">
        <v>0</v>
      </c>
      <c r="J537" s="4">
        <v>41137</v>
      </c>
      <c r="K537" s="4">
        <v>44789</v>
      </c>
      <c r="L537">
        <f t="shared" si="8"/>
        <v>3.23</v>
      </c>
    </row>
    <row r="538" spans="1:12" x14ac:dyDescent="0.15">
      <c r="A538" s="1">
        <v>537</v>
      </c>
      <c r="B538" s="4">
        <v>41136</v>
      </c>
      <c r="C538" s="1" t="s">
        <v>19</v>
      </c>
      <c r="D538" s="1" t="s">
        <v>15</v>
      </c>
      <c r="E538" s="1">
        <v>0.49447916666666664</v>
      </c>
      <c r="F538" s="1" t="s">
        <v>13</v>
      </c>
      <c r="G538" s="1">
        <v>3.26</v>
      </c>
      <c r="H538" s="1">
        <v>3.32</v>
      </c>
      <c r="I538" s="1">
        <v>0</v>
      </c>
      <c r="J538" s="4">
        <v>41137</v>
      </c>
      <c r="K538" s="4">
        <v>41410</v>
      </c>
      <c r="L538">
        <f t="shared" si="8"/>
        <v>3.29</v>
      </c>
    </row>
    <row r="539" spans="1:12" x14ac:dyDescent="0.15">
      <c r="A539" s="1">
        <v>538</v>
      </c>
      <c r="B539" s="4">
        <v>41136</v>
      </c>
      <c r="C539" s="1" t="s">
        <v>23</v>
      </c>
      <c r="D539" s="1" t="s">
        <v>12</v>
      </c>
      <c r="E539" s="1">
        <v>0.66612268518518525</v>
      </c>
      <c r="F539" s="1" t="s">
        <v>13</v>
      </c>
      <c r="G539" s="1">
        <v>3</v>
      </c>
      <c r="H539" s="1">
        <v>3.1</v>
      </c>
      <c r="I539" s="1">
        <v>0</v>
      </c>
      <c r="J539" s="4">
        <v>41137</v>
      </c>
      <c r="K539" s="4">
        <v>43328</v>
      </c>
      <c r="L539">
        <f t="shared" si="8"/>
        <v>3.05</v>
      </c>
    </row>
    <row r="540" spans="1:12" x14ac:dyDescent="0.15">
      <c r="A540" s="1">
        <v>539</v>
      </c>
      <c r="B540" s="4">
        <v>41136</v>
      </c>
      <c r="C540" s="1" t="s">
        <v>14</v>
      </c>
      <c r="D540" s="1" t="s">
        <v>12</v>
      </c>
      <c r="E540" s="1">
        <v>0.66612268518518525</v>
      </c>
      <c r="F540" s="1" t="s">
        <v>13</v>
      </c>
      <c r="G540" s="1">
        <v>3.15</v>
      </c>
      <c r="H540" s="1">
        <v>3.25</v>
      </c>
      <c r="I540" s="1">
        <v>0</v>
      </c>
      <c r="J540" s="4">
        <v>41137</v>
      </c>
      <c r="K540" s="4">
        <v>41502</v>
      </c>
      <c r="L540">
        <f t="shared" si="8"/>
        <v>3.2</v>
      </c>
    </row>
    <row r="541" spans="1:12" x14ac:dyDescent="0.15">
      <c r="A541" s="1">
        <v>540</v>
      </c>
      <c r="B541" s="4">
        <v>41136</v>
      </c>
      <c r="C541" s="1" t="s">
        <v>16</v>
      </c>
      <c r="D541" s="1" t="s">
        <v>15</v>
      </c>
      <c r="E541" s="1">
        <v>0.49447916666666664</v>
      </c>
      <c r="F541" s="1" t="s">
        <v>13</v>
      </c>
      <c r="G541" s="1">
        <v>3.05</v>
      </c>
      <c r="H541" s="1">
        <v>3.11</v>
      </c>
      <c r="I541" s="1">
        <v>0</v>
      </c>
      <c r="J541" s="4">
        <v>41137</v>
      </c>
      <c r="K541" s="4">
        <v>42598</v>
      </c>
      <c r="L541">
        <f t="shared" si="8"/>
        <v>3.08</v>
      </c>
    </row>
    <row r="542" spans="1:12" x14ac:dyDescent="0.15">
      <c r="A542" s="1">
        <v>541</v>
      </c>
      <c r="B542" s="4">
        <v>41136</v>
      </c>
      <c r="C542" s="1" t="s">
        <v>25</v>
      </c>
      <c r="D542" s="1" t="s">
        <v>15</v>
      </c>
      <c r="E542" s="1">
        <v>0.49447916666666664</v>
      </c>
      <c r="F542" s="1" t="s">
        <v>13</v>
      </c>
      <c r="G542" s="1">
        <v>3.07</v>
      </c>
      <c r="H542" s="1">
        <v>3.13</v>
      </c>
      <c r="I542" s="1">
        <v>0</v>
      </c>
      <c r="J542" s="4">
        <v>41137</v>
      </c>
      <c r="K542" s="4">
        <v>42963</v>
      </c>
      <c r="L542">
        <f t="shared" si="8"/>
        <v>3.0999999999999996</v>
      </c>
    </row>
    <row r="543" spans="1:12" x14ac:dyDescent="0.15">
      <c r="A543" s="1">
        <v>542</v>
      </c>
      <c r="B543" s="4">
        <v>41136</v>
      </c>
      <c r="C543" s="1" t="s">
        <v>21</v>
      </c>
      <c r="D543" s="1" t="s">
        <v>15</v>
      </c>
      <c r="E543" s="1">
        <v>0.49447916666666664</v>
      </c>
      <c r="F543" s="1" t="s">
        <v>13</v>
      </c>
      <c r="G543" s="1">
        <v>3.15</v>
      </c>
      <c r="H543" s="1">
        <v>3.21</v>
      </c>
      <c r="I543" s="1">
        <v>0</v>
      </c>
      <c r="J543" s="4">
        <v>41137</v>
      </c>
      <c r="K543" s="4">
        <v>43693</v>
      </c>
      <c r="L543">
        <f t="shared" si="8"/>
        <v>3.1799999999999997</v>
      </c>
    </row>
    <row r="544" spans="1:12" x14ac:dyDescent="0.15">
      <c r="A544" s="1">
        <v>543</v>
      </c>
      <c r="B544" s="4">
        <v>41136</v>
      </c>
      <c r="C544" s="1" t="s">
        <v>11</v>
      </c>
      <c r="D544" s="1" t="s">
        <v>15</v>
      </c>
      <c r="E544" s="1">
        <v>0.49447916666666664</v>
      </c>
      <c r="F544" s="1" t="s">
        <v>13</v>
      </c>
      <c r="G544" s="1">
        <v>3.05</v>
      </c>
      <c r="H544" s="1">
        <v>3.11</v>
      </c>
      <c r="I544" s="1">
        <v>0</v>
      </c>
      <c r="J544" s="4">
        <v>41137</v>
      </c>
      <c r="K544" s="4">
        <v>42232</v>
      </c>
      <c r="L544">
        <f t="shared" si="8"/>
        <v>3.08</v>
      </c>
    </row>
    <row r="545" spans="1:12" x14ac:dyDescent="0.15">
      <c r="A545" s="1">
        <v>544</v>
      </c>
      <c r="B545" s="4">
        <v>41136</v>
      </c>
      <c r="C545" s="1" t="s">
        <v>22</v>
      </c>
      <c r="D545" s="1" t="s">
        <v>12</v>
      </c>
      <c r="E545" s="1">
        <v>0.66612268518518525</v>
      </c>
      <c r="F545" s="1" t="s">
        <v>13</v>
      </c>
      <c r="G545" s="1">
        <v>3.4</v>
      </c>
      <c r="H545" s="1">
        <v>3.5</v>
      </c>
      <c r="I545" s="1">
        <v>0</v>
      </c>
      <c r="J545" s="4">
        <v>41137</v>
      </c>
      <c r="K545" s="4">
        <v>41321</v>
      </c>
      <c r="L545">
        <f t="shared" si="8"/>
        <v>3.45</v>
      </c>
    </row>
    <row r="546" spans="1:12" x14ac:dyDescent="0.15">
      <c r="A546" s="1">
        <v>545</v>
      </c>
      <c r="B546" s="4">
        <v>41136</v>
      </c>
      <c r="C546" s="1" t="s">
        <v>25</v>
      </c>
      <c r="D546" s="1" t="s">
        <v>12</v>
      </c>
      <c r="E546" s="1">
        <v>0.66615740740740736</v>
      </c>
      <c r="F546" s="1" t="s">
        <v>13</v>
      </c>
      <c r="G546" s="1">
        <v>3.02</v>
      </c>
      <c r="H546" s="1">
        <v>3.12</v>
      </c>
      <c r="I546" s="1">
        <v>0</v>
      </c>
      <c r="J546" s="4">
        <v>41137</v>
      </c>
      <c r="K546" s="4">
        <v>42963</v>
      </c>
      <c r="L546">
        <f t="shared" si="8"/>
        <v>3.0700000000000003</v>
      </c>
    </row>
    <row r="547" spans="1:12" x14ac:dyDescent="0.15">
      <c r="A547" s="1">
        <v>546</v>
      </c>
      <c r="B547" s="4">
        <v>41136</v>
      </c>
      <c r="C547" s="1" t="s">
        <v>24</v>
      </c>
      <c r="D547" s="1" t="s">
        <v>12</v>
      </c>
      <c r="E547" s="1">
        <v>0.66615740740740736</v>
      </c>
      <c r="F547" s="1" t="s">
        <v>13</v>
      </c>
      <c r="G547" s="1">
        <v>2.98</v>
      </c>
      <c r="H547" s="1">
        <v>3.38</v>
      </c>
      <c r="I547" s="1">
        <v>0</v>
      </c>
      <c r="J547" s="4">
        <v>41137</v>
      </c>
      <c r="K547" s="4">
        <v>44059</v>
      </c>
      <c r="L547">
        <f t="shared" si="8"/>
        <v>3.1799999999999997</v>
      </c>
    </row>
    <row r="548" spans="1:12" x14ac:dyDescent="0.15">
      <c r="A548" s="1">
        <v>547</v>
      </c>
      <c r="B548" s="4">
        <v>41136</v>
      </c>
      <c r="C548" s="1" t="s">
        <v>17</v>
      </c>
      <c r="D548" s="1" t="s">
        <v>12</v>
      </c>
      <c r="E548" s="1">
        <v>0.66615740740740736</v>
      </c>
      <c r="F548" s="1" t="s">
        <v>13</v>
      </c>
      <c r="G548" s="1">
        <v>3</v>
      </c>
      <c r="H548" s="1">
        <v>3.4</v>
      </c>
      <c r="I548" s="1">
        <v>0</v>
      </c>
      <c r="J548" s="4">
        <v>41137</v>
      </c>
      <c r="K548" s="4">
        <v>44424</v>
      </c>
      <c r="L548">
        <f t="shared" si="8"/>
        <v>3.2</v>
      </c>
    </row>
    <row r="549" spans="1:12" x14ac:dyDescent="0.15">
      <c r="A549" s="1">
        <v>548</v>
      </c>
      <c r="B549" s="4">
        <v>41136</v>
      </c>
      <c r="C549" s="1" t="s">
        <v>16</v>
      </c>
      <c r="D549" s="1" t="s">
        <v>12</v>
      </c>
      <c r="E549" s="1">
        <v>0.66615740740740736</v>
      </c>
      <c r="F549" s="1" t="s">
        <v>13</v>
      </c>
      <c r="G549" s="1">
        <v>3.02</v>
      </c>
      <c r="H549" s="1">
        <v>3.12</v>
      </c>
      <c r="I549" s="1">
        <v>0</v>
      </c>
      <c r="J549" s="4">
        <v>41137</v>
      </c>
      <c r="K549" s="4">
        <v>42598</v>
      </c>
      <c r="L549">
        <f t="shared" si="8"/>
        <v>3.0700000000000003</v>
      </c>
    </row>
    <row r="550" spans="1:12" x14ac:dyDescent="0.15">
      <c r="A550" s="1">
        <v>549</v>
      </c>
      <c r="B550" s="4">
        <v>41136</v>
      </c>
      <c r="C550" s="1" t="s">
        <v>21</v>
      </c>
      <c r="D550" s="1" t="s">
        <v>12</v>
      </c>
      <c r="E550" s="1">
        <v>0.66613425925925929</v>
      </c>
      <c r="F550" s="1" t="s">
        <v>13</v>
      </c>
      <c r="G550" s="1">
        <v>2.98</v>
      </c>
      <c r="H550" s="1">
        <v>3.38</v>
      </c>
      <c r="I550" s="1">
        <v>0</v>
      </c>
      <c r="J550" s="4">
        <v>41137</v>
      </c>
      <c r="K550" s="4">
        <v>43693</v>
      </c>
      <c r="L550">
        <f t="shared" si="8"/>
        <v>3.1799999999999997</v>
      </c>
    </row>
    <row r="551" spans="1:12" x14ac:dyDescent="0.15">
      <c r="A551" s="1">
        <v>550</v>
      </c>
      <c r="B551" s="4">
        <v>41136</v>
      </c>
      <c r="C551" s="1" t="s">
        <v>18</v>
      </c>
      <c r="D551" s="1" t="s">
        <v>12</v>
      </c>
      <c r="E551" s="1">
        <v>0.66613425925925929</v>
      </c>
      <c r="F551" s="1" t="s">
        <v>13</v>
      </c>
      <c r="G551" s="1">
        <v>3.05</v>
      </c>
      <c r="H551" s="1">
        <v>3.15</v>
      </c>
      <c r="I551" s="1">
        <v>0</v>
      </c>
      <c r="J551" s="4">
        <v>41137</v>
      </c>
      <c r="K551" s="4">
        <v>41867</v>
      </c>
      <c r="L551">
        <f t="shared" si="8"/>
        <v>3.0999999999999996</v>
      </c>
    </row>
    <row r="552" spans="1:12" x14ac:dyDescent="0.15">
      <c r="A552" s="1">
        <v>551</v>
      </c>
      <c r="B552" s="4">
        <v>41136</v>
      </c>
      <c r="C552" s="1" t="s">
        <v>20</v>
      </c>
      <c r="D552" s="1" t="s">
        <v>12</v>
      </c>
      <c r="E552" s="1">
        <v>0.66615740740740736</v>
      </c>
      <c r="F552" s="1" t="s">
        <v>13</v>
      </c>
      <c r="G552" s="1">
        <v>3.02</v>
      </c>
      <c r="H552" s="1">
        <v>3.42</v>
      </c>
      <c r="I552" s="1">
        <v>0</v>
      </c>
      <c r="J552" s="4">
        <v>41137</v>
      </c>
      <c r="K552" s="4">
        <v>44789</v>
      </c>
      <c r="L552">
        <f t="shared" si="8"/>
        <v>3.2199999999999998</v>
      </c>
    </row>
    <row r="553" spans="1:12" x14ac:dyDescent="0.15">
      <c r="A553" s="1">
        <v>552</v>
      </c>
      <c r="B553" s="4">
        <v>41136</v>
      </c>
      <c r="C553" s="1" t="s">
        <v>19</v>
      </c>
      <c r="D553" s="1" t="s">
        <v>12</v>
      </c>
      <c r="E553" s="1">
        <v>0.66614583333333333</v>
      </c>
      <c r="F553" s="1" t="s">
        <v>13</v>
      </c>
      <c r="G553" s="1">
        <v>3.25</v>
      </c>
      <c r="H553" s="1">
        <v>3.35</v>
      </c>
      <c r="I553" s="1">
        <v>0</v>
      </c>
      <c r="J553" s="4">
        <v>41137</v>
      </c>
      <c r="K553" s="4">
        <v>41410</v>
      </c>
      <c r="L553">
        <f t="shared" si="8"/>
        <v>3.3</v>
      </c>
    </row>
    <row r="554" spans="1:12" x14ac:dyDescent="0.15">
      <c r="A554" s="1">
        <v>553</v>
      </c>
      <c r="B554" s="4">
        <v>41135</v>
      </c>
      <c r="C554" s="1" t="s">
        <v>22</v>
      </c>
      <c r="D554" s="1" t="s">
        <v>26</v>
      </c>
      <c r="E554" s="1">
        <v>0.48229166666666662</v>
      </c>
      <c r="F554" s="1" t="s">
        <v>13</v>
      </c>
      <c r="G554" s="1">
        <v>3.3</v>
      </c>
      <c r="H554" s="1">
        <v>3.5</v>
      </c>
      <c r="I554" s="1">
        <v>0</v>
      </c>
      <c r="J554" s="4">
        <v>41136</v>
      </c>
      <c r="K554" s="4">
        <v>41320</v>
      </c>
      <c r="L554">
        <f t="shared" si="8"/>
        <v>3.4</v>
      </c>
    </row>
    <row r="555" spans="1:12" x14ac:dyDescent="0.15">
      <c r="A555" s="1">
        <v>554</v>
      </c>
      <c r="B555" s="4">
        <v>41135</v>
      </c>
      <c r="C555" s="1" t="s">
        <v>23</v>
      </c>
      <c r="D555" s="1" t="s">
        <v>26</v>
      </c>
      <c r="E555" s="1">
        <v>0.48229166666666662</v>
      </c>
      <c r="F555" s="1" t="s">
        <v>13</v>
      </c>
      <c r="G555" s="1">
        <v>3</v>
      </c>
      <c r="H555" s="1">
        <v>3.3</v>
      </c>
      <c r="I555" s="1">
        <v>0</v>
      </c>
      <c r="J555" s="4">
        <v>41136</v>
      </c>
      <c r="K555" s="4">
        <v>43327</v>
      </c>
      <c r="L555">
        <f t="shared" si="8"/>
        <v>3.15</v>
      </c>
    </row>
    <row r="556" spans="1:12" x14ac:dyDescent="0.15">
      <c r="A556" s="1">
        <v>555</v>
      </c>
      <c r="B556" s="4">
        <v>41135</v>
      </c>
      <c r="C556" s="1" t="s">
        <v>24</v>
      </c>
      <c r="D556" s="1" t="s">
        <v>26</v>
      </c>
      <c r="E556" s="1">
        <v>0.48229166666666662</v>
      </c>
      <c r="F556" s="1" t="s">
        <v>13</v>
      </c>
      <c r="G556" s="1">
        <v>3</v>
      </c>
      <c r="H556" s="1">
        <v>3.3</v>
      </c>
      <c r="I556" s="1">
        <v>0</v>
      </c>
      <c r="J556" s="4">
        <v>41136</v>
      </c>
      <c r="K556" s="4">
        <v>44058</v>
      </c>
      <c r="L556">
        <f t="shared" si="8"/>
        <v>3.15</v>
      </c>
    </row>
    <row r="557" spans="1:12" x14ac:dyDescent="0.15">
      <c r="A557" s="1">
        <v>556</v>
      </c>
      <c r="B557" s="4">
        <v>41135</v>
      </c>
      <c r="C557" s="1" t="s">
        <v>14</v>
      </c>
      <c r="D557" s="1" t="s">
        <v>26</v>
      </c>
      <c r="E557" s="1">
        <v>0.48229166666666662</v>
      </c>
      <c r="F557" s="1" t="s">
        <v>13</v>
      </c>
      <c r="G557" s="1">
        <v>3.1</v>
      </c>
      <c r="H557" s="1">
        <v>3.15</v>
      </c>
      <c r="I557" s="1">
        <v>0</v>
      </c>
      <c r="J557" s="4">
        <v>41136</v>
      </c>
      <c r="K557" s="4">
        <v>41501</v>
      </c>
      <c r="L557">
        <f t="shared" si="8"/>
        <v>3.125</v>
      </c>
    </row>
    <row r="558" spans="1:12" x14ac:dyDescent="0.15">
      <c r="A558" s="1">
        <v>557</v>
      </c>
      <c r="B558" s="4">
        <v>41135</v>
      </c>
      <c r="C558" s="1" t="s">
        <v>25</v>
      </c>
      <c r="D558" s="1" t="s">
        <v>26</v>
      </c>
      <c r="E558" s="1">
        <v>0.48229166666666662</v>
      </c>
      <c r="F558" s="1" t="s">
        <v>13</v>
      </c>
      <c r="G558" s="1">
        <v>3.05</v>
      </c>
      <c r="H558" s="1">
        <v>3.1</v>
      </c>
      <c r="I558" s="1">
        <v>0</v>
      </c>
      <c r="J558" s="4">
        <v>41136</v>
      </c>
      <c r="K558" s="4">
        <v>42962</v>
      </c>
      <c r="L558">
        <f t="shared" si="8"/>
        <v>3.0750000000000002</v>
      </c>
    </row>
    <row r="559" spans="1:12" x14ac:dyDescent="0.15">
      <c r="A559" s="1">
        <v>558</v>
      </c>
      <c r="B559" s="4">
        <v>41135</v>
      </c>
      <c r="C559" s="1" t="s">
        <v>16</v>
      </c>
      <c r="D559" s="1" t="s">
        <v>28</v>
      </c>
      <c r="E559" s="1">
        <v>0.4791435185185185</v>
      </c>
      <c r="F559" s="1" t="s">
        <v>13</v>
      </c>
      <c r="G559" s="1">
        <v>3</v>
      </c>
      <c r="H559" s="1">
        <v>3.1</v>
      </c>
      <c r="I559" s="1">
        <v>0</v>
      </c>
      <c r="J559" s="4">
        <v>41136</v>
      </c>
      <c r="K559" s="4">
        <v>42597</v>
      </c>
      <c r="L559">
        <f t="shared" si="8"/>
        <v>3.05</v>
      </c>
    </row>
    <row r="560" spans="1:12" x14ac:dyDescent="0.15">
      <c r="A560" s="1">
        <v>559</v>
      </c>
      <c r="B560" s="4">
        <v>41135</v>
      </c>
      <c r="C560" s="1" t="s">
        <v>25</v>
      </c>
      <c r="D560" s="1" t="s">
        <v>28</v>
      </c>
      <c r="E560" s="1">
        <v>0.4791435185185185</v>
      </c>
      <c r="F560" s="1" t="s">
        <v>13</v>
      </c>
      <c r="G560" s="1">
        <v>3</v>
      </c>
      <c r="H560" s="1">
        <v>3.1</v>
      </c>
      <c r="I560" s="1">
        <v>0</v>
      </c>
      <c r="J560" s="4">
        <v>41136</v>
      </c>
      <c r="K560" s="4">
        <v>42962</v>
      </c>
      <c r="L560">
        <f t="shared" si="8"/>
        <v>3.05</v>
      </c>
    </row>
    <row r="561" spans="1:12" x14ac:dyDescent="0.15">
      <c r="A561" s="1">
        <v>560</v>
      </c>
      <c r="B561" s="4">
        <v>41135</v>
      </c>
      <c r="C561" s="1" t="s">
        <v>19</v>
      </c>
      <c r="D561" s="1" t="s">
        <v>26</v>
      </c>
      <c r="E561" s="1">
        <v>0.48229166666666662</v>
      </c>
      <c r="F561" s="1" t="s">
        <v>13</v>
      </c>
      <c r="G561" s="1">
        <v>3.6</v>
      </c>
      <c r="H561" s="1">
        <v>3.7</v>
      </c>
      <c r="I561" s="1">
        <v>0</v>
      </c>
      <c r="J561" s="4">
        <v>41136</v>
      </c>
      <c r="K561" s="4">
        <v>41409</v>
      </c>
      <c r="L561">
        <f t="shared" si="8"/>
        <v>3.6500000000000004</v>
      </c>
    </row>
    <row r="562" spans="1:12" x14ac:dyDescent="0.15">
      <c r="A562" s="1">
        <v>561</v>
      </c>
      <c r="B562" s="4">
        <v>41135</v>
      </c>
      <c r="C562" s="1" t="s">
        <v>21</v>
      </c>
      <c r="D562" s="1" t="s">
        <v>26</v>
      </c>
      <c r="E562" s="1">
        <v>0.48229166666666662</v>
      </c>
      <c r="F562" s="1" t="s">
        <v>13</v>
      </c>
      <c r="G562" s="1">
        <v>3</v>
      </c>
      <c r="H562" s="1">
        <v>3.3</v>
      </c>
      <c r="I562" s="1">
        <v>0</v>
      </c>
      <c r="J562" s="4">
        <v>41136</v>
      </c>
      <c r="K562" s="4">
        <v>43692</v>
      </c>
      <c r="L562">
        <f t="shared" si="8"/>
        <v>3.15</v>
      </c>
    </row>
    <row r="563" spans="1:12" x14ac:dyDescent="0.15">
      <c r="A563" s="1">
        <v>562</v>
      </c>
      <c r="B563" s="4">
        <v>41135</v>
      </c>
      <c r="C563" s="1" t="s">
        <v>20</v>
      </c>
      <c r="D563" s="1" t="s">
        <v>26</v>
      </c>
      <c r="E563" s="1">
        <v>0.48229166666666662</v>
      </c>
      <c r="F563" s="1" t="s">
        <v>13</v>
      </c>
      <c r="G563" s="1">
        <v>3</v>
      </c>
      <c r="H563" s="1">
        <v>3.3</v>
      </c>
      <c r="I563" s="1">
        <v>0</v>
      </c>
      <c r="J563" s="4">
        <v>41136</v>
      </c>
      <c r="K563" s="4">
        <v>44788</v>
      </c>
      <c r="L563">
        <f t="shared" si="8"/>
        <v>3.15</v>
      </c>
    </row>
    <row r="564" spans="1:12" x14ac:dyDescent="0.15">
      <c r="A564" s="1">
        <v>563</v>
      </c>
      <c r="B564" s="4">
        <v>41135</v>
      </c>
      <c r="C564" s="1" t="s">
        <v>18</v>
      </c>
      <c r="D564" s="1" t="s">
        <v>15</v>
      </c>
      <c r="E564" s="1">
        <v>0.48666666666666664</v>
      </c>
      <c r="F564" s="1" t="s">
        <v>13</v>
      </c>
      <c r="G564" s="1">
        <v>3.04</v>
      </c>
      <c r="H564" s="1">
        <v>3.1</v>
      </c>
      <c r="I564" s="1">
        <v>0</v>
      </c>
      <c r="J564" s="4">
        <v>41136</v>
      </c>
      <c r="K564" s="4">
        <v>41866</v>
      </c>
      <c r="L564">
        <f t="shared" si="8"/>
        <v>3.0700000000000003</v>
      </c>
    </row>
    <row r="565" spans="1:12" x14ac:dyDescent="0.15">
      <c r="A565" s="1">
        <v>564</v>
      </c>
      <c r="B565" s="4">
        <v>41135</v>
      </c>
      <c r="C565" s="1" t="s">
        <v>14</v>
      </c>
      <c r="D565" s="1" t="s">
        <v>15</v>
      </c>
      <c r="E565" s="1">
        <v>0.48666666666666664</v>
      </c>
      <c r="F565" s="1" t="s">
        <v>13</v>
      </c>
      <c r="G565" s="1">
        <v>3.13</v>
      </c>
      <c r="H565" s="1">
        <v>3.2</v>
      </c>
      <c r="I565" s="1">
        <v>0</v>
      </c>
      <c r="J565" s="4">
        <v>41136</v>
      </c>
      <c r="K565" s="4">
        <v>41501</v>
      </c>
      <c r="L565">
        <f t="shared" si="8"/>
        <v>3.165</v>
      </c>
    </row>
    <row r="566" spans="1:12" x14ac:dyDescent="0.15">
      <c r="A566" s="1">
        <v>565</v>
      </c>
      <c r="B566" s="4">
        <v>41135</v>
      </c>
      <c r="C566" s="1" t="s">
        <v>21</v>
      </c>
      <c r="D566" s="1" t="s">
        <v>15</v>
      </c>
      <c r="E566" s="1">
        <v>0.48667824074074079</v>
      </c>
      <c r="F566" s="1" t="s">
        <v>13</v>
      </c>
      <c r="G566" s="1">
        <v>3.12</v>
      </c>
      <c r="H566" s="1">
        <v>3.18</v>
      </c>
      <c r="I566" s="1">
        <v>0</v>
      </c>
      <c r="J566" s="4">
        <v>41136</v>
      </c>
      <c r="K566" s="4">
        <v>43692</v>
      </c>
      <c r="L566">
        <f t="shared" si="8"/>
        <v>3.1500000000000004</v>
      </c>
    </row>
    <row r="567" spans="1:12" x14ac:dyDescent="0.15">
      <c r="A567" s="1">
        <v>566</v>
      </c>
      <c r="B567" s="4">
        <v>41135</v>
      </c>
      <c r="C567" s="1" t="s">
        <v>19</v>
      </c>
      <c r="D567" s="1" t="s">
        <v>15</v>
      </c>
      <c r="E567" s="1">
        <v>0.48667824074074079</v>
      </c>
      <c r="F567" s="1" t="s">
        <v>13</v>
      </c>
      <c r="G567" s="1">
        <v>3.23</v>
      </c>
      <c r="H567" s="1">
        <v>3.29</v>
      </c>
      <c r="I567" s="1">
        <v>0</v>
      </c>
      <c r="J567" s="4">
        <v>41136</v>
      </c>
      <c r="K567" s="4">
        <v>41409</v>
      </c>
      <c r="L567">
        <f t="shared" si="8"/>
        <v>3.26</v>
      </c>
    </row>
    <row r="568" spans="1:12" x14ac:dyDescent="0.15">
      <c r="A568" s="1">
        <v>567</v>
      </c>
      <c r="B568" s="4">
        <v>41135</v>
      </c>
      <c r="C568" s="1" t="s">
        <v>22</v>
      </c>
      <c r="D568" s="1" t="s">
        <v>15</v>
      </c>
      <c r="E568" s="1">
        <v>0.48666666666666664</v>
      </c>
      <c r="F568" s="1" t="s">
        <v>13</v>
      </c>
      <c r="G568" s="1">
        <v>3.36</v>
      </c>
      <c r="H568" s="1">
        <v>3.42</v>
      </c>
      <c r="I568" s="1">
        <v>0</v>
      </c>
      <c r="J568" s="4">
        <v>41136</v>
      </c>
      <c r="K568" s="4">
        <v>41320</v>
      </c>
      <c r="L568">
        <f t="shared" si="8"/>
        <v>3.3899999999999997</v>
      </c>
    </row>
    <row r="569" spans="1:12" x14ac:dyDescent="0.15">
      <c r="A569" s="1">
        <v>568</v>
      </c>
      <c r="B569" s="4">
        <v>41135</v>
      </c>
      <c r="C569" s="1" t="s">
        <v>17</v>
      </c>
      <c r="D569" s="1" t="s">
        <v>26</v>
      </c>
      <c r="E569" s="1">
        <v>0.48229166666666662</v>
      </c>
      <c r="F569" s="1" t="s">
        <v>13</v>
      </c>
      <c r="G569" s="1">
        <v>3</v>
      </c>
      <c r="H569" s="1">
        <v>3.3</v>
      </c>
      <c r="I569" s="1">
        <v>0</v>
      </c>
      <c r="J569" s="4">
        <v>41136</v>
      </c>
      <c r="K569" s="4">
        <v>44423</v>
      </c>
      <c r="L569">
        <f t="shared" si="8"/>
        <v>3.15</v>
      </c>
    </row>
    <row r="570" spans="1:12" x14ac:dyDescent="0.15">
      <c r="A570" s="1">
        <v>569</v>
      </c>
      <c r="B570" s="4">
        <v>41135</v>
      </c>
      <c r="C570" s="1" t="s">
        <v>18</v>
      </c>
      <c r="D570" s="1" t="s">
        <v>26</v>
      </c>
      <c r="E570" s="1">
        <v>0.48229166666666662</v>
      </c>
      <c r="F570" s="1" t="s">
        <v>13</v>
      </c>
      <c r="G570" s="1">
        <v>3</v>
      </c>
      <c r="H570" s="1">
        <v>3.05</v>
      </c>
      <c r="I570" s="1">
        <v>0</v>
      </c>
      <c r="J570" s="4">
        <v>41136</v>
      </c>
      <c r="K570" s="4">
        <v>41866</v>
      </c>
      <c r="L570">
        <f t="shared" si="8"/>
        <v>3.0249999999999999</v>
      </c>
    </row>
    <row r="571" spans="1:12" x14ac:dyDescent="0.15">
      <c r="A571" s="1">
        <v>570</v>
      </c>
      <c r="B571" s="4">
        <v>41135</v>
      </c>
      <c r="C571" s="1" t="s">
        <v>11</v>
      </c>
      <c r="D571" s="1" t="s">
        <v>26</v>
      </c>
      <c r="E571" s="1">
        <v>0.48230324074074077</v>
      </c>
      <c r="F571" s="1" t="s">
        <v>13</v>
      </c>
      <c r="G571" s="1">
        <v>3</v>
      </c>
      <c r="H571" s="1">
        <v>3.05</v>
      </c>
      <c r="I571" s="1">
        <v>0</v>
      </c>
      <c r="J571" s="4">
        <v>41136</v>
      </c>
      <c r="K571" s="4">
        <v>42231</v>
      </c>
      <c r="L571">
        <f t="shared" si="8"/>
        <v>3.0249999999999999</v>
      </c>
    </row>
    <row r="572" spans="1:12" x14ac:dyDescent="0.15">
      <c r="A572" s="1">
        <v>571</v>
      </c>
      <c r="B572" s="4">
        <v>41135</v>
      </c>
      <c r="C572" s="1" t="s">
        <v>16</v>
      </c>
      <c r="D572" s="1" t="s">
        <v>26</v>
      </c>
      <c r="E572" s="1">
        <v>0.48230324074074077</v>
      </c>
      <c r="F572" s="1" t="s">
        <v>13</v>
      </c>
      <c r="G572" s="1">
        <v>3</v>
      </c>
      <c r="H572" s="1">
        <v>3.05</v>
      </c>
      <c r="I572" s="1">
        <v>0</v>
      </c>
      <c r="J572" s="4">
        <v>41136</v>
      </c>
      <c r="K572" s="4">
        <v>42597</v>
      </c>
      <c r="L572">
        <f t="shared" si="8"/>
        <v>3.0249999999999999</v>
      </c>
    </row>
    <row r="573" spans="1:12" x14ac:dyDescent="0.15">
      <c r="A573" s="1">
        <v>572</v>
      </c>
      <c r="B573" s="4">
        <v>41135</v>
      </c>
      <c r="C573" s="1" t="s">
        <v>20</v>
      </c>
      <c r="D573" s="1" t="s">
        <v>12</v>
      </c>
      <c r="E573" s="1">
        <v>0.4788425925925926</v>
      </c>
      <c r="F573" s="1" t="s">
        <v>13</v>
      </c>
      <c r="G573" s="1">
        <v>2.99</v>
      </c>
      <c r="H573" s="1">
        <v>3.39</v>
      </c>
      <c r="I573" s="1">
        <v>0</v>
      </c>
      <c r="J573" s="4">
        <v>41136</v>
      </c>
      <c r="K573" s="4">
        <v>44788</v>
      </c>
      <c r="L573">
        <f t="shared" si="8"/>
        <v>3.1900000000000004</v>
      </c>
    </row>
    <row r="574" spans="1:12" x14ac:dyDescent="0.15">
      <c r="A574" s="1">
        <v>573</v>
      </c>
      <c r="B574" s="4">
        <v>41135</v>
      </c>
      <c r="C574" s="1" t="s">
        <v>21</v>
      </c>
      <c r="D574" s="1" t="s">
        <v>12</v>
      </c>
      <c r="E574" s="1">
        <v>0.47881944444444446</v>
      </c>
      <c r="F574" s="1" t="s">
        <v>13</v>
      </c>
      <c r="G574" s="1">
        <v>2.95</v>
      </c>
      <c r="H574" s="1">
        <v>3.35</v>
      </c>
      <c r="I574" s="1">
        <v>0</v>
      </c>
      <c r="J574" s="4">
        <v>41136</v>
      </c>
      <c r="K574" s="4">
        <v>43692</v>
      </c>
      <c r="L574">
        <f t="shared" si="8"/>
        <v>3.1500000000000004</v>
      </c>
    </row>
    <row r="575" spans="1:12" x14ac:dyDescent="0.15">
      <c r="A575" s="1">
        <v>574</v>
      </c>
      <c r="B575" s="4">
        <v>41135</v>
      </c>
      <c r="C575" s="1" t="s">
        <v>25</v>
      </c>
      <c r="D575" s="1" t="s">
        <v>12</v>
      </c>
      <c r="E575" s="1">
        <v>0.4788425925925926</v>
      </c>
      <c r="F575" s="1" t="s">
        <v>13</v>
      </c>
      <c r="G575" s="1">
        <v>3</v>
      </c>
      <c r="H575" s="1">
        <v>3.1</v>
      </c>
      <c r="I575" s="1">
        <v>0</v>
      </c>
      <c r="J575" s="4">
        <v>41136</v>
      </c>
      <c r="K575" s="4">
        <v>42962</v>
      </c>
      <c r="L575">
        <f t="shared" si="8"/>
        <v>3.05</v>
      </c>
    </row>
    <row r="576" spans="1:12" x14ac:dyDescent="0.15">
      <c r="A576" s="1">
        <v>575</v>
      </c>
      <c r="B576" s="4">
        <v>41135</v>
      </c>
      <c r="C576" s="1" t="s">
        <v>24</v>
      </c>
      <c r="D576" s="1" t="s">
        <v>12</v>
      </c>
      <c r="E576" s="1">
        <v>0.4788425925925926</v>
      </c>
      <c r="F576" s="1" t="s">
        <v>13</v>
      </c>
      <c r="G576" s="1">
        <v>2.96</v>
      </c>
      <c r="H576" s="1">
        <v>3.36</v>
      </c>
      <c r="I576" s="1">
        <v>0</v>
      </c>
      <c r="J576" s="4">
        <v>41136</v>
      </c>
      <c r="K576" s="4">
        <v>44058</v>
      </c>
      <c r="L576">
        <f t="shared" si="8"/>
        <v>3.16</v>
      </c>
    </row>
    <row r="577" spans="1:12" x14ac:dyDescent="0.15">
      <c r="A577" s="1">
        <v>576</v>
      </c>
      <c r="B577" s="4">
        <v>41135</v>
      </c>
      <c r="C577" s="1" t="s">
        <v>18</v>
      </c>
      <c r="D577" s="1" t="s">
        <v>12</v>
      </c>
      <c r="E577" s="1">
        <v>0.47881944444444446</v>
      </c>
      <c r="F577" s="1" t="s">
        <v>13</v>
      </c>
      <c r="G577" s="1">
        <v>2.98</v>
      </c>
      <c r="H577" s="1">
        <v>3.08</v>
      </c>
      <c r="I577" s="1">
        <v>0</v>
      </c>
      <c r="J577" s="4">
        <v>41136</v>
      </c>
      <c r="K577" s="4">
        <v>41866</v>
      </c>
      <c r="L577">
        <f t="shared" si="8"/>
        <v>3.0300000000000002</v>
      </c>
    </row>
    <row r="578" spans="1:12" x14ac:dyDescent="0.15">
      <c r="A578" s="1">
        <v>577</v>
      </c>
      <c r="B578" s="4">
        <v>41135</v>
      </c>
      <c r="C578" s="1" t="s">
        <v>19</v>
      </c>
      <c r="D578" s="1" t="s">
        <v>12</v>
      </c>
      <c r="E578" s="1">
        <v>0.47881944444444446</v>
      </c>
      <c r="F578" s="1" t="s">
        <v>13</v>
      </c>
      <c r="G578" s="1">
        <v>3.23</v>
      </c>
      <c r="H578" s="1">
        <v>3.33</v>
      </c>
      <c r="I578" s="1">
        <v>0</v>
      </c>
      <c r="J578" s="4">
        <v>41136</v>
      </c>
      <c r="K578" s="4">
        <v>41409</v>
      </c>
      <c r="L578">
        <f t="shared" si="8"/>
        <v>3.2800000000000002</v>
      </c>
    </row>
    <row r="579" spans="1:12" x14ac:dyDescent="0.15">
      <c r="A579" s="1">
        <v>578</v>
      </c>
      <c r="B579" s="4">
        <v>41135</v>
      </c>
      <c r="C579" s="1" t="s">
        <v>23</v>
      </c>
      <c r="D579" s="1" t="s">
        <v>12</v>
      </c>
      <c r="E579" s="1">
        <v>0.47880787037037037</v>
      </c>
      <c r="F579" s="1" t="s">
        <v>13</v>
      </c>
      <c r="G579" s="1">
        <v>3</v>
      </c>
      <c r="H579" s="1">
        <v>3.1</v>
      </c>
      <c r="I579" s="1">
        <v>0</v>
      </c>
      <c r="J579" s="4">
        <v>41136</v>
      </c>
      <c r="K579" s="4">
        <v>43327</v>
      </c>
      <c r="L579">
        <f t="shared" ref="L579:L642" si="9">AVERAGE(G579:H579)</f>
        <v>3.05</v>
      </c>
    </row>
    <row r="580" spans="1:12" x14ac:dyDescent="0.15">
      <c r="A580" s="1">
        <v>579</v>
      </c>
      <c r="B580" s="4">
        <v>41135</v>
      </c>
      <c r="C580" s="1" t="s">
        <v>14</v>
      </c>
      <c r="D580" s="1" t="s">
        <v>12</v>
      </c>
      <c r="E580" s="1">
        <v>0.47881944444444446</v>
      </c>
      <c r="F580" s="1" t="s">
        <v>13</v>
      </c>
      <c r="G580" s="1">
        <v>3.13</v>
      </c>
      <c r="H580" s="1">
        <v>3.23</v>
      </c>
      <c r="I580" s="1">
        <v>0</v>
      </c>
      <c r="J580" s="4">
        <v>41136</v>
      </c>
      <c r="K580" s="4">
        <v>41501</v>
      </c>
      <c r="L580">
        <f t="shared" si="9"/>
        <v>3.1799999999999997</v>
      </c>
    </row>
    <row r="581" spans="1:12" x14ac:dyDescent="0.15">
      <c r="A581" s="1">
        <v>580</v>
      </c>
      <c r="B581" s="4">
        <v>41135</v>
      </c>
      <c r="C581" s="1" t="s">
        <v>22</v>
      </c>
      <c r="D581" s="1" t="s">
        <v>12</v>
      </c>
      <c r="E581" s="1">
        <v>0.47881944444444446</v>
      </c>
      <c r="F581" s="1" t="s">
        <v>13</v>
      </c>
      <c r="G581" s="1">
        <v>3.34</v>
      </c>
      <c r="H581" s="1">
        <v>3.44</v>
      </c>
      <c r="I581" s="1">
        <v>0</v>
      </c>
      <c r="J581" s="4">
        <v>41136</v>
      </c>
      <c r="K581" s="4">
        <v>41320</v>
      </c>
      <c r="L581">
        <f t="shared" si="9"/>
        <v>3.3899999999999997</v>
      </c>
    </row>
    <row r="582" spans="1:12" x14ac:dyDescent="0.15">
      <c r="A582" s="1">
        <v>581</v>
      </c>
      <c r="B582" s="4">
        <v>41135</v>
      </c>
      <c r="C582" s="1" t="s">
        <v>16</v>
      </c>
      <c r="D582" s="1" t="s">
        <v>12</v>
      </c>
      <c r="E582" s="1">
        <v>0.4788425925925926</v>
      </c>
      <c r="F582" s="1" t="s">
        <v>13</v>
      </c>
      <c r="G582" s="1">
        <v>2.98</v>
      </c>
      <c r="H582" s="1">
        <v>3.08</v>
      </c>
      <c r="I582" s="1">
        <v>0</v>
      </c>
      <c r="J582" s="4">
        <v>41136</v>
      </c>
      <c r="K582" s="4">
        <v>42597</v>
      </c>
      <c r="L582">
        <f t="shared" si="9"/>
        <v>3.0300000000000002</v>
      </c>
    </row>
    <row r="583" spans="1:12" x14ac:dyDescent="0.15">
      <c r="A583" s="1">
        <v>582</v>
      </c>
      <c r="B583" s="4">
        <v>41135</v>
      </c>
      <c r="C583" s="1" t="s">
        <v>21</v>
      </c>
      <c r="D583" s="1" t="s">
        <v>28</v>
      </c>
      <c r="E583" s="1">
        <v>0.4791435185185185</v>
      </c>
      <c r="F583" s="1" t="s">
        <v>13</v>
      </c>
      <c r="G583" s="1">
        <v>3.1</v>
      </c>
      <c r="H583" s="1">
        <v>3.2</v>
      </c>
      <c r="I583" s="1">
        <v>0</v>
      </c>
      <c r="J583" s="4">
        <v>41136</v>
      </c>
      <c r="K583" s="4">
        <v>43692</v>
      </c>
      <c r="L583">
        <f t="shared" si="9"/>
        <v>3.1500000000000004</v>
      </c>
    </row>
    <row r="584" spans="1:12" x14ac:dyDescent="0.15">
      <c r="A584" s="1">
        <v>583</v>
      </c>
      <c r="B584" s="4">
        <v>41135</v>
      </c>
      <c r="C584" s="1" t="s">
        <v>11</v>
      </c>
      <c r="D584" s="1" t="s">
        <v>28</v>
      </c>
      <c r="E584" s="1">
        <v>0.4791435185185185</v>
      </c>
      <c r="F584" s="1" t="s">
        <v>13</v>
      </c>
      <c r="G584" s="1">
        <v>3</v>
      </c>
      <c r="H584" s="1">
        <v>3.1</v>
      </c>
      <c r="I584" s="1">
        <v>0</v>
      </c>
      <c r="J584" s="4">
        <v>41136</v>
      </c>
      <c r="K584" s="4">
        <v>42231</v>
      </c>
      <c r="L584">
        <f t="shared" si="9"/>
        <v>3.05</v>
      </c>
    </row>
    <row r="585" spans="1:12" x14ac:dyDescent="0.15">
      <c r="A585" s="1">
        <v>584</v>
      </c>
      <c r="B585" s="4">
        <v>41135</v>
      </c>
      <c r="C585" s="1" t="s">
        <v>20</v>
      </c>
      <c r="D585" s="1" t="s">
        <v>28</v>
      </c>
      <c r="E585" s="1">
        <v>0.4791435185185185</v>
      </c>
      <c r="F585" s="1" t="s">
        <v>13</v>
      </c>
      <c r="G585" s="1">
        <v>3.15</v>
      </c>
      <c r="H585" s="1">
        <v>3.25</v>
      </c>
      <c r="I585" s="1">
        <v>0</v>
      </c>
      <c r="J585" s="4">
        <v>41136</v>
      </c>
      <c r="K585" s="4">
        <v>44788</v>
      </c>
      <c r="L585">
        <f t="shared" si="9"/>
        <v>3.2</v>
      </c>
    </row>
    <row r="586" spans="1:12" x14ac:dyDescent="0.15">
      <c r="A586" s="1">
        <v>585</v>
      </c>
      <c r="B586" s="4">
        <v>41135</v>
      </c>
      <c r="C586" s="1" t="s">
        <v>19</v>
      </c>
      <c r="D586" s="1" t="s">
        <v>28</v>
      </c>
      <c r="E586" s="1">
        <v>0.4791435185185185</v>
      </c>
      <c r="F586" s="1" t="s">
        <v>13</v>
      </c>
      <c r="G586" s="1">
        <v>3.22</v>
      </c>
      <c r="H586" s="1">
        <v>3.32</v>
      </c>
      <c r="I586" s="1">
        <v>0</v>
      </c>
      <c r="J586" s="4">
        <v>41136</v>
      </c>
      <c r="K586" s="4">
        <v>41409</v>
      </c>
      <c r="L586">
        <f t="shared" si="9"/>
        <v>3.27</v>
      </c>
    </row>
    <row r="587" spans="1:12" x14ac:dyDescent="0.15">
      <c r="A587" s="1">
        <v>586</v>
      </c>
      <c r="B587" s="4">
        <v>41135</v>
      </c>
      <c r="C587" s="1" t="s">
        <v>18</v>
      </c>
      <c r="D587" s="1" t="s">
        <v>28</v>
      </c>
      <c r="E587" s="1">
        <v>0.47913194444444446</v>
      </c>
      <c r="F587" s="1" t="s">
        <v>13</v>
      </c>
      <c r="G587" s="1">
        <v>3</v>
      </c>
      <c r="H587" s="1">
        <v>3.1</v>
      </c>
      <c r="I587" s="1">
        <v>0</v>
      </c>
      <c r="J587" s="4">
        <v>41136</v>
      </c>
      <c r="K587" s="4">
        <v>41866</v>
      </c>
      <c r="L587">
        <f t="shared" si="9"/>
        <v>3.05</v>
      </c>
    </row>
    <row r="588" spans="1:12" x14ac:dyDescent="0.15">
      <c r="A588" s="1">
        <v>587</v>
      </c>
      <c r="B588" s="4">
        <v>41135</v>
      </c>
      <c r="C588" s="1" t="s">
        <v>11</v>
      </c>
      <c r="D588" s="1" t="s">
        <v>12</v>
      </c>
      <c r="E588" s="1">
        <v>0.47886574074074079</v>
      </c>
      <c r="F588" s="1" t="s">
        <v>13</v>
      </c>
      <c r="G588" s="1">
        <v>2.98</v>
      </c>
      <c r="H588" s="1">
        <v>3.08</v>
      </c>
      <c r="I588" s="1">
        <v>0</v>
      </c>
      <c r="J588" s="4">
        <v>41136</v>
      </c>
      <c r="K588" s="4">
        <v>42231</v>
      </c>
      <c r="L588">
        <f t="shared" si="9"/>
        <v>3.0300000000000002</v>
      </c>
    </row>
    <row r="589" spans="1:12" x14ac:dyDescent="0.15">
      <c r="A589" s="1">
        <v>588</v>
      </c>
      <c r="B589" s="4">
        <v>41135</v>
      </c>
      <c r="C589" s="1" t="s">
        <v>17</v>
      </c>
      <c r="D589" s="1" t="s">
        <v>12</v>
      </c>
      <c r="E589" s="1">
        <v>0.47886574074074079</v>
      </c>
      <c r="F589" s="1" t="s">
        <v>13</v>
      </c>
      <c r="G589" s="1">
        <v>2.98</v>
      </c>
      <c r="H589" s="1">
        <v>3.38</v>
      </c>
      <c r="I589" s="1">
        <v>0</v>
      </c>
      <c r="J589" s="4">
        <v>41136</v>
      </c>
      <c r="K589" s="4">
        <v>44423</v>
      </c>
      <c r="L589">
        <f t="shared" si="9"/>
        <v>3.1799999999999997</v>
      </c>
    </row>
    <row r="590" spans="1:12" x14ac:dyDescent="0.15">
      <c r="A590" s="1">
        <v>589</v>
      </c>
      <c r="B590" s="4">
        <v>41135</v>
      </c>
      <c r="C590" s="1" t="s">
        <v>14</v>
      </c>
      <c r="D590" s="1" t="s">
        <v>28</v>
      </c>
      <c r="E590" s="1">
        <v>0.47913194444444446</v>
      </c>
      <c r="F590" s="1" t="s">
        <v>13</v>
      </c>
      <c r="G590" s="1">
        <v>3.1</v>
      </c>
      <c r="H590" s="1">
        <v>3.2</v>
      </c>
      <c r="I590" s="1">
        <v>0</v>
      </c>
      <c r="J590" s="4">
        <v>41136</v>
      </c>
      <c r="K590" s="4">
        <v>41501</v>
      </c>
      <c r="L590">
        <f t="shared" si="9"/>
        <v>3.1500000000000004</v>
      </c>
    </row>
    <row r="591" spans="1:12" x14ac:dyDescent="0.15">
      <c r="A591" s="1">
        <v>590</v>
      </c>
      <c r="B591" s="4">
        <v>41135</v>
      </c>
      <c r="C591" s="1" t="s">
        <v>22</v>
      </c>
      <c r="D591" s="1" t="s">
        <v>28</v>
      </c>
      <c r="E591" s="1">
        <v>0.47913194444444446</v>
      </c>
      <c r="F591" s="1" t="s">
        <v>13</v>
      </c>
      <c r="G591" s="1">
        <v>3.35</v>
      </c>
      <c r="H591" s="1">
        <v>3.45</v>
      </c>
      <c r="I591" s="1">
        <v>0</v>
      </c>
      <c r="J591" s="4">
        <v>41136</v>
      </c>
      <c r="K591" s="4">
        <v>41320</v>
      </c>
      <c r="L591">
        <f t="shared" si="9"/>
        <v>3.4000000000000004</v>
      </c>
    </row>
    <row r="592" spans="1:12" x14ac:dyDescent="0.15">
      <c r="A592" s="1">
        <v>591</v>
      </c>
      <c r="B592" s="4">
        <v>41135</v>
      </c>
      <c r="C592" s="1" t="s">
        <v>20</v>
      </c>
      <c r="D592" s="1" t="s">
        <v>15</v>
      </c>
      <c r="E592" s="1">
        <v>0.48668981481481483</v>
      </c>
      <c r="F592" s="1" t="s">
        <v>13</v>
      </c>
      <c r="G592" s="1">
        <v>3.16</v>
      </c>
      <c r="H592" s="1">
        <v>3.23</v>
      </c>
      <c r="I592" s="1">
        <v>0</v>
      </c>
      <c r="J592" s="4">
        <v>41136</v>
      </c>
      <c r="K592" s="4">
        <v>44788</v>
      </c>
      <c r="L592">
        <f t="shared" si="9"/>
        <v>3.1950000000000003</v>
      </c>
    </row>
    <row r="593" spans="1:12" x14ac:dyDescent="0.15">
      <c r="A593" s="1">
        <v>592</v>
      </c>
      <c r="B593" s="4">
        <v>41135</v>
      </c>
      <c r="C593" s="1" t="s">
        <v>14</v>
      </c>
      <c r="D593" s="1" t="s">
        <v>27</v>
      </c>
      <c r="E593" s="1">
        <v>0.67540509259259263</v>
      </c>
      <c r="F593" s="1" t="s">
        <v>13</v>
      </c>
      <c r="G593" s="1">
        <v>3.15</v>
      </c>
      <c r="H593" s="1">
        <v>3.25</v>
      </c>
      <c r="I593" s="1">
        <v>0</v>
      </c>
      <c r="J593" s="4">
        <v>41136</v>
      </c>
      <c r="K593" s="4">
        <v>41501</v>
      </c>
      <c r="L593">
        <f t="shared" si="9"/>
        <v>3.2</v>
      </c>
    </row>
    <row r="594" spans="1:12" x14ac:dyDescent="0.15">
      <c r="A594" s="1">
        <v>593</v>
      </c>
      <c r="B594" s="4">
        <v>41135</v>
      </c>
      <c r="C594" s="1" t="s">
        <v>18</v>
      </c>
      <c r="D594" s="1" t="s">
        <v>27</v>
      </c>
      <c r="E594" s="1">
        <v>0.67540509259259263</v>
      </c>
      <c r="F594" s="1" t="s">
        <v>13</v>
      </c>
      <c r="G594" s="1">
        <v>3.06</v>
      </c>
      <c r="H594" s="1">
        <v>3.12</v>
      </c>
      <c r="I594" s="1">
        <v>0</v>
      </c>
      <c r="J594" s="4">
        <v>41136</v>
      </c>
      <c r="K594" s="4">
        <v>41866</v>
      </c>
      <c r="L594">
        <f t="shared" si="9"/>
        <v>3.09</v>
      </c>
    </row>
    <row r="595" spans="1:12" x14ac:dyDescent="0.15">
      <c r="A595" s="1">
        <v>594</v>
      </c>
      <c r="B595" s="4">
        <v>41135</v>
      </c>
      <c r="C595" s="1" t="s">
        <v>22</v>
      </c>
      <c r="D595" s="1" t="s">
        <v>27</v>
      </c>
      <c r="E595" s="1">
        <v>0.67541666666666667</v>
      </c>
      <c r="F595" s="1" t="s">
        <v>13</v>
      </c>
      <c r="G595" s="1">
        <v>3.39</v>
      </c>
      <c r="H595" s="1">
        <v>3.45</v>
      </c>
      <c r="I595" s="1">
        <v>0</v>
      </c>
      <c r="J595" s="4">
        <v>41136</v>
      </c>
      <c r="K595" s="4">
        <v>41320</v>
      </c>
      <c r="L595">
        <f t="shared" si="9"/>
        <v>3.42</v>
      </c>
    </row>
    <row r="596" spans="1:12" x14ac:dyDescent="0.15">
      <c r="A596" s="1">
        <v>595</v>
      </c>
      <c r="B596" s="4">
        <v>41135</v>
      </c>
      <c r="C596" s="1" t="s">
        <v>25</v>
      </c>
      <c r="D596" s="1" t="s">
        <v>27</v>
      </c>
      <c r="E596" s="1">
        <v>0.67540509259259263</v>
      </c>
      <c r="F596" s="1" t="s">
        <v>13</v>
      </c>
      <c r="G596" s="1">
        <v>3.05</v>
      </c>
      <c r="H596" s="1">
        <v>3.1</v>
      </c>
      <c r="I596" s="1">
        <v>0</v>
      </c>
      <c r="J596" s="4">
        <v>41136</v>
      </c>
      <c r="K596" s="4">
        <v>42962</v>
      </c>
      <c r="L596">
        <f t="shared" si="9"/>
        <v>3.0750000000000002</v>
      </c>
    </row>
    <row r="597" spans="1:12" x14ac:dyDescent="0.15">
      <c r="A597" s="1">
        <v>596</v>
      </c>
      <c r="B597" s="4">
        <v>41135</v>
      </c>
      <c r="C597" s="1" t="s">
        <v>16</v>
      </c>
      <c r="D597" s="1" t="s">
        <v>27</v>
      </c>
      <c r="E597" s="1">
        <v>0.67540509259259263</v>
      </c>
      <c r="F597" s="1" t="s">
        <v>13</v>
      </c>
      <c r="G597" s="1">
        <v>3.02</v>
      </c>
      <c r="H597" s="1">
        <v>3.11</v>
      </c>
      <c r="I597" s="1">
        <v>0</v>
      </c>
      <c r="J597" s="4">
        <v>41136</v>
      </c>
      <c r="K597" s="4">
        <v>42597</v>
      </c>
      <c r="L597">
        <f t="shared" si="9"/>
        <v>3.0649999999999999</v>
      </c>
    </row>
    <row r="598" spans="1:12" x14ac:dyDescent="0.15">
      <c r="A598" s="1">
        <v>597</v>
      </c>
      <c r="B598" s="4">
        <v>41135</v>
      </c>
      <c r="C598" s="1" t="s">
        <v>11</v>
      </c>
      <c r="D598" s="1" t="s">
        <v>26</v>
      </c>
      <c r="E598" s="1">
        <v>0.67450231481481471</v>
      </c>
      <c r="F598" s="1" t="s">
        <v>13</v>
      </c>
      <c r="G598" s="1">
        <v>3</v>
      </c>
      <c r="H598" s="1">
        <v>3.05</v>
      </c>
      <c r="I598" s="1">
        <v>0</v>
      </c>
      <c r="J598" s="4">
        <v>41136</v>
      </c>
      <c r="K598" s="4">
        <v>42231</v>
      </c>
      <c r="L598">
        <f t="shared" si="9"/>
        <v>3.0249999999999999</v>
      </c>
    </row>
    <row r="599" spans="1:12" x14ac:dyDescent="0.15">
      <c r="A599" s="1">
        <v>598</v>
      </c>
      <c r="B599" s="4">
        <v>41135</v>
      </c>
      <c r="C599" s="1" t="s">
        <v>16</v>
      </c>
      <c r="D599" s="1" t="s">
        <v>26</v>
      </c>
      <c r="E599" s="1">
        <v>0.67450231481481471</v>
      </c>
      <c r="F599" s="1" t="s">
        <v>13</v>
      </c>
      <c r="G599" s="1">
        <v>3</v>
      </c>
      <c r="H599" s="1">
        <v>3.05</v>
      </c>
      <c r="I599" s="1">
        <v>0</v>
      </c>
      <c r="J599" s="4">
        <v>41136</v>
      </c>
      <c r="K599" s="4">
        <v>42597</v>
      </c>
      <c r="L599">
        <f t="shared" si="9"/>
        <v>3.0249999999999999</v>
      </c>
    </row>
    <row r="600" spans="1:12" x14ac:dyDescent="0.15">
      <c r="A600" s="1">
        <v>599</v>
      </c>
      <c r="B600" s="4">
        <v>41135</v>
      </c>
      <c r="C600" s="1" t="s">
        <v>19</v>
      </c>
      <c r="D600" s="1" t="s">
        <v>27</v>
      </c>
      <c r="E600" s="1">
        <v>0.67540509259259263</v>
      </c>
      <c r="F600" s="1" t="s">
        <v>13</v>
      </c>
      <c r="G600" s="1">
        <v>3.29</v>
      </c>
      <c r="H600" s="1">
        <v>3.35</v>
      </c>
      <c r="I600" s="1">
        <v>0</v>
      </c>
      <c r="J600" s="4">
        <v>41136</v>
      </c>
      <c r="K600" s="4">
        <v>41409</v>
      </c>
      <c r="L600">
        <f t="shared" si="9"/>
        <v>3.3200000000000003</v>
      </c>
    </row>
    <row r="601" spans="1:12" x14ac:dyDescent="0.15">
      <c r="A601" s="1">
        <v>600</v>
      </c>
      <c r="B601" s="4">
        <v>41135</v>
      </c>
      <c r="C601" s="1" t="s">
        <v>19</v>
      </c>
      <c r="D601" s="1" t="s">
        <v>26</v>
      </c>
      <c r="E601" s="1">
        <v>0.67450231481481471</v>
      </c>
      <c r="F601" s="1" t="s">
        <v>13</v>
      </c>
      <c r="G601" s="1">
        <v>3.6</v>
      </c>
      <c r="H601" s="1">
        <v>3.7</v>
      </c>
      <c r="I601" s="1">
        <v>0</v>
      </c>
      <c r="J601" s="4">
        <v>41136</v>
      </c>
      <c r="K601" s="4">
        <v>41409</v>
      </c>
      <c r="L601">
        <f t="shared" si="9"/>
        <v>3.6500000000000004</v>
      </c>
    </row>
    <row r="602" spans="1:12" x14ac:dyDescent="0.15">
      <c r="A602" s="1">
        <v>601</v>
      </c>
      <c r="B602" s="4">
        <v>41135</v>
      </c>
      <c r="C602" s="1" t="s">
        <v>11</v>
      </c>
      <c r="D602" s="1" t="s">
        <v>27</v>
      </c>
      <c r="E602" s="1">
        <v>0.67541666666666667</v>
      </c>
      <c r="F602" s="1" t="s">
        <v>13</v>
      </c>
      <c r="G602" s="1">
        <v>3.04</v>
      </c>
      <c r="H602" s="1">
        <v>3.09</v>
      </c>
      <c r="I602" s="1">
        <v>0</v>
      </c>
      <c r="J602" s="4">
        <v>41136</v>
      </c>
      <c r="K602" s="4">
        <v>42231</v>
      </c>
      <c r="L602">
        <f t="shared" si="9"/>
        <v>3.0649999999999999</v>
      </c>
    </row>
    <row r="603" spans="1:12" x14ac:dyDescent="0.15">
      <c r="A603" s="1">
        <v>602</v>
      </c>
      <c r="B603" s="4">
        <v>41135</v>
      </c>
      <c r="C603" s="1" t="s">
        <v>20</v>
      </c>
      <c r="D603" s="1" t="s">
        <v>15</v>
      </c>
      <c r="E603" s="1">
        <v>0.68299768518518522</v>
      </c>
      <c r="F603" s="1" t="s">
        <v>13</v>
      </c>
      <c r="G603" s="1">
        <v>3.16</v>
      </c>
      <c r="H603" s="1">
        <v>3.23</v>
      </c>
      <c r="I603" s="1">
        <v>0</v>
      </c>
      <c r="J603" s="4">
        <v>41136</v>
      </c>
      <c r="K603" s="4">
        <v>44788</v>
      </c>
      <c r="L603">
        <f t="shared" si="9"/>
        <v>3.1950000000000003</v>
      </c>
    </row>
    <row r="604" spans="1:12" x14ac:dyDescent="0.15">
      <c r="A604" s="1">
        <v>603</v>
      </c>
      <c r="B604" s="4">
        <v>41135</v>
      </c>
      <c r="C604" s="1" t="s">
        <v>11</v>
      </c>
      <c r="D604" s="1" t="s">
        <v>15</v>
      </c>
      <c r="E604" s="1">
        <v>0.68299768518518522</v>
      </c>
      <c r="F604" s="1" t="s">
        <v>13</v>
      </c>
      <c r="G604" s="1">
        <v>3.01</v>
      </c>
      <c r="H604" s="1">
        <v>3.07</v>
      </c>
      <c r="I604" s="1">
        <v>0</v>
      </c>
      <c r="J604" s="4">
        <v>41136</v>
      </c>
      <c r="K604" s="4">
        <v>42231</v>
      </c>
      <c r="L604">
        <f t="shared" si="9"/>
        <v>3.04</v>
      </c>
    </row>
    <row r="605" spans="1:12" x14ac:dyDescent="0.15">
      <c r="A605" s="1">
        <v>604</v>
      </c>
      <c r="B605" s="4">
        <v>41135</v>
      </c>
      <c r="C605" s="1" t="s">
        <v>16</v>
      </c>
      <c r="D605" s="1" t="s">
        <v>15</v>
      </c>
      <c r="E605" s="1">
        <v>0.68299768518518522</v>
      </c>
      <c r="F605" s="1" t="s">
        <v>13</v>
      </c>
      <c r="G605" s="1">
        <v>3.02</v>
      </c>
      <c r="H605" s="1">
        <v>3.08</v>
      </c>
      <c r="I605" s="1">
        <v>0</v>
      </c>
      <c r="J605" s="4">
        <v>41136</v>
      </c>
      <c r="K605" s="4">
        <v>42597</v>
      </c>
      <c r="L605">
        <f t="shared" si="9"/>
        <v>3.05</v>
      </c>
    </row>
    <row r="606" spans="1:12" x14ac:dyDescent="0.15">
      <c r="A606" s="1">
        <v>605</v>
      </c>
      <c r="B606" s="4">
        <v>41135</v>
      </c>
      <c r="C606" s="1" t="s">
        <v>25</v>
      </c>
      <c r="D606" s="1" t="s">
        <v>15</v>
      </c>
      <c r="E606" s="1">
        <v>0.68299768518518522</v>
      </c>
      <c r="F606" s="1" t="s">
        <v>13</v>
      </c>
      <c r="G606" s="1">
        <v>3.04</v>
      </c>
      <c r="H606" s="1">
        <v>3.1</v>
      </c>
      <c r="I606" s="1">
        <v>0</v>
      </c>
      <c r="J606" s="4">
        <v>41136</v>
      </c>
      <c r="K606" s="4">
        <v>42962</v>
      </c>
      <c r="L606">
        <f t="shared" si="9"/>
        <v>3.0700000000000003</v>
      </c>
    </row>
    <row r="607" spans="1:12" x14ac:dyDescent="0.15">
      <c r="A607" s="1">
        <v>606</v>
      </c>
      <c r="B607" s="4">
        <v>41135</v>
      </c>
      <c r="C607" s="1" t="s">
        <v>18</v>
      </c>
      <c r="D607" s="1" t="s">
        <v>15</v>
      </c>
      <c r="E607" s="1">
        <v>0.68298611111111107</v>
      </c>
      <c r="F607" s="1" t="s">
        <v>13</v>
      </c>
      <c r="G607" s="1">
        <v>3.04</v>
      </c>
      <c r="H607" s="1">
        <v>3.1</v>
      </c>
      <c r="I607" s="1">
        <v>0</v>
      </c>
      <c r="J607" s="4">
        <v>41136</v>
      </c>
      <c r="K607" s="4">
        <v>41866</v>
      </c>
      <c r="L607">
        <f t="shared" si="9"/>
        <v>3.0700000000000003</v>
      </c>
    </row>
    <row r="608" spans="1:12" x14ac:dyDescent="0.15">
      <c r="A608" s="1">
        <v>607</v>
      </c>
      <c r="B608" s="4">
        <v>41135</v>
      </c>
      <c r="C608" s="1" t="s">
        <v>19</v>
      </c>
      <c r="D608" s="1" t="s">
        <v>15</v>
      </c>
      <c r="E608" s="1">
        <v>0.68298611111111107</v>
      </c>
      <c r="F608" s="1" t="s">
        <v>13</v>
      </c>
      <c r="G608" s="1">
        <v>3.23</v>
      </c>
      <c r="H608" s="1">
        <v>3.29</v>
      </c>
      <c r="I608" s="1">
        <v>0</v>
      </c>
      <c r="J608" s="4">
        <v>41136</v>
      </c>
      <c r="K608" s="4">
        <v>41409</v>
      </c>
      <c r="L608">
        <f t="shared" si="9"/>
        <v>3.26</v>
      </c>
    </row>
    <row r="609" spans="1:12" x14ac:dyDescent="0.15">
      <c r="A609" s="1">
        <v>608</v>
      </c>
      <c r="B609" s="4">
        <v>41135</v>
      </c>
      <c r="C609" s="1" t="s">
        <v>21</v>
      </c>
      <c r="D609" s="1" t="s">
        <v>15</v>
      </c>
      <c r="E609" s="1">
        <v>0.68298611111111107</v>
      </c>
      <c r="F609" s="1" t="s">
        <v>13</v>
      </c>
      <c r="G609" s="1">
        <v>3.13</v>
      </c>
      <c r="H609" s="1">
        <v>3.16</v>
      </c>
      <c r="I609" s="1">
        <v>0</v>
      </c>
      <c r="J609" s="4">
        <v>41136</v>
      </c>
      <c r="K609" s="4">
        <v>43692</v>
      </c>
      <c r="L609">
        <f t="shared" si="9"/>
        <v>3.145</v>
      </c>
    </row>
    <row r="610" spans="1:12" x14ac:dyDescent="0.15">
      <c r="A610" s="1">
        <v>609</v>
      </c>
      <c r="B610" s="4">
        <v>41135</v>
      </c>
      <c r="C610" s="1" t="s">
        <v>14</v>
      </c>
      <c r="D610" s="1" t="s">
        <v>15</v>
      </c>
      <c r="E610" s="1">
        <v>0.68298611111111107</v>
      </c>
      <c r="F610" s="1" t="s">
        <v>13</v>
      </c>
      <c r="G610" s="1">
        <v>3.14</v>
      </c>
      <c r="H610" s="1">
        <v>3.21</v>
      </c>
      <c r="I610" s="1">
        <v>0</v>
      </c>
      <c r="J610" s="4">
        <v>41136</v>
      </c>
      <c r="K610" s="4">
        <v>41501</v>
      </c>
      <c r="L610">
        <f t="shared" si="9"/>
        <v>3.1749999999999998</v>
      </c>
    </row>
    <row r="611" spans="1:12" x14ac:dyDescent="0.15">
      <c r="A611" s="1">
        <v>610</v>
      </c>
      <c r="B611" s="4">
        <v>41135</v>
      </c>
      <c r="C611" s="1" t="s">
        <v>22</v>
      </c>
      <c r="D611" s="1" t="s">
        <v>15</v>
      </c>
      <c r="E611" s="1">
        <v>0.68298611111111107</v>
      </c>
      <c r="F611" s="1" t="s">
        <v>13</v>
      </c>
      <c r="G611" s="1">
        <v>3.36</v>
      </c>
      <c r="H611" s="1">
        <v>3.42</v>
      </c>
      <c r="I611" s="1">
        <v>0</v>
      </c>
      <c r="J611" s="4">
        <v>41136</v>
      </c>
      <c r="K611" s="4">
        <v>41320</v>
      </c>
      <c r="L611">
        <f t="shared" si="9"/>
        <v>3.3899999999999997</v>
      </c>
    </row>
    <row r="612" spans="1:12" x14ac:dyDescent="0.15">
      <c r="A612" s="1">
        <v>611</v>
      </c>
      <c r="B612" s="4">
        <v>41135</v>
      </c>
      <c r="C612" s="1" t="s">
        <v>14</v>
      </c>
      <c r="D612" s="1" t="s">
        <v>27</v>
      </c>
      <c r="E612" s="1">
        <v>0.49723379629629627</v>
      </c>
      <c r="F612" s="1" t="s">
        <v>13</v>
      </c>
      <c r="G612" s="1">
        <v>3.17</v>
      </c>
      <c r="H612" s="1">
        <v>3.23</v>
      </c>
      <c r="I612" s="1">
        <v>0</v>
      </c>
      <c r="J612" s="4">
        <v>41136</v>
      </c>
      <c r="K612" s="4">
        <v>41501</v>
      </c>
      <c r="L612">
        <f t="shared" si="9"/>
        <v>3.2</v>
      </c>
    </row>
    <row r="613" spans="1:12" x14ac:dyDescent="0.15">
      <c r="A613" s="1">
        <v>612</v>
      </c>
      <c r="B613" s="4">
        <v>41135</v>
      </c>
      <c r="C613" s="1" t="s">
        <v>11</v>
      </c>
      <c r="D613" s="1" t="s">
        <v>27</v>
      </c>
      <c r="E613" s="1">
        <v>0.49723379629629627</v>
      </c>
      <c r="F613" s="1" t="s">
        <v>13</v>
      </c>
      <c r="G613" s="1">
        <v>3.01</v>
      </c>
      <c r="H613" s="1">
        <v>3.08</v>
      </c>
      <c r="I613" s="1">
        <v>0</v>
      </c>
      <c r="J613" s="4">
        <v>41136</v>
      </c>
      <c r="K613" s="4">
        <v>42231</v>
      </c>
      <c r="L613">
        <f t="shared" si="9"/>
        <v>3.0449999999999999</v>
      </c>
    </row>
    <row r="614" spans="1:12" x14ac:dyDescent="0.15">
      <c r="A614" s="1">
        <v>613</v>
      </c>
      <c r="B614" s="4">
        <v>41135</v>
      </c>
      <c r="C614" s="1" t="s">
        <v>19</v>
      </c>
      <c r="D614" s="1" t="s">
        <v>27</v>
      </c>
      <c r="E614" s="1">
        <v>0.49723379629629627</v>
      </c>
      <c r="F614" s="1" t="s">
        <v>13</v>
      </c>
      <c r="G614" s="1">
        <v>3.21</v>
      </c>
      <c r="H614" s="1">
        <v>3.31</v>
      </c>
      <c r="I614" s="1">
        <v>0</v>
      </c>
      <c r="J614" s="4">
        <v>41136</v>
      </c>
      <c r="K614" s="4">
        <v>41409</v>
      </c>
      <c r="L614">
        <f t="shared" si="9"/>
        <v>3.26</v>
      </c>
    </row>
    <row r="615" spans="1:12" x14ac:dyDescent="0.15">
      <c r="A615" s="1">
        <v>614</v>
      </c>
      <c r="B615" s="4">
        <v>41135</v>
      </c>
      <c r="C615" s="1" t="s">
        <v>25</v>
      </c>
      <c r="D615" s="1" t="s">
        <v>27</v>
      </c>
      <c r="E615" s="1">
        <v>0.49723379629629627</v>
      </c>
      <c r="F615" s="1" t="s">
        <v>13</v>
      </c>
      <c r="G615" s="1">
        <v>3.04</v>
      </c>
      <c r="H615" s="1">
        <v>3.09</v>
      </c>
      <c r="I615" s="1">
        <v>0</v>
      </c>
      <c r="J615" s="4">
        <v>41136</v>
      </c>
      <c r="K615" s="4">
        <v>42962</v>
      </c>
      <c r="L615">
        <f t="shared" si="9"/>
        <v>3.0649999999999999</v>
      </c>
    </row>
    <row r="616" spans="1:12" x14ac:dyDescent="0.15">
      <c r="A616" s="1">
        <v>615</v>
      </c>
      <c r="B616" s="4">
        <v>41135</v>
      </c>
      <c r="C616" s="1" t="s">
        <v>22</v>
      </c>
      <c r="D616" s="1" t="s">
        <v>27</v>
      </c>
      <c r="E616" s="1">
        <v>0.49723379629629627</v>
      </c>
      <c r="F616" s="1" t="s">
        <v>13</v>
      </c>
      <c r="G616" s="1">
        <v>3.33</v>
      </c>
      <c r="H616" s="1">
        <v>3.43</v>
      </c>
      <c r="I616" s="1">
        <v>0</v>
      </c>
      <c r="J616" s="4">
        <v>41136</v>
      </c>
      <c r="K616" s="4">
        <v>41320</v>
      </c>
      <c r="L616">
        <f t="shared" si="9"/>
        <v>3.38</v>
      </c>
    </row>
    <row r="617" spans="1:12" x14ac:dyDescent="0.15">
      <c r="A617" s="1">
        <v>616</v>
      </c>
      <c r="B617" s="4">
        <v>41135</v>
      </c>
      <c r="C617" s="1" t="s">
        <v>16</v>
      </c>
      <c r="D617" s="1" t="s">
        <v>15</v>
      </c>
      <c r="E617" s="1">
        <v>0.48668981481481483</v>
      </c>
      <c r="F617" s="1" t="s">
        <v>13</v>
      </c>
      <c r="G617" s="1">
        <v>3.03</v>
      </c>
      <c r="H617" s="1">
        <v>3.09</v>
      </c>
      <c r="I617" s="1">
        <v>0</v>
      </c>
      <c r="J617" s="4">
        <v>41136</v>
      </c>
      <c r="K617" s="4">
        <v>42597</v>
      </c>
      <c r="L617">
        <f t="shared" si="9"/>
        <v>3.0599999999999996</v>
      </c>
    </row>
    <row r="618" spans="1:12" x14ac:dyDescent="0.15">
      <c r="A618" s="1">
        <v>617</v>
      </c>
      <c r="B618" s="4">
        <v>41135</v>
      </c>
      <c r="C618" s="1" t="s">
        <v>25</v>
      </c>
      <c r="D618" s="1" t="s">
        <v>15</v>
      </c>
      <c r="E618" s="1">
        <v>0.48668981481481483</v>
      </c>
      <c r="F618" s="1" t="s">
        <v>13</v>
      </c>
      <c r="G618" s="1">
        <v>3.04</v>
      </c>
      <c r="H618" s="1">
        <v>3.1</v>
      </c>
      <c r="I618" s="1">
        <v>0</v>
      </c>
      <c r="J618" s="4">
        <v>41136</v>
      </c>
      <c r="K618" s="4">
        <v>42962</v>
      </c>
      <c r="L618">
        <f t="shared" si="9"/>
        <v>3.0700000000000003</v>
      </c>
    </row>
    <row r="619" spans="1:12" x14ac:dyDescent="0.15">
      <c r="A619" s="1">
        <v>618</v>
      </c>
      <c r="B619" s="4">
        <v>41135</v>
      </c>
      <c r="C619" s="1" t="s">
        <v>18</v>
      </c>
      <c r="D619" s="1" t="s">
        <v>27</v>
      </c>
      <c r="E619" s="1">
        <v>0.49723379629629627</v>
      </c>
      <c r="F619" s="1" t="s">
        <v>13</v>
      </c>
      <c r="G619" s="1">
        <v>3.04</v>
      </c>
      <c r="H619" s="1">
        <v>3.13</v>
      </c>
      <c r="I619" s="1">
        <v>0</v>
      </c>
      <c r="J619" s="4">
        <v>41136</v>
      </c>
      <c r="K619" s="4">
        <v>41866</v>
      </c>
      <c r="L619">
        <f t="shared" si="9"/>
        <v>3.085</v>
      </c>
    </row>
    <row r="620" spans="1:12" x14ac:dyDescent="0.15">
      <c r="A620" s="1">
        <v>619</v>
      </c>
      <c r="B620" s="4">
        <v>41135</v>
      </c>
      <c r="C620" s="1" t="s">
        <v>11</v>
      </c>
      <c r="D620" s="1" t="s">
        <v>15</v>
      </c>
      <c r="E620" s="1">
        <v>0.48670138888888892</v>
      </c>
      <c r="F620" s="1" t="s">
        <v>13</v>
      </c>
      <c r="G620" s="1">
        <v>3.01</v>
      </c>
      <c r="H620" s="1">
        <v>3.07</v>
      </c>
      <c r="I620" s="1">
        <v>0</v>
      </c>
      <c r="J620" s="4">
        <v>41136</v>
      </c>
      <c r="K620" s="4">
        <v>42231</v>
      </c>
      <c r="L620">
        <f t="shared" si="9"/>
        <v>3.04</v>
      </c>
    </row>
    <row r="621" spans="1:12" x14ac:dyDescent="0.15">
      <c r="A621" s="1">
        <v>620</v>
      </c>
      <c r="B621" s="4">
        <v>41135</v>
      </c>
      <c r="C621" s="1" t="s">
        <v>16</v>
      </c>
      <c r="D621" s="1" t="s">
        <v>27</v>
      </c>
      <c r="E621" s="1">
        <v>0.49723379629629627</v>
      </c>
      <c r="F621" s="1" t="s">
        <v>13</v>
      </c>
      <c r="G621" s="1">
        <v>3.03</v>
      </c>
      <c r="H621" s="1">
        <v>3.1</v>
      </c>
      <c r="I621" s="1">
        <v>0</v>
      </c>
      <c r="J621" s="4">
        <v>41136</v>
      </c>
      <c r="K621" s="4">
        <v>42597</v>
      </c>
      <c r="L621">
        <f t="shared" si="9"/>
        <v>3.0649999999999999</v>
      </c>
    </row>
    <row r="622" spans="1:12" x14ac:dyDescent="0.15">
      <c r="A622" s="1">
        <v>621</v>
      </c>
      <c r="B622" s="4">
        <v>41135</v>
      </c>
      <c r="C622" s="1" t="s">
        <v>23</v>
      </c>
      <c r="D622" s="1" t="s">
        <v>26</v>
      </c>
      <c r="E622" s="1">
        <v>0.67449074074074078</v>
      </c>
      <c r="F622" s="1" t="s">
        <v>13</v>
      </c>
      <c r="G622" s="1">
        <v>3</v>
      </c>
      <c r="H622" s="1">
        <v>3.3</v>
      </c>
      <c r="I622" s="1">
        <v>0</v>
      </c>
      <c r="J622" s="4">
        <v>41136</v>
      </c>
      <c r="K622" s="4">
        <v>43327</v>
      </c>
      <c r="L622">
        <f t="shared" si="9"/>
        <v>3.15</v>
      </c>
    </row>
    <row r="623" spans="1:12" x14ac:dyDescent="0.15">
      <c r="A623" s="1">
        <v>622</v>
      </c>
      <c r="B623" s="4">
        <v>41135</v>
      </c>
      <c r="C623" s="1" t="s">
        <v>21</v>
      </c>
      <c r="D623" s="1" t="s">
        <v>26</v>
      </c>
      <c r="E623" s="1">
        <v>0.67449074074074078</v>
      </c>
      <c r="F623" s="1" t="s">
        <v>13</v>
      </c>
      <c r="G623" s="1">
        <v>3</v>
      </c>
      <c r="H623" s="1">
        <v>3.3</v>
      </c>
      <c r="I623" s="1">
        <v>0</v>
      </c>
      <c r="J623" s="4">
        <v>41136</v>
      </c>
      <c r="K623" s="4">
        <v>43692</v>
      </c>
      <c r="L623">
        <f t="shared" si="9"/>
        <v>3.15</v>
      </c>
    </row>
    <row r="624" spans="1:12" x14ac:dyDescent="0.15">
      <c r="A624" s="1">
        <v>623</v>
      </c>
      <c r="B624" s="4">
        <v>41135</v>
      </c>
      <c r="C624" s="1" t="s">
        <v>25</v>
      </c>
      <c r="D624" s="1" t="s">
        <v>26</v>
      </c>
      <c r="E624" s="1">
        <v>0.67450231481481471</v>
      </c>
      <c r="F624" s="1" t="s">
        <v>13</v>
      </c>
      <c r="G624" s="1">
        <v>3.05</v>
      </c>
      <c r="H624" s="1">
        <v>3.1</v>
      </c>
      <c r="I624" s="1">
        <v>0</v>
      </c>
      <c r="J624" s="4">
        <v>41136</v>
      </c>
      <c r="K624" s="4">
        <v>42962</v>
      </c>
      <c r="L624">
        <f t="shared" si="9"/>
        <v>3.0750000000000002</v>
      </c>
    </row>
    <row r="625" spans="1:12" x14ac:dyDescent="0.15">
      <c r="A625" s="1">
        <v>624</v>
      </c>
      <c r="B625" s="4">
        <v>41135</v>
      </c>
      <c r="C625" s="1" t="s">
        <v>22</v>
      </c>
      <c r="D625" s="1" t="s">
        <v>26</v>
      </c>
      <c r="E625" s="1">
        <v>0.67449074074074078</v>
      </c>
      <c r="F625" s="1" t="s">
        <v>13</v>
      </c>
      <c r="G625" s="1">
        <v>3.3</v>
      </c>
      <c r="H625" s="1">
        <v>3.5</v>
      </c>
      <c r="I625" s="1">
        <v>0</v>
      </c>
      <c r="J625" s="4">
        <v>41136</v>
      </c>
      <c r="K625" s="4">
        <v>41320</v>
      </c>
      <c r="L625">
        <f t="shared" si="9"/>
        <v>3.4</v>
      </c>
    </row>
    <row r="626" spans="1:12" x14ac:dyDescent="0.15">
      <c r="A626" s="1">
        <v>625</v>
      </c>
      <c r="B626" s="4">
        <v>41135</v>
      </c>
      <c r="C626" s="1" t="s">
        <v>17</v>
      </c>
      <c r="D626" s="1" t="s">
        <v>26</v>
      </c>
      <c r="E626" s="1">
        <v>0.67449074074074078</v>
      </c>
      <c r="F626" s="1" t="s">
        <v>13</v>
      </c>
      <c r="G626" s="1">
        <v>3</v>
      </c>
      <c r="H626" s="1">
        <v>3.3</v>
      </c>
      <c r="I626" s="1">
        <v>0</v>
      </c>
      <c r="J626" s="4">
        <v>41136</v>
      </c>
      <c r="K626" s="4">
        <v>44423</v>
      </c>
      <c r="L626">
        <f t="shared" si="9"/>
        <v>3.15</v>
      </c>
    </row>
    <row r="627" spans="1:12" x14ac:dyDescent="0.15">
      <c r="A627" s="1">
        <v>626</v>
      </c>
      <c r="B627" s="4">
        <v>41135</v>
      </c>
      <c r="C627" s="1" t="s">
        <v>24</v>
      </c>
      <c r="D627" s="1" t="s">
        <v>26</v>
      </c>
      <c r="E627" s="1">
        <v>0.67449074074074078</v>
      </c>
      <c r="F627" s="1" t="s">
        <v>13</v>
      </c>
      <c r="G627" s="1">
        <v>3</v>
      </c>
      <c r="H627" s="1">
        <v>3.3</v>
      </c>
      <c r="I627" s="1">
        <v>0</v>
      </c>
      <c r="J627" s="4">
        <v>41136</v>
      </c>
      <c r="K627" s="4">
        <v>44058</v>
      </c>
      <c r="L627">
        <f t="shared" si="9"/>
        <v>3.15</v>
      </c>
    </row>
    <row r="628" spans="1:12" x14ac:dyDescent="0.15">
      <c r="A628" s="1">
        <v>627</v>
      </c>
      <c r="B628" s="4">
        <v>41135</v>
      </c>
      <c r="C628" s="1" t="s">
        <v>14</v>
      </c>
      <c r="D628" s="1" t="s">
        <v>26</v>
      </c>
      <c r="E628" s="1">
        <v>0.67449074074074078</v>
      </c>
      <c r="F628" s="1" t="s">
        <v>13</v>
      </c>
      <c r="G628" s="1">
        <v>3.1</v>
      </c>
      <c r="H628" s="1">
        <v>3.15</v>
      </c>
      <c r="I628" s="1">
        <v>0</v>
      </c>
      <c r="J628" s="4">
        <v>41136</v>
      </c>
      <c r="K628" s="4">
        <v>41501</v>
      </c>
      <c r="L628">
        <f t="shared" si="9"/>
        <v>3.125</v>
      </c>
    </row>
    <row r="629" spans="1:12" x14ac:dyDescent="0.15">
      <c r="A629" s="1">
        <v>628</v>
      </c>
      <c r="B629" s="4">
        <v>41135</v>
      </c>
      <c r="C629" s="1" t="s">
        <v>18</v>
      </c>
      <c r="D629" s="1" t="s">
        <v>26</v>
      </c>
      <c r="E629" s="1">
        <v>0.67449074074074078</v>
      </c>
      <c r="F629" s="1" t="s">
        <v>13</v>
      </c>
      <c r="G629" s="1">
        <v>3</v>
      </c>
      <c r="H629" s="1">
        <v>3.05</v>
      </c>
      <c r="I629" s="1">
        <v>0</v>
      </c>
      <c r="J629" s="4">
        <v>41136</v>
      </c>
      <c r="K629" s="4">
        <v>41866</v>
      </c>
      <c r="L629">
        <f t="shared" si="9"/>
        <v>3.0249999999999999</v>
      </c>
    </row>
    <row r="630" spans="1:12" x14ac:dyDescent="0.15">
      <c r="A630" s="1">
        <v>629</v>
      </c>
      <c r="B630" s="4">
        <v>41135</v>
      </c>
      <c r="C630" s="1" t="s">
        <v>20</v>
      </c>
      <c r="D630" s="1" t="s">
        <v>26</v>
      </c>
      <c r="E630" s="1">
        <v>0.67449074074074078</v>
      </c>
      <c r="F630" s="1" t="s">
        <v>13</v>
      </c>
      <c r="G630" s="1">
        <v>3</v>
      </c>
      <c r="H630" s="1">
        <v>3.3</v>
      </c>
      <c r="I630" s="1">
        <v>0</v>
      </c>
      <c r="J630" s="4">
        <v>41136</v>
      </c>
      <c r="K630" s="4">
        <v>44788</v>
      </c>
      <c r="L630">
        <f t="shared" si="9"/>
        <v>3.15</v>
      </c>
    </row>
    <row r="631" spans="1:12" x14ac:dyDescent="0.15">
      <c r="A631" s="1">
        <v>630</v>
      </c>
      <c r="B631" s="4">
        <v>41134</v>
      </c>
      <c r="C631" s="1" t="s">
        <v>20</v>
      </c>
      <c r="D631" s="1" t="s">
        <v>12</v>
      </c>
      <c r="E631" s="1">
        <v>0.48857638888888894</v>
      </c>
      <c r="F631" s="1" t="s">
        <v>13</v>
      </c>
      <c r="G631" s="1">
        <v>2.99</v>
      </c>
      <c r="H631" s="1">
        <v>3.39</v>
      </c>
      <c r="I631" s="1">
        <v>0</v>
      </c>
      <c r="J631" s="4">
        <v>41135</v>
      </c>
      <c r="K631" s="4">
        <v>44787</v>
      </c>
      <c r="L631">
        <f t="shared" si="9"/>
        <v>3.1900000000000004</v>
      </c>
    </row>
    <row r="632" spans="1:12" x14ac:dyDescent="0.15">
      <c r="A632" s="1">
        <v>631</v>
      </c>
      <c r="B632" s="4">
        <v>41134</v>
      </c>
      <c r="C632" s="1" t="s">
        <v>19</v>
      </c>
      <c r="D632" s="1" t="s">
        <v>12</v>
      </c>
      <c r="E632" s="1">
        <v>0.48857638888888894</v>
      </c>
      <c r="F632" s="1" t="s">
        <v>13</v>
      </c>
      <c r="G632" s="1">
        <v>3.23</v>
      </c>
      <c r="H632" s="1">
        <v>3.33</v>
      </c>
      <c r="I632" s="1">
        <v>0</v>
      </c>
      <c r="J632" s="4">
        <v>41135</v>
      </c>
      <c r="K632" s="4">
        <v>41408</v>
      </c>
      <c r="L632">
        <f t="shared" si="9"/>
        <v>3.2800000000000002</v>
      </c>
    </row>
    <row r="633" spans="1:12" x14ac:dyDescent="0.15">
      <c r="A633" s="1">
        <v>632</v>
      </c>
      <c r="B633" s="4">
        <v>41134</v>
      </c>
      <c r="C633" s="1" t="s">
        <v>24</v>
      </c>
      <c r="D633" s="1" t="s">
        <v>12</v>
      </c>
      <c r="E633" s="1">
        <v>0.48857638888888894</v>
      </c>
      <c r="F633" s="1" t="s">
        <v>13</v>
      </c>
      <c r="G633" s="1">
        <v>2.96</v>
      </c>
      <c r="H633" s="1">
        <v>3.36</v>
      </c>
      <c r="I633" s="1">
        <v>0</v>
      </c>
      <c r="J633" s="4">
        <v>41135</v>
      </c>
      <c r="K633" s="4">
        <v>44057</v>
      </c>
      <c r="L633">
        <f t="shared" si="9"/>
        <v>3.16</v>
      </c>
    </row>
    <row r="634" spans="1:12" x14ac:dyDescent="0.15">
      <c r="A634" s="1">
        <v>633</v>
      </c>
      <c r="B634" s="4">
        <v>41134</v>
      </c>
      <c r="C634" s="1" t="s">
        <v>16</v>
      </c>
      <c r="D634" s="1" t="s">
        <v>12</v>
      </c>
      <c r="E634" s="1">
        <v>0.48857638888888894</v>
      </c>
      <c r="F634" s="1" t="s">
        <v>13</v>
      </c>
      <c r="G634" s="1">
        <v>2.98</v>
      </c>
      <c r="H634" s="1">
        <v>3.08</v>
      </c>
      <c r="I634" s="1">
        <v>0</v>
      </c>
      <c r="J634" s="4">
        <v>41135</v>
      </c>
      <c r="K634" s="4">
        <v>42596</v>
      </c>
      <c r="L634">
        <f t="shared" si="9"/>
        <v>3.0300000000000002</v>
      </c>
    </row>
    <row r="635" spans="1:12" x14ac:dyDescent="0.15">
      <c r="A635" s="1">
        <v>634</v>
      </c>
      <c r="B635" s="4">
        <v>41134</v>
      </c>
      <c r="C635" s="1" t="s">
        <v>25</v>
      </c>
      <c r="D635" s="1" t="s">
        <v>12</v>
      </c>
      <c r="E635" s="1">
        <v>0.48857638888888894</v>
      </c>
      <c r="F635" s="1" t="s">
        <v>13</v>
      </c>
      <c r="G635" s="1">
        <v>3</v>
      </c>
      <c r="H635" s="1">
        <v>3.1</v>
      </c>
      <c r="I635" s="1">
        <v>0</v>
      </c>
      <c r="J635" s="4">
        <v>41135</v>
      </c>
      <c r="K635" s="4">
        <v>42961</v>
      </c>
      <c r="L635">
        <f t="shared" si="9"/>
        <v>3.05</v>
      </c>
    </row>
    <row r="636" spans="1:12" x14ac:dyDescent="0.15">
      <c r="A636" s="1">
        <v>635</v>
      </c>
      <c r="B636" s="4">
        <v>41134</v>
      </c>
      <c r="C636" s="1" t="s">
        <v>14</v>
      </c>
      <c r="D636" s="1" t="s">
        <v>12</v>
      </c>
      <c r="E636" s="1">
        <v>0.48856481481481479</v>
      </c>
      <c r="F636" s="1" t="s">
        <v>13</v>
      </c>
      <c r="G636" s="1">
        <v>3.13</v>
      </c>
      <c r="H636" s="1">
        <v>3.23</v>
      </c>
      <c r="I636" s="1">
        <v>0</v>
      </c>
      <c r="J636" s="4">
        <v>41135</v>
      </c>
      <c r="K636" s="4">
        <v>41500</v>
      </c>
      <c r="L636">
        <f t="shared" si="9"/>
        <v>3.1799999999999997</v>
      </c>
    </row>
    <row r="637" spans="1:12" x14ac:dyDescent="0.15">
      <c r="A637" s="1">
        <v>636</v>
      </c>
      <c r="B637" s="4">
        <v>41134</v>
      </c>
      <c r="C637" s="1" t="s">
        <v>22</v>
      </c>
      <c r="D637" s="1" t="s">
        <v>12</v>
      </c>
      <c r="E637" s="1">
        <v>0.48856481481481479</v>
      </c>
      <c r="F637" s="1" t="s">
        <v>13</v>
      </c>
      <c r="G637" s="1">
        <v>3.34</v>
      </c>
      <c r="H637" s="1">
        <v>3.44</v>
      </c>
      <c r="I637" s="1">
        <v>0</v>
      </c>
      <c r="J637" s="4">
        <v>41135</v>
      </c>
      <c r="K637" s="4">
        <v>41319</v>
      </c>
      <c r="L637">
        <f t="shared" si="9"/>
        <v>3.3899999999999997</v>
      </c>
    </row>
    <row r="638" spans="1:12" x14ac:dyDescent="0.15">
      <c r="A638" s="1">
        <v>637</v>
      </c>
      <c r="B638" s="4">
        <v>41134</v>
      </c>
      <c r="C638" s="1" t="s">
        <v>18</v>
      </c>
      <c r="D638" s="1" t="s">
        <v>12</v>
      </c>
      <c r="E638" s="1">
        <v>0.48856481481481479</v>
      </c>
      <c r="F638" s="1" t="s">
        <v>13</v>
      </c>
      <c r="G638" s="1">
        <v>2.98</v>
      </c>
      <c r="H638" s="1">
        <v>3.08</v>
      </c>
      <c r="I638" s="1">
        <v>0</v>
      </c>
      <c r="J638" s="4">
        <v>41135</v>
      </c>
      <c r="K638" s="4">
        <v>41865</v>
      </c>
      <c r="L638">
        <f t="shared" si="9"/>
        <v>3.0300000000000002</v>
      </c>
    </row>
    <row r="639" spans="1:12" x14ac:dyDescent="0.15">
      <c r="A639" s="1">
        <v>638</v>
      </c>
      <c r="B639" s="4">
        <v>41134</v>
      </c>
      <c r="C639" s="1" t="s">
        <v>21</v>
      </c>
      <c r="D639" s="1" t="s">
        <v>12</v>
      </c>
      <c r="E639" s="1">
        <v>0.48857638888888894</v>
      </c>
      <c r="F639" s="1" t="s">
        <v>13</v>
      </c>
      <c r="G639" s="1">
        <v>2.95</v>
      </c>
      <c r="H639" s="1">
        <v>3.35</v>
      </c>
      <c r="I639" s="1">
        <v>0</v>
      </c>
      <c r="J639" s="4">
        <v>41135</v>
      </c>
      <c r="K639" s="4">
        <v>43691</v>
      </c>
      <c r="L639">
        <f t="shared" si="9"/>
        <v>3.1500000000000004</v>
      </c>
    </row>
    <row r="640" spans="1:12" x14ac:dyDescent="0.15">
      <c r="A640" s="1">
        <v>639</v>
      </c>
      <c r="B640" s="4">
        <v>41134</v>
      </c>
      <c r="C640" s="1" t="s">
        <v>11</v>
      </c>
      <c r="D640" s="1" t="s">
        <v>12</v>
      </c>
      <c r="E640" s="1">
        <v>0.48857638888888894</v>
      </c>
      <c r="F640" s="1" t="s">
        <v>13</v>
      </c>
      <c r="G640" s="1">
        <v>2.98</v>
      </c>
      <c r="H640" s="1">
        <v>3.08</v>
      </c>
      <c r="I640" s="1">
        <v>0</v>
      </c>
      <c r="J640" s="4">
        <v>41135</v>
      </c>
      <c r="K640" s="4">
        <v>42230</v>
      </c>
      <c r="L640">
        <f t="shared" si="9"/>
        <v>3.0300000000000002</v>
      </c>
    </row>
    <row r="641" spans="1:12" x14ac:dyDescent="0.15">
      <c r="A641" s="1">
        <v>640</v>
      </c>
      <c r="B641" s="4">
        <v>41134</v>
      </c>
      <c r="C641" s="1" t="s">
        <v>25</v>
      </c>
      <c r="D641" s="1" t="s">
        <v>15</v>
      </c>
      <c r="E641" s="1">
        <v>0.49019675925925926</v>
      </c>
      <c r="F641" s="1" t="s">
        <v>13</v>
      </c>
      <c r="G641" s="1">
        <v>3.06</v>
      </c>
      <c r="H641" s="1">
        <v>3.12</v>
      </c>
      <c r="I641" s="1">
        <v>0</v>
      </c>
      <c r="J641" s="4">
        <v>41135</v>
      </c>
      <c r="K641" s="4">
        <v>42961</v>
      </c>
      <c r="L641">
        <f t="shared" si="9"/>
        <v>3.09</v>
      </c>
    </row>
    <row r="642" spans="1:12" x14ac:dyDescent="0.15">
      <c r="A642" s="1">
        <v>641</v>
      </c>
      <c r="B642" s="4">
        <v>41134</v>
      </c>
      <c r="C642" s="1" t="s">
        <v>20</v>
      </c>
      <c r="D642" s="1" t="s">
        <v>15</v>
      </c>
      <c r="E642" s="1">
        <v>0.49019675925925926</v>
      </c>
      <c r="F642" s="1" t="s">
        <v>13</v>
      </c>
      <c r="G642" s="1">
        <v>3.17</v>
      </c>
      <c r="H642" s="1">
        <v>3.23</v>
      </c>
      <c r="I642" s="1">
        <v>0</v>
      </c>
      <c r="J642" s="4">
        <v>41135</v>
      </c>
      <c r="K642" s="4">
        <v>44787</v>
      </c>
      <c r="L642">
        <f t="shared" si="9"/>
        <v>3.2</v>
      </c>
    </row>
    <row r="643" spans="1:12" x14ac:dyDescent="0.15">
      <c r="A643" s="1">
        <v>642</v>
      </c>
      <c r="B643" s="4">
        <v>41134</v>
      </c>
      <c r="C643" s="1" t="s">
        <v>14</v>
      </c>
      <c r="D643" s="1" t="s">
        <v>15</v>
      </c>
      <c r="E643" s="1">
        <v>0.49019675925925926</v>
      </c>
      <c r="F643" s="1" t="s">
        <v>13</v>
      </c>
      <c r="G643" s="1">
        <v>3.17</v>
      </c>
      <c r="H643" s="1">
        <v>3.23</v>
      </c>
      <c r="I643" s="1">
        <v>0</v>
      </c>
      <c r="J643" s="4">
        <v>41135</v>
      </c>
      <c r="K643" s="4">
        <v>41500</v>
      </c>
      <c r="L643">
        <f t="shared" ref="L643:L706" si="10">AVERAGE(G643:H643)</f>
        <v>3.2</v>
      </c>
    </row>
    <row r="644" spans="1:12" x14ac:dyDescent="0.15">
      <c r="A644" s="1">
        <v>643</v>
      </c>
      <c r="B644" s="4">
        <v>41134</v>
      </c>
      <c r="C644" s="1" t="s">
        <v>11</v>
      </c>
      <c r="D644" s="1" t="s">
        <v>15</v>
      </c>
      <c r="E644" s="1">
        <v>0.49020833333333336</v>
      </c>
      <c r="F644" s="1" t="s">
        <v>13</v>
      </c>
      <c r="G644" s="1">
        <v>3.04</v>
      </c>
      <c r="H644" s="1">
        <v>3.1</v>
      </c>
      <c r="I644" s="1">
        <v>0</v>
      </c>
      <c r="J644" s="4">
        <v>41135</v>
      </c>
      <c r="K644" s="4">
        <v>42230</v>
      </c>
      <c r="L644">
        <f t="shared" si="10"/>
        <v>3.0700000000000003</v>
      </c>
    </row>
    <row r="645" spans="1:12" x14ac:dyDescent="0.15">
      <c r="A645" s="1">
        <v>644</v>
      </c>
      <c r="B645" s="4">
        <v>41134</v>
      </c>
      <c r="C645" s="1" t="s">
        <v>16</v>
      </c>
      <c r="D645" s="1" t="s">
        <v>15</v>
      </c>
      <c r="E645" s="1">
        <v>0.49020833333333336</v>
      </c>
      <c r="F645" s="1" t="s">
        <v>13</v>
      </c>
      <c r="G645" s="1">
        <v>3.03</v>
      </c>
      <c r="H645" s="1">
        <v>3.09</v>
      </c>
      <c r="I645" s="1">
        <v>0</v>
      </c>
      <c r="J645" s="4">
        <v>41135</v>
      </c>
      <c r="K645" s="4">
        <v>42596</v>
      </c>
      <c r="L645">
        <f t="shared" si="10"/>
        <v>3.0599999999999996</v>
      </c>
    </row>
    <row r="646" spans="1:12" x14ac:dyDescent="0.15">
      <c r="A646" s="1">
        <v>645</v>
      </c>
      <c r="B646" s="4">
        <v>41134</v>
      </c>
      <c r="C646" s="1" t="s">
        <v>22</v>
      </c>
      <c r="D646" s="1" t="s">
        <v>15</v>
      </c>
      <c r="E646" s="1">
        <v>0.49018518518518522</v>
      </c>
      <c r="F646" s="1" t="s">
        <v>13</v>
      </c>
      <c r="G646" s="1">
        <v>3.42</v>
      </c>
      <c r="H646" s="1">
        <v>3.48</v>
      </c>
      <c r="I646" s="1">
        <v>0</v>
      </c>
      <c r="J646" s="4">
        <v>41135</v>
      </c>
      <c r="K646" s="4">
        <v>41319</v>
      </c>
      <c r="L646">
        <f t="shared" si="10"/>
        <v>3.45</v>
      </c>
    </row>
    <row r="647" spans="1:12" x14ac:dyDescent="0.15">
      <c r="A647" s="1">
        <v>646</v>
      </c>
      <c r="B647" s="4">
        <v>41134</v>
      </c>
      <c r="C647" s="1" t="s">
        <v>17</v>
      </c>
      <c r="D647" s="1" t="s">
        <v>12</v>
      </c>
      <c r="E647" s="1">
        <v>0.48857638888888894</v>
      </c>
      <c r="F647" s="1" t="s">
        <v>13</v>
      </c>
      <c r="G647" s="1">
        <v>2.98</v>
      </c>
      <c r="H647" s="1">
        <v>3.38</v>
      </c>
      <c r="I647" s="1">
        <v>0</v>
      </c>
      <c r="J647" s="4">
        <v>41135</v>
      </c>
      <c r="K647" s="4">
        <v>44422</v>
      </c>
      <c r="L647">
        <f t="shared" si="10"/>
        <v>3.1799999999999997</v>
      </c>
    </row>
    <row r="648" spans="1:12" x14ac:dyDescent="0.15">
      <c r="A648" s="1">
        <v>647</v>
      </c>
      <c r="B648" s="4">
        <v>41134</v>
      </c>
      <c r="C648" s="1" t="s">
        <v>18</v>
      </c>
      <c r="D648" s="1" t="s">
        <v>15</v>
      </c>
      <c r="E648" s="1">
        <v>0.49019675925925926</v>
      </c>
      <c r="F648" s="1" t="s">
        <v>13</v>
      </c>
      <c r="G648" s="1">
        <v>3.07</v>
      </c>
      <c r="H648" s="1">
        <v>3.13</v>
      </c>
      <c r="I648" s="1">
        <v>0</v>
      </c>
      <c r="J648" s="4">
        <v>41135</v>
      </c>
      <c r="K648" s="4">
        <v>41865</v>
      </c>
      <c r="L648">
        <f t="shared" si="10"/>
        <v>3.0999999999999996</v>
      </c>
    </row>
    <row r="649" spans="1:12" x14ac:dyDescent="0.15">
      <c r="A649" s="1">
        <v>648</v>
      </c>
      <c r="B649" s="4">
        <v>41134</v>
      </c>
      <c r="C649" s="1" t="s">
        <v>19</v>
      </c>
      <c r="D649" s="1" t="s">
        <v>15</v>
      </c>
      <c r="E649" s="1">
        <v>0.49019675925925926</v>
      </c>
      <c r="F649" s="1" t="s">
        <v>13</v>
      </c>
      <c r="G649" s="1">
        <v>3.27</v>
      </c>
      <c r="H649" s="1">
        <v>3.33</v>
      </c>
      <c r="I649" s="1">
        <v>0</v>
      </c>
      <c r="J649" s="4">
        <v>41135</v>
      </c>
      <c r="K649" s="4">
        <v>41408</v>
      </c>
      <c r="L649">
        <f t="shared" si="10"/>
        <v>3.3</v>
      </c>
    </row>
    <row r="650" spans="1:12" x14ac:dyDescent="0.15">
      <c r="A650" s="1">
        <v>649</v>
      </c>
      <c r="B650" s="4">
        <v>41134</v>
      </c>
      <c r="C650" s="1" t="s">
        <v>21</v>
      </c>
      <c r="D650" s="1" t="s">
        <v>15</v>
      </c>
      <c r="E650" s="1">
        <v>0.49019675925925926</v>
      </c>
      <c r="F650" s="1" t="s">
        <v>13</v>
      </c>
      <c r="G650" s="1">
        <v>3.12</v>
      </c>
      <c r="H650" s="1">
        <v>3.18</v>
      </c>
      <c r="I650" s="1">
        <v>0</v>
      </c>
      <c r="J650" s="4">
        <v>41135</v>
      </c>
      <c r="K650" s="4">
        <v>43691</v>
      </c>
      <c r="L650">
        <f t="shared" si="10"/>
        <v>3.1500000000000004</v>
      </c>
    </row>
    <row r="651" spans="1:12" x14ac:dyDescent="0.15">
      <c r="A651" s="1">
        <v>650</v>
      </c>
      <c r="B651" s="4">
        <v>41134</v>
      </c>
      <c r="C651" s="1" t="s">
        <v>14</v>
      </c>
      <c r="D651" s="1" t="s">
        <v>26</v>
      </c>
      <c r="E651" s="1">
        <v>0.48106481481481483</v>
      </c>
      <c r="F651" s="1" t="s">
        <v>13</v>
      </c>
      <c r="G651" s="1">
        <v>3.1</v>
      </c>
      <c r="H651" s="1">
        <v>3.15</v>
      </c>
      <c r="I651" s="1">
        <v>0</v>
      </c>
      <c r="J651" s="4">
        <v>41135</v>
      </c>
      <c r="K651" s="4">
        <v>41500</v>
      </c>
      <c r="L651">
        <f t="shared" si="10"/>
        <v>3.125</v>
      </c>
    </row>
    <row r="652" spans="1:12" x14ac:dyDescent="0.15">
      <c r="A652" s="1">
        <v>651</v>
      </c>
      <c r="B652" s="4">
        <v>41134</v>
      </c>
      <c r="C652" s="1" t="s">
        <v>11</v>
      </c>
      <c r="D652" s="1" t="s">
        <v>26</v>
      </c>
      <c r="E652" s="1">
        <v>0.48106481481481483</v>
      </c>
      <c r="F652" s="1" t="s">
        <v>13</v>
      </c>
      <c r="G652" s="1">
        <v>3</v>
      </c>
      <c r="H652" s="1">
        <v>3.05</v>
      </c>
      <c r="I652" s="1">
        <v>0</v>
      </c>
      <c r="J652" s="4">
        <v>41135</v>
      </c>
      <c r="K652" s="4">
        <v>42230</v>
      </c>
      <c r="L652">
        <f t="shared" si="10"/>
        <v>3.0249999999999999</v>
      </c>
    </row>
    <row r="653" spans="1:12" x14ac:dyDescent="0.15">
      <c r="A653" s="1">
        <v>652</v>
      </c>
      <c r="B653" s="4">
        <v>41134</v>
      </c>
      <c r="C653" s="1" t="s">
        <v>24</v>
      </c>
      <c r="D653" s="1" t="s">
        <v>26</v>
      </c>
      <c r="E653" s="1">
        <v>0.48106481481481483</v>
      </c>
      <c r="F653" s="1" t="s">
        <v>13</v>
      </c>
      <c r="G653" s="1">
        <v>3</v>
      </c>
      <c r="H653" s="1">
        <v>3.3</v>
      </c>
      <c r="I653" s="1">
        <v>0</v>
      </c>
      <c r="J653" s="4">
        <v>41135</v>
      </c>
      <c r="K653" s="4">
        <v>44057</v>
      </c>
      <c r="L653">
        <f t="shared" si="10"/>
        <v>3.15</v>
      </c>
    </row>
    <row r="654" spans="1:12" x14ac:dyDescent="0.15">
      <c r="A654" s="1">
        <v>653</v>
      </c>
      <c r="B654" s="4">
        <v>41134</v>
      </c>
      <c r="C654" s="1" t="s">
        <v>18</v>
      </c>
      <c r="D654" s="1" t="s">
        <v>26</v>
      </c>
      <c r="E654" s="1">
        <v>0.48106481481481483</v>
      </c>
      <c r="F654" s="1" t="s">
        <v>13</v>
      </c>
      <c r="G654" s="1">
        <v>3</v>
      </c>
      <c r="H654" s="1">
        <v>3.05</v>
      </c>
      <c r="I654" s="1">
        <v>0</v>
      </c>
      <c r="J654" s="4">
        <v>41135</v>
      </c>
      <c r="K654" s="4">
        <v>41865</v>
      </c>
      <c r="L654">
        <f t="shared" si="10"/>
        <v>3.0249999999999999</v>
      </c>
    </row>
    <row r="655" spans="1:12" x14ac:dyDescent="0.15">
      <c r="A655" s="1">
        <v>654</v>
      </c>
      <c r="B655" s="4">
        <v>41134</v>
      </c>
      <c r="C655" s="1" t="s">
        <v>20</v>
      </c>
      <c r="D655" s="1" t="s">
        <v>26</v>
      </c>
      <c r="E655" s="1">
        <v>0.48106481481481483</v>
      </c>
      <c r="F655" s="1" t="s">
        <v>13</v>
      </c>
      <c r="G655" s="1">
        <v>3</v>
      </c>
      <c r="H655" s="1">
        <v>3.3</v>
      </c>
      <c r="I655" s="1">
        <v>0</v>
      </c>
      <c r="J655" s="4">
        <v>41135</v>
      </c>
      <c r="K655" s="4">
        <v>44787</v>
      </c>
      <c r="L655">
        <f t="shared" si="10"/>
        <v>3.15</v>
      </c>
    </row>
    <row r="656" spans="1:12" x14ac:dyDescent="0.15">
      <c r="A656" s="1">
        <v>655</v>
      </c>
      <c r="B656" s="4">
        <v>41134</v>
      </c>
      <c r="C656" s="1" t="s">
        <v>22</v>
      </c>
      <c r="D656" s="1" t="s">
        <v>26</v>
      </c>
      <c r="E656" s="1">
        <v>0.4810532407407408</v>
      </c>
      <c r="F656" s="1" t="s">
        <v>13</v>
      </c>
      <c r="G656" s="1">
        <v>3.3</v>
      </c>
      <c r="H656" s="1">
        <v>3.5</v>
      </c>
      <c r="I656" s="1">
        <v>0</v>
      </c>
      <c r="J656" s="4">
        <v>41135</v>
      </c>
      <c r="K656" s="4">
        <v>41319</v>
      </c>
      <c r="L656">
        <f t="shared" si="10"/>
        <v>3.4</v>
      </c>
    </row>
    <row r="657" spans="1:12" x14ac:dyDescent="0.15">
      <c r="A657" s="1">
        <v>656</v>
      </c>
      <c r="B657" s="4">
        <v>41134</v>
      </c>
      <c r="C657" s="1" t="s">
        <v>23</v>
      </c>
      <c r="D657" s="1" t="s">
        <v>26</v>
      </c>
      <c r="E657" s="1">
        <v>0.4810532407407408</v>
      </c>
      <c r="F657" s="1" t="s">
        <v>13</v>
      </c>
      <c r="G657" s="1">
        <v>3</v>
      </c>
      <c r="H657" s="1">
        <v>3.3</v>
      </c>
      <c r="I657" s="1">
        <v>0</v>
      </c>
      <c r="J657" s="4">
        <v>41135</v>
      </c>
      <c r="K657" s="4">
        <v>43326</v>
      </c>
      <c r="L657">
        <f t="shared" si="10"/>
        <v>3.15</v>
      </c>
    </row>
    <row r="658" spans="1:12" x14ac:dyDescent="0.15">
      <c r="A658" s="1">
        <v>657</v>
      </c>
      <c r="B658" s="4">
        <v>41134</v>
      </c>
      <c r="C658" s="1" t="s">
        <v>19</v>
      </c>
      <c r="D658" s="1" t="s">
        <v>26</v>
      </c>
      <c r="E658" s="1">
        <v>0.48106481481481483</v>
      </c>
      <c r="F658" s="1" t="s">
        <v>13</v>
      </c>
      <c r="G658" s="1">
        <v>3.6</v>
      </c>
      <c r="H658" s="1">
        <v>3.7</v>
      </c>
      <c r="I658" s="1">
        <v>0</v>
      </c>
      <c r="J658" s="4">
        <v>41135</v>
      </c>
      <c r="K658" s="4">
        <v>41408</v>
      </c>
      <c r="L658">
        <f t="shared" si="10"/>
        <v>3.6500000000000004</v>
      </c>
    </row>
    <row r="659" spans="1:12" x14ac:dyDescent="0.15">
      <c r="A659" s="1">
        <v>658</v>
      </c>
      <c r="B659" s="4">
        <v>41134</v>
      </c>
      <c r="C659" s="1" t="s">
        <v>16</v>
      </c>
      <c r="D659" s="1" t="s">
        <v>26</v>
      </c>
      <c r="E659" s="1">
        <v>0.48106481481481483</v>
      </c>
      <c r="F659" s="1" t="s">
        <v>13</v>
      </c>
      <c r="G659" s="1">
        <v>3</v>
      </c>
      <c r="H659" s="1">
        <v>3.05</v>
      </c>
      <c r="I659" s="1">
        <v>0</v>
      </c>
      <c r="J659" s="4">
        <v>41135</v>
      </c>
      <c r="K659" s="4">
        <v>42596</v>
      </c>
      <c r="L659">
        <f t="shared" si="10"/>
        <v>3.0249999999999999</v>
      </c>
    </row>
    <row r="660" spans="1:12" x14ac:dyDescent="0.15">
      <c r="A660" s="1">
        <v>659</v>
      </c>
      <c r="B660" s="4">
        <v>41134</v>
      </c>
      <c r="C660" s="1" t="s">
        <v>25</v>
      </c>
      <c r="D660" s="1" t="s">
        <v>26</v>
      </c>
      <c r="E660" s="1">
        <v>0.48106481481481483</v>
      </c>
      <c r="F660" s="1" t="s">
        <v>13</v>
      </c>
      <c r="G660" s="1">
        <v>3.05</v>
      </c>
      <c r="H660" s="1">
        <v>3.1</v>
      </c>
      <c r="I660" s="1">
        <v>0</v>
      </c>
      <c r="J660" s="4">
        <v>41135</v>
      </c>
      <c r="K660" s="4">
        <v>42961</v>
      </c>
      <c r="L660">
        <f t="shared" si="10"/>
        <v>3.0750000000000002</v>
      </c>
    </row>
    <row r="661" spans="1:12" x14ac:dyDescent="0.15">
      <c r="A661" s="1">
        <v>660</v>
      </c>
      <c r="B661" s="4">
        <v>41134</v>
      </c>
      <c r="C661" s="1" t="s">
        <v>22</v>
      </c>
      <c r="D661" s="1" t="s">
        <v>27</v>
      </c>
      <c r="E661" s="1">
        <v>0.486875</v>
      </c>
      <c r="F661" s="1" t="s">
        <v>13</v>
      </c>
      <c r="G661" s="1">
        <v>3.34</v>
      </c>
      <c r="H661" s="1">
        <v>3.44</v>
      </c>
      <c r="I661" s="1">
        <v>0</v>
      </c>
      <c r="J661" s="4">
        <v>41135</v>
      </c>
      <c r="K661" s="4">
        <v>41319</v>
      </c>
      <c r="L661">
        <f t="shared" si="10"/>
        <v>3.3899999999999997</v>
      </c>
    </row>
    <row r="662" spans="1:12" x14ac:dyDescent="0.15">
      <c r="A662" s="1">
        <v>661</v>
      </c>
      <c r="B662" s="4">
        <v>41134</v>
      </c>
      <c r="C662" s="1" t="s">
        <v>14</v>
      </c>
      <c r="D662" s="1" t="s">
        <v>27</v>
      </c>
      <c r="E662" s="1">
        <v>0.48686342592592591</v>
      </c>
      <c r="F662" s="1" t="s">
        <v>13</v>
      </c>
      <c r="G662" s="1">
        <v>3.15</v>
      </c>
      <c r="H662" s="1">
        <v>3.2</v>
      </c>
      <c r="I662" s="1">
        <v>0</v>
      </c>
      <c r="J662" s="4">
        <v>41135</v>
      </c>
      <c r="K662" s="4">
        <v>41500</v>
      </c>
      <c r="L662">
        <f t="shared" si="10"/>
        <v>3.1749999999999998</v>
      </c>
    </row>
    <row r="663" spans="1:12" x14ac:dyDescent="0.15">
      <c r="A663" s="1">
        <v>662</v>
      </c>
      <c r="B663" s="4">
        <v>41134</v>
      </c>
      <c r="C663" s="1" t="s">
        <v>11</v>
      </c>
      <c r="D663" s="1" t="s">
        <v>27</v>
      </c>
      <c r="E663" s="1">
        <v>0.486875</v>
      </c>
      <c r="F663" s="1" t="s">
        <v>13</v>
      </c>
      <c r="G663" s="1">
        <v>2.98</v>
      </c>
      <c r="H663" s="1">
        <v>3.08</v>
      </c>
      <c r="I663" s="1">
        <v>0</v>
      </c>
      <c r="J663" s="4">
        <v>41135</v>
      </c>
      <c r="K663" s="4">
        <v>42230</v>
      </c>
      <c r="L663">
        <f t="shared" si="10"/>
        <v>3.0300000000000002</v>
      </c>
    </row>
    <row r="664" spans="1:12" x14ac:dyDescent="0.15">
      <c r="A664" s="1">
        <v>663</v>
      </c>
      <c r="B664" s="4">
        <v>41134</v>
      </c>
      <c r="C664" s="1" t="s">
        <v>23</v>
      </c>
      <c r="D664" s="1" t="s">
        <v>12</v>
      </c>
      <c r="E664" s="1">
        <v>0.48856481481481479</v>
      </c>
      <c r="F664" s="1" t="s">
        <v>13</v>
      </c>
      <c r="G664" s="1">
        <v>3</v>
      </c>
      <c r="H664" s="1">
        <v>3.1</v>
      </c>
      <c r="I664" s="1">
        <v>0</v>
      </c>
      <c r="J664" s="4">
        <v>41135</v>
      </c>
      <c r="K664" s="4">
        <v>43326</v>
      </c>
      <c r="L664">
        <f t="shared" si="10"/>
        <v>3.05</v>
      </c>
    </row>
    <row r="665" spans="1:12" x14ac:dyDescent="0.15">
      <c r="A665" s="1">
        <v>664</v>
      </c>
      <c r="B665" s="4">
        <v>41134</v>
      </c>
      <c r="C665" s="1" t="s">
        <v>18</v>
      </c>
      <c r="D665" s="1" t="s">
        <v>27</v>
      </c>
      <c r="E665" s="1">
        <v>0.486875</v>
      </c>
      <c r="F665" s="1" t="s">
        <v>13</v>
      </c>
      <c r="G665" s="1">
        <v>3</v>
      </c>
      <c r="H665" s="1">
        <v>3.08</v>
      </c>
      <c r="I665" s="1">
        <v>0</v>
      </c>
      <c r="J665" s="4">
        <v>41135</v>
      </c>
      <c r="K665" s="4">
        <v>41865</v>
      </c>
      <c r="L665">
        <f t="shared" si="10"/>
        <v>3.04</v>
      </c>
    </row>
    <row r="666" spans="1:12" x14ac:dyDescent="0.15">
      <c r="A666" s="1">
        <v>665</v>
      </c>
      <c r="B666" s="4">
        <v>41134</v>
      </c>
      <c r="C666" s="1" t="s">
        <v>21</v>
      </c>
      <c r="D666" s="1" t="s">
        <v>26</v>
      </c>
      <c r="E666" s="1">
        <v>0.48106481481481483</v>
      </c>
      <c r="F666" s="1" t="s">
        <v>13</v>
      </c>
      <c r="G666" s="1">
        <v>3</v>
      </c>
      <c r="H666" s="1">
        <v>3.3</v>
      </c>
      <c r="I666" s="1">
        <v>0</v>
      </c>
      <c r="J666" s="4">
        <v>41135</v>
      </c>
      <c r="K666" s="4">
        <v>43691</v>
      </c>
      <c r="L666">
        <f t="shared" si="10"/>
        <v>3.15</v>
      </c>
    </row>
    <row r="667" spans="1:12" x14ac:dyDescent="0.15">
      <c r="A667" s="1">
        <v>666</v>
      </c>
      <c r="B667" s="4">
        <v>41134</v>
      </c>
      <c r="C667" s="1" t="s">
        <v>17</v>
      </c>
      <c r="D667" s="1" t="s">
        <v>26</v>
      </c>
      <c r="E667" s="1">
        <v>0.48106481481481483</v>
      </c>
      <c r="F667" s="1" t="s">
        <v>13</v>
      </c>
      <c r="G667" s="1">
        <v>3</v>
      </c>
      <c r="H667" s="1">
        <v>3.3</v>
      </c>
      <c r="I667" s="1">
        <v>0</v>
      </c>
      <c r="J667" s="4">
        <v>41135</v>
      </c>
      <c r="K667" s="4">
        <v>44422</v>
      </c>
      <c r="L667">
        <f t="shared" si="10"/>
        <v>3.15</v>
      </c>
    </row>
    <row r="668" spans="1:12" x14ac:dyDescent="0.15">
      <c r="A668" s="1">
        <v>667</v>
      </c>
      <c r="B668" s="4">
        <v>41134</v>
      </c>
      <c r="C668" s="1" t="s">
        <v>25</v>
      </c>
      <c r="D668" s="1" t="s">
        <v>27</v>
      </c>
      <c r="E668" s="1">
        <v>0.48686342592592591</v>
      </c>
      <c r="F668" s="1" t="s">
        <v>13</v>
      </c>
      <c r="G668" s="1">
        <v>3.03</v>
      </c>
      <c r="H668" s="1">
        <v>3.08</v>
      </c>
      <c r="I668" s="1">
        <v>0</v>
      </c>
      <c r="J668" s="4">
        <v>41135</v>
      </c>
      <c r="K668" s="4">
        <v>42961</v>
      </c>
      <c r="L668">
        <f t="shared" si="10"/>
        <v>3.0549999999999997</v>
      </c>
    </row>
    <row r="669" spans="1:12" x14ac:dyDescent="0.15">
      <c r="A669" s="1">
        <v>668</v>
      </c>
      <c r="B669" s="4">
        <v>41134</v>
      </c>
      <c r="C669" s="1" t="s">
        <v>16</v>
      </c>
      <c r="D669" s="1" t="s">
        <v>27</v>
      </c>
      <c r="E669" s="1">
        <v>0.48686342592592591</v>
      </c>
      <c r="F669" s="1" t="s">
        <v>13</v>
      </c>
      <c r="G669" s="1">
        <v>3</v>
      </c>
      <c r="H669" s="1">
        <v>3.08</v>
      </c>
      <c r="I669" s="1">
        <v>0</v>
      </c>
      <c r="J669" s="4">
        <v>41135</v>
      </c>
      <c r="K669" s="4">
        <v>42596</v>
      </c>
      <c r="L669">
        <f t="shared" si="10"/>
        <v>3.04</v>
      </c>
    </row>
    <row r="670" spans="1:12" x14ac:dyDescent="0.15">
      <c r="A670" s="1">
        <v>669</v>
      </c>
      <c r="B670" s="4">
        <v>41134</v>
      </c>
      <c r="C670" s="1" t="s">
        <v>19</v>
      </c>
      <c r="D670" s="1" t="s">
        <v>27</v>
      </c>
      <c r="E670" s="1">
        <v>0.48686342592592591</v>
      </c>
      <c r="F670" s="1" t="s">
        <v>13</v>
      </c>
      <c r="G670" s="1">
        <v>3.23</v>
      </c>
      <c r="H670" s="1">
        <v>3.33</v>
      </c>
      <c r="I670" s="1">
        <v>0</v>
      </c>
      <c r="J670" s="4">
        <v>41135</v>
      </c>
      <c r="K670" s="4">
        <v>41408</v>
      </c>
      <c r="L670">
        <f t="shared" si="10"/>
        <v>3.2800000000000002</v>
      </c>
    </row>
    <row r="671" spans="1:12" x14ac:dyDescent="0.15">
      <c r="A671" s="1">
        <v>670</v>
      </c>
      <c r="B671" s="4">
        <v>41134</v>
      </c>
      <c r="C671" s="1" t="s">
        <v>14</v>
      </c>
      <c r="D671" s="1" t="s">
        <v>12</v>
      </c>
      <c r="E671" s="1">
        <v>0.68277777777777782</v>
      </c>
      <c r="F671" s="1" t="s">
        <v>13</v>
      </c>
      <c r="G671" s="1">
        <v>3.13</v>
      </c>
      <c r="H671" s="1">
        <v>3.23</v>
      </c>
      <c r="I671" s="1">
        <v>0</v>
      </c>
      <c r="J671" s="4">
        <v>41135</v>
      </c>
      <c r="K671" s="4">
        <v>41500</v>
      </c>
      <c r="L671">
        <f t="shared" si="10"/>
        <v>3.1799999999999997</v>
      </c>
    </row>
    <row r="672" spans="1:12" x14ac:dyDescent="0.15">
      <c r="A672" s="1">
        <v>671</v>
      </c>
      <c r="B672" s="4">
        <v>41134</v>
      </c>
      <c r="C672" s="1" t="s">
        <v>22</v>
      </c>
      <c r="D672" s="1" t="s">
        <v>12</v>
      </c>
      <c r="E672" s="1">
        <v>0.68277777777777782</v>
      </c>
      <c r="F672" s="1" t="s">
        <v>13</v>
      </c>
      <c r="G672" s="1">
        <v>3.34</v>
      </c>
      <c r="H672" s="1">
        <v>3.44</v>
      </c>
      <c r="I672" s="1">
        <v>0</v>
      </c>
      <c r="J672" s="4">
        <v>41135</v>
      </c>
      <c r="K672" s="4">
        <v>41319</v>
      </c>
      <c r="L672">
        <f t="shared" si="10"/>
        <v>3.3899999999999997</v>
      </c>
    </row>
    <row r="673" spans="1:12" x14ac:dyDescent="0.15">
      <c r="A673" s="1">
        <v>672</v>
      </c>
      <c r="B673" s="4">
        <v>41134</v>
      </c>
      <c r="C673" s="1" t="s">
        <v>20</v>
      </c>
      <c r="D673" s="1" t="s">
        <v>15</v>
      </c>
      <c r="E673" s="1">
        <v>0.68277777777777782</v>
      </c>
      <c r="F673" s="1" t="s">
        <v>13</v>
      </c>
      <c r="G673" s="1">
        <v>3.17</v>
      </c>
      <c r="H673" s="1">
        <v>3.23</v>
      </c>
      <c r="I673" s="1">
        <v>0</v>
      </c>
      <c r="J673" s="4">
        <v>41135</v>
      </c>
      <c r="K673" s="4">
        <v>44787</v>
      </c>
      <c r="L673">
        <f t="shared" si="10"/>
        <v>3.2</v>
      </c>
    </row>
    <row r="674" spans="1:12" x14ac:dyDescent="0.15">
      <c r="A674" s="1">
        <v>673</v>
      </c>
      <c r="B674" s="4">
        <v>41134</v>
      </c>
      <c r="C674" s="1" t="s">
        <v>16</v>
      </c>
      <c r="D674" s="1" t="s">
        <v>15</v>
      </c>
      <c r="E674" s="1">
        <v>0.68277777777777782</v>
      </c>
      <c r="F674" s="1" t="s">
        <v>13</v>
      </c>
      <c r="G674" s="1">
        <v>3.03</v>
      </c>
      <c r="H674" s="1">
        <v>3.09</v>
      </c>
      <c r="I674" s="1">
        <v>0</v>
      </c>
      <c r="J674" s="4">
        <v>41135</v>
      </c>
      <c r="K674" s="4">
        <v>42596</v>
      </c>
      <c r="L674">
        <f t="shared" si="10"/>
        <v>3.0599999999999996</v>
      </c>
    </row>
    <row r="675" spans="1:12" x14ac:dyDescent="0.15">
      <c r="A675" s="1">
        <v>674</v>
      </c>
      <c r="B675" s="4">
        <v>41134</v>
      </c>
      <c r="C675" s="1" t="s">
        <v>25</v>
      </c>
      <c r="D675" s="1" t="s">
        <v>15</v>
      </c>
      <c r="E675" s="1">
        <v>0.68277777777777782</v>
      </c>
      <c r="F675" s="1" t="s">
        <v>13</v>
      </c>
      <c r="G675" s="1">
        <v>3.06</v>
      </c>
      <c r="H675" s="1">
        <v>3.12</v>
      </c>
      <c r="I675" s="1">
        <v>0</v>
      </c>
      <c r="J675" s="4">
        <v>41135</v>
      </c>
      <c r="K675" s="4">
        <v>42961</v>
      </c>
      <c r="L675">
        <f t="shared" si="10"/>
        <v>3.09</v>
      </c>
    </row>
    <row r="676" spans="1:12" x14ac:dyDescent="0.15">
      <c r="A676" s="1">
        <v>675</v>
      </c>
      <c r="B676" s="4">
        <v>41134</v>
      </c>
      <c r="C676" s="1" t="s">
        <v>21</v>
      </c>
      <c r="D676" s="1" t="s">
        <v>15</v>
      </c>
      <c r="E676" s="1">
        <v>0.68276620370370367</v>
      </c>
      <c r="F676" s="1" t="s">
        <v>13</v>
      </c>
      <c r="G676" s="1">
        <v>3.12</v>
      </c>
      <c r="H676" s="1">
        <v>3.18</v>
      </c>
      <c r="I676" s="1">
        <v>0</v>
      </c>
      <c r="J676" s="4">
        <v>41135</v>
      </c>
      <c r="K676" s="4">
        <v>43691</v>
      </c>
      <c r="L676">
        <f t="shared" si="10"/>
        <v>3.1500000000000004</v>
      </c>
    </row>
    <row r="677" spans="1:12" x14ac:dyDescent="0.15">
      <c r="A677" s="1">
        <v>676</v>
      </c>
      <c r="B677" s="4">
        <v>41134</v>
      </c>
      <c r="C677" s="1" t="s">
        <v>18</v>
      </c>
      <c r="D677" s="1" t="s">
        <v>15</v>
      </c>
      <c r="E677" s="1">
        <v>0.68276620370370367</v>
      </c>
      <c r="F677" s="1" t="s">
        <v>13</v>
      </c>
      <c r="G677" s="1">
        <v>3.07</v>
      </c>
      <c r="H677" s="1">
        <v>3.13</v>
      </c>
      <c r="I677" s="1">
        <v>0</v>
      </c>
      <c r="J677" s="4">
        <v>41135</v>
      </c>
      <c r="K677" s="4">
        <v>41865</v>
      </c>
      <c r="L677">
        <f t="shared" si="10"/>
        <v>3.0999999999999996</v>
      </c>
    </row>
    <row r="678" spans="1:12" x14ac:dyDescent="0.15">
      <c r="A678" s="1">
        <v>677</v>
      </c>
      <c r="B678" s="4">
        <v>41134</v>
      </c>
      <c r="C678" s="1" t="s">
        <v>19</v>
      </c>
      <c r="D678" s="1" t="s">
        <v>15</v>
      </c>
      <c r="E678" s="1">
        <v>0.68276620370370367</v>
      </c>
      <c r="F678" s="1" t="s">
        <v>13</v>
      </c>
      <c r="G678" s="1">
        <v>3.27</v>
      </c>
      <c r="H678" s="1">
        <v>3.33</v>
      </c>
      <c r="I678" s="1">
        <v>0</v>
      </c>
      <c r="J678" s="4">
        <v>41135</v>
      </c>
      <c r="K678" s="4">
        <v>41408</v>
      </c>
      <c r="L678">
        <f t="shared" si="10"/>
        <v>3.3</v>
      </c>
    </row>
    <row r="679" spans="1:12" x14ac:dyDescent="0.15">
      <c r="A679" s="1">
        <v>678</v>
      </c>
      <c r="B679" s="4">
        <v>41134</v>
      </c>
      <c r="C679" s="1" t="s">
        <v>23</v>
      </c>
      <c r="D679" s="1" t="s">
        <v>12</v>
      </c>
      <c r="E679" s="1">
        <v>0.68277777777777782</v>
      </c>
      <c r="F679" s="1" t="s">
        <v>13</v>
      </c>
      <c r="G679" s="1">
        <v>3</v>
      </c>
      <c r="H679" s="1">
        <v>3.1</v>
      </c>
      <c r="I679" s="1">
        <v>0</v>
      </c>
      <c r="J679" s="4">
        <v>41135</v>
      </c>
      <c r="K679" s="4">
        <v>43326</v>
      </c>
      <c r="L679">
        <f t="shared" si="10"/>
        <v>3.05</v>
      </c>
    </row>
    <row r="680" spans="1:12" x14ac:dyDescent="0.15">
      <c r="A680" s="1">
        <v>679</v>
      </c>
      <c r="B680" s="4">
        <v>41134</v>
      </c>
      <c r="C680" s="1" t="s">
        <v>22</v>
      </c>
      <c r="D680" s="1" t="s">
        <v>15</v>
      </c>
      <c r="E680" s="1">
        <v>0.68276620370370367</v>
      </c>
      <c r="F680" s="1" t="s">
        <v>13</v>
      </c>
      <c r="G680" s="1">
        <v>3.42</v>
      </c>
      <c r="H680" s="1">
        <v>3.48</v>
      </c>
      <c r="I680" s="1">
        <v>0</v>
      </c>
      <c r="J680" s="4">
        <v>41135</v>
      </c>
      <c r="K680" s="4">
        <v>41319</v>
      </c>
      <c r="L680">
        <f t="shared" si="10"/>
        <v>3.45</v>
      </c>
    </row>
    <row r="681" spans="1:12" x14ac:dyDescent="0.15">
      <c r="A681" s="1">
        <v>680</v>
      </c>
      <c r="B681" s="4">
        <v>41134</v>
      </c>
      <c r="C681" s="1" t="s">
        <v>18</v>
      </c>
      <c r="D681" s="1" t="s">
        <v>12</v>
      </c>
      <c r="E681" s="1">
        <v>0.68278935185185186</v>
      </c>
      <c r="F681" s="1" t="s">
        <v>13</v>
      </c>
      <c r="G681" s="1">
        <v>2.98</v>
      </c>
      <c r="H681" s="1">
        <v>3.08</v>
      </c>
      <c r="I681" s="1">
        <v>0</v>
      </c>
      <c r="J681" s="4">
        <v>41135</v>
      </c>
      <c r="K681" s="4">
        <v>41865</v>
      </c>
      <c r="L681">
        <f t="shared" si="10"/>
        <v>3.0300000000000002</v>
      </c>
    </row>
    <row r="682" spans="1:12" x14ac:dyDescent="0.15">
      <c r="A682" s="1">
        <v>681</v>
      </c>
      <c r="B682" s="4">
        <v>41134</v>
      </c>
      <c r="C682" s="1" t="s">
        <v>11</v>
      </c>
      <c r="D682" s="1" t="s">
        <v>12</v>
      </c>
      <c r="E682" s="1">
        <v>0.68278935185185186</v>
      </c>
      <c r="F682" s="1" t="s">
        <v>13</v>
      </c>
      <c r="G682" s="1">
        <v>2.98</v>
      </c>
      <c r="H682" s="1">
        <v>3.08</v>
      </c>
      <c r="I682" s="1">
        <v>0</v>
      </c>
      <c r="J682" s="4">
        <v>41135</v>
      </c>
      <c r="K682" s="4">
        <v>42230</v>
      </c>
      <c r="L682">
        <f t="shared" si="10"/>
        <v>3.0300000000000002</v>
      </c>
    </row>
    <row r="683" spans="1:12" x14ac:dyDescent="0.15">
      <c r="A683" s="1">
        <v>682</v>
      </c>
      <c r="B683" s="4">
        <v>41134</v>
      </c>
      <c r="C683" s="1" t="s">
        <v>21</v>
      </c>
      <c r="D683" s="1" t="s">
        <v>12</v>
      </c>
      <c r="E683" s="1">
        <v>0.68278935185185186</v>
      </c>
      <c r="F683" s="1" t="s">
        <v>13</v>
      </c>
      <c r="G683" s="1">
        <v>2.95</v>
      </c>
      <c r="H683" s="1">
        <v>3.35</v>
      </c>
      <c r="I683" s="1">
        <v>0</v>
      </c>
      <c r="J683" s="4">
        <v>41135</v>
      </c>
      <c r="K683" s="4">
        <v>43691</v>
      </c>
      <c r="L683">
        <f t="shared" si="10"/>
        <v>3.1500000000000004</v>
      </c>
    </row>
    <row r="684" spans="1:12" x14ac:dyDescent="0.15">
      <c r="A684" s="1">
        <v>683</v>
      </c>
      <c r="B684" s="4">
        <v>41134</v>
      </c>
      <c r="C684" s="1" t="s">
        <v>20</v>
      </c>
      <c r="D684" s="1" t="s">
        <v>12</v>
      </c>
      <c r="E684" s="1">
        <v>0.68278935185185186</v>
      </c>
      <c r="F684" s="1" t="s">
        <v>13</v>
      </c>
      <c r="G684" s="1">
        <v>2.99</v>
      </c>
      <c r="H684" s="1">
        <v>3.39</v>
      </c>
      <c r="I684" s="1">
        <v>0</v>
      </c>
      <c r="J684" s="4">
        <v>41135</v>
      </c>
      <c r="K684" s="4">
        <v>44787</v>
      </c>
      <c r="L684">
        <f t="shared" si="10"/>
        <v>3.1900000000000004</v>
      </c>
    </row>
    <row r="685" spans="1:12" x14ac:dyDescent="0.15">
      <c r="A685" s="1">
        <v>684</v>
      </c>
      <c r="B685" s="4">
        <v>41134</v>
      </c>
      <c r="C685" s="1" t="s">
        <v>19</v>
      </c>
      <c r="D685" s="1" t="s">
        <v>12</v>
      </c>
      <c r="E685" s="1">
        <v>0.68278935185185186</v>
      </c>
      <c r="F685" s="1" t="s">
        <v>13</v>
      </c>
      <c r="G685" s="1">
        <v>3.23</v>
      </c>
      <c r="H685" s="1">
        <v>3.33</v>
      </c>
      <c r="I685" s="1">
        <v>0</v>
      </c>
      <c r="J685" s="4">
        <v>41135</v>
      </c>
      <c r="K685" s="4">
        <v>41408</v>
      </c>
      <c r="L685">
        <f t="shared" si="10"/>
        <v>3.2800000000000002</v>
      </c>
    </row>
    <row r="686" spans="1:12" x14ac:dyDescent="0.15">
      <c r="A686" s="1">
        <v>685</v>
      </c>
      <c r="B686" s="4">
        <v>41134</v>
      </c>
      <c r="C686" s="1" t="s">
        <v>24</v>
      </c>
      <c r="D686" s="1" t="s">
        <v>12</v>
      </c>
      <c r="E686" s="1">
        <v>0.68278935185185186</v>
      </c>
      <c r="F686" s="1" t="s">
        <v>13</v>
      </c>
      <c r="G686" s="1">
        <v>2.96</v>
      </c>
      <c r="H686" s="1">
        <v>3.36</v>
      </c>
      <c r="I686" s="1">
        <v>0</v>
      </c>
      <c r="J686" s="4">
        <v>41135</v>
      </c>
      <c r="K686" s="4">
        <v>44057</v>
      </c>
      <c r="L686">
        <f t="shared" si="10"/>
        <v>3.16</v>
      </c>
    </row>
    <row r="687" spans="1:12" x14ac:dyDescent="0.15">
      <c r="A687" s="1">
        <v>686</v>
      </c>
      <c r="B687" s="4">
        <v>41134</v>
      </c>
      <c r="C687" s="1" t="s">
        <v>11</v>
      </c>
      <c r="D687" s="1" t="s">
        <v>15</v>
      </c>
      <c r="E687" s="1">
        <v>0.68277777777777782</v>
      </c>
      <c r="F687" s="1" t="s">
        <v>13</v>
      </c>
      <c r="G687" s="1">
        <v>3.04</v>
      </c>
      <c r="H687" s="1">
        <v>3.1</v>
      </c>
      <c r="I687" s="1">
        <v>0</v>
      </c>
      <c r="J687" s="4">
        <v>41135</v>
      </c>
      <c r="K687" s="4">
        <v>42230</v>
      </c>
      <c r="L687">
        <f t="shared" si="10"/>
        <v>3.0700000000000003</v>
      </c>
    </row>
    <row r="688" spans="1:12" x14ac:dyDescent="0.15">
      <c r="A688" s="1">
        <v>687</v>
      </c>
      <c r="B688" s="4">
        <v>41134</v>
      </c>
      <c r="C688" s="1" t="s">
        <v>25</v>
      </c>
      <c r="D688" s="1" t="s">
        <v>12</v>
      </c>
      <c r="E688" s="1">
        <v>0.68278935185185186</v>
      </c>
      <c r="F688" s="1" t="s">
        <v>13</v>
      </c>
      <c r="G688" s="1">
        <v>3</v>
      </c>
      <c r="H688" s="1">
        <v>3.1</v>
      </c>
      <c r="I688" s="1">
        <v>0</v>
      </c>
      <c r="J688" s="4">
        <v>41135</v>
      </c>
      <c r="K688" s="4">
        <v>42961</v>
      </c>
      <c r="L688">
        <f t="shared" si="10"/>
        <v>3.05</v>
      </c>
    </row>
    <row r="689" spans="1:12" x14ac:dyDescent="0.15">
      <c r="A689" s="1">
        <v>688</v>
      </c>
      <c r="B689" s="4">
        <v>41134</v>
      </c>
      <c r="C689" s="1" t="s">
        <v>17</v>
      </c>
      <c r="D689" s="1" t="s">
        <v>12</v>
      </c>
      <c r="E689" s="1">
        <v>0.68278935185185186</v>
      </c>
      <c r="F689" s="1" t="s">
        <v>13</v>
      </c>
      <c r="G689" s="1">
        <v>2.98</v>
      </c>
      <c r="H689" s="1">
        <v>3.38</v>
      </c>
      <c r="I689" s="1">
        <v>0</v>
      </c>
      <c r="J689" s="4">
        <v>41135</v>
      </c>
      <c r="K689" s="4">
        <v>44422</v>
      </c>
      <c r="L689">
        <f t="shared" si="10"/>
        <v>3.1799999999999997</v>
      </c>
    </row>
    <row r="690" spans="1:12" x14ac:dyDescent="0.15">
      <c r="A690" s="1">
        <v>689</v>
      </c>
      <c r="B690" s="4">
        <v>41134</v>
      </c>
      <c r="C690" s="1" t="s">
        <v>16</v>
      </c>
      <c r="D690" s="1" t="s">
        <v>12</v>
      </c>
      <c r="E690" s="1">
        <v>0.68278935185185186</v>
      </c>
      <c r="F690" s="1" t="s">
        <v>13</v>
      </c>
      <c r="G690" s="1">
        <v>2.98</v>
      </c>
      <c r="H690" s="1">
        <v>3.08</v>
      </c>
      <c r="I690" s="1">
        <v>0</v>
      </c>
      <c r="J690" s="4">
        <v>41135</v>
      </c>
      <c r="K690" s="4">
        <v>42596</v>
      </c>
      <c r="L690">
        <f t="shared" si="10"/>
        <v>3.0300000000000002</v>
      </c>
    </row>
    <row r="691" spans="1:12" x14ac:dyDescent="0.15">
      <c r="A691" s="1">
        <v>690</v>
      </c>
      <c r="B691" s="4">
        <v>41134</v>
      </c>
      <c r="C691" s="1" t="s">
        <v>20</v>
      </c>
      <c r="D691" s="1" t="s">
        <v>26</v>
      </c>
      <c r="E691" s="1">
        <v>0.67053240740740738</v>
      </c>
      <c r="F691" s="1" t="s">
        <v>13</v>
      </c>
      <c r="G691" s="1">
        <v>3</v>
      </c>
      <c r="H691" s="1">
        <v>3.3</v>
      </c>
      <c r="I691" s="1">
        <v>0</v>
      </c>
      <c r="J691" s="4">
        <v>41135</v>
      </c>
      <c r="K691" s="4">
        <v>44787</v>
      </c>
      <c r="L691">
        <f t="shared" si="10"/>
        <v>3.15</v>
      </c>
    </row>
    <row r="692" spans="1:12" x14ac:dyDescent="0.15">
      <c r="A692" s="1">
        <v>691</v>
      </c>
      <c r="B692" s="4">
        <v>41134</v>
      </c>
      <c r="C692" s="1" t="s">
        <v>24</v>
      </c>
      <c r="D692" s="1" t="s">
        <v>26</v>
      </c>
      <c r="E692" s="1">
        <v>0.67053240740740738</v>
      </c>
      <c r="F692" s="1" t="s">
        <v>13</v>
      </c>
      <c r="G692" s="1">
        <v>3</v>
      </c>
      <c r="H692" s="1">
        <v>3.3</v>
      </c>
      <c r="I692" s="1">
        <v>0</v>
      </c>
      <c r="J692" s="4">
        <v>41135</v>
      </c>
      <c r="K692" s="4">
        <v>44057</v>
      </c>
      <c r="L692">
        <f t="shared" si="10"/>
        <v>3.15</v>
      </c>
    </row>
    <row r="693" spans="1:12" x14ac:dyDescent="0.15">
      <c r="A693" s="1">
        <v>692</v>
      </c>
      <c r="B693" s="4">
        <v>41134</v>
      </c>
      <c r="C693" s="1" t="s">
        <v>18</v>
      </c>
      <c r="D693" s="1" t="s">
        <v>26</v>
      </c>
      <c r="E693" s="1">
        <v>0.67053240740740738</v>
      </c>
      <c r="F693" s="1" t="s">
        <v>13</v>
      </c>
      <c r="G693" s="1">
        <v>3</v>
      </c>
      <c r="H693" s="1">
        <v>3.05</v>
      </c>
      <c r="I693" s="1">
        <v>0</v>
      </c>
      <c r="J693" s="4">
        <v>41135</v>
      </c>
      <c r="K693" s="4">
        <v>41865</v>
      </c>
      <c r="L693">
        <f t="shared" si="10"/>
        <v>3.0249999999999999</v>
      </c>
    </row>
    <row r="694" spans="1:12" x14ac:dyDescent="0.15">
      <c r="A694" s="1">
        <v>693</v>
      </c>
      <c r="B694" s="4">
        <v>41134</v>
      </c>
      <c r="C694" s="1" t="s">
        <v>21</v>
      </c>
      <c r="D694" s="1" t="s">
        <v>26</v>
      </c>
      <c r="E694" s="1">
        <v>0.67053240740740738</v>
      </c>
      <c r="F694" s="1" t="s">
        <v>13</v>
      </c>
      <c r="G694" s="1">
        <v>3</v>
      </c>
      <c r="H694" s="1">
        <v>3.3</v>
      </c>
      <c r="I694" s="1">
        <v>0</v>
      </c>
      <c r="J694" s="4">
        <v>41135</v>
      </c>
      <c r="K694" s="4">
        <v>43691</v>
      </c>
      <c r="L694">
        <f t="shared" si="10"/>
        <v>3.15</v>
      </c>
    </row>
    <row r="695" spans="1:12" x14ac:dyDescent="0.15">
      <c r="A695" s="1">
        <v>694</v>
      </c>
      <c r="B695" s="4">
        <v>41134</v>
      </c>
      <c r="C695" s="1" t="s">
        <v>17</v>
      </c>
      <c r="D695" s="1" t="s">
        <v>26</v>
      </c>
      <c r="E695" s="1">
        <v>0.67053240740740738</v>
      </c>
      <c r="F695" s="1" t="s">
        <v>13</v>
      </c>
      <c r="G695" s="1">
        <v>3</v>
      </c>
      <c r="H695" s="1">
        <v>3.3</v>
      </c>
      <c r="I695" s="1">
        <v>0</v>
      </c>
      <c r="J695" s="4">
        <v>41135</v>
      </c>
      <c r="K695" s="4">
        <v>44422</v>
      </c>
      <c r="L695">
        <f t="shared" si="10"/>
        <v>3.15</v>
      </c>
    </row>
    <row r="696" spans="1:12" x14ac:dyDescent="0.15">
      <c r="A696" s="1">
        <v>695</v>
      </c>
      <c r="B696" s="4">
        <v>41134</v>
      </c>
      <c r="C696" s="1" t="s">
        <v>22</v>
      </c>
      <c r="D696" s="1" t="s">
        <v>26</v>
      </c>
      <c r="E696" s="1">
        <v>0.67052083333333334</v>
      </c>
      <c r="F696" s="1" t="s">
        <v>13</v>
      </c>
      <c r="G696" s="1">
        <v>3.3</v>
      </c>
      <c r="H696" s="1">
        <v>3.5</v>
      </c>
      <c r="I696" s="1">
        <v>0</v>
      </c>
      <c r="J696" s="4">
        <v>41135</v>
      </c>
      <c r="K696" s="4">
        <v>41319</v>
      </c>
      <c r="L696">
        <f t="shared" si="10"/>
        <v>3.4</v>
      </c>
    </row>
    <row r="697" spans="1:12" x14ac:dyDescent="0.15">
      <c r="A697" s="1">
        <v>696</v>
      </c>
      <c r="B697" s="4">
        <v>41134</v>
      </c>
      <c r="C697" s="1" t="s">
        <v>23</v>
      </c>
      <c r="D697" s="1" t="s">
        <v>26</v>
      </c>
      <c r="E697" s="1">
        <v>0.67052083333333334</v>
      </c>
      <c r="F697" s="1" t="s">
        <v>13</v>
      </c>
      <c r="G697" s="1">
        <v>3</v>
      </c>
      <c r="H697" s="1">
        <v>3.3</v>
      </c>
      <c r="I697" s="1">
        <v>0</v>
      </c>
      <c r="J697" s="4">
        <v>41135</v>
      </c>
      <c r="K697" s="4">
        <v>43326</v>
      </c>
      <c r="L697">
        <f t="shared" si="10"/>
        <v>3.15</v>
      </c>
    </row>
    <row r="698" spans="1:12" x14ac:dyDescent="0.15">
      <c r="A698" s="1">
        <v>697</v>
      </c>
      <c r="B698" s="4">
        <v>41134</v>
      </c>
      <c r="C698" s="1" t="s">
        <v>19</v>
      </c>
      <c r="D698" s="1" t="s">
        <v>26</v>
      </c>
      <c r="E698" s="1">
        <v>0.67053240740740738</v>
      </c>
      <c r="F698" s="1" t="s">
        <v>13</v>
      </c>
      <c r="G698" s="1">
        <v>3.6</v>
      </c>
      <c r="H698" s="1">
        <v>3.7</v>
      </c>
      <c r="I698" s="1">
        <v>0</v>
      </c>
      <c r="J698" s="4">
        <v>41135</v>
      </c>
      <c r="K698" s="4">
        <v>41408</v>
      </c>
      <c r="L698">
        <f t="shared" si="10"/>
        <v>3.6500000000000004</v>
      </c>
    </row>
    <row r="699" spans="1:12" x14ac:dyDescent="0.15">
      <c r="A699" s="1">
        <v>698</v>
      </c>
      <c r="B699" s="4">
        <v>41134</v>
      </c>
      <c r="C699" s="1" t="s">
        <v>14</v>
      </c>
      <c r="D699" s="1" t="s">
        <v>26</v>
      </c>
      <c r="E699" s="1">
        <v>0.67053240740740738</v>
      </c>
      <c r="F699" s="1" t="s">
        <v>13</v>
      </c>
      <c r="G699" s="1">
        <v>3.1</v>
      </c>
      <c r="H699" s="1">
        <v>3.15</v>
      </c>
      <c r="I699" s="1">
        <v>0</v>
      </c>
      <c r="J699" s="4">
        <v>41135</v>
      </c>
      <c r="K699" s="4">
        <v>41500</v>
      </c>
      <c r="L699">
        <f t="shared" si="10"/>
        <v>3.125</v>
      </c>
    </row>
    <row r="700" spans="1:12" x14ac:dyDescent="0.15">
      <c r="A700" s="1">
        <v>699</v>
      </c>
      <c r="B700" s="4">
        <v>41134</v>
      </c>
      <c r="C700" s="1" t="s">
        <v>25</v>
      </c>
      <c r="D700" s="1" t="s">
        <v>26</v>
      </c>
      <c r="E700" s="1">
        <v>0.67053240740740738</v>
      </c>
      <c r="F700" s="1" t="s">
        <v>13</v>
      </c>
      <c r="G700" s="1">
        <v>3.05</v>
      </c>
      <c r="H700" s="1">
        <v>3.1</v>
      </c>
      <c r="I700" s="1">
        <v>0</v>
      </c>
      <c r="J700" s="4">
        <v>41135</v>
      </c>
      <c r="K700" s="4">
        <v>42961</v>
      </c>
      <c r="L700">
        <f t="shared" si="10"/>
        <v>3.0750000000000002</v>
      </c>
    </row>
    <row r="701" spans="1:12" x14ac:dyDescent="0.15">
      <c r="A701" s="1">
        <v>700</v>
      </c>
      <c r="B701" s="4">
        <v>41134</v>
      </c>
      <c r="C701" s="1" t="s">
        <v>18</v>
      </c>
      <c r="D701" s="1" t="s">
        <v>27</v>
      </c>
      <c r="E701" s="1">
        <v>0.67240740740740745</v>
      </c>
      <c r="F701" s="1" t="s">
        <v>13</v>
      </c>
      <c r="G701" s="1">
        <v>2.98</v>
      </c>
      <c r="H701" s="1">
        <v>3.08</v>
      </c>
      <c r="I701" s="1">
        <v>0</v>
      </c>
      <c r="J701" s="4">
        <v>41135</v>
      </c>
      <c r="K701" s="4">
        <v>41865</v>
      </c>
      <c r="L701">
        <f t="shared" si="10"/>
        <v>3.0300000000000002</v>
      </c>
    </row>
    <row r="702" spans="1:12" x14ac:dyDescent="0.15">
      <c r="A702" s="1">
        <v>701</v>
      </c>
      <c r="B702" s="4">
        <v>41134</v>
      </c>
      <c r="C702" s="1" t="s">
        <v>25</v>
      </c>
      <c r="D702" s="1" t="s">
        <v>27</v>
      </c>
      <c r="E702" s="1">
        <v>0.6723958333333333</v>
      </c>
      <c r="F702" s="1" t="s">
        <v>13</v>
      </c>
      <c r="G702" s="1">
        <v>3</v>
      </c>
      <c r="H702" s="1">
        <v>3.05</v>
      </c>
      <c r="I702" s="1">
        <v>0</v>
      </c>
      <c r="J702" s="4">
        <v>41135</v>
      </c>
      <c r="K702" s="4">
        <v>42961</v>
      </c>
      <c r="L702">
        <f t="shared" si="10"/>
        <v>3.0249999999999999</v>
      </c>
    </row>
    <row r="703" spans="1:12" x14ac:dyDescent="0.15">
      <c r="A703" s="1">
        <v>702</v>
      </c>
      <c r="B703" s="4">
        <v>41134</v>
      </c>
      <c r="C703" s="1" t="s">
        <v>22</v>
      </c>
      <c r="D703" s="1" t="s">
        <v>27</v>
      </c>
      <c r="E703" s="1">
        <v>0.67240740740740745</v>
      </c>
      <c r="F703" s="1" t="s">
        <v>13</v>
      </c>
      <c r="G703" s="1">
        <v>3.35</v>
      </c>
      <c r="H703" s="1">
        <v>3.4</v>
      </c>
      <c r="I703" s="1">
        <v>0</v>
      </c>
      <c r="J703" s="4">
        <v>41135</v>
      </c>
      <c r="K703" s="4">
        <v>41319</v>
      </c>
      <c r="L703">
        <f t="shared" si="10"/>
        <v>3.375</v>
      </c>
    </row>
    <row r="704" spans="1:12" x14ac:dyDescent="0.15">
      <c r="A704" s="1">
        <v>703</v>
      </c>
      <c r="B704" s="4">
        <v>41134</v>
      </c>
      <c r="C704" s="1" t="s">
        <v>14</v>
      </c>
      <c r="D704" s="1" t="s">
        <v>15</v>
      </c>
      <c r="E704" s="1">
        <v>0.68276620370370367</v>
      </c>
      <c r="F704" s="1" t="s">
        <v>13</v>
      </c>
      <c r="G704" s="1">
        <v>3.17</v>
      </c>
      <c r="H704" s="1">
        <v>3.23</v>
      </c>
      <c r="I704" s="1">
        <v>0</v>
      </c>
      <c r="J704" s="4">
        <v>41135</v>
      </c>
      <c r="K704" s="4">
        <v>41500</v>
      </c>
      <c r="L704">
        <f t="shared" si="10"/>
        <v>3.2</v>
      </c>
    </row>
    <row r="705" spans="1:12" x14ac:dyDescent="0.15">
      <c r="A705" s="1">
        <v>704</v>
      </c>
      <c r="B705" s="4">
        <v>41134</v>
      </c>
      <c r="C705" s="1" t="s">
        <v>11</v>
      </c>
      <c r="D705" s="1" t="s">
        <v>27</v>
      </c>
      <c r="E705" s="1">
        <v>0.67241898148148149</v>
      </c>
      <c r="F705" s="1" t="s">
        <v>13</v>
      </c>
      <c r="G705" s="1">
        <v>2.96</v>
      </c>
      <c r="H705" s="1">
        <v>3.06</v>
      </c>
      <c r="I705" s="1">
        <v>0</v>
      </c>
      <c r="J705" s="4">
        <v>41135</v>
      </c>
      <c r="K705" s="4">
        <v>42230</v>
      </c>
      <c r="L705">
        <f t="shared" si="10"/>
        <v>3.01</v>
      </c>
    </row>
    <row r="706" spans="1:12" x14ac:dyDescent="0.15">
      <c r="A706" s="1">
        <v>705</v>
      </c>
      <c r="B706" s="4">
        <v>41134</v>
      </c>
      <c r="C706" s="1" t="s">
        <v>11</v>
      </c>
      <c r="D706" s="1" t="s">
        <v>26</v>
      </c>
      <c r="E706" s="1">
        <v>0.67054398148148142</v>
      </c>
      <c r="F706" s="1" t="s">
        <v>13</v>
      </c>
      <c r="G706" s="1">
        <v>3</v>
      </c>
      <c r="H706" s="1">
        <v>3.05</v>
      </c>
      <c r="I706" s="1">
        <v>0</v>
      </c>
      <c r="J706" s="4">
        <v>41135</v>
      </c>
      <c r="K706" s="4">
        <v>42230</v>
      </c>
      <c r="L706">
        <f t="shared" si="10"/>
        <v>3.0249999999999999</v>
      </c>
    </row>
    <row r="707" spans="1:12" x14ac:dyDescent="0.15">
      <c r="A707" s="1">
        <v>706</v>
      </c>
      <c r="B707" s="4">
        <v>41134</v>
      </c>
      <c r="C707" s="1" t="s">
        <v>16</v>
      </c>
      <c r="D707" s="1" t="s">
        <v>26</v>
      </c>
      <c r="E707" s="1">
        <v>0.67054398148148142</v>
      </c>
      <c r="F707" s="1" t="s">
        <v>13</v>
      </c>
      <c r="G707" s="1">
        <v>3</v>
      </c>
      <c r="H707" s="1">
        <v>3.05</v>
      </c>
      <c r="I707" s="1">
        <v>0</v>
      </c>
      <c r="J707" s="4">
        <v>41135</v>
      </c>
      <c r="K707" s="4">
        <v>42596</v>
      </c>
      <c r="L707">
        <f t="shared" ref="L707:L770" si="11">AVERAGE(G707:H707)</f>
        <v>3.0249999999999999</v>
      </c>
    </row>
    <row r="708" spans="1:12" x14ac:dyDescent="0.15">
      <c r="A708" s="1">
        <v>707</v>
      </c>
      <c r="B708" s="4">
        <v>41134</v>
      </c>
      <c r="C708" s="1" t="s">
        <v>19</v>
      </c>
      <c r="D708" s="1" t="s">
        <v>27</v>
      </c>
      <c r="E708" s="1">
        <v>0.6723958333333333</v>
      </c>
      <c r="F708" s="1" t="s">
        <v>13</v>
      </c>
      <c r="G708" s="1">
        <v>3.21</v>
      </c>
      <c r="H708" s="1">
        <v>3.31</v>
      </c>
      <c r="I708" s="1">
        <v>0</v>
      </c>
      <c r="J708" s="4">
        <v>41135</v>
      </c>
      <c r="K708" s="4">
        <v>41408</v>
      </c>
      <c r="L708">
        <f t="shared" si="11"/>
        <v>3.26</v>
      </c>
    </row>
    <row r="709" spans="1:12" x14ac:dyDescent="0.15">
      <c r="A709" s="1">
        <v>708</v>
      </c>
      <c r="B709" s="4">
        <v>41134</v>
      </c>
      <c r="C709" s="1" t="s">
        <v>14</v>
      </c>
      <c r="D709" s="1" t="s">
        <v>27</v>
      </c>
      <c r="E709" s="1">
        <v>0.6723958333333333</v>
      </c>
      <c r="F709" s="1" t="s">
        <v>13</v>
      </c>
      <c r="G709" s="1">
        <v>3.13</v>
      </c>
      <c r="H709" s="1">
        <v>3.18</v>
      </c>
      <c r="I709" s="1">
        <v>0</v>
      </c>
      <c r="J709" s="4">
        <v>41135</v>
      </c>
      <c r="K709" s="4">
        <v>41500</v>
      </c>
      <c r="L709">
        <f t="shared" si="11"/>
        <v>3.1550000000000002</v>
      </c>
    </row>
    <row r="710" spans="1:12" x14ac:dyDescent="0.15">
      <c r="A710" s="1">
        <v>709</v>
      </c>
      <c r="B710" s="4">
        <v>41134</v>
      </c>
      <c r="C710" s="1" t="s">
        <v>16</v>
      </c>
      <c r="D710" s="1" t="s">
        <v>27</v>
      </c>
      <c r="E710" s="1">
        <v>0.6723958333333333</v>
      </c>
      <c r="F710" s="1" t="s">
        <v>13</v>
      </c>
      <c r="G710" s="1">
        <v>2.99</v>
      </c>
      <c r="H710" s="1">
        <v>3.04</v>
      </c>
      <c r="I710" s="1">
        <v>0</v>
      </c>
      <c r="J710" s="4">
        <v>41135</v>
      </c>
      <c r="K710" s="4">
        <v>42596</v>
      </c>
      <c r="L710">
        <f t="shared" si="11"/>
        <v>3.0150000000000001</v>
      </c>
    </row>
    <row r="711" spans="1:12" x14ac:dyDescent="0.15">
      <c r="A711" s="1">
        <v>710</v>
      </c>
      <c r="B711" s="4">
        <v>41131</v>
      </c>
      <c r="C711" s="1" t="s">
        <v>11</v>
      </c>
      <c r="D711" s="1" t="s">
        <v>26</v>
      </c>
      <c r="E711" s="1">
        <v>0.48091435185185188</v>
      </c>
      <c r="F711" s="1" t="s">
        <v>13</v>
      </c>
      <c r="G711" s="1">
        <v>3</v>
      </c>
      <c r="H711" s="1">
        <v>3.05</v>
      </c>
      <c r="I711" s="1">
        <v>0</v>
      </c>
      <c r="J711" s="4">
        <v>41132</v>
      </c>
      <c r="K711" s="4">
        <v>42227</v>
      </c>
      <c r="L711">
        <f t="shared" si="11"/>
        <v>3.0249999999999999</v>
      </c>
    </row>
    <row r="712" spans="1:12" x14ac:dyDescent="0.15">
      <c r="A712" s="1">
        <v>711</v>
      </c>
      <c r="B712" s="4">
        <v>41131</v>
      </c>
      <c r="C712" s="1" t="s">
        <v>21</v>
      </c>
      <c r="D712" s="1" t="s">
        <v>26</v>
      </c>
      <c r="E712" s="1">
        <v>0.48090277777777773</v>
      </c>
      <c r="F712" s="1" t="s">
        <v>13</v>
      </c>
      <c r="G712" s="1">
        <v>3</v>
      </c>
      <c r="H712" s="1">
        <v>3.3</v>
      </c>
      <c r="I712" s="1">
        <v>0</v>
      </c>
      <c r="J712" s="4">
        <v>41132</v>
      </c>
      <c r="K712" s="4">
        <v>43688</v>
      </c>
      <c r="L712">
        <f t="shared" si="11"/>
        <v>3.15</v>
      </c>
    </row>
    <row r="713" spans="1:12" x14ac:dyDescent="0.15">
      <c r="A713" s="1">
        <v>712</v>
      </c>
      <c r="B713" s="4">
        <v>41131</v>
      </c>
      <c r="C713" s="1" t="s">
        <v>18</v>
      </c>
      <c r="D713" s="1" t="s">
        <v>27</v>
      </c>
      <c r="E713" s="1">
        <v>0.4838425925925926</v>
      </c>
      <c r="F713" s="1" t="s">
        <v>13</v>
      </c>
      <c r="G713" s="1">
        <v>2.96</v>
      </c>
      <c r="H713" s="1">
        <v>3.06</v>
      </c>
      <c r="I713" s="1">
        <v>0</v>
      </c>
      <c r="J713" s="4">
        <v>41132</v>
      </c>
      <c r="K713" s="4">
        <v>41862</v>
      </c>
      <c r="L713">
        <f t="shared" si="11"/>
        <v>3.01</v>
      </c>
    </row>
    <row r="714" spans="1:12" x14ac:dyDescent="0.15">
      <c r="A714" s="1">
        <v>713</v>
      </c>
      <c r="B714" s="4">
        <v>41131</v>
      </c>
      <c r="C714" s="1" t="s">
        <v>14</v>
      </c>
      <c r="D714" s="1" t="s">
        <v>27</v>
      </c>
      <c r="E714" s="1">
        <v>0.48383101851851856</v>
      </c>
      <c r="F714" s="1" t="s">
        <v>13</v>
      </c>
      <c r="G714" s="1">
        <v>3.05</v>
      </c>
      <c r="H714" s="1">
        <v>3.15</v>
      </c>
      <c r="I714" s="1">
        <v>0</v>
      </c>
      <c r="J714" s="4">
        <v>41132</v>
      </c>
      <c r="K714" s="4">
        <v>41497</v>
      </c>
      <c r="L714">
        <f t="shared" si="11"/>
        <v>3.0999999999999996</v>
      </c>
    </row>
    <row r="715" spans="1:12" x14ac:dyDescent="0.15">
      <c r="A715" s="1">
        <v>714</v>
      </c>
      <c r="B715" s="4">
        <v>41131</v>
      </c>
      <c r="C715" s="1" t="s">
        <v>20</v>
      </c>
      <c r="D715" s="1" t="s">
        <v>26</v>
      </c>
      <c r="E715" s="1">
        <v>0.48090277777777773</v>
      </c>
      <c r="F715" s="1" t="s">
        <v>13</v>
      </c>
      <c r="G715" s="1">
        <v>3</v>
      </c>
      <c r="H715" s="1">
        <v>3.3</v>
      </c>
      <c r="I715" s="1">
        <v>0</v>
      </c>
      <c r="J715" s="4">
        <v>41132</v>
      </c>
      <c r="K715" s="4">
        <v>44784</v>
      </c>
      <c r="L715">
        <f t="shared" si="11"/>
        <v>3.15</v>
      </c>
    </row>
    <row r="716" spans="1:12" x14ac:dyDescent="0.15">
      <c r="A716" s="1">
        <v>715</v>
      </c>
      <c r="B716" s="4">
        <v>41131</v>
      </c>
      <c r="C716" s="1" t="s">
        <v>24</v>
      </c>
      <c r="D716" s="1" t="s">
        <v>26</v>
      </c>
      <c r="E716" s="1">
        <v>0.48090277777777773</v>
      </c>
      <c r="F716" s="1" t="s">
        <v>13</v>
      </c>
      <c r="G716" s="1">
        <v>3</v>
      </c>
      <c r="H716" s="1">
        <v>3.3</v>
      </c>
      <c r="I716" s="1">
        <v>0</v>
      </c>
      <c r="J716" s="4">
        <v>41132</v>
      </c>
      <c r="K716" s="4">
        <v>44054</v>
      </c>
      <c r="L716">
        <f t="shared" si="11"/>
        <v>3.15</v>
      </c>
    </row>
    <row r="717" spans="1:12" x14ac:dyDescent="0.15">
      <c r="A717" s="1">
        <v>716</v>
      </c>
      <c r="B717" s="4">
        <v>41131</v>
      </c>
      <c r="C717" s="1" t="s">
        <v>17</v>
      </c>
      <c r="D717" s="1" t="s">
        <v>26</v>
      </c>
      <c r="E717" s="1">
        <v>0.48090277777777773</v>
      </c>
      <c r="F717" s="1" t="s">
        <v>13</v>
      </c>
      <c r="G717" s="1">
        <v>3</v>
      </c>
      <c r="H717" s="1">
        <v>3.3</v>
      </c>
      <c r="I717" s="1">
        <v>0</v>
      </c>
      <c r="J717" s="4">
        <v>41132</v>
      </c>
      <c r="K717" s="4">
        <v>44419</v>
      </c>
      <c r="L717">
        <f t="shared" si="11"/>
        <v>3.15</v>
      </c>
    </row>
    <row r="718" spans="1:12" x14ac:dyDescent="0.15">
      <c r="A718" s="1">
        <v>717</v>
      </c>
      <c r="B718" s="4">
        <v>41131</v>
      </c>
      <c r="C718" s="1" t="s">
        <v>18</v>
      </c>
      <c r="D718" s="1" t="s">
        <v>26</v>
      </c>
      <c r="E718" s="1">
        <v>0.48090277777777773</v>
      </c>
      <c r="F718" s="1" t="s">
        <v>13</v>
      </c>
      <c r="G718" s="1">
        <v>3.05</v>
      </c>
      <c r="H718" s="1">
        <v>3.1</v>
      </c>
      <c r="I718" s="1">
        <v>0</v>
      </c>
      <c r="J718" s="4">
        <v>41132</v>
      </c>
      <c r="K718" s="4">
        <v>41862</v>
      </c>
      <c r="L718">
        <f t="shared" si="11"/>
        <v>3.0750000000000002</v>
      </c>
    </row>
    <row r="719" spans="1:12" x14ac:dyDescent="0.15">
      <c r="A719" s="1">
        <v>718</v>
      </c>
      <c r="B719" s="4">
        <v>41131</v>
      </c>
      <c r="C719" s="1" t="s">
        <v>25</v>
      </c>
      <c r="D719" s="1" t="s">
        <v>27</v>
      </c>
      <c r="E719" s="1">
        <v>0.4838425925925926</v>
      </c>
      <c r="F719" s="1" t="s">
        <v>13</v>
      </c>
      <c r="G719" s="1">
        <v>3.01</v>
      </c>
      <c r="H719" s="1">
        <v>3.08</v>
      </c>
      <c r="I719" s="1">
        <v>0</v>
      </c>
      <c r="J719" s="4">
        <v>41132</v>
      </c>
      <c r="K719" s="4">
        <v>42958</v>
      </c>
      <c r="L719">
        <f t="shared" si="11"/>
        <v>3.0449999999999999</v>
      </c>
    </row>
    <row r="720" spans="1:12" x14ac:dyDescent="0.15">
      <c r="A720" s="1">
        <v>719</v>
      </c>
      <c r="B720" s="4">
        <v>41131</v>
      </c>
      <c r="C720" s="1" t="s">
        <v>17</v>
      </c>
      <c r="D720" s="1" t="s">
        <v>26</v>
      </c>
      <c r="E720" s="1">
        <v>0.67333333333333334</v>
      </c>
      <c r="F720" s="1" t="s">
        <v>13</v>
      </c>
      <c r="G720" s="1">
        <v>3</v>
      </c>
      <c r="H720" s="1">
        <v>3.3</v>
      </c>
      <c r="I720" s="1">
        <v>0</v>
      </c>
      <c r="J720" s="4">
        <v>41132</v>
      </c>
      <c r="K720" s="4">
        <v>44419</v>
      </c>
      <c r="L720">
        <f t="shared" si="11"/>
        <v>3.15</v>
      </c>
    </row>
    <row r="721" spans="1:12" x14ac:dyDescent="0.15">
      <c r="A721" s="1">
        <v>720</v>
      </c>
      <c r="B721" s="4">
        <v>41131</v>
      </c>
      <c r="C721" s="1" t="s">
        <v>23</v>
      </c>
      <c r="D721" s="1" t="s">
        <v>26</v>
      </c>
      <c r="E721" s="1">
        <v>0.67332175925925919</v>
      </c>
      <c r="F721" s="1" t="s">
        <v>13</v>
      </c>
      <c r="G721" s="1">
        <v>3</v>
      </c>
      <c r="H721" s="1">
        <v>3.3</v>
      </c>
      <c r="I721" s="1">
        <v>0</v>
      </c>
      <c r="J721" s="4">
        <v>41132</v>
      </c>
      <c r="K721" s="4">
        <v>43323</v>
      </c>
      <c r="L721">
        <f t="shared" si="11"/>
        <v>3.15</v>
      </c>
    </row>
    <row r="722" spans="1:12" x14ac:dyDescent="0.15">
      <c r="A722" s="1">
        <v>721</v>
      </c>
      <c r="B722" s="4">
        <v>41131</v>
      </c>
      <c r="C722" s="1" t="s">
        <v>19</v>
      </c>
      <c r="D722" s="1" t="s">
        <v>26</v>
      </c>
      <c r="E722" s="1">
        <v>0.67333333333333334</v>
      </c>
      <c r="F722" s="1" t="s">
        <v>13</v>
      </c>
      <c r="G722" s="1">
        <v>3.6</v>
      </c>
      <c r="H722" s="1">
        <v>3.7</v>
      </c>
      <c r="I722" s="1">
        <v>0</v>
      </c>
      <c r="J722" s="4">
        <v>41132</v>
      </c>
      <c r="K722" s="4">
        <v>41405</v>
      </c>
      <c r="L722">
        <f t="shared" si="11"/>
        <v>3.6500000000000004</v>
      </c>
    </row>
    <row r="723" spans="1:12" x14ac:dyDescent="0.15">
      <c r="A723" s="1">
        <v>722</v>
      </c>
      <c r="B723" s="4">
        <v>41131</v>
      </c>
      <c r="C723" s="1" t="s">
        <v>21</v>
      </c>
      <c r="D723" s="1" t="s">
        <v>26</v>
      </c>
      <c r="E723" s="1">
        <v>0.67333333333333334</v>
      </c>
      <c r="F723" s="1" t="s">
        <v>13</v>
      </c>
      <c r="G723" s="1">
        <v>3</v>
      </c>
      <c r="H723" s="1">
        <v>3.3</v>
      </c>
      <c r="I723" s="1">
        <v>0</v>
      </c>
      <c r="J723" s="4">
        <v>41132</v>
      </c>
      <c r="K723" s="4">
        <v>43688</v>
      </c>
      <c r="L723">
        <f t="shared" si="11"/>
        <v>3.15</v>
      </c>
    </row>
    <row r="724" spans="1:12" x14ac:dyDescent="0.15">
      <c r="A724" s="1">
        <v>723</v>
      </c>
      <c r="B724" s="4">
        <v>41131</v>
      </c>
      <c r="C724" s="1" t="s">
        <v>16</v>
      </c>
      <c r="D724" s="1" t="s">
        <v>27</v>
      </c>
      <c r="E724" s="1">
        <v>0.4838425925925926</v>
      </c>
      <c r="F724" s="1" t="s">
        <v>13</v>
      </c>
      <c r="G724" s="1">
        <v>2.98</v>
      </c>
      <c r="H724" s="1">
        <v>3.08</v>
      </c>
      <c r="I724" s="1">
        <v>0</v>
      </c>
      <c r="J724" s="4">
        <v>41132</v>
      </c>
      <c r="K724" s="4">
        <v>42593</v>
      </c>
      <c r="L724">
        <f t="shared" si="11"/>
        <v>3.0300000000000002</v>
      </c>
    </row>
    <row r="725" spans="1:12" x14ac:dyDescent="0.15">
      <c r="A725" s="1">
        <v>724</v>
      </c>
      <c r="B725" s="4">
        <v>41131</v>
      </c>
      <c r="C725" s="1" t="s">
        <v>19</v>
      </c>
      <c r="D725" s="1" t="s">
        <v>27</v>
      </c>
      <c r="E725" s="1">
        <v>0.4838425925925926</v>
      </c>
      <c r="F725" s="1" t="s">
        <v>13</v>
      </c>
      <c r="G725" s="1">
        <v>3.16</v>
      </c>
      <c r="H725" s="1">
        <v>3.26</v>
      </c>
      <c r="I725" s="1">
        <v>0</v>
      </c>
      <c r="J725" s="4">
        <v>41132</v>
      </c>
      <c r="K725" s="4">
        <v>41405</v>
      </c>
      <c r="L725">
        <f t="shared" si="11"/>
        <v>3.21</v>
      </c>
    </row>
    <row r="726" spans="1:12" x14ac:dyDescent="0.15">
      <c r="A726" s="1">
        <v>725</v>
      </c>
      <c r="B726" s="4">
        <v>41131</v>
      </c>
      <c r="C726" s="1" t="s">
        <v>11</v>
      </c>
      <c r="D726" s="1" t="s">
        <v>27</v>
      </c>
      <c r="E726" s="1">
        <v>0.4838541666666667</v>
      </c>
      <c r="F726" s="1" t="s">
        <v>13</v>
      </c>
      <c r="G726" s="1">
        <v>2.96</v>
      </c>
      <c r="H726" s="1">
        <v>3.06</v>
      </c>
      <c r="I726" s="1">
        <v>0</v>
      </c>
      <c r="J726" s="4">
        <v>41132</v>
      </c>
      <c r="K726" s="4">
        <v>42227</v>
      </c>
      <c r="L726">
        <f t="shared" si="11"/>
        <v>3.01</v>
      </c>
    </row>
    <row r="727" spans="1:12" x14ac:dyDescent="0.15">
      <c r="A727" s="1">
        <v>726</v>
      </c>
      <c r="B727" s="4">
        <v>41131</v>
      </c>
      <c r="C727" s="1" t="s">
        <v>22</v>
      </c>
      <c r="D727" s="1" t="s">
        <v>27</v>
      </c>
      <c r="E727" s="1">
        <v>0.4838541666666667</v>
      </c>
      <c r="F727" s="1" t="s">
        <v>13</v>
      </c>
      <c r="G727" s="1">
        <v>3.3</v>
      </c>
      <c r="H727" s="1">
        <v>3.4</v>
      </c>
      <c r="I727" s="1">
        <v>0</v>
      </c>
      <c r="J727" s="4">
        <v>41132</v>
      </c>
      <c r="K727" s="4">
        <v>41316</v>
      </c>
      <c r="L727">
        <f t="shared" si="11"/>
        <v>3.3499999999999996</v>
      </c>
    </row>
    <row r="728" spans="1:12" x14ac:dyDescent="0.15">
      <c r="A728" s="1">
        <v>727</v>
      </c>
      <c r="B728" s="4">
        <v>41131</v>
      </c>
      <c r="C728" s="1" t="s">
        <v>14</v>
      </c>
      <c r="D728" s="1" t="s">
        <v>26</v>
      </c>
      <c r="E728" s="1">
        <v>0.48090277777777773</v>
      </c>
      <c r="F728" s="1" t="s">
        <v>13</v>
      </c>
      <c r="G728" s="1">
        <v>3.15</v>
      </c>
      <c r="H728" s="1">
        <v>3.25</v>
      </c>
      <c r="I728" s="1">
        <v>0</v>
      </c>
      <c r="J728" s="4">
        <v>41132</v>
      </c>
      <c r="K728" s="4">
        <v>41497</v>
      </c>
      <c r="L728">
        <f t="shared" si="11"/>
        <v>3.2</v>
      </c>
    </row>
    <row r="729" spans="1:12" x14ac:dyDescent="0.15">
      <c r="A729" s="1">
        <v>728</v>
      </c>
      <c r="B729" s="4">
        <v>41131</v>
      </c>
      <c r="C729" s="1" t="s">
        <v>23</v>
      </c>
      <c r="D729" s="1" t="s">
        <v>12</v>
      </c>
      <c r="E729" s="1">
        <v>0.48011574074074076</v>
      </c>
      <c r="F729" s="1" t="s">
        <v>13</v>
      </c>
      <c r="G729" s="1">
        <v>3</v>
      </c>
      <c r="H729" s="1">
        <v>3.1</v>
      </c>
      <c r="I729" s="1">
        <v>0</v>
      </c>
      <c r="J729" s="4">
        <v>41132</v>
      </c>
      <c r="K729" s="4">
        <v>43323</v>
      </c>
      <c r="L729">
        <f t="shared" si="11"/>
        <v>3.05</v>
      </c>
    </row>
    <row r="730" spans="1:12" x14ac:dyDescent="0.15">
      <c r="A730" s="1">
        <v>729</v>
      </c>
      <c r="B730" s="4">
        <v>41131</v>
      </c>
      <c r="C730" s="1" t="s">
        <v>24</v>
      </c>
      <c r="D730" s="1" t="s">
        <v>12</v>
      </c>
      <c r="E730" s="1">
        <v>0.48011574074074076</v>
      </c>
      <c r="F730" s="1" t="s">
        <v>13</v>
      </c>
      <c r="G730" s="1">
        <v>2.96</v>
      </c>
      <c r="H730" s="1">
        <v>3.36</v>
      </c>
      <c r="I730" s="1">
        <v>0</v>
      </c>
      <c r="J730" s="4">
        <v>41132</v>
      </c>
      <c r="K730" s="4">
        <v>44054</v>
      </c>
      <c r="L730">
        <f t="shared" si="11"/>
        <v>3.16</v>
      </c>
    </row>
    <row r="731" spans="1:12" x14ac:dyDescent="0.15">
      <c r="A731" s="1">
        <v>730</v>
      </c>
      <c r="B731" s="4">
        <v>41131</v>
      </c>
      <c r="C731" s="1" t="s">
        <v>14</v>
      </c>
      <c r="D731" s="1" t="s">
        <v>12</v>
      </c>
      <c r="E731" s="1">
        <v>0.48011574074074076</v>
      </c>
      <c r="F731" s="1" t="s">
        <v>13</v>
      </c>
      <c r="G731" s="1">
        <v>3.07</v>
      </c>
      <c r="H731" s="1">
        <v>3.17</v>
      </c>
      <c r="I731" s="1">
        <v>0</v>
      </c>
      <c r="J731" s="4">
        <v>41132</v>
      </c>
      <c r="K731" s="4">
        <v>41497</v>
      </c>
      <c r="L731">
        <f t="shared" si="11"/>
        <v>3.12</v>
      </c>
    </row>
    <row r="732" spans="1:12" x14ac:dyDescent="0.15">
      <c r="A732" s="1">
        <v>731</v>
      </c>
      <c r="B732" s="4">
        <v>41131</v>
      </c>
      <c r="C732" s="1" t="s">
        <v>22</v>
      </c>
      <c r="D732" s="1" t="s">
        <v>12</v>
      </c>
      <c r="E732" s="1">
        <v>0.48011574074074076</v>
      </c>
      <c r="F732" s="1" t="s">
        <v>13</v>
      </c>
      <c r="G732" s="1">
        <v>3.3</v>
      </c>
      <c r="H732" s="1">
        <v>3.4</v>
      </c>
      <c r="I732" s="1">
        <v>0</v>
      </c>
      <c r="J732" s="4">
        <v>41132</v>
      </c>
      <c r="K732" s="4">
        <v>41316</v>
      </c>
      <c r="L732">
        <f t="shared" si="11"/>
        <v>3.3499999999999996</v>
      </c>
    </row>
    <row r="733" spans="1:12" x14ac:dyDescent="0.15">
      <c r="A733" s="1">
        <v>732</v>
      </c>
      <c r="B733" s="4">
        <v>41131</v>
      </c>
      <c r="C733" s="1" t="s">
        <v>21</v>
      </c>
      <c r="D733" s="1" t="s">
        <v>12</v>
      </c>
      <c r="E733" s="1">
        <v>0.48011574074074076</v>
      </c>
      <c r="F733" s="1" t="s">
        <v>13</v>
      </c>
      <c r="G733" s="1">
        <v>2.95</v>
      </c>
      <c r="H733" s="1">
        <v>3.35</v>
      </c>
      <c r="I733" s="1">
        <v>0</v>
      </c>
      <c r="J733" s="4">
        <v>41132</v>
      </c>
      <c r="K733" s="4">
        <v>43688</v>
      </c>
      <c r="L733">
        <f t="shared" si="11"/>
        <v>3.1500000000000004</v>
      </c>
    </row>
    <row r="734" spans="1:12" x14ac:dyDescent="0.15">
      <c r="A734" s="1">
        <v>733</v>
      </c>
      <c r="B734" s="4">
        <v>41131</v>
      </c>
      <c r="C734" s="1" t="s">
        <v>18</v>
      </c>
      <c r="D734" s="1" t="s">
        <v>12</v>
      </c>
      <c r="E734" s="1">
        <v>0.48011574074074076</v>
      </c>
      <c r="F734" s="1" t="s">
        <v>13</v>
      </c>
      <c r="G734" s="1">
        <v>2.98</v>
      </c>
      <c r="H734" s="1">
        <v>3.08</v>
      </c>
      <c r="I734" s="1">
        <v>0</v>
      </c>
      <c r="J734" s="4">
        <v>41132</v>
      </c>
      <c r="K734" s="4">
        <v>41862</v>
      </c>
      <c r="L734">
        <f t="shared" si="11"/>
        <v>3.0300000000000002</v>
      </c>
    </row>
    <row r="735" spans="1:12" x14ac:dyDescent="0.15">
      <c r="A735" s="1">
        <v>734</v>
      </c>
      <c r="B735" s="4">
        <v>41131</v>
      </c>
      <c r="C735" s="1" t="s">
        <v>20</v>
      </c>
      <c r="D735" s="1" t="s">
        <v>12</v>
      </c>
      <c r="E735" s="1">
        <v>0.48011574074074076</v>
      </c>
      <c r="F735" s="1" t="s">
        <v>13</v>
      </c>
      <c r="G735" s="1">
        <v>2.99</v>
      </c>
      <c r="H735" s="1">
        <v>3.39</v>
      </c>
      <c r="I735" s="1">
        <v>0</v>
      </c>
      <c r="J735" s="4">
        <v>41132</v>
      </c>
      <c r="K735" s="4">
        <v>44784</v>
      </c>
      <c r="L735">
        <f t="shared" si="11"/>
        <v>3.1900000000000004</v>
      </c>
    </row>
    <row r="736" spans="1:12" x14ac:dyDescent="0.15">
      <c r="A736" s="1">
        <v>735</v>
      </c>
      <c r="B736" s="4">
        <v>41131</v>
      </c>
      <c r="C736" s="1" t="s">
        <v>19</v>
      </c>
      <c r="D736" s="1" t="s">
        <v>12</v>
      </c>
      <c r="E736" s="1">
        <v>0.48011574074074076</v>
      </c>
      <c r="F736" s="1" t="s">
        <v>13</v>
      </c>
      <c r="G736" s="1">
        <v>3.2</v>
      </c>
      <c r="H736" s="1">
        <v>3.3</v>
      </c>
      <c r="I736" s="1">
        <v>0</v>
      </c>
      <c r="J736" s="4">
        <v>41132</v>
      </c>
      <c r="K736" s="4">
        <v>41405</v>
      </c>
      <c r="L736">
        <f t="shared" si="11"/>
        <v>3.25</v>
      </c>
    </row>
    <row r="737" spans="1:12" x14ac:dyDescent="0.15">
      <c r="A737" s="1">
        <v>736</v>
      </c>
      <c r="B737" s="4">
        <v>41131</v>
      </c>
      <c r="C737" s="1" t="s">
        <v>25</v>
      </c>
      <c r="D737" s="1" t="s">
        <v>12</v>
      </c>
      <c r="E737" s="1">
        <v>0.4801273148148148</v>
      </c>
      <c r="F737" s="1" t="s">
        <v>13</v>
      </c>
      <c r="G737" s="1">
        <v>3</v>
      </c>
      <c r="H737" s="1">
        <v>3.1</v>
      </c>
      <c r="I737" s="1">
        <v>0</v>
      </c>
      <c r="J737" s="4">
        <v>41132</v>
      </c>
      <c r="K737" s="4">
        <v>42958</v>
      </c>
      <c r="L737">
        <f t="shared" si="11"/>
        <v>3.05</v>
      </c>
    </row>
    <row r="738" spans="1:12" x14ac:dyDescent="0.15">
      <c r="A738" s="1">
        <v>737</v>
      </c>
      <c r="B738" s="4">
        <v>41131</v>
      </c>
      <c r="C738" s="1" t="s">
        <v>25</v>
      </c>
      <c r="D738" s="1" t="s">
        <v>26</v>
      </c>
      <c r="E738" s="1">
        <v>0.48090277777777773</v>
      </c>
      <c r="F738" s="1" t="s">
        <v>13</v>
      </c>
      <c r="G738" s="1">
        <v>3</v>
      </c>
      <c r="H738" s="1">
        <v>3.1</v>
      </c>
      <c r="I738" s="1">
        <v>0</v>
      </c>
      <c r="J738" s="4">
        <v>41132</v>
      </c>
      <c r="K738" s="4">
        <v>42958</v>
      </c>
      <c r="L738">
        <f t="shared" si="11"/>
        <v>3.05</v>
      </c>
    </row>
    <row r="739" spans="1:12" x14ac:dyDescent="0.15">
      <c r="A739" s="1">
        <v>738</v>
      </c>
      <c r="B739" s="4">
        <v>41131</v>
      </c>
      <c r="C739" s="1" t="s">
        <v>19</v>
      </c>
      <c r="D739" s="1" t="s">
        <v>26</v>
      </c>
      <c r="E739" s="1">
        <v>0.48090277777777773</v>
      </c>
      <c r="F739" s="1" t="s">
        <v>13</v>
      </c>
      <c r="G739" s="1">
        <v>3.6</v>
      </c>
      <c r="H739" s="1">
        <v>3.7</v>
      </c>
      <c r="I739" s="1">
        <v>0</v>
      </c>
      <c r="J739" s="4">
        <v>41132</v>
      </c>
      <c r="K739" s="4">
        <v>41405</v>
      </c>
      <c r="L739">
        <f t="shared" si="11"/>
        <v>3.6500000000000004</v>
      </c>
    </row>
    <row r="740" spans="1:12" x14ac:dyDescent="0.15">
      <c r="A740" s="1">
        <v>739</v>
      </c>
      <c r="B740" s="4">
        <v>41131</v>
      </c>
      <c r="C740" s="1" t="s">
        <v>22</v>
      </c>
      <c r="D740" s="1" t="s">
        <v>26</v>
      </c>
      <c r="E740" s="1">
        <v>0.48090277777777773</v>
      </c>
      <c r="F740" s="1" t="s">
        <v>13</v>
      </c>
      <c r="G740" s="1">
        <v>3.3</v>
      </c>
      <c r="H740" s="1">
        <v>3.5</v>
      </c>
      <c r="I740" s="1">
        <v>0</v>
      </c>
      <c r="J740" s="4">
        <v>41132</v>
      </c>
      <c r="K740" s="4">
        <v>41316</v>
      </c>
      <c r="L740">
        <f t="shared" si="11"/>
        <v>3.4</v>
      </c>
    </row>
    <row r="741" spans="1:12" x14ac:dyDescent="0.15">
      <c r="A741" s="1">
        <v>740</v>
      </c>
      <c r="B741" s="4">
        <v>41131</v>
      </c>
      <c r="C741" s="1" t="s">
        <v>16</v>
      </c>
      <c r="D741" s="1" t="s">
        <v>26</v>
      </c>
      <c r="E741" s="1">
        <v>0.48090277777777773</v>
      </c>
      <c r="F741" s="1" t="s">
        <v>13</v>
      </c>
      <c r="G741" s="1">
        <v>3</v>
      </c>
      <c r="H741" s="1">
        <v>3.05</v>
      </c>
      <c r="I741" s="1">
        <v>0</v>
      </c>
      <c r="J741" s="4">
        <v>41132</v>
      </c>
      <c r="K741" s="4">
        <v>42593</v>
      </c>
      <c r="L741">
        <f t="shared" si="11"/>
        <v>3.0249999999999999</v>
      </c>
    </row>
    <row r="742" spans="1:12" x14ac:dyDescent="0.15">
      <c r="A742" s="1">
        <v>741</v>
      </c>
      <c r="B742" s="4">
        <v>41131</v>
      </c>
      <c r="C742" s="1" t="s">
        <v>17</v>
      </c>
      <c r="D742" s="1" t="s">
        <v>12</v>
      </c>
      <c r="E742" s="1">
        <v>0.4801273148148148</v>
      </c>
      <c r="F742" s="1" t="s">
        <v>13</v>
      </c>
      <c r="G742" s="1">
        <v>2.98</v>
      </c>
      <c r="H742" s="1">
        <v>3.38</v>
      </c>
      <c r="I742" s="1">
        <v>0</v>
      </c>
      <c r="J742" s="4">
        <v>41132</v>
      </c>
      <c r="K742" s="4">
        <v>44419</v>
      </c>
      <c r="L742">
        <f t="shared" si="11"/>
        <v>3.1799999999999997</v>
      </c>
    </row>
    <row r="743" spans="1:12" x14ac:dyDescent="0.15">
      <c r="A743" s="1">
        <v>742</v>
      </c>
      <c r="B743" s="4">
        <v>41131</v>
      </c>
      <c r="C743" s="1" t="s">
        <v>16</v>
      </c>
      <c r="D743" s="1" t="s">
        <v>12</v>
      </c>
      <c r="E743" s="1">
        <v>0.4801273148148148</v>
      </c>
      <c r="F743" s="1" t="s">
        <v>13</v>
      </c>
      <c r="G743" s="1">
        <v>2.98</v>
      </c>
      <c r="H743" s="1">
        <v>3.08</v>
      </c>
      <c r="I743" s="1">
        <v>0</v>
      </c>
      <c r="J743" s="4">
        <v>41132</v>
      </c>
      <c r="K743" s="4">
        <v>42593</v>
      </c>
      <c r="L743">
        <f t="shared" si="11"/>
        <v>3.0300000000000002</v>
      </c>
    </row>
    <row r="744" spans="1:12" x14ac:dyDescent="0.15">
      <c r="A744" s="1">
        <v>743</v>
      </c>
      <c r="B744" s="4">
        <v>41131</v>
      </c>
      <c r="C744" s="1" t="s">
        <v>23</v>
      </c>
      <c r="D744" s="1" t="s">
        <v>26</v>
      </c>
      <c r="E744" s="1">
        <v>0.4808912037037037</v>
      </c>
      <c r="F744" s="1" t="s">
        <v>13</v>
      </c>
      <c r="G744" s="1">
        <v>3</v>
      </c>
      <c r="H744" s="1">
        <v>3.3</v>
      </c>
      <c r="I744" s="1">
        <v>0</v>
      </c>
      <c r="J744" s="4">
        <v>41132</v>
      </c>
      <c r="K744" s="4">
        <v>43323</v>
      </c>
      <c r="L744">
        <f t="shared" si="11"/>
        <v>3.15</v>
      </c>
    </row>
    <row r="745" spans="1:12" x14ac:dyDescent="0.15">
      <c r="A745" s="1">
        <v>744</v>
      </c>
      <c r="B745" s="4">
        <v>41131</v>
      </c>
      <c r="C745" s="1" t="s">
        <v>11</v>
      </c>
      <c r="D745" s="1" t="s">
        <v>12</v>
      </c>
      <c r="E745" s="1">
        <v>0.4801273148148148</v>
      </c>
      <c r="F745" s="1" t="s">
        <v>13</v>
      </c>
      <c r="G745" s="1">
        <v>2.98</v>
      </c>
      <c r="H745" s="1">
        <v>3.08</v>
      </c>
      <c r="I745" s="1">
        <v>0</v>
      </c>
      <c r="J745" s="4">
        <v>41132</v>
      </c>
      <c r="K745" s="4">
        <v>42227</v>
      </c>
      <c r="L745">
        <f t="shared" si="11"/>
        <v>3.0300000000000002</v>
      </c>
    </row>
    <row r="746" spans="1:12" x14ac:dyDescent="0.15">
      <c r="A746" s="1">
        <v>745</v>
      </c>
      <c r="B746" s="4">
        <v>41131</v>
      </c>
      <c r="C746" s="1" t="s">
        <v>22</v>
      </c>
      <c r="D746" s="1" t="s">
        <v>26</v>
      </c>
      <c r="E746" s="1">
        <v>0.67333333333333334</v>
      </c>
      <c r="F746" s="1" t="s">
        <v>13</v>
      </c>
      <c r="G746" s="1">
        <v>3.3</v>
      </c>
      <c r="H746" s="1">
        <v>3.5</v>
      </c>
      <c r="I746" s="1">
        <v>0</v>
      </c>
      <c r="J746" s="4">
        <v>41132</v>
      </c>
      <c r="K746" s="4">
        <v>41316</v>
      </c>
      <c r="L746">
        <f t="shared" si="11"/>
        <v>3.4</v>
      </c>
    </row>
    <row r="747" spans="1:12" x14ac:dyDescent="0.15">
      <c r="A747" s="1">
        <v>746</v>
      </c>
      <c r="B747" s="4">
        <v>41131</v>
      </c>
      <c r="C747" s="1" t="s">
        <v>16</v>
      </c>
      <c r="D747" s="1" t="s">
        <v>12</v>
      </c>
      <c r="E747" s="1">
        <v>0.68615740740740738</v>
      </c>
      <c r="F747" s="1" t="s">
        <v>13</v>
      </c>
      <c r="G747" s="1">
        <v>2.98</v>
      </c>
      <c r="H747" s="1">
        <v>3.08</v>
      </c>
      <c r="I747" s="1">
        <v>0</v>
      </c>
      <c r="J747" s="4">
        <v>41132</v>
      </c>
      <c r="K747" s="4">
        <v>42593</v>
      </c>
      <c r="L747">
        <f t="shared" si="11"/>
        <v>3.0300000000000002</v>
      </c>
    </row>
    <row r="748" spans="1:12" x14ac:dyDescent="0.15">
      <c r="A748" s="1">
        <v>747</v>
      </c>
      <c r="B748" s="4">
        <v>41131</v>
      </c>
      <c r="C748" s="1" t="s">
        <v>25</v>
      </c>
      <c r="D748" s="1" t="s">
        <v>12</v>
      </c>
      <c r="E748" s="1">
        <v>0.68615740740740738</v>
      </c>
      <c r="F748" s="1" t="s">
        <v>13</v>
      </c>
      <c r="G748" s="1">
        <v>3</v>
      </c>
      <c r="H748" s="1">
        <v>3.1</v>
      </c>
      <c r="I748" s="1">
        <v>0</v>
      </c>
      <c r="J748" s="4">
        <v>41132</v>
      </c>
      <c r="K748" s="4">
        <v>42958</v>
      </c>
      <c r="L748">
        <f t="shared" si="11"/>
        <v>3.05</v>
      </c>
    </row>
    <row r="749" spans="1:12" x14ac:dyDescent="0.15">
      <c r="A749" s="1">
        <v>748</v>
      </c>
      <c r="B749" s="4">
        <v>41131</v>
      </c>
      <c r="C749" s="1" t="s">
        <v>11</v>
      </c>
      <c r="D749" s="1" t="s">
        <v>12</v>
      </c>
      <c r="E749" s="1">
        <v>0.68615740740740738</v>
      </c>
      <c r="F749" s="1" t="s">
        <v>13</v>
      </c>
      <c r="G749" s="1">
        <v>2.98</v>
      </c>
      <c r="H749" s="1">
        <v>3.08</v>
      </c>
      <c r="I749" s="1">
        <v>0</v>
      </c>
      <c r="J749" s="4">
        <v>41132</v>
      </c>
      <c r="K749" s="4">
        <v>42227</v>
      </c>
      <c r="L749">
        <f t="shared" si="11"/>
        <v>3.0300000000000002</v>
      </c>
    </row>
    <row r="750" spans="1:12" x14ac:dyDescent="0.15">
      <c r="A750" s="1">
        <v>749</v>
      </c>
      <c r="B750" s="4">
        <v>41131</v>
      </c>
      <c r="C750" s="1" t="s">
        <v>17</v>
      </c>
      <c r="D750" s="1" t="s">
        <v>12</v>
      </c>
      <c r="E750" s="1">
        <v>0.68615740740740738</v>
      </c>
      <c r="F750" s="1" t="s">
        <v>13</v>
      </c>
      <c r="G750" s="1">
        <v>2.98</v>
      </c>
      <c r="H750" s="1">
        <v>3.38</v>
      </c>
      <c r="I750" s="1">
        <v>0</v>
      </c>
      <c r="J750" s="4">
        <v>41132</v>
      </c>
      <c r="K750" s="4">
        <v>44419</v>
      </c>
      <c r="L750">
        <f t="shared" si="11"/>
        <v>3.1799999999999997</v>
      </c>
    </row>
    <row r="751" spans="1:12" x14ac:dyDescent="0.15">
      <c r="A751" s="1">
        <v>750</v>
      </c>
      <c r="B751" s="4">
        <v>41131</v>
      </c>
      <c r="C751" s="1" t="s">
        <v>19</v>
      </c>
      <c r="D751" s="1" t="s">
        <v>12</v>
      </c>
      <c r="E751" s="1">
        <v>0.68615740740740738</v>
      </c>
      <c r="F751" s="1" t="s">
        <v>13</v>
      </c>
      <c r="G751" s="1">
        <v>3.2</v>
      </c>
      <c r="H751" s="1">
        <v>3.3</v>
      </c>
      <c r="I751" s="1">
        <v>0</v>
      </c>
      <c r="J751" s="4">
        <v>41132</v>
      </c>
      <c r="K751" s="4">
        <v>41405</v>
      </c>
      <c r="L751">
        <f t="shared" si="11"/>
        <v>3.25</v>
      </c>
    </row>
    <row r="752" spans="1:12" x14ac:dyDescent="0.15">
      <c r="A752" s="1">
        <v>751</v>
      </c>
      <c r="B752" s="4">
        <v>41131</v>
      </c>
      <c r="C752" s="1" t="s">
        <v>22</v>
      </c>
      <c r="D752" s="1" t="s">
        <v>12</v>
      </c>
      <c r="E752" s="1">
        <v>0.68614583333333334</v>
      </c>
      <c r="F752" s="1" t="s">
        <v>13</v>
      </c>
      <c r="G752" s="1">
        <v>3.3</v>
      </c>
      <c r="H752" s="1">
        <v>3.4</v>
      </c>
      <c r="I752" s="1">
        <v>0</v>
      </c>
      <c r="J752" s="4">
        <v>41132</v>
      </c>
      <c r="K752" s="4">
        <v>41316</v>
      </c>
      <c r="L752">
        <f t="shared" si="11"/>
        <v>3.3499999999999996</v>
      </c>
    </row>
    <row r="753" spans="1:12" x14ac:dyDescent="0.15">
      <c r="A753" s="1">
        <v>752</v>
      </c>
      <c r="B753" s="4">
        <v>41131</v>
      </c>
      <c r="C753" s="1" t="s">
        <v>24</v>
      </c>
      <c r="D753" s="1" t="s">
        <v>12</v>
      </c>
      <c r="E753" s="1">
        <v>0.68615740740740738</v>
      </c>
      <c r="F753" s="1" t="s">
        <v>13</v>
      </c>
      <c r="G753" s="1">
        <v>2.96</v>
      </c>
      <c r="H753" s="1">
        <v>3.36</v>
      </c>
      <c r="I753" s="1">
        <v>0</v>
      </c>
      <c r="J753" s="4">
        <v>41132</v>
      </c>
      <c r="K753" s="4">
        <v>44054</v>
      </c>
      <c r="L753">
        <f t="shared" si="11"/>
        <v>3.16</v>
      </c>
    </row>
    <row r="754" spans="1:12" x14ac:dyDescent="0.15">
      <c r="A754" s="1">
        <v>753</v>
      </c>
      <c r="B754" s="4">
        <v>41131</v>
      </c>
      <c r="C754" s="1" t="s">
        <v>20</v>
      </c>
      <c r="D754" s="1" t="s">
        <v>12</v>
      </c>
      <c r="E754" s="1">
        <v>0.68615740740740738</v>
      </c>
      <c r="F754" s="1" t="s">
        <v>13</v>
      </c>
      <c r="G754" s="1">
        <v>2.99</v>
      </c>
      <c r="H754" s="1">
        <v>3.39</v>
      </c>
      <c r="I754" s="1">
        <v>0</v>
      </c>
      <c r="J754" s="4">
        <v>41132</v>
      </c>
      <c r="K754" s="4">
        <v>44784</v>
      </c>
      <c r="L754">
        <f t="shared" si="11"/>
        <v>3.1900000000000004</v>
      </c>
    </row>
    <row r="755" spans="1:12" x14ac:dyDescent="0.15">
      <c r="A755" s="1">
        <v>754</v>
      </c>
      <c r="B755" s="4">
        <v>41131</v>
      </c>
      <c r="C755" s="1" t="s">
        <v>22</v>
      </c>
      <c r="D755" s="1" t="s">
        <v>15</v>
      </c>
      <c r="E755" s="1">
        <v>0.68744212962962958</v>
      </c>
      <c r="F755" s="1" t="s">
        <v>13</v>
      </c>
      <c r="G755" s="1">
        <v>3.42</v>
      </c>
      <c r="H755" s="1">
        <v>3.48</v>
      </c>
      <c r="I755" s="1">
        <v>0</v>
      </c>
      <c r="J755" s="4">
        <v>41132</v>
      </c>
      <c r="K755" s="4">
        <v>41316</v>
      </c>
      <c r="L755">
        <f t="shared" si="11"/>
        <v>3.45</v>
      </c>
    </row>
    <row r="756" spans="1:12" x14ac:dyDescent="0.15">
      <c r="A756" s="1">
        <v>755</v>
      </c>
      <c r="B756" s="4">
        <v>41131</v>
      </c>
      <c r="C756" s="1" t="s">
        <v>21</v>
      </c>
      <c r="D756" s="1" t="s">
        <v>15</v>
      </c>
      <c r="E756" s="1">
        <v>0.68745370370370373</v>
      </c>
      <c r="F756" s="1" t="s">
        <v>13</v>
      </c>
      <c r="G756" s="1">
        <v>3.12</v>
      </c>
      <c r="H756" s="1">
        <v>3.18</v>
      </c>
      <c r="I756" s="1">
        <v>0</v>
      </c>
      <c r="J756" s="4">
        <v>41132</v>
      </c>
      <c r="K756" s="4">
        <v>43688</v>
      </c>
      <c r="L756">
        <f t="shared" si="11"/>
        <v>3.1500000000000004</v>
      </c>
    </row>
    <row r="757" spans="1:12" x14ac:dyDescent="0.15">
      <c r="A757" s="1">
        <v>756</v>
      </c>
      <c r="B757" s="4">
        <v>41131</v>
      </c>
      <c r="C757" s="1" t="s">
        <v>18</v>
      </c>
      <c r="D757" s="1" t="s">
        <v>15</v>
      </c>
      <c r="E757" s="1">
        <v>0.68745370370370373</v>
      </c>
      <c r="F757" s="1" t="s">
        <v>13</v>
      </c>
      <c r="G757" s="1">
        <v>3.07</v>
      </c>
      <c r="H757" s="1">
        <v>3.13</v>
      </c>
      <c r="I757" s="1">
        <v>0</v>
      </c>
      <c r="J757" s="4">
        <v>41132</v>
      </c>
      <c r="K757" s="4">
        <v>41862</v>
      </c>
      <c r="L757">
        <f t="shared" si="11"/>
        <v>3.0999999999999996</v>
      </c>
    </row>
    <row r="758" spans="1:12" x14ac:dyDescent="0.15">
      <c r="A758" s="1">
        <v>757</v>
      </c>
      <c r="B758" s="4">
        <v>41131</v>
      </c>
      <c r="C758" s="1" t="s">
        <v>20</v>
      </c>
      <c r="D758" s="1" t="s">
        <v>15</v>
      </c>
      <c r="E758" s="1">
        <v>0.68745370370370373</v>
      </c>
      <c r="F758" s="1" t="s">
        <v>13</v>
      </c>
      <c r="G758" s="1">
        <v>3.17</v>
      </c>
      <c r="H758" s="1">
        <v>3.23</v>
      </c>
      <c r="I758" s="1">
        <v>0</v>
      </c>
      <c r="J758" s="4">
        <v>41132</v>
      </c>
      <c r="K758" s="4">
        <v>44784</v>
      </c>
      <c r="L758">
        <f t="shared" si="11"/>
        <v>3.2</v>
      </c>
    </row>
    <row r="759" spans="1:12" x14ac:dyDescent="0.15">
      <c r="A759" s="1">
        <v>758</v>
      </c>
      <c r="B759" s="4">
        <v>41131</v>
      </c>
      <c r="C759" s="1" t="s">
        <v>19</v>
      </c>
      <c r="D759" s="1" t="s">
        <v>15</v>
      </c>
      <c r="E759" s="1">
        <v>0.68745370370370373</v>
      </c>
      <c r="F759" s="1" t="s">
        <v>13</v>
      </c>
      <c r="G759" s="1">
        <v>3.27</v>
      </c>
      <c r="H759" s="1">
        <v>3.33</v>
      </c>
      <c r="I759" s="1">
        <v>0</v>
      </c>
      <c r="J759" s="4">
        <v>41132</v>
      </c>
      <c r="K759" s="4">
        <v>41405</v>
      </c>
      <c r="L759">
        <f t="shared" si="11"/>
        <v>3.3</v>
      </c>
    </row>
    <row r="760" spans="1:12" x14ac:dyDescent="0.15">
      <c r="A760" s="1">
        <v>759</v>
      </c>
      <c r="B760" s="4">
        <v>41131</v>
      </c>
      <c r="C760" s="1" t="s">
        <v>16</v>
      </c>
      <c r="D760" s="1" t="s">
        <v>15</v>
      </c>
      <c r="E760" s="1">
        <v>0.68745370370370373</v>
      </c>
      <c r="F760" s="1" t="s">
        <v>13</v>
      </c>
      <c r="G760" s="1">
        <v>3.03</v>
      </c>
      <c r="H760" s="1">
        <v>3.09</v>
      </c>
      <c r="I760" s="1">
        <v>0</v>
      </c>
      <c r="J760" s="4">
        <v>41132</v>
      </c>
      <c r="K760" s="4">
        <v>42593</v>
      </c>
      <c r="L760">
        <f t="shared" si="11"/>
        <v>3.0599999999999996</v>
      </c>
    </row>
    <row r="761" spans="1:12" x14ac:dyDescent="0.15">
      <c r="A761" s="1">
        <v>760</v>
      </c>
      <c r="B761" s="4">
        <v>41131</v>
      </c>
      <c r="C761" s="1" t="s">
        <v>25</v>
      </c>
      <c r="D761" s="1" t="s">
        <v>15</v>
      </c>
      <c r="E761" s="1">
        <v>0.68745370370370373</v>
      </c>
      <c r="F761" s="1" t="s">
        <v>13</v>
      </c>
      <c r="G761" s="1">
        <v>3.06</v>
      </c>
      <c r="H761" s="1">
        <v>3.12</v>
      </c>
      <c r="I761" s="1">
        <v>0</v>
      </c>
      <c r="J761" s="4">
        <v>41132</v>
      </c>
      <c r="K761" s="4">
        <v>42958</v>
      </c>
      <c r="L761">
        <f t="shared" si="11"/>
        <v>3.09</v>
      </c>
    </row>
    <row r="762" spans="1:12" x14ac:dyDescent="0.15">
      <c r="A762" s="1">
        <v>761</v>
      </c>
      <c r="B762" s="4">
        <v>41131</v>
      </c>
      <c r="C762" s="1" t="s">
        <v>14</v>
      </c>
      <c r="D762" s="1" t="s">
        <v>15</v>
      </c>
      <c r="E762" s="1">
        <v>0.68745370370370373</v>
      </c>
      <c r="F762" s="1" t="s">
        <v>13</v>
      </c>
      <c r="G762" s="1">
        <v>3.17</v>
      </c>
      <c r="H762" s="1">
        <v>3.23</v>
      </c>
      <c r="I762" s="1">
        <v>0</v>
      </c>
      <c r="J762" s="4">
        <v>41132</v>
      </c>
      <c r="K762" s="4">
        <v>41497</v>
      </c>
      <c r="L762">
        <f t="shared" si="11"/>
        <v>3.2</v>
      </c>
    </row>
    <row r="763" spans="1:12" x14ac:dyDescent="0.15">
      <c r="A763" s="1">
        <v>762</v>
      </c>
      <c r="B763" s="4">
        <v>41131</v>
      </c>
      <c r="C763" s="1" t="s">
        <v>11</v>
      </c>
      <c r="D763" s="1" t="s">
        <v>15</v>
      </c>
      <c r="E763" s="1">
        <v>0.68745370370370373</v>
      </c>
      <c r="F763" s="1" t="s">
        <v>13</v>
      </c>
      <c r="G763" s="1">
        <v>3.04</v>
      </c>
      <c r="H763" s="1">
        <v>3.1</v>
      </c>
      <c r="I763" s="1">
        <v>0</v>
      </c>
      <c r="J763" s="4">
        <v>41132</v>
      </c>
      <c r="K763" s="4">
        <v>42227</v>
      </c>
      <c r="L763">
        <f t="shared" si="11"/>
        <v>3.0700000000000003</v>
      </c>
    </row>
    <row r="764" spans="1:12" x14ac:dyDescent="0.15">
      <c r="A764" s="1">
        <v>763</v>
      </c>
      <c r="B764" s="4">
        <v>41131</v>
      </c>
      <c r="C764" s="1" t="s">
        <v>23</v>
      </c>
      <c r="D764" s="1" t="s">
        <v>12</v>
      </c>
      <c r="E764" s="1">
        <v>0.68614583333333334</v>
      </c>
      <c r="F764" s="1" t="s">
        <v>13</v>
      </c>
      <c r="G764" s="1">
        <v>3</v>
      </c>
      <c r="H764" s="1">
        <v>3.1</v>
      </c>
      <c r="I764" s="1">
        <v>0</v>
      </c>
      <c r="J764" s="4">
        <v>41132</v>
      </c>
      <c r="K764" s="4">
        <v>43323</v>
      </c>
      <c r="L764">
        <f t="shared" si="11"/>
        <v>3.05</v>
      </c>
    </row>
    <row r="765" spans="1:12" x14ac:dyDescent="0.15">
      <c r="A765" s="1">
        <v>764</v>
      </c>
      <c r="B765" s="4">
        <v>41131</v>
      </c>
      <c r="C765" s="1" t="s">
        <v>16</v>
      </c>
      <c r="D765" s="1" t="s">
        <v>26</v>
      </c>
      <c r="E765" s="1">
        <v>0.67334490740740749</v>
      </c>
      <c r="F765" s="1" t="s">
        <v>13</v>
      </c>
      <c r="G765" s="1">
        <v>2.95</v>
      </c>
      <c r="H765" s="1">
        <v>3.05</v>
      </c>
      <c r="I765" s="1">
        <v>0</v>
      </c>
      <c r="J765" s="4">
        <v>41132</v>
      </c>
      <c r="K765" s="4">
        <v>42593</v>
      </c>
      <c r="L765">
        <f t="shared" si="11"/>
        <v>3</v>
      </c>
    </row>
    <row r="766" spans="1:12" x14ac:dyDescent="0.15">
      <c r="A766" s="1">
        <v>765</v>
      </c>
      <c r="B766" s="4">
        <v>41131</v>
      </c>
      <c r="C766" s="1" t="s">
        <v>25</v>
      </c>
      <c r="D766" s="1" t="s">
        <v>26</v>
      </c>
      <c r="E766" s="1">
        <v>0.67334490740740749</v>
      </c>
      <c r="F766" s="1" t="s">
        <v>13</v>
      </c>
      <c r="G766" s="1">
        <v>2.95</v>
      </c>
      <c r="H766" s="1">
        <v>3.05</v>
      </c>
      <c r="I766" s="1">
        <v>0</v>
      </c>
      <c r="J766" s="4">
        <v>41132</v>
      </c>
      <c r="K766" s="4">
        <v>42958</v>
      </c>
      <c r="L766">
        <f t="shared" si="11"/>
        <v>3</v>
      </c>
    </row>
    <row r="767" spans="1:12" x14ac:dyDescent="0.15">
      <c r="A767" s="1">
        <v>766</v>
      </c>
      <c r="B767" s="4">
        <v>41131</v>
      </c>
      <c r="C767" s="1" t="s">
        <v>14</v>
      </c>
      <c r="D767" s="1" t="s">
        <v>27</v>
      </c>
      <c r="E767" s="1">
        <v>0.68255787037037041</v>
      </c>
      <c r="F767" s="1" t="s">
        <v>13</v>
      </c>
      <c r="G767" s="1">
        <v>3.07</v>
      </c>
      <c r="H767" s="1">
        <v>3.15</v>
      </c>
      <c r="I767" s="1">
        <v>0</v>
      </c>
      <c r="J767" s="4">
        <v>41132</v>
      </c>
      <c r="K767" s="4">
        <v>41497</v>
      </c>
      <c r="L767">
        <f t="shared" si="11"/>
        <v>3.11</v>
      </c>
    </row>
    <row r="768" spans="1:12" x14ac:dyDescent="0.15">
      <c r="A768" s="1">
        <v>767</v>
      </c>
      <c r="B768" s="4">
        <v>41131</v>
      </c>
      <c r="C768" s="1" t="s">
        <v>11</v>
      </c>
      <c r="D768" s="1" t="s">
        <v>26</v>
      </c>
      <c r="E768" s="1">
        <v>0.67334490740740749</v>
      </c>
      <c r="F768" s="1" t="s">
        <v>13</v>
      </c>
      <c r="G768" s="1">
        <v>2.95</v>
      </c>
      <c r="H768" s="1">
        <v>3.05</v>
      </c>
      <c r="I768" s="1">
        <v>0</v>
      </c>
      <c r="J768" s="4">
        <v>41132</v>
      </c>
      <c r="K768" s="4">
        <v>42227</v>
      </c>
      <c r="L768">
        <f t="shared" si="11"/>
        <v>3</v>
      </c>
    </row>
    <row r="769" spans="1:12" x14ac:dyDescent="0.15">
      <c r="A769" s="1">
        <v>768</v>
      </c>
      <c r="B769" s="4">
        <v>41131</v>
      </c>
      <c r="C769" s="1" t="s">
        <v>24</v>
      </c>
      <c r="D769" s="1" t="s">
        <v>26</v>
      </c>
      <c r="E769" s="1">
        <v>0.67333333333333334</v>
      </c>
      <c r="F769" s="1" t="s">
        <v>13</v>
      </c>
      <c r="G769" s="1">
        <v>3</v>
      </c>
      <c r="H769" s="1">
        <v>3.3</v>
      </c>
      <c r="I769" s="1">
        <v>0</v>
      </c>
      <c r="J769" s="4">
        <v>41132</v>
      </c>
      <c r="K769" s="4">
        <v>44054</v>
      </c>
      <c r="L769">
        <f t="shared" si="11"/>
        <v>3.15</v>
      </c>
    </row>
    <row r="770" spans="1:12" x14ac:dyDescent="0.15">
      <c r="A770" s="1">
        <v>769</v>
      </c>
      <c r="B770" s="4">
        <v>41131</v>
      </c>
      <c r="C770" s="1" t="s">
        <v>14</v>
      </c>
      <c r="D770" s="1" t="s">
        <v>26</v>
      </c>
      <c r="E770" s="1">
        <v>0.67333333333333334</v>
      </c>
      <c r="F770" s="1" t="s">
        <v>13</v>
      </c>
      <c r="G770" s="1">
        <v>3.1</v>
      </c>
      <c r="H770" s="1">
        <v>3.15</v>
      </c>
      <c r="I770" s="1">
        <v>0</v>
      </c>
      <c r="J770" s="4">
        <v>41132</v>
      </c>
      <c r="K770" s="4">
        <v>41497</v>
      </c>
      <c r="L770">
        <f t="shared" si="11"/>
        <v>3.125</v>
      </c>
    </row>
    <row r="771" spans="1:12" x14ac:dyDescent="0.15">
      <c r="A771" s="1">
        <v>770</v>
      </c>
      <c r="B771" s="4">
        <v>41131</v>
      </c>
      <c r="C771" s="1" t="s">
        <v>18</v>
      </c>
      <c r="D771" s="1" t="s">
        <v>26</v>
      </c>
      <c r="E771" s="1">
        <v>0.67333333333333334</v>
      </c>
      <c r="F771" s="1" t="s">
        <v>13</v>
      </c>
      <c r="G771" s="1">
        <v>2.95</v>
      </c>
      <c r="H771" s="1">
        <v>3.05</v>
      </c>
      <c r="I771" s="1">
        <v>0</v>
      </c>
      <c r="J771" s="4">
        <v>41132</v>
      </c>
      <c r="K771" s="4">
        <v>41862</v>
      </c>
      <c r="L771">
        <f t="shared" ref="L771:L834" si="12">AVERAGE(G771:H771)</f>
        <v>3</v>
      </c>
    </row>
    <row r="772" spans="1:12" x14ac:dyDescent="0.15">
      <c r="A772" s="1">
        <v>771</v>
      </c>
      <c r="B772" s="4">
        <v>41131</v>
      </c>
      <c r="C772" s="1" t="s">
        <v>20</v>
      </c>
      <c r="D772" s="1" t="s">
        <v>26</v>
      </c>
      <c r="E772" s="1">
        <v>0.67333333333333334</v>
      </c>
      <c r="F772" s="1" t="s">
        <v>13</v>
      </c>
      <c r="G772" s="1">
        <v>3</v>
      </c>
      <c r="H772" s="1">
        <v>3.3</v>
      </c>
      <c r="I772" s="1">
        <v>0</v>
      </c>
      <c r="J772" s="4">
        <v>41132</v>
      </c>
      <c r="K772" s="4">
        <v>44784</v>
      </c>
      <c r="L772">
        <f t="shared" si="12"/>
        <v>3.15</v>
      </c>
    </row>
    <row r="773" spans="1:12" x14ac:dyDescent="0.15">
      <c r="A773" s="1">
        <v>772</v>
      </c>
      <c r="B773" s="4">
        <v>41131</v>
      </c>
      <c r="C773" s="1" t="s">
        <v>18</v>
      </c>
      <c r="D773" s="1" t="s">
        <v>27</v>
      </c>
      <c r="E773" s="1">
        <v>0.68256944444444445</v>
      </c>
      <c r="F773" s="1" t="s">
        <v>13</v>
      </c>
      <c r="G773" s="1">
        <v>2.95</v>
      </c>
      <c r="H773" s="1">
        <v>3.04</v>
      </c>
      <c r="I773" s="1">
        <v>0</v>
      </c>
      <c r="J773" s="4">
        <v>41132</v>
      </c>
      <c r="K773" s="4">
        <v>41862</v>
      </c>
      <c r="L773">
        <f t="shared" si="12"/>
        <v>2.9950000000000001</v>
      </c>
    </row>
    <row r="774" spans="1:12" x14ac:dyDescent="0.15">
      <c r="A774" s="1">
        <v>773</v>
      </c>
      <c r="B774" s="4">
        <v>41131</v>
      </c>
      <c r="C774" s="1" t="s">
        <v>14</v>
      </c>
      <c r="D774" s="1" t="s">
        <v>12</v>
      </c>
      <c r="E774" s="1">
        <v>0.68614583333333334</v>
      </c>
      <c r="F774" s="1" t="s">
        <v>13</v>
      </c>
      <c r="G774" s="1">
        <v>3.07</v>
      </c>
      <c r="H774" s="1">
        <v>3.17</v>
      </c>
      <c r="I774" s="1">
        <v>0</v>
      </c>
      <c r="J774" s="4">
        <v>41132</v>
      </c>
      <c r="K774" s="4">
        <v>41497</v>
      </c>
      <c r="L774">
        <f t="shared" si="12"/>
        <v>3.12</v>
      </c>
    </row>
    <row r="775" spans="1:12" x14ac:dyDescent="0.15">
      <c r="A775" s="1">
        <v>774</v>
      </c>
      <c r="B775" s="4">
        <v>41131</v>
      </c>
      <c r="C775" s="1" t="s">
        <v>11</v>
      </c>
      <c r="D775" s="1" t="s">
        <v>27</v>
      </c>
      <c r="E775" s="1">
        <v>0.68258101851851849</v>
      </c>
      <c r="F775" s="1" t="s">
        <v>13</v>
      </c>
      <c r="G775" s="1">
        <v>2.94</v>
      </c>
      <c r="H775" s="1">
        <v>3.01</v>
      </c>
      <c r="I775" s="1">
        <v>0</v>
      </c>
      <c r="J775" s="4">
        <v>41132</v>
      </c>
      <c r="K775" s="4">
        <v>42227</v>
      </c>
      <c r="L775">
        <f t="shared" si="12"/>
        <v>2.9749999999999996</v>
      </c>
    </row>
    <row r="776" spans="1:12" x14ac:dyDescent="0.15">
      <c r="A776" s="1">
        <v>775</v>
      </c>
      <c r="B776" s="4">
        <v>41131</v>
      </c>
      <c r="C776" s="1" t="s">
        <v>21</v>
      </c>
      <c r="D776" s="1" t="s">
        <v>12</v>
      </c>
      <c r="E776" s="1">
        <v>0.68614583333333334</v>
      </c>
      <c r="F776" s="1" t="s">
        <v>13</v>
      </c>
      <c r="G776" s="1">
        <v>2.95</v>
      </c>
      <c r="H776" s="1">
        <v>3.35</v>
      </c>
      <c r="I776" s="1">
        <v>0</v>
      </c>
      <c r="J776" s="4">
        <v>41132</v>
      </c>
      <c r="K776" s="4">
        <v>43688</v>
      </c>
      <c r="L776">
        <f t="shared" si="12"/>
        <v>3.1500000000000004</v>
      </c>
    </row>
    <row r="777" spans="1:12" x14ac:dyDescent="0.15">
      <c r="A777" s="1">
        <v>776</v>
      </c>
      <c r="B777" s="4">
        <v>41131</v>
      </c>
      <c r="C777" s="1" t="s">
        <v>18</v>
      </c>
      <c r="D777" s="1" t="s">
        <v>12</v>
      </c>
      <c r="E777" s="1">
        <v>0.68614583333333334</v>
      </c>
      <c r="F777" s="1" t="s">
        <v>13</v>
      </c>
      <c r="G777" s="1">
        <v>2.98</v>
      </c>
      <c r="H777" s="1">
        <v>3.08</v>
      </c>
      <c r="I777" s="1">
        <v>0</v>
      </c>
      <c r="J777" s="4">
        <v>41132</v>
      </c>
      <c r="K777" s="4">
        <v>41862</v>
      </c>
      <c r="L777">
        <f t="shared" si="12"/>
        <v>3.0300000000000002</v>
      </c>
    </row>
    <row r="778" spans="1:12" x14ac:dyDescent="0.15">
      <c r="A778" s="1">
        <v>777</v>
      </c>
      <c r="B778" s="4">
        <v>41131</v>
      </c>
      <c r="C778" s="1" t="s">
        <v>19</v>
      </c>
      <c r="D778" s="1" t="s">
        <v>27</v>
      </c>
      <c r="E778" s="1">
        <v>0.68256944444444445</v>
      </c>
      <c r="F778" s="1" t="s">
        <v>13</v>
      </c>
      <c r="G778" s="1">
        <v>3.16</v>
      </c>
      <c r="H778" s="1">
        <v>3.26</v>
      </c>
      <c r="I778" s="1">
        <v>0</v>
      </c>
      <c r="J778" s="4">
        <v>41132</v>
      </c>
      <c r="K778" s="4">
        <v>41405</v>
      </c>
      <c r="L778">
        <f t="shared" si="12"/>
        <v>3.21</v>
      </c>
    </row>
    <row r="779" spans="1:12" x14ac:dyDescent="0.15">
      <c r="A779" s="1">
        <v>778</v>
      </c>
      <c r="B779" s="4">
        <v>41131</v>
      </c>
      <c r="C779" s="1" t="s">
        <v>25</v>
      </c>
      <c r="D779" s="1" t="s">
        <v>27</v>
      </c>
      <c r="E779" s="1">
        <v>0.68256944444444445</v>
      </c>
      <c r="F779" s="1" t="s">
        <v>13</v>
      </c>
      <c r="G779" s="1">
        <v>2.96</v>
      </c>
      <c r="H779" s="1">
        <v>3.01</v>
      </c>
      <c r="I779" s="1">
        <v>0</v>
      </c>
      <c r="J779" s="4">
        <v>41132</v>
      </c>
      <c r="K779" s="4">
        <v>42958</v>
      </c>
      <c r="L779">
        <f t="shared" si="12"/>
        <v>2.9849999999999999</v>
      </c>
    </row>
    <row r="780" spans="1:12" x14ac:dyDescent="0.15">
      <c r="A780" s="1">
        <v>779</v>
      </c>
      <c r="B780" s="4">
        <v>41131</v>
      </c>
      <c r="C780" s="1" t="s">
        <v>22</v>
      </c>
      <c r="D780" s="1" t="s">
        <v>27</v>
      </c>
      <c r="E780" s="1">
        <v>0.68258101851851849</v>
      </c>
      <c r="F780" s="1" t="s">
        <v>13</v>
      </c>
      <c r="G780" s="1">
        <v>3.33</v>
      </c>
      <c r="H780" s="1">
        <v>3.38</v>
      </c>
      <c r="I780" s="1">
        <v>0</v>
      </c>
      <c r="J780" s="4">
        <v>41132</v>
      </c>
      <c r="K780" s="4">
        <v>41316</v>
      </c>
      <c r="L780">
        <f t="shared" si="12"/>
        <v>3.355</v>
      </c>
    </row>
    <row r="781" spans="1:12" x14ac:dyDescent="0.15">
      <c r="A781" s="1">
        <v>780</v>
      </c>
      <c r="B781" s="4">
        <v>41131</v>
      </c>
      <c r="C781" s="1" t="s">
        <v>16</v>
      </c>
      <c r="D781" s="1" t="s">
        <v>27</v>
      </c>
      <c r="E781" s="1">
        <v>0.68256944444444445</v>
      </c>
      <c r="F781" s="1" t="s">
        <v>13</v>
      </c>
      <c r="G781" s="1">
        <v>2.93</v>
      </c>
      <c r="H781" s="1">
        <v>3.01</v>
      </c>
      <c r="I781" s="1">
        <v>0</v>
      </c>
      <c r="J781" s="4">
        <v>41132</v>
      </c>
      <c r="K781" s="4">
        <v>42593</v>
      </c>
      <c r="L781">
        <f t="shared" si="12"/>
        <v>2.9699999999999998</v>
      </c>
    </row>
    <row r="782" spans="1:12" x14ac:dyDescent="0.15">
      <c r="A782" s="1">
        <v>781</v>
      </c>
      <c r="B782" s="4">
        <v>41130</v>
      </c>
      <c r="C782" s="1" t="s">
        <v>20</v>
      </c>
      <c r="D782" s="1" t="s">
        <v>26</v>
      </c>
      <c r="E782" s="1">
        <v>0.48013888888888889</v>
      </c>
      <c r="F782" s="1" t="s">
        <v>13</v>
      </c>
      <c r="G782" s="1">
        <v>3</v>
      </c>
      <c r="H782" s="1">
        <v>3.3</v>
      </c>
      <c r="I782" s="1">
        <v>0</v>
      </c>
      <c r="J782" s="4">
        <v>41131</v>
      </c>
      <c r="K782" s="4">
        <v>44783</v>
      </c>
      <c r="L782">
        <f t="shared" si="12"/>
        <v>3.15</v>
      </c>
    </row>
    <row r="783" spans="1:12" x14ac:dyDescent="0.15">
      <c r="A783" s="1">
        <v>782</v>
      </c>
      <c r="B783" s="4">
        <v>41130</v>
      </c>
      <c r="C783" s="1" t="s">
        <v>18</v>
      </c>
      <c r="D783" s="1" t="s">
        <v>26</v>
      </c>
      <c r="E783" s="1">
        <v>0.48013888888888889</v>
      </c>
      <c r="F783" s="1" t="s">
        <v>13</v>
      </c>
      <c r="G783" s="1">
        <v>3.05</v>
      </c>
      <c r="H783" s="1">
        <v>3.1</v>
      </c>
      <c r="I783" s="1">
        <v>0</v>
      </c>
      <c r="J783" s="4">
        <v>41131</v>
      </c>
      <c r="K783" s="4">
        <v>41861</v>
      </c>
      <c r="L783">
        <f t="shared" si="12"/>
        <v>3.0750000000000002</v>
      </c>
    </row>
    <row r="784" spans="1:12" x14ac:dyDescent="0.15">
      <c r="A784" s="1">
        <v>783</v>
      </c>
      <c r="B784" s="4">
        <v>41130</v>
      </c>
      <c r="C784" s="1" t="s">
        <v>17</v>
      </c>
      <c r="D784" s="1" t="s">
        <v>26</v>
      </c>
      <c r="E784" s="1">
        <v>0.48013888888888889</v>
      </c>
      <c r="F784" s="1" t="s">
        <v>13</v>
      </c>
      <c r="G784" s="1">
        <v>3</v>
      </c>
      <c r="H784" s="1">
        <v>3.3</v>
      </c>
      <c r="I784" s="1">
        <v>0</v>
      </c>
      <c r="J784" s="4">
        <v>41131</v>
      </c>
      <c r="K784" s="4">
        <v>44418</v>
      </c>
      <c r="L784">
        <f t="shared" si="12"/>
        <v>3.15</v>
      </c>
    </row>
    <row r="785" spans="1:12" x14ac:dyDescent="0.15">
      <c r="A785" s="1">
        <v>784</v>
      </c>
      <c r="B785" s="4">
        <v>41130</v>
      </c>
      <c r="C785" s="1" t="s">
        <v>24</v>
      </c>
      <c r="D785" s="1" t="s">
        <v>26</v>
      </c>
      <c r="E785" s="1">
        <v>0.48013888888888889</v>
      </c>
      <c r="F785" s="1" t="s">
        <v>13</v>
      </c>
      <c r="G785" s="1">
        <v>3</v>
      </c>
      <c r="H785" s="1">
        <v>3.3</v>
      </c>
      <c r="I785" s="1">
        <v>0</v>
      </c>
      <c r="J785" s="4">
        <v>41131</v>
      </c>
      <c r="K785" s="4">
        <v>44053</v>
      </c>
      <c r="L785">
        <f t="shared" si="12"/>
        <v>3.15</v>
      </c>
    </row>
    <row r="786" spans="1:12" x14ac:dyDescent="0.15">
      <c r="A786" s="1">
        <v>785</v>
      </c>
      <c r="B786" s="4">
        <v>41130</v>
      </c>
      <c r="C786" s="1" t="s">
        <v>25</v>
      </c>
      <c r="D786" s="1" t="s">
        <v>26</v>
      </c>
      <c r="E786" s="1">
        <v>0.48013888888888889</v>
      </c>
      <c r="F786" s="1" t="s">
        <v>13</v>
      </c>
      <c r="G786" s="1">
        <v>3</v>
      </c>
      <c r="H786" s="1">
        <v>3.1</v>
      </c>
      <c r="I786" s="1">
        <v>0</v>
      </c>
      <c r="J786" s="4">
        <v>41131</v>
      </c>
      <c r="K786" s="4">
        <v>42957</v>
      </c>
      <c r="L786">
        <f t="shared" si="12"/>
        <v>3.05</v>
      </c>
    </row>
    <row r="787" spans="1:12" x14ac:dyDescent="0.15">
      <c r="A787" s="1">
        <v>786</v>
      </c>
      <c r="B787" s="4">
        <v>41130</v>
      </c>
      <c r="C787" s="1" t="s">
        <v>16</v>
      </c>
      <c r="D787" s="1" t="s">
        <v>26</v>
      </c>
      <c r="E787" s="1">
        <v>0.48013888888888889</v>
      </c>
      <c r="F787" s="1" t="s">
        <v>13</v>
      </c>
      <c r="G787" s="1">
        <v>3</v>
      </c>
      <c r="H787" s="1">
        <v>3.05</v>
      </c>
      <c r="I787" s="1">
        <v>0</v>
      </c>
      <c r="J787" s="4">
        <v>41131</v>
      </c>
      <c r="K787" s="4">
        <v>42592</v>
      </c>
      <c r="L787">
        <f t="shared" si="12"/>
        <v>3.0249999999999999</v>
      </c>
    </row>
    <row r="788" spans="1:12" x14ac:dyDescent="0.15">
      <c r="A788" s="1">
        <v>787</v>
      </c>
      <c r="B788" s="4">
        <v>41130</v>
      </c>
      <c r="C788" s="1" t="s">
        <v>14</v>
      </c>
      <c r="D788" s="1" t="s">
        <v>26</v>
      </c>
      <c r="E788" s="1">
        <v>0.48013888888888889</v>
      </c>
      <c r="F788" s="1" t="s">
        <v>13</v>
      </c>
      <c r="G788" s="1">
        <v>3.15</v>
      </c>
      <c r="H788" s="1">
        <v>3.25</v>
      </c>
      <c r="I788" s="1">
        <v>0</v>
      </c>
      <c r="J788" s="4">
        <v>41131</v>
      </c>
      <c r="K788" s="4">
        <v>41496</v>
      </c>
      <c r="L788">
        <f t="shared" si="12"/>
        <v>3.2</v>
      </c>
    </row>
    <row r="789" spans="1:12" x14ac:dyDescent="0.15">
      <c r="A789" s="1">
        <v>788</v>
      </c>
      <c r="B789" s="4">
        <v>41130</v>
      </c>
      <c r="C789" s="1" t="s">
        <v>25</v>
      </c>
      <c r="D789" s="1" t="s">
        <v>27</v>
      </c>
      <c r="E789" s="1">
        <v>0.48994212962962963</v>
      </c>
      <c r="F789" s="1" t="s">
        <v>13</v>
      </c>
      <c r="G789" s="1">
        <v>3.08</v>
      </c>
      <c r="H789" s="1">
        <v>3.13</v>
      </c>
      <c r="I789" s="1">
        <v>0</v>
      </c>
      <c r="J789" s="4">
        <v>41131</v>
      </c>
      <c r="K789" s="4">
        <v>42957</v>
      </c>
      <c r="L789">
        <f t="shared" si="12"/>
        <v>3.105</v>
      </c>
    </row>
    <row r="790" spans="1:12" x14ac:dyDescent="0.15">
      <c r="A790" s="1">
        <v>789</v>
      </c>
      <c r="B790" s="4">
        <v>41130</v>
      </c>
      <c r="C790" s="1" t="s">
        <v>19</v>
      </c>
      <c r="D790" s="1" t="s">
        <v>27</v>
      </c>
      <c r="E790" s="1">
        <v>0.48994212962962963</v>
      </c>
      <c r="F790" s="1" t="s">
        <v>13</v>
      </c>
      <c r="G790" s="1">
        <v>3.22</v>
      </c>
      <c r="H790" s="1">
        <v>3.29</v>
      </c>
      <c r="I790" s="1">
        <v>0</v>
      </c>
      <c r="J790" s="4">
        <v>41131</v>
      </c>
      <c r="K790" s="4">
        <v>41404</v>
      </c>
      <c r="L790">
        <f t="shared" si="12"/>
        <v>3.2549999999999999</v>
      </c>
    </row>
    <row r="791" spans="1:12" x14ac:dyDescent="0.15">
      <c r="A791" s="1">
        <v>790</v>
      </c>
      <c r="B791" s="4">
        <v>41130</v>
      </c>
      <c r="C791" s="1" t="s">
        <v>18</v>
      </c>
      <c r="D791" s="1" t="s">
        <v>27</v>
      </c>
      <c r="E791" s="1">
        <v>0.48995370370370367</v>
      </c>
      <c r="F791" s="1" t="s">
        <v>13</v>
      </c>
      <c r="G791" s="1">
        <v>3.05</v>
      </c>
      <c r="H791" s="1">
        <v>3.1</v>
      </c>
      <c r="I791" s="1">
        <v>0</v>
      </c>
      <c r="J791" s="4">
        <v>41131</v>
      </c>
      <c r="K791" s="4">
        <v>41861</v>
      </c>
      <c r="L791">
        <f t="shared" si="12"/>
        <v>3.0750000000000002</v>
      </c>
    </row>
    <row r="792" spans="1:12" x14ac:dyDescent="0.15">
      <c r="A792" s="1">
        <v>791</v>
      </c>
      <c r="B792" s="4">
        <v>41130</v>
      </c>
      <c r="C792" s="1" t="s">
        <v>14</v>
      </c>
      <c r="D792" s="1" t="s">
        <v>27</v>
      </c>
      <c r="E792" s="1">
        <v>0.48994212962962963</v>
      </c>
      <c r="F792" s="1" t="s">
        <v>13</v>
      </c>
      <c r="G792" s="1">
        <v>3.12</v>
      </c>
      <c r="H792" s="1">
        <v>3.17</v>
      </c>
      <c r="I792" s="1">
        <v>0</v>
      </c>
      <c r="J792" s="4">
        <v>41131</v>
      </c>
      <c r="K792" s="4">
        <v>41496</v>
      </c>
      <c r="L792">
        <f t="shared" si="12"/>
        <v>3.145</v>
      </c>
    </row>
    <row r="793" spans="1:12" x14ac:dyDescent="0.15">
      <c r="A793" s="1">
        <v>792</v>
      </c>
      <c r="B793" s="4">
        <v>41130</v>
      </c>
      <c r="C793" s="1" t="s">
        <v>21</v>
      </c>
      <c r="D793" s="1" t="s">
        <v>26</v>
      </c>
      <c r="E793" s="1">
        <v>0.48013888888888889</v>
      </c>
      <c r="F793" s="1" t="s">
        <v>13</v>
      </c>
      <c r="G793" s="1">
        <v>3</v>
      </c>
      <c r="H793" s="1">
        <v>3.3</v>
      </c>
      <c r="I793" s="1">
        <v>0</v>
      </c>
      <c r="J793" s="4">
        <v>41131</v>
      </c>
      <c r="K793" s="4">
        <v>43687</v>
      </c>
      <c r="L793">
        <f t="shared" si="12"/>
        <v>3.15</v>
      </c>
    </row>
    <row r="794" spans="1:12" x14ac:dyDescent="0.15">
      <c r="A794" s="1">
        <v>793</v>
      </c>
      <c r="B794" s="4">
        <v>41130</v>
      </c>
      <c r="C794" s="1" t="s">
        <v>11</v>
      </c>
      <c r="D794" s="1" t="s">
        <v>26</v>
      </c>
      <c r="E794" s="1">
        <v>0.48015046296296293</v>
      </c>
      <c r="F794" s="1" t="s">
        <v>13</v>
      </c>
      <c r="G794" s="1">
        <v>3</v>
      </c>
      <c r="H794" s="1">
        <v>3.05</v>
      </c>
      <c r="I794" s="1">
        <v>0</v>
      </c>
      <c r="J794" s="4">
        <v>41131</v>
      </c>
      <c r="K794" s="4">
        <v>42226</v>
      </c>
      <c r="L794">
        <f t="shared" si="12"/>
        <v>3.0249999999999999</v>
      </c>
    </row>
    <row r="795" spans="1:12" x14ac:dyDescent="0.15">
      <c r="A795" s="1">
        <v>794</v>
      </c>
      <c r="B795" s="4">
        <v>41130</v>
      </c>
      <c r="C795" s="1" t="s">
        <v>16</v>
      </c>
      <c r="D795" s="1" t="s">
        <v>27</v>
      </c>
      <c r="E795" s="1">
        <v>0.48994212962962963</v>
      </c>
      <c r="F795" s="1" t="s">
        <v>13</v>
      </c>
      <c r="G795" s="1">
        <v>3.06</v>
      </c>
      <c r="H795" s="1">
        <v>3.12</v>
      </c>
      <c r="I795" s="1">
        <v>0</v>
      </c>
      <c r="J795" s="4">
        <v>41131</v>
      </c>
      <c r="K795" s="4">
        <v>42592</v>
      </c>
      <c r="L795">
        <f t="shared" si="12"/>
        <v>3.09</v>
      </c>
    </row>
    <row r="796" spans="1:12" x14ac:dyDescent="0.15">
      <c r="A796" s="1">
        <v>795</v>
      </c>
      <c r="B796" s="4">
        <v>41130</v>
      </c>
      <c r="C796" s="1" t="s">
        <v>19</v>
      </c>
      <c r="D796" s="1" t="s">
        <v>26</v>
      </c>
      <c r="E796" s="1">
        <v>0.48013888888888889</v>
      </c>
      <c r="F796" s="1" t="s">
        <v>13</v>
      </c>
      <c r="G796" s="1">
        <v>3.6</v>
      </c>
      <c r="H796" s="1">
        <v>3.7</v>
      </c>
      <c r="I796" s="1">
        <v>0</v>
      </c>
      <c r="J796" s="4">
        <v>41131</v>
      </c>
      <c r="K796" s="4">
        <v>41404</v>
      </c>
      <c r="L796">
        <f t="shared" si="12"/>
        <v>3.6500000000000004</v>
      </c>
    </row>
    <row r="797" spans="1:12" x14ac:dyDescent="0.15">
      <c r="A797" s="1">
        <v>796</v>
      </c>
      <c r="B797" s="4">
        <v>41130</v>
      </c>
      <c r="C797" s="1" t="s">
        <v>16</v>
      </c>
      <c r="D797" s="1" t="s">
        <v>12</v>
      </c>
      <c r="E797" s="1">
        <v>0.48001157407407408</v>
      </c>
      <c r="F797" s="1" t="s">
        <v>13</v>
      </c>
      <c r="G797" s="1">
        <v>3.02</v>
      </c>
      <c r="H797" s="1">
        <v>3.12</v>
      </c>
      <c r="I797" s="1">
        <v>0</v>
      </c>
      <c r="J797" s="4">
        <v>41131</v>
      </c>
      <c r="K797" s="4">
        <v>42592</v>
      </c>
      <c r="L797">
        <f t="shared" si="12"/>
        <v>3.0700000000000003</v>
      </c>
    </row>
    <row r="798" spans="1:12" x14ac:dyDescent="0.15">
      <c r="A798" s="1">
        <v>797</v>
      </c>
      <c r="B798" s="4">
        <v>41130</v>
      </c>
      <c r="C798" s="1" t="s">
        <v>17</v>
      </c>
      <c r="D798" s="1" t="s">
        <v>12</v>
      </c>
      <c r="E798" s="1">
        <v>0.48001157407407408</v>
      </c>
      <c r="F798" s="1" t="s">
        <v>13</v>
      </c>
      <c r="G798" s="1">
        <v>2.98</v>
      </c>
      <c r="H798" s="1">
        <v>3.38</v>
      </c>
      <c r="I798" s="1">
        <v>0</v>
      </c>
      <c r="J798" s="4">
        <v>41131</v>
      </c>
      <c r="K798" s="4">
        <v>44418</v>
      </c>
      <c r="L798">
        <f t="shared" si="12"/>
        <v>3.1799999999999997</v>
      </c>
    </row>
    <row r="799" spans="1:12" x14ac:dyDescent="0.15">
      <c r="A799" s="1">
        <v>798</v>
      </c>
      <c r="B799" s="4">
        <v>41130</v>
      </c>
      <c r="C799" s="1" t="s">
        <v>11</v>
      </c>
      <c r="D799" s="1" t="s">
        <v>12</v>
      </c>
      <c r="E799" s="1">
        <v>0.48001157407407408</v>
      </c>
      <c r="F799" s="1" t="s">
        <v>13</v>
      </c>
      <c r="G799" s="1">
        <v>3.04</v>
      </c>
      <c r="H799" s="1">
        <v>3.14</v>
      </c>
      <c r="I799" s="1">
        <v>0</v>
      </c>
      <c r="J799" s="4">
        <v>41131</v>
      </c>
      <c r="K799" s="4">
        <v>42226</v>
      </c>
      <c r="L799">
        <f t="shared" si="12"/>
        <v>3.09</v>
      </c>
    </row>
    <row r="800" spans="1:12" x14ac:dyDescent="0.15">
      <c r="A800" s="1">
        <v>799</v>
      </c>
      <c r="B800" s="4">
        <v>41130</v>
      </c>
      <c r="C800" s="1" t="s">
        <v>25</v>
      </c>
      <c r="D800" s="1" t="s">
        <v>12</v>
      </c>
      <c r="E800" s="1">
        <v>0.48001157407407408</v>
      </c>
      <c r="F800" s="1" t="s">
        <v>13</v>
      </c>
      <c r="G800" s="1">
        <v>3.04</v>
      </c>
      <c r="H800" s="1">
        <v>3.14</v>
      </c>
      <c r="I800" s="1">
        <v>0</v>
      </c>
      <c r="J800" s="4">
        <v>41131</v>
      </c>
      <c r="K800" s="4">
        <v>42957</v>
      </c>
      <c r="L800">
        <f t="shared" si="12"/>
        <v>3.09</v>
      </c>
    </row>
    <row r="801" spans="1:12" x14ac:dyDescent="0.15">
      <c r="A801" s="1">
        <v>800</v>
      </c>
      <c r="B801" s="4">
        <v>41130</v>
      </c>
      <c r="C801" s="1" t="s">
        <v>23</v>
      </c>
      <c r="D801" s="1" t="s">
        <v>12</v>
      </c>
      <c r="E801" s="1">
        <v>0.48</v>
      </c>
      <c r="F801" s="1" t="s">
        <v>13</v>
      </c>
      <c r="G801" s="1">
        <v>3.02</v>
      </c>
      <c r="H801" s="1">
        <v>3.22</v>
      </c>
      <c r="I801" s="1">
        <v>0</v>
      </c>
      <c r="J801" s="4">
        <v>41131</v>
      </c>
      <c r="K801" s="4">
        <v>43322</v>
      </c>
      <c r="L801">
        <f t="shared" si="12"/>
        <v>3.12</v>
      </c>
    </row>
    <row r="802" spans="1:12" x14ac:dyDescent="0.15">
      <c r="A802" s="1">
        <v>801</v>
      </c>
      <c r="B802" s="4">
        <v>41130</v>
      </c>
      <c r="C802" s="1" t="s">
        <v>22</v>
      </c>
      <c r="D802" s="1" t="s">
        <v>12</v>
      </c>
      <c r="E802" s="1">
        <v>0.48</v>
      </c>
      <c r="F802" s="1" t="s">
        <v>13</v>
      </c>
      <c r="G802" s="1">
        <v>3.4</v>
      </c>
      <c r="H802" s="1">
        <v>3.5</v>
      </c>
      <c r="I802" s="1">
        <v>0</v>
      </c>
      <c r="J802" s="4">
        <v>41131</v>
      </c>
      <c r="K802" s="4">
        <v>41315</v>
      </c>
      <c r="L802">
        <f t="shared" si="12"/>
        <v>3.45</v>
      </c>
    </row>
    <row r="803" spans="1:12" x14ac:dyDescent="0.15">
      <c r="A803" s="1">
        <v>802</v>
      </c>
      <c r="B803" s="4">
        <v>41130</v>
      </c>
      <c r="C803" s="1" t="s">
        <v>24</v>
      </c>
      <c r="D803" s="1" t="s">
        <v>12</v>
      </c>
      <c r="E803" s="1">
        <v>0.48001157407407408</v>
      </c>
      <c r="F803" s="1" t="s">
        <v>13</v>
      </c>
      <c r="G803" s="1">
        <v>2.96</v>
      </c>
      <c r="H803" s="1">
        <v>3.36</v>
      </c>
      <c r="I803" s="1">
        <v>0</v>
      </c>
      <c r="J803" s="4">
        <v>41131</v>
      </c>
      <c r="K803" s="4">
        <v>44053</v>
      </c>
      <c r="L803">
        <f t="shared" si="12"/>
        <v>3.16</v>
      </c>
    </row>
    <row r="804" spans="1:12" x14ac:dyDescent="0.15">
      <c r="A804" s="1">
        <v>803</v>
      </c>
      <c r="B804" s="4">
        <v>41130</v>
      </c>
      <c r="C804" s="1" t="s">
        <v>20</v>
      </c>
      <c r="D804" s="1" t="s">
        <v>12</v>
      </c>
      <c r="E804" s="1">
        <v>0.48001157407407408</v>
      </c>
      <c r="F804" s="1" t="s">
        <v>13</v>
      </c>
      <c r="G804" s="1">
        <v>2.99</v>
      </c>
      <c r="H804" s="1">
        <v>3.39</v>
      </c>
      <c r="I804" s="1">
        <v>0</v>
      </c>
      <c r="J804" s="4">
        <v>41131</v>
      </c>
      <c r="K804" s="4">
        <v>44783</v>
      </c>
      <c r="L804">
        <f t="shared" si="12"/>
        <v>3.1900000000000004</v>
      </c>
    </row>
    <row r="805" spans="1:12" x14ac:dyDescent="0.15">
      <c r="A805" s="1">
        <v>804</v>
      </c>
      <c r="B805" s="4">
        <v>41130</v>
      </c>
      <c r="C805" s="1" t="s">
        <v>23</v>
      </c>
      <c r="D805" s="1" t="s">
        <v>26</v>
      </c>
      <c r="E805" s="1">
        <v>0.4801273148148148</v>
      </c>
      <c r="F805" s="1" t="s">
        <v>13</v>
      </c>
      <c r="G805" s="1">
        <v>3</v>
      </c>
      <c r="H805" s="1">
        <v>3.3</v>
      </c>
      <c r="I805" s="1">
        <v>0</v>
      </c>
      <c r="J805" s="4">
        <v>41131</v>
      </c>
      <c r="K805" s="4">
        <v>43322</v>
      </c>
      <c r="L805">
        <f t="shared" si="12"/>
        <v>3.15</v>
      </c>
    </row>
    <row r="806" spans="1:12" x14ac:dyDescent="0.15">
      <c r="A806" s="1">
        <v>805</v>
      </c>
      <c r="B806" s="4">
        <v>41130</v>
      </c>
      <c r="C806" s="1" t="s">
        <v>22</v>
      </c>
      <c r="D806" s="1" t="s">
        <v>26</v>
      </c>
      <c r="E806" s="1">
        <v>0.4801273148148148</v>
      </c>
      <c r="F806" s="1" t="s">
        <v>13</v>
      </c>
      <c r="G806" s="1">
        <v>3.3</v>
      </c>
      <c r="H806" s="1">
        <v>3.5</v>
      </c>
      <c r="I806" s="1">
        <v>0</v>
      </c>
      <c r="J806" s="4">
        <v>41131</v>
      </c>
      <c r="K806" s="4">
        <v>41315</v>
      </c>
      <c r="L806">
        <f t="shared" si="12"/>
        <v>3.4</v>
      </c>
    </row>
    <row r="807" spans="1:12" x14ac:dyDescent="0.15">
      <c r="A807" s="1">
        <v>806</v>
      </c>
      <c r="B807" s="4">
        <v>41130</v>
      </c>
      <c r="C807" s="1" t="s">
        <v>19</v>
      </c>
      <c r="D807" s="1" t="s">
        <v>12</v>
      </c>
      <c r="E807" s="1">
        <v>0.48001157407407408</v>
      </c>
      <c r="F807" s="1" t="s">
        <v>13</v>
      </c>
      <c r="G807" s="1">
        <v>3.25</v>
      </c>
      <c r="H807" s="1">
        <v>3.35</v>
      </c>
      <c r="I807" s="1">
        <v>0</v>
      </c>
      <c r="J807" s="4">
        <v>41131</v>
      </c>
      <c r="K807" s="4">
        <v>41404</v>
      </c>
      <c r="L807">
        <f t="shared" si="12"/>
        <v>3.3</v>
      </c>
    </row>
    <row r="808" spans="1:12" x14ac:dyDescent="0.15">
      <c r="A808" s="1">
        <v>807</v>
      </c>
      <c r="B808" s="4">
        <v>41130</v>
      </c>
      <c r="C808" s="1" t="s">
        <v>14</v>
      </c>
      <c r="D808" s="1" t="s">
        <v>12</v>
      </c>
      <c r="E808" s="1">
        <v>0.48001157407407408</v>
      </c>
      <c r="F808" s="1" t="s">
        <v>13</v>
      </c>
      <c r="G808" s="1">
        <v>3.15</v>
      </c>
      <c r="H808" s="1">
        <v>3.25</v>
      </c>
      <c r="I808" s="1">
        <v>0</v>
      </c>
      <c r="J808" s="4">
        <v>41131</v>
      </c>
      <c r="K808" s="4">
        <v>41496</v>
      </c>
      <c r="L808">
        <f t="shared" si="12"/>
        <v>3.2</v>
      </c>
    </row>
    <row r="809" spans="1:12" x14ac:dyDescent="0.15">
      <c r="A809" s="1">
        <v>808</v>
      </c>
      <c r="B809" s="4">
        <v>41130</v>
      </c>
      <c r="C809" s="1" t="s">
        <v>18</v>
      </c>
      <c r="D809" s="1" t="s">
        <v>12</v>
      </c>
      <c r="E809" s="1">
        <v>0.48001157407407408</v>
      </c>
      <c r="F809" s="1" t="s">
        <v>13</v>
      </c>
      <c r="G809" s="1">
        <v>3.04</v>
      </c>
      <c r="H809" s="1">
        <v>3.14</v>
      </c>
      <c r="I809" s="1">
        <v>0</v>
      </c>
      <c r="J809" s="4">
        <v>41131</v>
      </c>
      <c r="K809" s="4">
        <v>41861</v>
      </c>
      <c r="L809">
        <f t="shared" si="12"/>
        <v>3.09</v>
      </c>
    </row>
    <row r="810" spans="1:12" x14ac:dyDescent="0.15">
      <c r="A810" s="1">
        <v>809</v>
      </c>
      <c r="B810" s="4">
        <v>41130</v>
      </c>
      <c r="C810" s="1" t="s">
        <v>21</v>
      </c>
      <c r="D810" s="1" t="s">
        <v>12</v>
      </c>
      <c r="E810" s="1">
        <v>0.48001157407407408</v>
      </c>
      <c r="F810" s="1" t="s">
        <v>13</v>
      </c>
      <c r="G810" s="1">
        <v>2.95</v>
      </c>
      <c r="H810" s="1">
        <v>3.35</v>
      </c>
      <c r="I810" s="1">
        <v>0</v>
      </c>
      <c r="J810" s="4">
        <v>41131</v>
      </c>
      <c r="K810" s="4">
        <v>43687</v>
      </c>
      <c r="L810">
        <f t="shared" si="12"/>
        <v>3.1500000000000004</v>
      </c>
    </row>
    <row r="811" spans="1:12" x14ac:dyDescent="0.15">
      <c r="A811" s="1">
        <v>810</v>
      </c>
      <c r="B811" s="4">
        <v>41130</v>
      </c>
      <c r="C811" s="1" t="s">
        <v>22</v>
      </c>
      <c r="D811" s="1" t="s">
        <v>27</v>
      </c>
      <c r="E811" s="1">
        <v>0.48995370370370367</v>
      </c>
      <c r="F811" s="1" t="s">
        <v>13</v>
      </c>
      <c r="G811" s="1">
        <v>3.36</v>
      </c>
      <c r="H811" s="1">
        <v>3.44</v>
      </c>
      <c r="I811" s="1">
        <v>0</v>
      </c>
      <c r="J811" s="4">
        <v>41131</v>
      </c>
      <c r="K811" s="4">
        <v>41315</v>
      </c>
      <c r="L811">
        <f t="shared" si="12"/>
        <v>3.4</v>
      </c>
    </row>
    <row r="812" spans="1:12" x14ac:dyDescent="0.15">
      <c r="A812" s="1">
        <v>811</v>
      </c>
      <c r="B812" s="4">
        <v>41130</v>
      </c>
      <c r="C812" s="1" t="s">
        <v>11</v>
      </c>
      <c r="D812" s="1" t="s">
        <v>27</v>
      </c>
      <c r="E812" s="1">
        <v>0.67650462962962965</v>
      </c>
      <c r="F812" s="1" t="s">
        <v>13</v>
      </c>
      <c r="G812" s="1">
        <v>3.02</v>
      </c>
      <c r="H812" s="1">
        <v>3.08</v>
      </c>
      <c r="I812" s="1">
        <v>0</v>
      </c>
      <c r="J812" s="4">
        <v>41131</v>
      </c>
      <c r="K812" s="4">
        <v>42226</v>
      </c>
      <c r="L812">
        <f t="shared" si="12"/>
        <v>3.05</v>
      </c>
    </row>
    <row r="813" spans="1:12" x14ac:dyDescent="0.15">
      <c r="A813" s="1">
        <v>812</v>
      </c>
      <c r="B813" s="4">
        <v>41130</v>
      </c>
      <c r="C813" s="1" t="s">
        <v>22</v>
      </c>
      <c r="D813" s="1" t="s">
        <v>15</v>
      </c>
      <c r="E813" s="1">
        <v>0.68737268518518524</v>
      </c>
      <c r="F813" s="1" t="s">
        <v>13</v>
      </c>
      <c r="G813" s="1">
        <v>3.42</v>
      </c>
      <c r="H813" s="1">
        <v>3.48</v>
      </c>
      <c r="I813" s="1">
        <v>0</v>
      </c>
      <c r="J813" s="4">
        <v>41131</v>
      </c>
      <c r="K813" s="4">
        <v>41315</v>
      </c>
      <c r="L813">
        <f t="shared" si="12"/>
        <v>3.45</v>
      </c>
    </row>
    <row r="814" spans="1:12" x14ac:dyDescent="0.15">
      <c r="A814" s="1">
        <v>813</v>
      </c>
      <c r="B814" s="4">
        <v>41130</v>
      </c>
      <c r="C814" s="1" t="s">
        <v>25</v>
      </c>
      <c r="D814" s="1" t="s">
        <v>15</v>
      </c>
      <c r="E814" s="1">
        <v>0.68738425925925928</v>
      </c>
      <c r="F814" s="1" t="s">
        <v>13</v>
      </c>
      <c r="G814" s="1">
        <v>3.06</v>
      </c>
      <c r="H814" s="1">
        <v>3.12</v>
      </c>
      <c r="I814" s="1">
        <v>0</v>
      </c>
      <c r="J814" s="4">
        <v>41131</v>
      </c>
      <c r="K814" s="4">
        <v>42957</v>
      </c>
      <c r="L814">
        <f t="shared" si="12"/>
        <v>3.09</v>
      </c>
    </row>
    <row r="815" spans="1:12" x14ac:dyDescent="0.15">
      <c r="A815" s="1">
        <v>814</v>
      </c>
      <c r="B815" s="4">
        <v>41130</v>
      </c>
      <c r="C815" s="1" t="s">
        <v>22</v>
      </c>
      <c r="D815" s="1" t="s">
        <v>27</v>
      </c>
      <c r="E815" s="1">
        <v>0.67650462962962965</v>
      </c>
      <c r="F815" s="1" t="s">
        <v>13</v>
      </c>
      <c r="G815" s="1">
        <v>3.35</v>
      </c>
      <c r="H815" s="1">
        <v>3.41</v>
      </c>
      <c r="I815" s="1">
        <v>0</v>
      </c>
      <c r="J815" s="4">
        <v>41131</v>
      </c>
      <c r="K815" s="4">
        <v>41315</v>
      </c>
      <c r="L815">
        <f t="shared" si="12"/>
        <v>3.38</v>
      </c>
    </row>
    <row r="816" spans="1:12" x14ac:dyDescent="0.15">
      <c r="A816" s="1">
        <v>815</v>
      </c>
      <c r="B816" s="4">
        <v>41130</v>
      </c>
      <c r="C816" s="1" t="s">
        <v>19</v>
      </c>
      <c r="D816" s="1" t="s">
        <v>27</v>
      </c>
      <c r="E816" s="1">
        <v>0.6764930555555555</v>
      </c>
      <c r="F816" s="1" t="s">
        <v>13</v>
      </c>
      <c r="G816" s="1">
        <v>3.19</v>
      </c>
      <c r="H816" s="1">
        <v>3.29</v>
      </c>
      <c r="I816" s="1">
        <v>0</v>
      </c>
      <c r="J816" s="4">
        <v>41131</v>
      </c>
      <c r="K816" s="4">
        <v>41404</v>
      </c>
      <c r="L816">
        <f t="shared" si="12"/>
        <v>3.24</v>
      </c>
    </row>
    <row r="817" spans="1:12" x14ac:dyDescent="0.15">
      <c r="A817" s="1">
        <v>816</v>
      </c>
      <c r="B817" s="4">
        <v>41130</v>
      </c>
      <c r="C817" s="1" t="s">
        <v>16</v>
      </c>
      <c r="D817" s="1" t="s">
        <v>27</v>
      </c>
      <c r="E817" s="1">
        <v>0.6764930555555555</v>
      </c>
      <c r="F817" s="1" t="s">
        <v>13</v>
      </c>
      <c r="G817" s="1">
        <v>3.02</v>
      </c>
      <c r="H817" s="1">
        <v>3.07</v>
      </c>
      <c r="I817" s="1">
        <v>0</v>
      </c>
      <c r="J817" s="4">
        <v>41131</v>
      </c>
      <c r="K817" s="4">
        <v>42592</v>
      </c>
      <c r="L817">
        <f t="shared" si="12"/>
        <v>3.0449999999999999</v>
      </c>
    </row>
    <row r="818" spans="1:12" x14ac:dyDescent="0.15">
      <c r="A818" s="1">
        <v>817</v>
      </c>
      <c r="B818" s="4">
        <v>41130</v>
      </c>
      <c r="C818" s="1" t="s">
        <v>18</v>
      </c>
      <c r="D818" s="1" t="s">
        <v>27</v>
      </c>
      <c r="E818" s="1">
        <v>0.67650462962962965</v>
      </c>
      <c r="F818" s="1" t="s">
        <v>13</v>
      </c>
      <c r="G818" s="1">
        <v>3.01</v>
      </c>
      <c r="H818" s="1">
        <v>3.06</v>
      </c>
      <c r="I818" s="1">
        <v>0</v>
      </c>
      <c r="J818" s="4">
        <v>41131</v>
      </c>
      <c r="K818" s="4">
        <v>41861</v>
      </c>
      <c r="L818">
        <f t="shared" si="12"/>
        <v>3.0350000000000001</v>
      </c>
    </row>
    <row r="819" spans="1:12" x14ac:dyDescent="0.15">
      <c r="A819" s="1">
        <v>818</v>
      </c>
      <c r="B819" s="4">
        <v>41130</v>
      </c>
      <c r="C819" s="1" t="s">
        <v>21</v>
      </c>
      <c r="D819" s="1" t="s">
        <v>15</v>
      </c>
      <c r="E819" s="1">
        <v>0.68738425925925928</v>
      </c>
      <c r="F819" s="1" t="s">
        <v>13</v>
      </c>
      <c r="G819" s="1">
        <v>3.12</v>
      </c>
      <c r="H819" s="1">
        <v>3.18</v>
      </c>
      <c r="I819" s="1">
        <v>0</v>
      </c>
      <c r="J819" s="4">
        <v>41131</v>
      </c>
      <c r="K819" s="4">
        <v>43687</v>
      </c>
      <c r="L819">
        <f t="shared" si="12"/>
        <v>3.1500000000000004</v>
      </c>
    </row>
    <row r="820" spans="1:12" x14ac:dyDescent="0.15">
      <c r="A820" s="1">
        <v>819</v>
      </c>
      <c r="B820" s="4">
        <v>41130</v>
      </c>
      <c r="C820" s="1" t="s">
        <v>19</v>
      </c>
      <c r="D820" s="1" t="s">
        <v>15</v>
      </c>
      <c r="E820" s="1">
        <v>0.68738425925925928</v>
      </c>
      <c r="F820" s="1" t="s">
        <v>13</v>
      </c>
      <c r="G820" s="1">
        <v>3.27</v>
      </c>
      <c r="H820" s="1">
        <v>3.33</v>
      </c>
      <c r="I820" s="1">
        <v>0</v>
      </c>
      <c r="J820" s="4">
        <v>41131</v>
      </c>
      <c r="K820" s="4">
        <v>41404</v>
      </c>
      <c r="L820">
        <f t="shared" si="12"/>
        <v>3.3</v>
      </c>
    </row>
    <row r="821" spans="1:12" x14ac:dyDescent="0.15">
      <c r="A821" s="1">
        <v>820</v>
      </c>
      <c r="B821" s="4">
        <v>41130</v>
      </c>
      <c r="C821" s="1" t="s">
        <v>20</v>
      </c>
      <c r="D821" s="1" t="s">
        <v>15</v>
      </c>
      <c r="E821" s="1">
        <v>0.68738425925925928</v>
      </c>
      <c r="F821" s="1" t="s">
        <v>13</v>
      </c>
      <c r="G821" s="1">
        <v>3.17</v>
      </c>
      <c r="H821" s="1">
        <v>3.23</v>
      </c>
      <c r="I821" s="1">
        <v>0</v>
      </c>
      <c r="J821" s="4">
        <v>41131</v>
      </c>
      <c r="K821" s="4">
        <v>44783</v>
      </c>
      <c r="L821">
        <f t="shared" si="12"/>
        <v>3.2</v>
      </c>
    </row>
    <row r="822" spans="1:12" x14ac:dyDescent="0.15">
      <c r="A822" s="1">
        <v>821</v>
      </c>
      <c r="B822" s="4">
        <v>41130</v>
      </c>
      <c r="C822" s="1" t="s">
        <v>18</v>
      </c>
      <c r="D822" s="1" t="s">
        <v>15</v>
      </c>
      <c r="E822" s="1">
        <v>0.68738425925925928</v>
      </c>
      <c r="F822" s="1" t="s">
        <v>13</v>
      </c>
      <c r="G822" s="1">
        <v>3.07</v>
      </c>
      <c r="H822" s="1">
        <v>3.13</v>
      </c>
      <c r="I822" s="1">
        <v>0</v>
      </c>
      <c r="J822" s="4">
        <v>41131</v>
      </c>
      <c r="K822" s="4">
        <v>41861</v>
      </c>
      <c r="L822">
        <f t="shared" si="12"/>
        <v>3.0999999999999996</v>
      </c>
    </row>
    <row r="823" spans="1:12" x14ac:dyDescent="0.15">
      <c r="A823" s="1">
        <v>822</v>
      </c>
      <c r="B823" s="4">
        <v>41130</v>
      </c>
      <c r="C823" s="1" t="s">
        <v>16</v>
      </c>
      <c r="D823" s="1" t="s">
        <v>15</v>
      </c>
      <c r="E823" s="1">
        <v>0.68738425925925928</v>
      </c>
      <c r="F823" s="1" t="s">
        <v>13</v>
      </c>
      <c r="G823" s="1">
        <v>3.03</v>
      </c>
      <c r="H823" s="1">
        <v>3.09</v>
      </c>
      <c r="I823" s="1">
        <v>0</v>
      </c>
      <c r="J823" s="4">
        <v>41131</v>
      </c>
      <c r="K823" s="4">
        <v>42592</v>
      </c>
      <c r="L823">
        <f t="shared" si="12"/>
        <v>3.0599999999999996</v>
      </c>
    </row>
    <row r="824" spans="1:12" x14ac:dyDescent="0.15">
      <c r="A824" s="1">
        <v>823</v>
      </c>
      <c r="B824" s="4">
        <v>41130</v>
      </c>
      <c r="C824" s="1" t="s">
        <v>11</v>
      </c>
      <c r="D824" s="1" t="s">
        <v>15</v>
      </c>
      <c r="E824" s="1">
        <v>0.68738425925925928</v>
      </c>
      <c r="F824" s="1" t="s">
        <v>13</v>
      </c>
      <c r="G824" s="1">
        <v>3.04</v>
      </c>
      <c r="H824" s="1">
        <v>3.1</v>
      </c>
      <c r="I824" s="1">
        <v>0</v>
      </c>
      <c r="J824" s="4">
        <v>41131</v>
      </c>
      <c r="K824" s="4">
        <v>42226</v>
      </c>
      <c r="L824">
        <f t="shared" si="12"/>
        <v>3.0700000000000003</v>
      </c>
    </row>
    <row r="825" spans="1:12" x14ac:dyDescent="0.15">
      <c r="A825" s="1">
        <v>824</v>
      </c>
      <c r="B825" s="4">
        <v>41130</v>
      </c>
      <c r="C825" s="1" t="s">
        <v>14</v>
      </c>
      <c r="D825" s="1" t="s">
        <v>15</v>
      </c>
      <c r="E825" s="1">
        <v>0.68738425925925928</v>
      </c>
      <c r="F825" s="1" t="s">
        <v>13</v>
      </c>
      <c r="G825" s="1">
        <v>3.17</v>
      </c>
      <c r="H825" s="1">
        <v>3.23</v>
      </c>
      <c r="I825" s="1">
        <v>0</v>
      </c>
      <c r="J825" s="4">
        <v>41131</v>
      </c>
      <c r="K825" s="4">
        <v>41496</v>
      </c>
      <c r="L825">
        <f t="shared" si="12"/>
        <v>3.2</v>
      </c>
    </row>
    <row r="826" spans="1:12" x14ac:dyDescent="0.15">
      <c r="A826" s="1">
        <v>825</v>
      </c>
      <c r="B826" s="4">
        <v>41130</v>
      </c>
      <c r="C826" s="1" t="s">
        <v>25</v>
      </c>
      <c r="D826" s="1" t="s">
        <v>27</v>
      </c>
      <c r="E826" s="1">
        <v>0.6764930555555555</v>
      </c>
      <c r="F826" s="1" t="s">
        <v>13</v>
      </c>
      <c r="G826" s="1">
        <v>3.04</v>
      </c>
      <c r="H826" s="1">
        <v>3.11</v>
      </c>
      <c r="I826" s="1">
        <v>0</v>
      </c>
      <c r="J826" s="4">
        <v>41131</v>
      </c>
      <c r="K826" s="4">
        <v>42957</v>
      </c>
      <c r="L826">
        <f t="shared" si="12"/>
        <v>3.0750000000000002</v>
      </c>
    </row>
    <row r="827" spans="1:12" x14ac:dyDescent="0.15">
      <c r="A827" s="1">
        <v>826</v>
      </c>
      <c r="B827" s="4">
        <v>41130</v>
      </c>
      <c r="C827" s="1" t="s">
        <v>24</v>
      </c>
      <c r="D827" s="1" t="s">
        <v>12</v>
      </c>
      <c r="E827" s="1">
        <v>0.66834490740740737</v>
      </c>
      <c r="F827" s="1" t="s">
        <v>13</v>
      </c>
      <c r="G827" s="1">
        <v>2.96</v>
      </c>
      <c r="H827" s="1">
        <v>3.36</v>
      </c>
      <c r="I827" s="1">
        <v>0</v>
      </c>
      <c r="J827" s="4">
        <v>41131</v>
      </c>
      <c r="K827" s="4">
        <v>44053</v>
      </c>
      <c r="L827">
        <f t="shared" si="12"/>
        <v>3.16</v>
      </c>
    </row>
    <row r="828" spans="1:12" x14ac:dyDescent="0.15">
      <c r="A828" s="1">
        <v>827</v>
      </c>
      <c r="B828" s="4">
        <v>41130</v>
      </c>
      <c r="C828" s="1" t="s">
        <v>25</v>
      </c>
      <c r="D828" s="1" t="s">
        <v>12</v>
      </c>
      <c r="E828" s="1">
        <v>0.66834490740740737</v>
      </c>
      <c r="F828" s="1" t="s">
        <v>13</v>
      </c>
      <c r="G828" s="1">
        <v>3.04</v>
      </c>
      <c r="H828" s="1">
        <v>3.14</v>
      </c>
      <c r="I828" s="1">
        <v>0</v>
      </c>
      <c r="J828" s="4">
        <v>41131</v>
      </c>
      <c r="K828" s="4">
        <v>42957</v>
      </c>
      <c r="L828">
        <f t="shared" si="12"/>
        <v>3.09</v>
      </c>
    </row>
    <row r="829" spans="1:12" x14ac:dyDescent="0.15">
      <c r="A829" s="1">
        <v>828</v>
      </c>
      <c r="B829" s="4">
        <v>41130</v>
      </c>
      <c r="C829" s="1" t="s">
        <v>16</v>
      </c>
      <c r="D829" s="1" t="s">
        <v>12</v>
      </c>
      <c r="E829" s="1">
        <v>0.66834490740740737</v>
      </c>
      <c r="F829" s="1" t="s">
        <v>13</v>
      </c>
      <c r="G829" s="1">
        <v>3.02</v>
      </c>
      <c r="H829" s="1">
        <v>3.12</v>
      </c>
      <c r="I829" s="1">
        <v>0</v>
      </c>
      <c r="J829" s="4">
        <v>41131</v>
      </c>
      <c r="K829" s="4">
        <v>42592</v>
      </c>
      <c r="L829">
        <f t="shared" si="12"/>
        <v>3.0700000000000003</v>
      </c>
    </row>
    <row r="830" spans="1:12" x14ac:dyDescent="0.15">
      <c r="A830" s="1">
        <v>829</v>
      </c>
      <c r="B830" s="4">
        <v>41130</v>
      </c>
      <c r="C830" s="1" t="s">
        <v>20</v>
      </c>
      <c r="D830" s="1" t="s">
        <v>12</v>
      </c>
      <c r="E830" s="1">
        <v>0.66834490740740737</v>
      </c>
      <c r="F830" s="1" t="s">
        <v>13</v>
      </c>
      <c r="G830" s="1">
        <v>2.99</v>
      </c>
      <c r="H830" s="1">
        <v>3.39</v>
      </c>
      <c r="I830" s="1">
        <v>0</v>
      </c>
      <c r="J830" s="4">
        <v>41131</v>
      </c>
      <c r="K830" s="4">
        <v>44783</v>
      </c>
      <c r="L830">
        <f t="shared" si="12"/>
        <v>3.1900000000000004</v>
      </c>
    </row>
    <row r="831" spans="1:12" x14ac:dyDescent="0.15">
      <c r="A831" s="1">
        <v>830</v>
      </c>
      <c r="B831" s="4">
        <v>41130</v>
      </c>
      <c r="C831" s="1" t="s">
        <v>11</v>
      </c>
      <c r="D831" s="1" t="s">
        <v>27</v>
      </c>
      <c r="E831" s="1">
        <v>0.48995370370370367</v>
      </c>
      <c r="F831" s="1" t="s">
        <v>13</v>
      </c>
      <c r="G831" s="1">
        <v>3.03</v>
      </c>
      <c r="H831" s="1">
        <v>3.13</v>
      </c>
      <c r="I831" s="1">
        <v>0</v>
      </c>
      <c r="J831" s="4">
        <v>41131</v>
      </c>
      <c r="K831" s="4">
        <v>42226</v>
      </c>
      <c r="L831">
        <f t="shared" si="12"/>
        <v>3.08</v>
      </c>
    </row>
    <row r="832" spans="1:12" x14ac:dyDescent="0.15">
      <c r="A832" s="1">
        <v>831</v>
      </c>
      <c r="B832" s="4">
        <v>41130</v>
      </c>
      <c r="C832" s="1" t="s">
        <v>23</v>
      </c>
      <c r="D832" s="1" t="s">
        <v>12</v>
      </c>
      <c r="E832" s="1">
        <v>0.66833333333333333</v>
      </c>
      <c r="F832" s="1" t="s">
        <v>13</v>
      </c>
      <c r="G832" s="1">
        <v>3.02</v>
      </c>
      <c r="H832" s="1">
        <v>3.22</v>
      </c>
      <c r="I832" s="1">
        <v>0</v>
      </c>
      <c r="J832" s="4">
        <v>41131</v>
      </c>
      <c r="K832" s="4">
        <v>43322</v>
      </c>
      <c r="L832">
        <f t="shared" si="12"/>
        <v>3.12</v>
      </c>
    </row>
    <row r="833" spans="1:12" x14ac:dyDescent="0.15">
      <c r="A833" s="1">
        <v>832</v>
      </c>
      <c r="B833" s="4">
        <v>41130</v>
      </c>
      <c r="C833" s="1" t="s">
        <v>19</v>
      </c>
      <c r="D833" s="1" t="s">
        <v>12</v>
      </c>
      <c r="E833" s="1">
        <v>0.66834490740740737</v>
      </c>
      <c r="F833" s="1" t="s">
        <v>13</v>
      </c>
      <c r="G833" s="1">
        <v>3.25</v>
      </c>
      <c r="H833" s="1">
        <v>3.35</v>
      </c>
      <c r="I833" s="1">
        <v>0</v>
      </c>
      <c r="J833" s="4">
        <v>41131</v>
      </c>
      <c r="K833" s="4">
        <v>41404</v>
      </c>
      <c r="L833">
        <f t="shared" si="12"/>
        <v>3.3</v>
      </c>
    </row>
    <row r="834" spans="1:12" x14ac:dyDescent="0.15">
      <c r="A834" s="1">
        <v>833</v>
      </c>
      <c r="B834" s="4">
        <v>41130</v>
      </c>
      <c r="C834" s="1" t="s">
        <v>17</v>
      </c>
      <c r="D834" s="1" t="s">
        <v>12</v>
      </c>
      <c r="E834" s="1">
        <v>0.66835648148148152</v>
      </c>
      <c r="F834" s="1" t="s">
        <v>13</v>
      </c>
      <c r="G834" s="1">
        <v>2.98</v>
      </c>
      <c r="H834" s="1">
        <v>3.38</v>
      </c>
      <c r="I834" s="1">
        <v>0</v>
      </c>
      <c r="J834" s="4">
        <v>41131</v>
      </c>
      <c r="K834" s="4">
        <v>44418</v>
      </c>
      <c r="L834">
        <f t="shared" si="12"/>
        <v>3.1799999999999997</v>
      </c>
    </row>
    <row r="835" spans="1:12" x14ac:dyDescent="0.15">
      <c r="A835" s="1">
        <v>834</v>
      </c>
      <c r="B835" s="4">
        <v>41130</v>
      </c>
      <c r="C835" s="1" t="s">
        <v>11</v>
      </c>
      <c r="D835" s="1" t="s">
        <v>12</v>
      </c>
      <c r="E835" s="1">
        <v>0.66835648148148152</v>
      </c>
      <c r="F835" s="1" t="s">
        <v>13</v>
      </c>
      <c r="G835" s="1">
        <v>3.04</v>
      </c>
      <c r="H835" s="1">
        <v>3.14</v>
      </c>
      <c r="I835" s="1">
        <v>0</v>
      </c>
      <c r="J835" s="4">
        <v>41131</v>
      </c>
      <c r="K835" s="4">
        <v>42226</v>
      </c>
      <c r="L835">
        <f t="shared" ref="L835:L898" si="13">AVERAGE(G835:H835)</f>
        <v>3.09</v>
      </c>
    </row>
    <row r="836" spans="1:12" x14ac:dyDescent="0.15">
      <c r="A836" s="1">
        <v>835</v>
      </c>
      <c r="B836" s="4">
        <v>41130</v>
      </c>
      <c r="C836" s="1" t="s">
        <v>14</v>
      </c>
      <c r="D836" s="1" t="s">
        <v>27</v>
      </c>
      <c r="E836" s="1">
        <v>0.6764930555555555</v>
      </c>
      <c r="F836" s="1" t="s">
        <v>13</v>
      </c>
      <c r="G836" s="1">
        <v>3.12</v>
      </c>
      <c r="H836" s="1">
        <v>3.17</v>
      </c>
      <c r="I836" s="1">
        <v>0</v>
      </c>
      <c r="J836" s="4">
        <v>41131</v>
      </c>
      <c r="K836" s="4">
        <v>41496</v>
      </c>
      <c r="L836">
        <f t="shared" si="13"/>
        <v>3.145</v>
      </c>
    </row>
    <row r="837" spans="1:12" x14ac:dyDescent="0.15">
      <c r="A837" s="1">
        <v>836</v>
      </c>
      <c r="B837" s="4">
        <v>41130</v>
      </c>
      <c r="C837" s="1" t="s">
        <v>21</v>
      </c>
      <c r="D837" s="1" t="s">
        <v>12</v>
      </c>
      <c r="E837" s="1">
        <v>0.66834490740740737</v>
      </c>
      <c r="F837" s="1" t="s">
        <v>13</v>
      </c>
      <c r="G837" s="1">
        <v>2.95</v>
      </c>
      <c r="H837" s="1">
        <v>3.35</v>
      </c>
      <c r="I837" s="1">
        <v>0</v>
      </c>
      <c r="J837" s="4">
        <v>41131</v>
      </c>
      <c r="K837" s="4">
        <v>43687</v>
      </c>
      <c r="L837">
        <f t="shared" si="13"/>
        <v>3.1500000000000004</v>
      </c>
    </row>
    <row r="838" spans="1:12" x14ac:dyDescent="0.15">
      <c r="A838" s="1">
        <v>837</v>
      </c>
      <c r="B838" s="4">
        <v>41130</v>
      </c>
      <c r="C838" s="1" t="s">
        <v>22</v>
      </c>
      <c r="D838" s="1" t="s">
        <v>12</v>
      </c>
      <c r="E838" s="1">
        <v>0.66834490740740737</v>
      </c>
      <c r="F838" s="1" t="s">
        <v>13</v>
      </c>
      <c r="G838" s="1">
        <v>3.4</v>
      </c>
      <c r="H838" s="1">
        <v>3.5</v>
      </c>
      <c r="I838" s="1">
        <v>0</v>
      </c>
      <c r="J838" s="4">
        <v>41131</v>
      </c>
      <c r="K838" s="4">
        <v>41315</v>
      </c>
      <c r="L838">
        <f t="shared" si="13"/>
        <v>3.45</v>
      </c>
    </row>
    <row r="839" spans="1:12" x14ac:dyDescent="0.15">
      <c r="A839" s="1">
        <v>838</v>
      </c>
      <c r="B839" s="4">
        <v>41130</v>
      </c>
      <c r="C839" s="1" t="s">
        <v>14</v>
      </c>
      <c r="D839" s="1" t="s">
        <v>12</v>
      </c>
      <c r="E839" s="1">
        <v>0.66834490740740737</v>
      </c>
      <c r="F839" s="1" t="s">
        <v>13</v>
      </c>
      <c r="G839" s="1">
        <v>3.1</v>
      </c>
      <c r="H839" s="1">
        <v>3.2</v>
      </c>
      <c r="I839" s="1">
        <v>0</v>
      </c>
      <c r="J839" s="4">
        <v>41131</v>
      </c>
      <c r="K839" s="4">
        <v>41496</v>
      </c>
      <c r="L839">
        <f t="shared" si="13"/>
        <v>3.1500000000000004</v>
      </c>
    </row>
    <row r="840" spans="1:12" x14ac:dyDescent="0.15">
      <c r="A840" s="1">
        <v>839</v>
      </c>
      <c r="B840" s="4">
        <v>41130</v>
      </c>
      <c r="C840" s="1" t="s">
        <v>18</v>
      </c>
      <c r="D840" s="1" t="s">
        <v>12</v>
      </c>
      <c r="E840" s="1">
        <v>0.66834490740740737</v>
      </c>
      <c r="F840" s="1" t="s">
        <v>13</v>
      </c>
      <c r="G840" s="1">
        <v>3.04</v>
      </c>
      <c r="H840" s="1">
        <v>3.14</v>
      </c>
      <c r="I840" s="1">
        <v>0</v>
      </c>
      <c r="J840" s="4">
        <v>41131</v>
      </c>
      <c r="K840" s="4">
        <v>41861</v>
      </c>
      <c r="L840">
        <f t="shared" si="13"/>
        <v>3.09</v>
      </c>
    </row>
    <row r="841" spans="1:12" x14ac:dyDescent="0.15">
      <c r="A841" s="1">
        <v>840</v>
      </c>
      <c r="B841" s="4">
        <v>41129</v>
      </c>
      <c r="C841" s="1" t="s">
        <v>22</v>
      </c>
      <c r="D841" s="1" t="s">
        <v>15</v>
      </c>
      <c r="E841" s="1">
        <v>0.49035879629629631</v>
      </c>
      <c r="F841" s="1" t="s">
        <v>13</v>
      </c>
      <c r="G841" s="1">
        <v>3.43</v>
      </c>
      <c r="H841" s="1">
        <v>3.49</v>
      </c>
      <c r="I841" s="1">
        <v>0</v>
      </c>
      <c r="J841" s="4">
        <v>41130</v>
      </c>
      <c r="K841" s="4">
        <v>41314</v>
      </c>
      <c r="L841">
        <f t="shared" si="13"/>
        <v>3.46</v>
      </c>
    </row>
    <row r="842" spans="1:12" x14ac:dyDescent="0.15">
      <c r="A842" s="1">
        <v>841</v>
      </c>
      <c r="B842" s="4">
        <v>41129</v>
      </c>
      <c r="C842" s="1" t="s">
        <v>14</v>
      </c>
      <c r="D842" s="1" t="s">
        <v>15</v>
      </c>
      <c r="E842" s="1">
        <v>0.49037037037037035</v>
      </c>
      <c r="F842" s="1" t="s">
        <v>13</v>
      </c>
      <c r="G842" s="1">
        <v>3.18</v>
      </c>
      <c r="H842" s="1">
        <v>3.24</v>
      </c>
      <c r="I842" s="1">
        <v>0</v>
      </c>
      <c r="J842" s="4">
        <v>41130</v>
      </c>
      <c r="K842" s="4">
        <v>41495</v>
      </c>
      <c r="L842">
        <f t="shared" si="13"/>
        <v>3.21</v>
      </c>
    </row>
    <row r="843" spans="1:12" x14ac:dyDescent="0.15">
      <c r="A843" s="1">
        <v>842</v>
      </c>
      <c r="B843" s="4">
        <v>41129</v>
      </c>
      <c r="C843" s="1" t="s">
        <v>18</v>
      </c>
      <c r="D843" s="1" t="s">
        <v>15</v>
      </c>
      <c r="E843" s="1">
        <v>0.49037037037037035</v>
      </c>
      <c r="F843" s="1" t="s">
        <v>13</v>
      </c>
      <c r="G843" s="1">
        <v>3.08</v>
      </c>
      <c r="H843" s="1">
        <v>3.14</v>
      </c>
      <c r="I843" s="1">
        <v>0</v>
      </c>
      <c r="J843" s="4">
        <v>41130</v>
      </c>
      <c r="K843" s="4">
        <v>41860</v>
      </c>
      <c r="L843">
        <f t="shared" si="13"/>
        <v>3.1100000000000003</v>
      </c>
    </row>
    <row r="844" spans="1:12" x14ac:dyDescent="0.15">
      <c r="A844" s="1">
        <v>843</v>
      </c>
      <c r="B844" s="4">
        <v>41129</v>
      </c>
      <c r="C844" s="1" t="s">
        <v>18</v>
      </c>
      <c r="D844" s="1" t="s">
        <v>27</v>
      </c>
      <c r="E844" s="1">
        <v>0.48517361111111112</v>
      </c>
      <c r="F844" s="1" t="s">
        <v>13</v>
      </c>
      <c r="G844" s="1">
        <v>3.05</v>
      </c>
      <c r="H844" s="1">
        <v>3.15</v>
      </c>
      <c r="I844" s="1">
        <v>0</v>
      </c>
      <c r="J844" s="4">
        <v>41130</v>
      </c>
      <c r="K844" s="4">
        <v>41860</v>
      </c>
      <c r="L844">
        <f t="shared" si="13"/>
        <v>3.0999999999999996</v>
      </c>
    </row>
    <row r="845" spans="1:12" x14ac:dyDescent="0.15">
      <c r="A845" s="1">
        <v>844</v>
      </c>
      <c r="B845" s="4">
        <v>41129</v>
      </c>
      <c r="C845" s="1" t="s">
        <v>16</v>
      </c>
      <c r="D845" s="1" t="s">
        <v>27</v>
      </c>
      <c r="E845" s="1">
        <v>0.48516203703703703</v>
      </c>
      <c r="F845" s="1" t="s">
        <v>13</v>
      </c>
      <c r="G845" s="1">
        <v>3.01</v>
      </c>
      <c r="H845" s="1">
        <v>3.11</v>
      </c>
      <c r="I845" s="1">
        <v>0</v>
      </c>
      <c r="J845" s="4">
        <v>41130</v>
      </c>
      <c r="K845" s="4">
        <v>42591</v>
      </c>
      <c r="L845">
        <f t="shared" si="13"/>
        <v>3.0599999999999996</v>
      </c>
    </row>
    <row r="846" spans="1:12" x14ac:dyDescent="0.15">
      <c r="A846" s="1">
        <v>845</v>
      </c>
      <c r="B846" s="4">
        <v>41129</v>
      </c>
      <c r="C846" s="1" t="s">
        <v>22</v>
      </c>
      <c r="D846" s="1" t="s">
        <v>27</v>
      </c>
      <c r="E846" s="1">
        <v>0.48516203703703703</v>
      </c>
      <c r="F846" s="1" t="s">
        <v>13</v>
      </c>
      <c r="G846" s="1">
        <v>3.4</v>
      </c>
      <c r="H846" s="1">
        <v>3.5</v>
      </c>
      <c r="I846" s="1">
        <v>0</v>
      </c>
      <c r="J846" s="4">
        <v>41130</v>
      </c>
      <c r="K846" s="4">
        <v>41314</v>
      </c>
      <c r="L846">
        <f t="shared" si="13"/>
        <v>3.45</v>
      </c>
    </row>
    <row r="847" spans="1:12" x14ac:dyDescent="0.15">
      <c r="A847" s="1">
        <v>846</v>
      </c>
      <c r="B847" s="4">
        <v>41129</v>
      </c>
      <c r="C847" s="1" t="s">
        <v>11</v>
      </c>
      <c r="D847" s="1" t="s">
        <v>27</v>
      </c>
      <c r="E847" s="1">
        <v>0.48516203703703703</v>
      </c>
      <c r="F847" s="1" t="s">
        <v>13</v>
      </c>
      <c r="G847" s="1">
        <v>3.02</v>
      </c>
      <c r="H847" s="1">
        <v>3.12</v>
      </c>
      <c r="I847" s="1">
        <v>0</v>
      </c>
      <c r="J847" s="4">
        <v>41130</v>
      </c>
      <c r="K847" s="4">
        <v>42225</v>
      </c>
      <c r="L847">
        <f t="shared" si="13"/>
        <v>3.0700000000000003</v>
      </c>
    </row>
    <row r="848" spans="1:12" x14ac:dyDescent="0.15">
      <c r="A848" s="1">
        <v>847</v>
      </c>
      <c r="B848" s="4">
        <v>41129</v>
      </c>
      <c r="C848" s="1" t="s">
        <v>19</v>
      </c>
      <c r="D848" s="1" t="s">
        <v>15</v>
      </c>
      <c r="E848" s="1">
        <v>0.49038194444444444</v>
      </c>
      <c r="F848" s="1" t="s">
        <v>13</v>
      </c>
      <c r="G848" s="1">
        <v>3.28</v>
      </c>
      <c r="H848" s="1">
        <v>3.34</v>
      </c>
      <c r="I848" s="1">
        <v>0</v>
      </c>
      <c r="J848" s="4">
        <v>41130</v>
      </c>
      <c r="K848" s="4">
        <v>41403</v>
      </c>
      <c r="L848">
        <f t="shared" si="13"/>
        <v>3.3099999999999996</v>
      </c>
    </row>
    <row r="849" spans="1:12" x14ac:dyDescent="0.15">
      <c r="A849" s="1">
        <v>848</v>
      </c>
      <c r="B849" s="4">
        <v>41129</v>
      </c>
      <c r="C849" s="1" t="s">
        <v>11</v>
      </c>
      <c r="D849" s="1" t="s">
        <v>15</v>
      </c>
      <c r="E849" s="1">
        <v>0.49040509259259263</v>
      </c>
      <c r="F849" s="1" t="s">
        <v>13</v>
      </c>
      <c r="G849" s="1">
        <v>3.05</v>
      </c>
      <c r="H849" s="1">
        <v>3.11</v>
      </c>
      <c r="I849" s="1">
        <v>0</v>
      </c>
      <c r="J849" s="4">
        <v>41130</v>
      </c>
      <c r="K849" s="4">
        <v>42225</v>
      </c>
      <c r="L849">
        <f t="shared" si="13"/>
        <v>3.08</v>
      </c>
    </row>
    <row r="850" spans="1:12" x14ac:dyDescent="0.15">
      <c r="A850" s="1">
        <v>849</v>
      </c>
      <c r="B850" s="4">
        <v>41129</v>
      </c>
      <c r="C850" s="1" t="s">
        <v>23</v>
      </c>
      <c r="D850" s="1" t="s">
        <v>12</v>
      </c>
      <c r="E850" s="1">
        <v>0.66621527777777778</v>
      </c>
      <c r="F850" s="1" t="s">
        <v>13</v>
      </c>
      <c r="G850" s="1">
        <v>2.97</v>
      </c>
      <c r="H850" s="1">
        <v>3.17</v>
      </c>
      <c r="I850" s="1">
        <v>0</v>
      </c>
      <c r="J850" s="4">
        <v>41130</v>
      </c>
      <c r="K850" s="4">
        <v>43321</v>
      </c>
      <c r="L850">
        <f t="shared" si="13"/>
        <v>3.0700000000000003</v>
      </c>
    </row>
    <row r="851" spans="1:12" x14ac:dyDescent="0.15">
      <c r="A851" s="1">
        <v>850</v>
      </c>
      <c r="B851" s="4">
        <v>41129</v>
      </c>
      <c r="C851" s="1" t="s">
        <v>22</v>
      </c>
      <c r="D851" s="1" t="s">
        <v>12</v>
      </c>
      <c r="E851" s="1">
        <v>0.66621527777777778</v>
      </c>
      <c r="F851" s="1" t="s">
        <v>13</v>
      </c>
      <c r="G851" s="1">
        <v>3.45</v>
      </c>
      <c r="H851" s="1">
        <v>3.55</v>
      </c>
      <c r="I851" s="1">
        <v>0</v>
      </c>
      <c r="J851" s="4">
        <v>41130</v>
      </c>
      <c r="K851" s="4">
        <v>41314</v>
      </c>
      <c r="L851">
        <f t="shared" si="13"/>
        <v>3.5</v>
      </c>
    </row>
    <row r="852" spans="1:12" x14ac:dyDescent="0.15">
      <c r="A852" s="1">
        <v>851</v>
      </c>
      <c r="B852" s="4">
        <v>41129</v>
      </c>
      <c r="C852" s="1" t="s">
        <v>16</v>
      </c>
      <c r="D852" s="1" t="s">
        <v>15</v>
      </c>
      <c r="E852" s="1">
        <v>0.49040509259259263</v>
      </c>
      <c r="F852" s="1" t="s">
        <v>13</v>
      </c>
      <c r="G852" s="1">
        <v>3.04</v>
      </c>
      <c r="H852" s="1">
        <v>3.1</v>
      </c>
      <c r="I852" s="1">
        <v>0</v>
      </c>
      <c r="J852" s="4">
        <v>41130</v>
      </c>
      <c r="K852" s="4">
        <v>42591</v>
      </c>
      <c r="L852">
        <f t="shared" si="13"/>
        <v>3.0700000000000003</v>
      </c>
    </row>
    <row r="853" spans="1:12" x14ac:dyDescent="0.15">
      <c r="A853" s="1">
        <v>852</v>
      </c>
      <c r="B853" s="4">
        <v>41129</v>
      </c>
      <c r="C853" s="1" t="s">
        <v>21</v>
      </c>
      <c r="D853" s="1" t="s">
        <v>15</v>
      </c>
      <c r="E853" s="1">
        <v>0.49038194444444444</v>
      </c>
      <c r="F853" s="1" t="s">
        <v>13</v>
      </c>
      <c r="G853" s="1">
        <v>3.11</v>
      </c>
      <c r="H853" s="1">
        <v>3.17</v>
      </c>
      <c r="I853" s="1">
        <v>0</v>
      </c>
      <c r="J853" s="4">
        <v>41130</v>
      </c>
      <c r="K853" s="4">
        <v>43686</v>
      </c>
      <c r="L853">
        <f t="shared" si="13"/>
        <v>3.1399999999999997</v>
      </c>
    </row>
    <row r="854" spans="1:12" x14ac:dyDescent="0.15">
      <c r="A854" s="1">
        <v>853</v>
      </c>
      <c r="B854" s="4">
        <v>41129</v>
      </c>
      <c r="C854" s="1" t="s">
        <v>20</v>
      </c>
      <c r="D854" s="1" t="s">
        <v>15</v>
      </c>
      <c r="E854" s="1">
        <v>0.49039351851851848</v>
      </c>
      <c r="F854" s="1" t="s">
        <v>13</v>
      </c>
      <c r="G854" s="1">
        <v>3.15</v>
      </c>
      <c r="H854" s="1">
        <v>3.21</v>
      </c>
      <c r="I854" s="1">
        <v>0</v>
      </c>
      <c r="J854" s="4">
        <v>41130</v>
      </c>
      <c r="K854" s="4">
        <v>44782</v>
      </c>
      <c r="L854">
        <f t="shared" si="13"/>
        <v>3.1799999999999997</v>
      </c>
    </row>
    <row r="855" spans="1:12" x14ac:dyDescent="0.15">
      <c r="A855" s="1">
        <v>854</v>
      </c>
      <c r="B855" s="4">
        <v>41129</v>
      </c>
      <c r="C855" s="1" t="s">
        <v>25</v>
      </c>
      <c r="D855" s="1" t="s">
        <v>15</v>
      </c>
      <c r="E855" s="1">
        <v>0.49040509259259263</v>
      </c>
      <c r="F855" s="1" t="s">
        <v>13</v>
      </c>
      <c r="G855" s="1">
        <v>3.06</v>
      </c>
      <c r="H855" s="1">
        <v>3.12</v>
      </c>
      <c r="I855" s="1">
        <v>0</v>
      </c>
      <c r="J855" s="4">
        <v>41130</v>
      </c>
      <c r="K855" s="4">
        <v>42956</v>
      </c>
      <c r="L855">
        <f t="shared" si="13"/>
        <v>3.09</v>
      </c>
    </row>
    <row r="856" spans="1:12" x14ac:dyDescent="0.15">
      <c r="A856" s="1">
        <v>855</v>
      </c>
      <c r="B856" s="4">
        <v>41129</v>
      </c>
      <c r="C856" s="1" t="s">
        <v>14</v>
      </c>
      <c r="D856" s="1" t="s">
        <v>12</v>
      </c>
      <c r="E856" s="1">
        <v>0.4811111111111111</v>
      </c>
      <c r="F856" s="1" t="s">
        <v>13</v>
      </c>
      <c r="G856" s="1">
        <v>3.15</v>
      </c>
      <c r="H856" s="1">
        <v>3.25</v>
      </c>
      <c r="I856" s="1">
        <v>0</v>
      </c>
      <c r="J856" s="4">
        <v>41130</v>
      </c>
      <c r="K856" s="4">
        <v>41495</v>
      </c>
      <c r="L856">
        <f t="shared" si="13"/>
        <v>3.2</v>
      </c>
    </row>
    <row r="857" spans="1:12" x14ac:dyDescent="0.15">
      <c r="A857" s="1">
        <v>856</v>
      </c>
      <c r="B857" s="4">
        <v>41129</v>
      </c>
      <c r="C857" s="1" t="s">
        <v>18</v>
      </c>
      <c r="D857" s="1" t="s">
        <v>12</v>
      </c>
      <c r="E857" s="1">
        <v>0.4811111111111111</v>
      </c>
      <c r="F857" s="1" t="s">
        <v>13</v>
      </c>
      <c r="G857" s="1">
        <v>3.04</v>
      </c>
      <c r="H857" s="1">
        <v>3.14</v>
      </c>
      <c r="I857" s="1">
        <v>0</v>
      </c>
      <c r="J857" s="4">
        <v>41130</v>
      </c>
      <c r="K857" s="4">
        <v>41860</v>
      </c>
      <c r="L857">
        <f t="shared" si="13"/>
        <v>3.09</v>
      </c>
    </row>
    <row r="858" spans="1:12" x14ac:dyDescent="0.15">
      <c r="A858" s="1">
        <v>857</v>
      </c>
      <c r="B858" s="4">
        <v>41129</v>
      </c>
      <c r="C858" s="1" t="s">
        <v>21</v>
      </c>
      <c r="D858" s="1" t="s">
        <v>12</v>
      </c>
      <c r="E858" s="1">
        <v>0.4811111111111111</v>
      </c>
      <c r="F858" s="1" t="s">
        <v>13</v>
      </c>
      <c r="G858" s="1">
        <v>2.95</v>
      </c>
      <c r="H858" s="1">
        <v>3.35</v>
      </c>
      <c r="I858" s="1">
        <v>0</v>
      </c>
      <c r="J858" s="4">
        <v>41130</v>
      </c>
      <c r="K858" s="4">
        <v>43686</v>
      </c>
      <c r="L858">
        <f t="shared" si="13"/>
        <v>3.1500000000000004</v>
      </c>
    </row>
    <row r="859" spans="1:12" x14ac:dyDescent="0.15">
      <c r="A859" s="1">
        <v>858</v>
      </c>
      <c r="B859" s="4">
        <v>41129</v>
      </c>
      <c r="C859" s="1" t="s">
        <v>24</v>
      </c>
      <c r="D859" s="1" t="s">
        <v>12</v>
      </c>
      <c r="E859" s="1">
        <v>0.4811111111111111</v>
      </c>
      <c r="F859" s="1" t="s">
        <v>13</v>
      </c>
      <c r="G859" s="1">
        <v>2.96</v>
      </c>
      <c r="H859" s="1">
        <v>3.36</v>
      </c>
      <c r="I859" s="1">
        <v>0</v>
      </c>
      <c r="J859" s="4">
        <v>41130</v>
      </c>
      <c r="K859" s="4">
        <v>44052</v>
      </c>
      <c r="L859">
        <f t="shared" si="13"/>
        <v>3.16</v>
      </c>
    </row>
    <row r="860" spans="1:12" x14ac:dyDescent="0.15">
      <c r="A860" s="1">
        <v>859</v>
      </c>
      <c r="B860" s="4">
        <v>41129</v>
      </c>
      <c r="C860" s="1" t="s">
        <v>23</v>
      </c>
      <c r="D860" s="1" t="s">
        <v>12</v>
      </c>
      <c r="E860" s="1">
        <v>0.48108796296296297</v>
      </c>
      <c r="F860" s="1" t="s">
        <v>13</v>
      </c>
      <c r="G860" s="1">
        <v>2.97</v>
      </c>
      <c r="H860" s="1">
        <v>3.17</v>
      </c>
      <c r="I860" s="1">
        <v>0</v>
      </c>
      <c r="J860" s="4">
        <v>41130</v>
      </c>
      <c r="K860" s="4">
        <v>43321</v>
      </c>
      <c r="L860">
        <f t="shared" si="13"/>
        <v>3.0700000000000003</v>
      </c>
    </row>
    <row r="861" spans="1:12" x14ac:dyDescent="0.15">
      <c r="A861" s="1">
        <v>860</v>
      </c>
      <c r="B861" s="4">
        <v>41129</v>
      </c>
      <c r="C861" s="1" t="s">
        <v>22</v>
      </c>
      <c r="D861" s="1" t="s">
        <v>12</v>
      </c>
      <c r="E861" s="1">
        <v>0.48108796296296297</v>
      </c>
      <c r="F861" s="1" t="s">
        <v>13</v>
      </c>
      <c r="G861" s="1">
        <v>3.45</v>
      </c>
      <c r="H861" s="1">
        <v>3.55</v>
      </c>
      <c r="I861" s="1">
        <v>0</v>
      </c>
      <c r="J861" s="4">
        <v>41130</v>
      </c>
      <c r="K861" s="4">
        <v>41314</v>
      </c>
      <c r="L861">
        <f t="shared" si="13"/>
        <v>3.5</v>
      </c>
    </row>
    <row r="862" spans="1:12" x14ac:dyDescent="0.15">
      <c r="A862" s="1">
        <v>861</v>
      </c>
      <c r="B862" s="4">
        <v>41129</v>
      </c>
      <c r="C862" s="1" t="s">
        <v>20</v>
      </c>
      <c r="D862" s="1" t="s">
        <v>12</v>
      </c>
      <c r="E862" s="1">
        <v>0.4811111111111111</v>
      </c>
      <c r="F862" s="1" t="s">
        <v>13</v>
      </c>
      <c r="G862" s="1">
        <v>2.99</v>
      </c>
      <c r="H862" s="1">
        <v>3.39</v>
      </c>
      <c r="I862" s="1">
        <v>0</v>
      </c>
      <c r="J862" s="4">
        <v>41130</v>
      </c>
      <c r="K862" s="4">
        <v>44782</v>
      </c>
      <c r="L862">
        <f t="shared" si="13"/>
        <v>3.1900000000000004</v>
      </c>
    </row>
    <row r="863" spans="1:12" x14ac:dyDescent="0.15">
      <c r="A863" s="1">
        <v>862</v>
      </c>
      <c r="B863" s="4">
        <v>41129</v>
      </c>
      <c r="C863" s="1" t="s">
        <v>19</v>
      </c>
      <c r="D863" s="1" t="s">
        <v>12</v>
      </c>
      <c r="E863" s="1">
        <v>0.4811111111111111</v>
      </c>
      <c r="F863" s="1" t="s">
        <v>13</v>
      </c>
      <c r="G863" s="1">
        <v>3.25</v>
      </c>
      <c r="H863" s="1">
        <v>3.35</v>
      </c>
      <c r="I863" s="1">
        <v>0</v>
      </c>
      <c r="J863" s="4">
        <v>41130</v>
      </c>
      <c r="K863" s="4">
        <v>41403</v>
      </c>
      <c r="L863">
        <f t="shared" si="13"/>
        <v>3.3</v>
      </c>
    </row>
    <row r="864" spans="1:12" x14ac:dyDescent="0.15">
      <c r="A864" s="1">
        <v>863</v>
      </c>
      <c r="B864" s="4">
        <v>41129</v>
      </c>
      <c r="C864" s="1" t="s">
        <v>14</v>
      </c>
      <c r="D864" s="1" t="s">
        <v>27</v>
      </c>
      <c r="E864" s="1">
        <v>0.48515046296296299</v>
      </c>
      <c r="F864" s="1" t="s">
        <v>13</v>
      </c>
      <c r="G864" s="1">
        <v>3.16</v>
      </c>
      <c r="H864" s="1">
        <v>3.26</v>
      </c>
      <c r="I864" s="1">
        <v>0</v>
      </c>
      <c r="J864" s="4">
        <v>41130</v>
      </c>
      <c r="K864" s="4">
        <v>41495</v>
      </c>
      <c r="L864">
        <f t="shared" si="13"/>
        <v>3.21</v>
      </c>
    </row>
    <row r="865" spans="1:12" x14ac:dyDescent="0.15">
      <c r="A865" s="1">
        <v>864</v>
      </c>
      <c r="B865" s="4">
        <v>41129</v>
      </c>
      <c r="C865" s="1" t="s">
        <v>25</v>
      </c>
      <c r="D865" s="1" t="s">
        <v>27</v>
      </c>
      <c r="E865" s="1">
        <v>0.48515046296296299</v>
      </c>
      <c r="F865" s="1" t="s">
        <v>13</v>
      </c>
      <c r="G865" s="1">
        <v>3.06</v>
      </c>
      <c r="H865" s="1">
        <v>3.16</v>
      </c>
      <c r="I865" s="1">
        <v>0</v>
      </c>
      <c r="J865" s="4">
        <v>41130</v>
      </c>
      <c r="K865" s="4">
        <v>42956</v>
      </c>
      <c r="L865">
        <f t="shared" si="13"/>
        <v>3.1100000000000003</v>
      </c>
    </row>
    <row r="866" spans="1:12" x14ac:dyDescent="0.15">
      <c r="A866" s="1">
        <v>865</v>
      </c>
      <c r="B866" s="4">
        <v>41129</v>
      </c>
      <c r="C866" s="1" t="s">
        <v>19</v>
      </c>
      <c r="D866" s="1" t="s">
        <v>27</v>
      </c>
      <c r="E866" s="1">
        <v>0.48515046296296299</v>
      </c>
      <c r="F866" s="1" t="s">
        <v>13</v>
      </c>
      <c r="G866" s="1">
        <v>3.25</v>
      </c>
      <c r="H866" s="1">
        <v>3.35</v>
      </c>
      <c r="I866" s="1">
        <v>0</v>
      </c>
      <c r="J866" s="4">
        <v>41130</v>
      </c>
      <c r="K866" s="4">
        <v>41403</v>
      </c>
      <c r="L866">
        <f t="shared" si="13"/>
        <v>3.3</v>
      </c>
    </row>
    <row r="867" spans="1:12" x14ac:dyDescent="0.15">
      <c r="A867" s="1">
        <v>866</v>
      </c>
      <c r="B867" s="4">
        <v>41129</v>
      </c>
      <c r="C867" s="1" t="s">
        <v>11</v>
      </c>
      <c r="D867" s="1" t="s">
        <v>12</v>
      </c>
      <c r="E867" s="1">
        <v>0.48112268518518514</v>
      </c>
      <c r="F867" s="1" t="s">
        <v>13</v>
      </c>
      <c r="G867" s="1">
        <v>3</v>
      </c>
      <c r="H867" s="1">
        <v>3.1</v>
      </c>
      <c r="I867" s="1">
        <v>0</v>
      </c>
      <c r="J867" s="4">
        <v>41130</v>
      </c>
      <c r="K867" s="4">
        <v>42225</v>
      </c>
      <c r="L867">
        <f t="shared" si="13"/>
        <v>3.05</v>
      </c>
    </row>
    <row r="868" spans="1:12" x14ac:dyDescent="0.15">
      <c r="A868" s="1">
        <v>867</v>
      </c>
      <c r="B868" s="4">
        <v>41129</v>
      </c>
      <c r="C868" s="1" t="s">
        <v>25</v>
      </c>
      <c r="D868" s="1" t="s">
        <v>12</v>
      </c>
      <c r="E868" s="1">
        <v>0.48112268518518514</v>
      </c>
      <c r="F868" s="1" t="s">
        <v>13</v>
      </c>
      <c r="G868" s="1">
        <v>3</v>
      </c>
      <c r="H868" s="1">
        <v>3.1</v>
      </c>
      <c r="I868" s="1">
        <v>0</v>
      </c>
      <c r="J868" s="4">
        <v>41130</v>
      </c>
      <c r="K868" s="4">
        <v>42956</v>
      </c>
      <c r="L868">
        <f t="shared" si="13"/>
        <v>3.05</v>
      </c>
    </row>
    <row r="869" spans="1:12" x14ac:dyDescent="0.15">
      <c r="A869" s="1">
        <v>868</v>
      </c>
      <c r="B869" s="4">
        <v>41129</v>
      </c>
      <c r="C869" s="1" t="s">
        <v>16</v>
      </c>
      <c r="D869" s="1" t="s">
        <v>12</v>
      </c>
      <c r="E869" s="1">
        <v>0.48112268518518514</v>
      </c>
      <c r="F869" s="1" t="s">
        <v>13</v>
      </c>
      <c r="G869" s="1">
        <v>3</v>
      </c>
      <c r="H869" s="1">
        <v>3.1</v>
      </c>
      <c r="I869" s="1">
        <v>0</v>
      </c>
      <c r="J869" s="4">
        <v>41130</v>
      </c>
      <c r="K869" s="4">
        <v>42591</v>
      </c>
      <c r="L869">
        <f t="shared" si="13"/>
        <v>3.05</v>
      </c>
    </row>
    <row r="870" spans="1:12" x14ac:dyDescent="0.15">
      <c r="A870" s="1">
        <v>869</v>
      </c>
      <c r="B870" s="4">
        <v>41129</v>
      </c>
      <c r="C870" s="1" t="s">
        <v>17</v>
      </c>
      <c r="D870" s="1" t="s">
        <v>12</v>
      </c>
      <c r="E870" s="1">
        <v>0.48112268518518514</v>
      </c>
      <c r="F870" s="1" t="s">
        <v>13</v>
      </c>
      <c r="G870" s="1">
        <v>2.98</v>
      </c>
      <c r="H870" s="1">
        <v>3.38</v>
      </c>
      <c r="I870" s="1">
        <v>0</v>
      </c>
      <c r="J870" s="4">
        <v>41130</v>
      </c>
      <c r="K870" s="4">
        <v>44417</v>
      </c>
      <c r="L870">
        <f t="shared" si="13"/>
        <v>3.1799999999999997</v>
      </c>
    </row>
    <row r="871" spans="1:12" x14ac:dyDescent="0.15">
      <c r="A871" s="1">
        <v>870</v>
      </c>
      <c r="B871" s="4">
        <v>41129</v>
      </c>
      <c r="C871" s="1" t="s">
        <v>14</v>
      </c>
      <c r="D871" s="1" t="s">
        <v>12</v>
      </c>
      <c r="E871" s="1">
        <v>0.66621527777777778</v>
      </c>
      <c r="F871" s="1" t="s">
        <v>13</v>
      </c>
      <c r="G871" s="1">
        <v>3.15</v>
      </c>
      <c r="H871" s="1">
        <v>3.25</v>
      </c>
      <c r="I871" s="1">
        <v>0</v>
      </c>
      <c r="J871" s="4">
        <v>41130</v>
      </c>
      <c r="K871" s="4">
        <v>41495</v>
      </c>
      <c r="L871">
        <f t="shared" si="13"/>
        <v>3.2</v>
      </c>
    </row>
    <row r="872" spans="1:12" x14ac:dyDescent="0.15">
      <c r="A872" s="1">
        <v>871</v>
      </c>
      <c r="B872" s="4">
        <v>41129</v>
      </c>
      <c r="C872" s="1" t="s">
        <v>11</v>
      </c>
      <c r="D872" s="1" t="s">
        <v>26</v>
      </c>
      <c r="E872" s="1">
        <v>0.67236111111111108</v>
      </c>
      <c r="F872" s="1" t="s">
        <v>13</v>
      </c>
      <c r="G872" s="1">
        <v>3</v>
      </c>
      <c r="H872" s="1">
        <v>3.05</v>
      </c>
      <c r="I872" s="1">
        <v>0</v>
      </c>
      <c r="J872" s="4">
        <v>41130</v>
      </c>
      <c r="K872" s="4">
        <v>42225</v>
      </c>
      <c r="L872">
        <f t="shared" si="13"/>
        <v>3.0249999999999999</v>
      </c>
    </row>
    <row r="873" spans="1:12" x14ac:dyDescent="0.15">
      <c r="A873" s="1">
        <v>872</v>
      </c>
      <c r="B873" s="4">
        <v>41129</v>
      </c>
      <c r="C873" s="1" t="s">
        <v>19</v>
      </c>
      <c r="D873" s="1" t="s">
        <v>26</v>
      </c>
      <c r="E873" s="1">
        <v>0.67236111111111108</v>
      </c>
      <c r="F873" s="1" t="s">
        <v>13</v>
      </c>
      <c r="G873" s="1">
        <v>3.6</v>
      </c>
      <c r="H873" s="1">
        <v>3.7</v>
      </c>
      <c r="I873" s="1">
        <v>0</v>
      </c>
      <c r="J873" s="4">
        <v>41130</v>
      </c>
      <c r="K873" s="4">
        <v>41403</v>
      </c>
      <c r="L873">
        <f t="shared" si="13"/>
        <v>3.6500000000000004</v>
      </c>
    </row>
    <row r="874" spans="1:12" x14ac:dyDescent="0.15">
      <c r="A874" s="1">
        <v>873</v>
      </c>
      <c r="B874" s="4">
        <v>41129</v>
      </c>
      <c r="C874" s="1" t="s">
        <v>22</v>
      </c>
      <c r="D874" s="1" t="s">
        <v>15</v>
      </c>
      <c r="E874" s="1">
        <v>0.68040509259259263</v>
      </c>
      <c r="F874" s="1" t="s">
        <v>13</v>
      </c>
      <c r="G874" s="1">
        <v>3.42</v>
      </c>
      <c r="H874" s="1">
        <v>3.48</v>
      </c>
      <c r="I874" s="1">
        <v>0</v>
      </c>
      <c r="J874" s="4">
        <v>41130</v>
      </c>
      <c r="K874" s="4">
        <v>41314</v>
      </c>
      <c r="L874">
        <f t="shared" si="13"/>
        <v>3.45</v>
      </c>
    </row>
    <row r="875" spans="1:12" x14ac:dyDescent="0.15">
      <c r="A875" s="1">
        <v>874</v>
      </c>
      <c r="B875" s="4">
        <v>41129</v>
      </c>
      <c r="C875" s="1" t="s">
        <v>16</v>
      </c>
      <c r="D875" s="1" t="s">
        <v>26</v>
      </c>
      <c r="E875" s="1">
        <v>0.67236111111111108</v>
      </c>
      <c r="F875" s="1" t="s">
        <v>13</v>
      </c>
      <c r="G875" s="1">
        <v>3</v>
      </c>
      <c r="H875" s="1">
        <v>3.05</v>
      </c>
      <c r="I875" s="1">
        <v>0</v>
      </c>
      <c r="J875" s="4">
        <v>41130</v>
      </c>
      <c r="K875" s="4">
        <v>42591</v>
      </c>
      <c r="L875">
        <f t="shared" si="13"/>
        <v>3.0249999999999999</v>
      </c>
    </row>
    <row r="876" spans="1:12" x14ac:dyDescent="0.15">
      <c r="A876" s="1">
        <v>875</v>
      </c>
      <c r="B876" s="4">
        <v>41129</v>
      </c>
      <c r="C876" s="1" t="s">
        <v>23</v>
      </c>
      <c r="D876" s="1" t="s">
        <v>26</v>
      </c>
      <c r="E876" s="1">
        <v>0.67234953703703704</v>
      </c>
      <c r="F876" s="1" t="s">
        <v>13</v>
      </c>
      <c r="G876" s="1">
        <v>3</v>
      </c>
      <c r="H876" s="1">
        <v>3.3</v>
      </c>
      <c r="I876" s="1">
        <v>0</v>
      </c>
      <c r="J876" s="4">
        <v>41130</v>
      </c>
      <c r="K876" s="4">
        <v>43321</v>
      </c>
      <c r="L876">
        <f t="shared" si="13"/>
        <v>3.15</v>
      </c>
    </row>
    <row r="877" spans="1:12" x14ac:dyDescent="0.15">
      <c r="A877" s="1">
        <v>876</v>
      </c>
      <c r="B877" s="4">
        <v>41129</v>
      </c>
      <c r="C877" s="1" t="s">
        <v>22</v>
      </c>
      <c r="D877" s="1" t="s">
        <v>26</v>
      </c>
      <c r="E877" s="1">
        <v>0.67234953703703704</v>
      </c>
      <c r="F877" s="1" t="s">
        <v>13</v>
      </c>
      <c r="G877" s="1">
        <v>3.3</v>
      </c>
      <c r="H877" s="1">
        <v>3.5</v>
      </c>
      <c r="I877" s="1">
        <v>0</v>
      </c>
      <c r="J877" s="4">
        <v>41130</v>
      </c>
      <c r="K877" s="4">
        <v>41314</v>
      </c>
      <c r="L877">
        <f t="shared" si="13"/>
        <v>3.4</v>
      </c>
    </row>
    <row r="878" spans="1:12" x14ac:dyDescent="0.15">
      <c r="A878" s="1">
        <v>877</v>
      </c>
      <c r="B878" s="4">
        <v>41129</v>
      </c>
      <c r="C878" s="1" t="s">
        <v>25</v>
      </c>
      <c r="D878" s="1" t="s">
        <v>26</v>
      </c>
      <c r="E878" s="1">
        <v>0.67236111111111108</v>
      </c>
      <c r="F878" s="1" t="s">
        <v>13</v>
      </c>
      <c r="G878" s="1">
        <v>3</v>
      </c>
      <c r="H878" s="1">
        <v>3.1</v>
      </c>
      <c r="I878" s="1">
        <v>0</v>
      </c>
      <c r="J878" s="4">
        <v>41130</v>
      </c>
      <c r="K878" s="4">
        <v>42956</v>
      </c>
      <c r="L878">
        <f t="shared" si="13"/>
        <v>3.05</v>
      </c>
    </row>
    <row r="879" spans="1:12" x14ac:dyDescent="0.15">
      <c r="A879" s="1">
        <v>878</v>
      </c>
      <c r="B879" s="4">
        <v>41129</v>
      </c>
      <c r="C879" s="1" t="s">
        <v>18</v>
      </c>
      <c r="D879" s="1" t="s">
        <v>15</v>
      </c>
      <c r="E879" s="1">
        <v>0.68041666666666656</v>
      </c>
      <c r="F879" s="1" t="s">
        <v>13</v>
      </c>
      <c r="G879" s="1">
        <v>3.07</v>
      </c>
      <c r="H879" s="1">
        <v>3.13</v>
      </c>
      <c r="I879" s="1">
        <v>0</v>
      </c>
      <c r="J879" s="4">
        <v>41130</v>
      </c>
      <c r="K879" s="4">
        <v>41860</v>
      </c>
      <c r="L879">
        <f t="shared" si="13"/>
        <v>3.0999999999999996</v>
      </c>
    </row>
    <row r="880" spans="1:12" x14ac:dyDescent="0.15">
      <c r="A880" s="1">
        <v>879</v>
      </c>
      <c r="B880" s="4">
        <v>41129</v>
      </c>
      <c r="C880" s="1" t="s">
        <v>20</v>
      </c>
      <c r="D880" s="1" t="s">
        <v>15</v>
      </c>
      <c r="E880" s="1">
        <v>0.68042824074074071</v>
      </c>
      <c r="F880" s="1" t="s">
        <v>13</v>
      </c>
      <c r="G880" s="1">
        <v>3.17</v>
      </c>
      <c r="H880" s="1">
        <v>3.23</v>
      </c>
      <c r="I880" s="1">
        <v>0</v>
      </c>
      <c r="J880" s="4">
        <v>41130</v>
      </c>
      <c r="K880" s="4">
        <v>44782</v>
      </c>
      <c r="L880">
        <f t="shared" si="13"/>
        <v>3.2</v>
      </c>
    </row>
    <row r="881" spans="1:12" x14ac:dyDescent="0.15">
      <c r="A881" s="1">
        <v>880</v>
      </c>
      <c r="B881" s="4">
        <v>41129</v>
      </c>
      <c r="C881" s="1" t="s">
        <v>25</v>
      </c>
      <c r="D881" s="1" t="s">
        <v>15</v>
      </c>
      <c r="E881" s="1">
        <v>0.68042824074074071</v>
      </c>
      <c r="F881" s="1" t="s">
        <v>13</v>
      </c>
      <c r="G881" s="1">
        <v>3.06</v>
      </c>
      <c r="H881" s="1">
        <v>3.12</v>
      </c>
      <c r="I881" s="1">
        <v>0</v>
      </c>
      <c r="J881" s="4">
        <v>41130</v>
      </c>
      <c r="K881" s="4">
        <v>42956</v>
      </c>
      <c r="L881">
        <f t="shared" si="13"/>
        <v>3.09</v>
      </c>
    </row>
    <row r="882" spans="1:12" x14ac:dyDescent="0.15">
      <c r="A882" s="1">
        <v>881</v>
      </c>
      <c r="B882" s="4">
        <v>41129</v>
      </c>
      <c r="C882" s="1" t="s">
        <v>16</v>
      </c>
      <c r="D882" s="1" t="s">
        <v>15</v>
      </c>
      <c r="E882" s="1">
        <v>0.68042824074074071</v>
      </c>
      <c r="F882" s="1" t="s">
        <v>13</v>
      </c>
      <c r="G882" s="1">
        <v>3.03</v>
      </c>
      <c r="H882" s="1">
        <v>3.09</v>
      </c>
      <c r="I882" s="1">
        <v>0</v>
      </c>
      <c r="J882" s="4">
        <v>41130</v>
      </c>
      <c r="K882" s="4">
        <v>42591</v>
      </c>
      <c r="L882">
        <f t="shared" si="13"/>
        <v>3.0599999999999996</v>
      </c>
    </row>
    <row r="883" spans="1:12" x14ac:dyDescent="0.15">
      <c r="A883" s="1">
        <v>882</v>
      </c>
      <c r="B883" s="4">
        <v>41129</v>
      </c>
      <c r="C883" s="1" t="s">
        <v>19</v>
      </c>
      <c r="D883" s="1" t="s">
        <v>15</v>
      </c>
      <c r="E883" s="1">
        <v>0.68042824074074071</v>
      </c>
      <c r="F883" s="1" t="s">
        <v>13</v>
      </c>
      <c r="G883" s="1">
        <v>3.27</v>
      </c>
      <c r="H883" s="1">
        <v>3.33</v>
      </c>
      <c r="I883" s="1">
        <v>0</v>
      </c>
      <c r="J883" s="4">
        <v>41130</v>
      </c>
      <c r="K883" s="4">
        <v>41403</v>
      </c>
      <c r="L883">
        <f t="shared" si="13"/>
        <v>3.3</v>
      </c>
    </row>
    <row r="884" spans="1:12" x14ac:dyDescent="0.15">
      <c r="A884" s="1">
        <v>883</v>
      </c>
      <c r="B884" s="4">
        <v>41129</v>
      </c>
      <c r="C884" s="1" t="s">
        <v>21</v>
      </c>
      <c r="D884" s="1" t="s">
        <v>15</v>
      </c>
      <c r="E884" s="1">
        <v>0.68041666666666656</v>
      </c>
      <c r="F884" s="1" t="s">
        <v>13</v>
      </c>
      <c r="G884" s="1">
        <v>3.12</v>
      </c>
      <c r="H884" s="1">
        <v>3.18</v>
      </c>
      <c r="I884" s="1">
        <v>0</v>
      </c>
      <c r="J884" s="4">
        <v>41130</v>
      </c>
      <c r="K884" s="4">
        <v>43686</v>
      </c>
      <c r="L884">
        <f t="shared" si="13"/>
        <v>3.1500000000000004</v>
      </c>
    </row>
    <row r="885" spans="1:12" x14ac:dyDescent="0.15">
      <c r="A885" s="1">
        <v>884</v>
      </c>
      <c r="B885" s="4">
        <v>41129</v>
      </c>
      <c r="C885" s="1" t="s">
        <v>14</v>
      </c>
      <c r="D885" s="1" t="s">
        <v>15</v>
      </c>
      <c r="E885" s="1">
        <v>0.68041666666666656</v>
      </c>
      <c r="F885" s="1" t="s">
        <v>13</v>
      </c>
      <c r="G885" s="1">
        <v>3.17</v>
      </c>
      <c r="H885" s="1">
        <v>3.23</v>
      </c>
      <c r="I885" s="1">
        <v>0</v>
      </c>
      <c r="J885" s="4">
        <v>41130</v>
      </c>
      <c r="K885" s="4">
        <v>41495</v>
      </c>
      <c r="L885">
        <f t="shared" si="13"/>
        <v>3.2</v>
      </c>
    </row>
    <row r="886" spans="1:12" x14ac:dyDescent="0.15">
      <c r="A886" s="1">
        <v>885</v>
      </c>
      <c r="B886" s="4">
        <v>41129</v>
      </c>
      <c r="C886" s="1" t="s">
        <v>11</v>
      </c>
      <c r="D886" s="1" t="s">
        <v>15</v>
      </c>
      <c r="E886" s="1">
        <v>0.68042824074074071</v>
      </c>
      <c r="F886" s="1" t="s">
        <v>13</v>
      </c>
      <c r="G886" s="1">
        <v>3.04</v>
      </c>
      <c r="H886" s="1">
        <v>3.1</v>
      </c>
      <c r="I886" s="1">
        <v>0</v>
      </c>
      <c r="J886" s="4">
        <v>41130</v>
      </c>
      <c r="K886" s="4">
        <v>42225</v>
      </c>
      <c r="L886">
        <f t="shared" si="13"/>
        <v>3.0700000000000003</v>
      </c>
    </row>
    <row r="887" spans="1:12" x14ac:dyDescent="0.15">
      <c r="A887" s="1">
        <v>886</v>
      </c>
      <c r="B887" s="4">
        <v>41129</v>
      </c>
      <c r="C887" s="1" t="s">
        <v>24</v>
      </c>
      <c r="D887" s="1" t="s">
        <v>12</v>
      </c>
      <c r="E887" s="1">
        <v>0.66623842592592586</v>
      </c>
      <c r="F887" s="1" t="s">
        <v>13</v>
      </c>
      <c r="G887" s="1">
        <v>2.96</v>
      </c>
      <c r="H887" s="1">
        <v>3.36</v>
      </c>
      <c r="I887" s="1">
        <v>0</v>
      </c>
      <c r="J887" s="4">
        <v>41130</v>
      </c>
      <c r="K887" s="4">
        <v>44052</v>
      </c>
      <c r="L887">
        <f t="shared" si="13"/>
        <v>3.16</v>
      </c>
    </row>
    <row r="888" spans="1:12" x14ac:dyDescent="0.15">
      <c r="A888" s="1">
        <v>887</v>
      </c>
      <c r="B888" s="4">
        <v>41129</v>
      </c>
      <c r="C888" s="1" t="s">
        <v>25</v>
      </c>
      <c r="D888" s="1" t="s">
        <v>12</v>
      </c>
      <c r="E888" s="1">
        <v>0.66623842592592586</v>
      </c>
      <c r="F888" s="1" t="s">
        <v>13</v>
      </c>
      <c r="G888" s="1">
        <v>3</v>
      </c>
      <c r="H888" s="1">
        <v>3.1</v>
      </c>
      <c r="I888" s="1">
        <v>0</v>
      </c>
      <c r="J888" s="4">
        <v>41130</v>
      </c>
      <c r="K888" s="4">
        <v>42956</v>
      </c>
      <c r="L888">
        <f t="shared" si="13"/>
        <v>3.05</v>
      </c>
    </row>
    <row r="889" spans="1:12" x14ac:dyDescent="0.15">
      <c r="A889" s="1">
        <v>888</v>
      </c>
      <c r="B889" s="4">
        <v>41129</v>
      </c>
      <c r="C889" s="1" t="s">
        <v>16</v>
      </c>
      <c r="D889" s="1" t="s">
        <v>12</v>
      </c>
      <c r="E889" s="1">
        <v>0.66623842592592586</v>
      </c>
      <c r="F889" s="1" t="s">
        <v>13</v>
      </c>
      <c r="G889" s="1">
        <v>3</v>
      </c>
      <c r="H889" s="1">
        <v>3.1</v>
      </c>
      <c r="I889" s="1">
        <v>0</v>
      </c>
      <c r="J889" s="4">
        <v>41130</v>
      </c>
      <c r="K889" s="4">
        <v>42591</v>
      </c>
      <c r="L889">
        <f t="shared" si="13"/>
        <v>3.05</v>
      </c>
    </row>
    <row r="890" spans="1:12" x14ac:dyDescent="0.15">
      <c r="A890" s="1">
        <v>889</v>
      </c>
      <c r="B890" s="4">
        <v>41129</v>
      </c>
      <c r="C890" s="1" t="s">
        <v>20</v>
      </c>
      <c r="D890" s="1" t="s">
        <v>12</v>
      </c>
      <c r="E890" s="1">
        <v>0.66622685185185182</v>
      </c>
      <c r="F890" s="1" t="s">
        <v>13</v>
      </c>
      <c r="G890" s="1">
        <v>2.99</v>
      </c>
      <c r="H890" s="1">
        <v>3.39</v>
      </c>
      <c r="I890" s="1">
        <v>0</v>
      </c>
      <c r="J890" s="4">
        <v>41130</v>
      </c>
      <c r="K890" s="4">
        <v>44782</v>
      </c>
      <c r="L890">
        <f t="shared" si="13"/>
        <v>3.1900000000000004</v>
      </c>
    </row>
    <row r="891" spans="1:12" x14ac:dyDescent="0.15">
      <c r="A891" s="1">
        <v>890</v>
      </c>
      <c r="B891" s="4">
        <v>41129</v>
      </c>
      <c r="C891" s="1" t="s">
        <v>18</v>
      </c>
      <c r="D891" s="1" t="s">
        <v>12</v>
      </c>
      <c r="E891" s="1">
        <v>0.66621527777777778</v>
      </c>
      <c r="F891" s="1" t="s">
        <v>13</v>
      </c>
      <c r="G891" s="1">
        <v>3.04</v>
      </c>
      <c r="H891" s="1">
        <v>3.14</v>
      </c>
      <c r="I891" s="1">
        <v>0</v>
      </c>
      <c r="J891" s="4">
        <v>41130</v>
      </c>
      <c r="K891" s="4">
        <v>41860</v>
      </c>
      <c r="L891">
        <f t="shared" si="13"/>
        <v>3.09</v>
      </c>
    </row>
    <row r="892" spans="1:12" x14ac:dyDescent="0.15">
      <c r="A892" s="1">
        <v>891</v>
      </c>
      <c r="B892" s="4">
        <v>41129</v>
      </c>
      <c r="C892" s="1" t="s">
        <v>21</v>
      </c>
      <c r="D892" s="1" t="s">
        <v>12</v>
      </c>
      <c r="E892" s="1">
        <v>0.66621527777777778</v>
      </c>
      <c r="F892" s="1" t="s">
        <v>13</v>
      </c>
      <c r="G892" s="1">
        <v>2.95</v>
      </c>
      <c r="H892" s="1">
        <v>3.35</v>
      </c>
      <c r="I892" s="1">
        <v>0</v>
      </c>
      <c r="J892" s="4">
        <v>41130</v>
      </c>
      <c r="K892" s="4">
        <v>43686</v>
      </c>
      <c r="L892">
        <f t="shared" si="13"/>
        <v>3.1500000000000004</v>
      </c>
    </row>
    <row r="893" spans="1:12" x14ac:dyDescent="0.15">
      <c r="A893" s="1">
        <v>892</v>
      </c>
      <c r="B893" s="4">
        <v>41129</v>
      </c>
      <c r="C893" s="1" t="s">
        <v>19</v>
      </c>
      <c r="D893" s="1" t="s">
        <v>12</v>
      </c>
      <c r="E893" s="1">
        <v>0.66622685185185182</v>
      </c>
      <c r="F893" s="1" t="s">
        <v>13</v>
      </c>
      <c r="G893" s="1">
        <v>3.25</v>
      </c>
      <c r="H893" s="1">
        <v>3.35</v>
      </c>
      <c r="I893" s="1">
        <v>0</v>
      </c>
      <c r="J893" s="4">
        <v>41130</v>
      </c>
      <c r="K893" s="4">
        <v>41403</v>
      </c>
      <c r="L893">
        <f t="shared" si="13"/>
        <v>3.3</v>
      </c>
    </row>
    <row r="894" spans="1:12" x14ac:dyDescent="0.15">
      <c r="A894" s="1">
        <v>893</v>
      </c>
      <c r="B894" s="4">
        <v>41129</v>
      </c>
      <c r="C894" s="1" t="s">
        <v>17</v>
      </c>
      <c r="D894" s="1" t="s">
        <v>12</v>
      </c>
      <c r="E894" s="1">
        <v>0.66623842592592586</v>
      </c>
      <c r="F894" s="1" t="s">
        <v>13</v>
      </c>
      <c r="G894" s="1">
        <v>2.98</v>
      </c>
      <c r="H894" s="1">
        <v>3.38</v>
      </c>
      <c r="I894" s="1">
        <v>0</v>
      </c>
      <c r="J894" s="4">
        <v>41130</v>
      </c>
      <c r="K894" s="4">
        <v>44417</v>
      </c>
      <c r="L894">
        <f t="shared" si="13"/>
        <v>3.1799999999999997</v>
      </c>
    </row>
    <row r="895" spans="1:12" x14ac:dyDescent="0.15">
      <c r="A895" s="1">
        <v>894</v>
      </c>
      <c r="B895" s="4">
        <v>41129</v>
      </c>
      <c r="C895" s="1" t="s">
        <v>18</v>
      </c>
      <c r="D895" s="1" t="s">
        <v>26</v>
      </c>
      <c r="E895" s="1">
        <v>0.67234953703703704</v>
      </c>
      <c r="F895" s="1" t="s">
        <v>13</v>
      </c>
      <c r="G895" s="1">
        <v>3.05</v>
      </c>
      <c r="H895" s="1">
        <v>3.1</v>
      </c>
      <c r="I895" s="1">
        <v>0</v>
      </c>
      <c r="J895" s="4">
        <v>41130</v>
      </c>
      <c r="K895" s="4">
        <v>41860</v>
      </c>
      <c r="L895">
        <f t="shared" si="13"/>
        <v>3.0750000000000002</v>
      </c>
    </row>
    <row r="896" spans="1:12" x14ac:dyDescent="0.15">
      <c r="A896" s="1">
        <v>895</v>
      </c>
      <c r="B896" s="4">
        <v>41129</v>
      </c>
      <c r="C896" s="1" t="s">
        <v>17</v>
      </c>
      <c r="D896" s="1" t="s">
        <v>26</v>
      </c>
      <c r="E896" s="1">
        <v>0.67234953703703704</v>
      </c>
      <c r="F896" s="1" t="s">
        <v>13</v>
      </c>
      <c r="G896" s="1">
        <v>3</v>
      </c>
      <c r="H896" s="1">
        <v>3.3</v>
      </c>
      <c r="I896" s="1">
        <v>0</v>
      </c>
      <c r="J896" s="4">
        <v>41130</v>
      </c>
      <c r="K896" s="4">
        <v>44417</v>
      </c>
      <c r="L896">
        <f t="shared" si="13"/>
        <v>3.15</v>
      </c>
    </row>
    <row r="897" spans="1:12" x14ac:dyDescent="0.15">
      <c r="A897" s="1">
        <v>896</v>
      </c>
      <c r="B897" s="4">
        <v>41129</v>
      </c>
      <c r="C897" s="1" t="s">
        <v>21</v>
      </c>
      <c r="D897" s="1" t="s">
        <v>26</v>
      </c>
      <c r="E897" s="1">
        <v>0.67234953703703704</v>
      </c>
      <c r="F897" s="1" t="s">
        <v>13</v>
      </c>
      <c r="G897" s="1">
        <v>3</v>
      </c>
      <c r="H897" s="1">
        <v>3.3</v>
      </c>
      <c r="I897" s="1">
        <v>0</v>
      </c>
      <c r="J897" s="4">
        <v>41130</v>
      </c>
      <c r="K897" s="4">
        <v>43686</v>
      </c>
      <c r="L897">
        <f t="shared" si="13"/>
        <v>3.15</v>
      </c>
    </row>
    <row r="898" spans="1:12" x14ac:dyDescent="0.15">
      <c r="A898" s="1">
        <v>897</v>
      </c>
      <c r="B898" s="4">
        <v>41129</v>
      </c>
      <c r="C898" s="1" t="s">
        <v>20</v>
      </c>
      <c r="D898" s="1" t="s">
        <v>26</v>
      </c>
      <c r="E898" s="1">
        <v>0.67234953703703704</v>
      </c>
      <c r="F898" s="1" t="s">
        <v>13</v>
      </c>
      <c r="G898" s="1">
        <v>3</v>
      </c>
      <c r="H898" s="1">
        <v>3.3</v>
      </c>
      <c r="I898" s="1">
        <v>0</v>
      </c>
      <c r="J898" s="4">
        <v>41130</v>
      </c>
      <c r="K898" s="4">
        <v>44782</v>
      </c>
      <c r="L898">
        <f t="shared" si="13"/>
        <v>3.15</v>
      </c>
    </row>
    <row r="899" spans="1:12" x14ac:dyDescent="0.15">
      <c r="A899" s="1">
        <v>898</v>
      </c>
      <c r="B899" s="4">
        <v>41129</v>
      </c>
      <c r="C899" s="1" t="s">
        <v>11</v>
      </c>
      <c r="D899" s="1" t="s">
        <v>12</v>
      </c>
      <c r="E899" s="1">
        <v>0.66623842592592586</v>
      </c>
      <c r="F899" s="1" t="s">
        <v>13</v>
      </c>
      <c r="G899" s="1">
        <v>3</v>
      </c>
      <c r="H899" s="1">
        <v>3.1</v>
      </c>
      <c r="I899" s="1">
        <v>0</v>
      </c>
      <c r="J899" s="4">
        <v>41130</v>
      </c>
      <c r="K899" s="4">
        <v>42225</v>
      </c>
      <c r="L899">
        <f t="shared" ref="L899:L962" si="14">AVERAGE(G899:H899)</f>
        <v>3.05</v>
      </c>
    </row>
    <row r="900" spans="1:12" x14ac:dyDescent="0.15">
      <c r="A900" s="1">
        <v>899</v>
      </c>
      <c r="B900" s="4">
        <v>41129</v>
      </c>
      <c r="C900" s="1" t="s">
        <v>14</v>
      </c>
      <c r="D900" s="1" t="s">
        <v>26</v>
      </c>
      <c r="E900" s="1">
        <v>0.67234953703703704</v>
      </c>
      <c r="F900" s="1" t="s">
        <v>13</v>
      </c>
      <c r="G900" s="1">
        <v>3.15</v>
      </c>
      <c r="H900" s="1">
        <v>3.25</v>
      </c>
      <c r="I900" s="1">
        <v>0</v>
      </c>
      <c r="J900" s="4">
        <v>41130</v>
      </c>
      <c r="K900" s="4">
        <v>41495</v>
      </c>
      <c r="L900">
        <f t="shared" si="14"/>
        <v>3.2</v>
      </c>
    </row>
    <row r="901" spans="1:12" x14ac:dyDescent="0.15">
      <c r="A901" s="1">
        <v>900</v>
      </c>
      <c r="B901" s="4">
        <v>41129</v>
      </c>
      <c r="C901" s="1" t="s">
        <v>24</v>
      </c>
      <c r="D901" s="1" t="s">
        <v>26</v>
      </c>
      <c r="E901" s="1">
        <v>0.67234953703703704</v>
      </c>
      <c r="F901" s="1" t="s">
        <v>13</v>
      </c>
      <c r="G901" s="1">
        <v>3</v>
      </c>
      <c r="H901" s="1">
        <v>3.3</v>
      </c>
      <c r="I901" s="1">
        <v>0</v>
      </c>
      <c r="J901" s="4">
        <v>41130</v>
      </c>
      <c r="K901" s="4">
        <v>44052</v>
      </c>
      <c r="L901">
        <f t="shared" si="14"/>
        <v>3.15</v>
      </c>
    </row>
    <row r="902" spans="1:12" x14ac:dyDescent="0.15">
      <c r="A902" s="1">
        <v>901</v>
      </c>
      <c r="B902" s="4">
        <v>41128</v>
      </c>
      <c r="C902" s="1" t="s">
        <v>11</v>
      </c>
      <c r="D902" s="1" t="s">
        <v>27</v>
      </c>
      <c r="E902" s="1">
        <v>0.49040509259259263</v>
      </c>
      <c r="F902" s="1" t="s">
        <v>13</v>
      </c>
      <c r="G902" s="1">
        <v>3.08</v>
      </c>
      <c r="H902" s="1">
        <v>3.18</v>
      </c>
      <c r="I902" s="1">
        <v>0</v>
      </c>
      <c r="J902" s="4">
        <v>41129</v>
      </c>
      <c r="K902" s="4">
        <v>42224</v>
      </c>
      <c r="L902">
        <f t="shared" si="14"/>
        <v>3.13</v>
      </c>
    </row>
    <row r="903" spans="1:12" x14ac:dyDescent="0.15">
      <c r="A903" s="1">
        <v>902</v>
      </c>
      <c r="B903" s="4">
        <v>41128</v>
      </c>
      <c r="C903" s="1" t="s">
        <v>22</v>
      </c>
      <c r="D903" s="1" t="s">
        <v>27</v>
      </c>
      <c r="E903" s="1">
        <v>0.49040509259259263</v>
      </c>
      <c r="F903" s="1" t="s">
        <v>13</v>
      </c>
      <c r="G903" s="1">
        <v>3.42</v>
      </c>
      <c r="H903" s="1">
        <v>3.5</v>
      </c>
      <c r="I903" s="1">
        <v>0</v>
      </c>
      <c r="J903" s="4">
        <v>41129</v>
      </c>
      <c r="K903" s="4">
        <v>41313</v>
      </c>
      <c r="L903">
        <f t="shared" si="14"/>
        <v>3.46</v>
      </c>
    </row>
    <row r="904" spans="1:12" x14ac:dyDescent="0.15">
      <c r="A904" s="1">
        <v>903</v>
      </c>
      <c r="B904" s="4">
        <v>41128</v>
      </c>
      <c r="C904" s="1" t="s">
        <v>25</v>
      </c>
      <c r="D904" s="1" t="s">
        <v>27</v>
      </c>
      <c r="E904" s="1">
        <v>0.49039351851851848</v>
      </c>
      <c r="F904" s="1" t="s">
        <v>13</v>
      </c>
      <c r="G904" s="1">
        <v>3.05</v>
      </c>
      <c r="H904" s="1">
        <v>3.1</v>
      </c>
      <c r="I904" s="1">
        <v>0</v>
      </c>
      <c r="J904" s="4">
        <v>41129</v>
      </c>
      <c r="K904" s="4">
        <v>42955</v>
      </c>
      <c r="L904">
        <f t="shared" si="14"/>
        <v>3.0750000000000002</v>
      </c>
    </row>
    <row r="905" spans="1:12" x14ac:dyDescent="0.15">
      <c r="A905" s="1">
        <v>904</v>
      </c>
      <c r="B905" s="4">
        <v>41128</v>
      </c>
      <c r="C905" s="1" t="s">
        <v>18</v>
      </c>
      <c r="D905" s="1" t="s">
        <v>27</v>
      </c>
      <c r="E905" s="1">
        <v>0.49040509259259263</v>
      </c>
      <c r="F905" s="1" t="s">
        <v>13</v>
      </c>
      <c r="G905" s="1">
        <v>3.07</v>
      </c>
      <c r="H905" s="1">
        <v>3.14</v>
      </c>
      <c r="I905" s="1">
        <v>0</v>
      </c>
      <c r="J905" s="4">
        <v>41129</v>
      </c>
      <c r="K905" s="4">
        <v>41859</v>
      </c>
      <c r="L905">
        <f t="shared" si="14"/>
        <v>3.105</v>
      </c>
    </row>
    <row r="906" spans="1:12" x14ac:dyDescent="0.15">
      <c r="A906" s="1">
        <v>905</v>
      </c>
      <c r="B906" s="4">
        <v>41128</v>
      </c>
      <c r="C906" s="1" t="s">
        <v>16</v>
      </c>
      <c r="D906" s="1" t="s">
        <v>27</v>
      </c>
      <c r="E906" s="1">
        <v>0.49040509259259263</v>
      </c>
      <c r="F906" s="1" t="s">
        <v>13</v>
      </c>
      <c r="G906" s="1">
        <v>3</v>
      </c>
      <c r="H906" s="1">
        <v>3.1</v>
      </c>
      <c r="I906" s="1">
        <v>0</v>
      </c>
      <c r="J906" s="4">
        <v>41129</v>
      </c>
      <c r="K906" s="4">
        <v>42590</v>
      </c>
      <c r="L906">
        <f t="shared" si="14"/>
        <v>3.05</v>
      </c>
    </row>
    <row r="907" spans="1:12" x14ac:dyDescent="0.15">
      <c r="A907" s="1">
        <v>906</v>
      </c>
      <c r="B907" s="4">
        <v>41128</v>
      </c>
      <c r="C907" s="1" t="s">
        <v>19</v>
      </c>
      <c r="D907" s="1" t="s">
        <v>27</v>
      </c>
      <c r="E907" s="1">
        <v>0.49040509259259263</v>
      </c>
      <c r="F907" s="1" t="s">
        <v>13</v>
      </c>
      <c r="G907" s="1">
        <v>3.27</v>
      </c>
      <c r="H907" s="1">
        <v>3.37</v>
      </c>
      <c r="I907" s="1">
        <v>0</v>
      </c>
      <c r="J907" s="4">
        <v>41129</v>
      </c>
      <c r="K907" s="4">
        <v>41402</v>
      </c>
      <c r="L907">
        <f t="shared" si="14"/>
        <v>3.3200000000000003</v>
      </c>
    </row>
    <row r="908" spans="1:12" x14ac:dyDescent="0.15">
      <c r="A908" s="1">
        <v>907</v>
      </c>
      <c r="B908" s="4">
        <v>41128</v>
      </c>
      <c r="C908" s="1" t="s">
        <v>14</v>
      </c>
      <c r="D908" s="1" t="s">
        <v>27</v>
      </c>
      <c r="E908" s="1">
        <v>0.49039351851851848</v>
      </c>
      <c r="F908" s="1" t="s">
        <v>13</v>
      </c>
      <c r="G908" s="1">
        <v>3.19</v>
      </c>
      <c r="H908" s="1">
        <v>3.28</v>
      </c>
      <c r="I908" s="1">
        <v>0</v>
      </c>
      <c r="J908" s="4">
        <v>41129</v>
      </c>
      <c r="K908" s="4">
        <v>41494</v>
      </c>
      <c r="L908">
        <f t="shared" si="14"/>
        <v>3.2349999999999999</v>
      </c>
    </row>
    <row r="909" spans="1:12" x14ac:dyDescent="0.15">
      <c r="A909" s="1">
        <v>908</v>
      </c>
      <c r="B909" s="4">
        <v>41128</v>
      </c>
      <c r="C909" s="1" t="s">
        <v>19</v>
      </c>
      <c r="D909" s="1" t="s">
        <v>15</v>
      </c>
      <c r="E909" s="1">
        <v>0.48915509259259254</v>
      </c>
      <c r="F909" s="1" t="s">
        <v>13</v>
      </c>
      <c r="G909" s="1">
        <v>3.3</v>
      </c>
      <c r="H909" s="1">
        <v>3.36</v>
      </c>
      <c r="I909" s="1">
        <v>0</v>
      </c>
      <c r="J909" s="4">
        <v>41129</v>
      </c>
      <c r="K909" s="4">
        <v>41402</v>
      </c>
      <c r="L909">
        <f t="shared" si="14"/>
        <v>3.33</v>
      </c>
    </row>
    <row r="910" spans="1:12" x14ac:dyDescent="0.15">
      <c r="A910" s="1">
        <v>909</v>
      </c>
      <c r="B910" s="4">
        <v>41128</v>
      </c>
      <c r="C910" s="1" t="s">
        <v>21</v>
      </c>
      <c r="D910" s="1" t="s">
        <v>15</v>
      </c>
      <c r="E910" s="1">
        <v>0.48915509259259254</v>
      </c>
      <c r="F910" s="1" t="s">
        <v>13</v>
      </c>
      <c r="G910" s="1">
        <v>3.11</v>
      </c>
      <c r="H910" s="1">
        <v>3.17</v>
      </c>
      <c r="I910" s="1">
        <v>0</v>
      </c>
      <c r="J910" s="4">
        <v>41129</v>
      </c>
      <c r="K910" s="4">
        <v>43685</v>
      </c>
      <c r="L910">
        <f t="shared" si="14"/>
        <v>3.1399999999999997</v>
      </c>
    </row>
    <row r="911" spans="1:12" x14ac:dyDescent="0.15">
      <c r="A911" s="1">
        <v>910</v>
      </c>
      <c r="B911" s="4">
        <v>41128</v>
      </c>
      <c r="C911" s="1" t="s">
        <v>11</v>
      </c>
      <c r="D911" s="1" t="s">
        <v>15</v>
      </c>
      <c r="E911" s="1">
        <v>0.48915509259259254</v>
      </c>
      <c r="F911" s="1" t="s">
        <v>13</v>
      </c>
      <c r="G911" s="1">
        <v>3.06</v>
      </c>
      <c r="H911" s="1">
        <v>3.12</v>
      </c>
      <c r="I911" s="1">
        <v>0</v>
      </c>
      <c r="J911" s="4">
        <v>41129</v>
      </c>
      <c r="K911" s="4">
        <v>42224</v>
      </c>
      <c r="L911">
        <f t="shared" si="14"/>
        <v>3.09</v>
      </c>
    </row>
    <row r="912" spans="1:12" x14ac:dyDescent="0.15">
      <c r="A912" s="1">
        <v>911</v>
      </c>
      <c r="B912" s="4">
        <v>41128</v>
      </c>
      <c r="C912" s="1" t="s">
        <v>16</v>
      </c>
      <c r="D912" s="1" t="s">
        <v>15</v>
      </c>
      <c r="E912" s="1">
        <v>0.48915509259259254</v>
      </c>
      <c r="F912" s="1" t="s">
        <v>13</v>
      </c>
      <c r="G912" s="1">
        <v>3.06</v>
      </c>
      <c r="H912" s="1">
        <v>3.12</v>
      </c>
      <c r="I912" s="1">
        <v>0</v>
      </c>
      <c r="J912" s="4">
        <v>41129</v>
      </c>
      <c r="K912" s="4">
        <v>42590</v>
      </c>
      <c r="L912">
        <f t="shared" si="14"/>
        <v>3.09</v>
      </c>
    </row>
    <row r="913" spans="1:12" x14ac:dyDescent="0.15">
      <c r="A913" s="1">
        <v>912</v>
      </c>
      <c r="B913" s="4">
        <v>41128</v>
      </c>
      <c r="C913" s="1" t="s">
        <v>25</v>
      </c>
      <c r="D913" s="1" t="s">
        <v>15</v>
      </c>
      <c r="E913" s="1">
        <v>0.48915509259259254</v>
      </c>
      <c r="F913" s="1" t="s">
        <v>13</v>
      </c>
      <c r="G913" s="1">
        <v>3.07</v>
      </c>
      <c r="H913" s="1">
        <v>3.13</v>
      </c>
      <c r="I913" s="1">
        <v>0</v>
      </c>
      <c r="J913" s="4">
        <v>41129</v>
      </c>
      <c r="K913" s="4">
        <v>42955</v>
      </c>
      <c r="L913">
        <f t="shared" si="14"/>
        <v>3.0999999999999996</v>
      </c>
    </row>
    <row r="914" spans="1:12" x14ac:dyDescent="0.15">
      <c r="A914" s="1">
        <v>913</v>
      </c>
      <c r="B914" s="4">
        <v>41128</v>
      </c>
      <c r="C914" s="1" t="s">
        <v>20</v>
      </c>
      <c r="D914" s="1" t="s">
        <v>15</v>
      </c>
      <c r="E914" s="1">
        <v>0.48915509259259254</v>
      </c>
      <c r="F914" s="1" t="s">
        <v>13</v>
      </c>
      <c r="G914" s="1">
        <v>3.16</v>
      </c>
      <c r="H914" s="1">
        <v>3.22</v>
      </c>
      <c r="I914" s="1">
        <v>0</v>
      </c>
      <c r="J914" s="4">
        <v>41129</v>
      </c>
      <c r="K914" s="4">
        <v>44781</v>
      </c>
      <c r="L914">
        <f t="shared" si="14"/>
        <v>3.1900000000000004</v>
      </c>
    </row>
    <row r="915" spans="1:12" x14ac:dyDescent="0.15">
      <c r="A915" s="1">
        <v>914</v>
      </c>
      <c r="B915" s="4">
        <v>41128</v>
      </c>
      <c r="C915" s="1" t="s">
        <v>22</v>
      </c>
      <c r="D915" s="1" t="s">
        <v>29</v>
      </c>
      <c r="E915" s="1">
        <v>0.64682870370370371</v>
      </c>
      <c r="F915" s="1" t="s">
        <v>13</v>
      </c>
      <c r="G915" s="1">
        <v>3.45</v>
      </c>
      <c r="H915" s="1">
        <v>3.5</v>
      </c>
      <c r="I915" s="1">
        <v>0</v>
      </c>
      <c r="J915" s="4">
        <v>41129</v>
      </c>
      <c r="K915" s="4">
        <v>41313</v>
      </c>
      <c r="L915">
        <f t="shared" si="14"/>
        <v>3.4750000000000001</v>
      </c>
    </row>
    <row r="916" spans="1:12" x14ac:dyDescent="0.15">
      <c r="A916" s="1">
        <v>915</v>
      </c>
      <c r="B916" s="4">
        <v>41128</v>
      </c>
      <c r="C916" s="1" t="s">
        <v>21</v>
      </c>
      <c r="D916" s="1" t="s">
        <v>30</v>
      </c>
      <c r="E916" s="1">
        <v>0.49815972222222221</v>
      </c>
      <c r="F916" s="1" t="s">
        <v>13</v>
      </c>
      <c r="G916" s="1">
        <v>3.09</v>
      </c>
      <c r="H916" s="1">
        <v>3.05</v>
      </c>
      <c r="I916" s="1">
        <v>0</v>
      </c>
      <c r="J916" s="4">
        <v>41129</v>
      </c>
      <c r="K916" s="4">
        <v>43685</v>
      </c>
      <c r="L916">
        <f t="shared" si="14"/>
        <v>3.07</v>
      </c>
    </row>
    <row r="917" spans="1:12" x14ac:dyDescent="0.15">
      <c r="A917" s="1">
        <v>916</v>
      </c>
      <c r="B917" s="4">
        <v>41128</v>
      </c>
      <c r="C917" s="1" t="s">
        <v>19</v>
      </c>
      <c r="D917" s="1" t="s">
        <v>30</v>
      </c>
      <c r="E917" s="1">
        <v>0.49815972222222221</v>
      </c>
      <c r="F917" s="1" t="s">
        <v>13</v>
      </c>
      <c r="G917" s="1">
        <v>3.27</v>
      </c>
      <c r="H917" s="1">
        <v>3.31</v>
      </c>
      <c r="I917" s="1">
        <v>0</v>
      </c>
      <c r="J917" s="4">
        <v>41129</v>
      </c>
      <c r="K917" s="4">
        <v>41402</v>
      </c>
      <c r="L917">
        <f t="shared" si="14"/>
        <v>3.29</v>
      </c>
    </row>
    <row r="918" spans="1:12" x14ac:dyDescent="0.15">
      <c r="A918" s="1">
        <v>917</v>
      </c>
      <c r="B918" s="4">
        <v>41128</v>
      </c>
      <c r="C918" s="1" t="s">
        <v>25</v>
      </c>
      <c r="D918" s="1" t="s">
        <v>29</v>
      </c>
      <c r="E918" s="1">
        <v>0.64684027777777775</v>
      </c>
      <c r="F918" s="1" t="s">
        <v>13</v>
      </c>
      <c r="G918" s="1">
        <v>3.05</v>
      </c>
      <c r="H918" s="1">
        <v>3.1</v>
      </c>
      <c r="I918" s="1">
        <v>0</v>
      </c>
      <c r="J918" s="4">
        <v>41129</v>
      </c>
      <c r="K918" s="4">
        <v>42955</v>
      </c>
      <c r="L918">
        <f t="shared" si="14"/>
        <v>3.0750000000000002</v>
      </c>
    </row>
    <row r="919" spans="1:12" x14ac:dyDescent="0.15">
      <c r="A919" s="1">
        <v>918</v>
      </c>
      <c r="B919" s="4">
        <v>41128</v>
      </c>
      <c r="C919" s="1" t="s">
        <v>20</v>
      </c>
      <c r="D919" s="1" t="s">
        <v>29</v>
      </c>
      <c r="E919" s="1">
        <v>0.64684027777777775</v>
      </c>
      <c r="F919" s="1" t="s">
        <v>13</v>
      </c>
      <c r="G919" s="1">
        <v>3.15</v>
      </c>
      <c r="H919" s="1">
        <v>3.3</v>
      </c>
      <c r="I919" s="1">
        <v>0</v>
      </c>
      <c r="J919" s="4">
        <v>41129</v>
      </c>
      <c r="K919" s="4">
        <v>44781</v>
      </c>
      <c r="L919">
        <f t="shared" si="14"/>
        <v>3.2249999999999996</v>
      </c>
    </row>
    <row r="920" spans="1:12" x14ac:dyDescent="0.15">
      <c r="A920" s="1">
        <v>919</v>
      </c>
      <c r="B920" s="4">
        <v>41128</v>
      </c>
      <c r="C920" s="1" t="s">
        <v>19</v>
      </c>
      <c r="D920" s="1" t="s">
        <v>29</v>
      </c>
      <c r="E920" s="1">
        <v>0.64684027777777775</v>
      </c>
      <c r="F920" s="1" t="s">
        <v>13</v>
      </c>
      <c r="G920" s="1">
        <v>3.3</v>
      </c>
      <c r="H920" s="1">
        <v>3.35</v>
      </c>
      <c r="I920" s="1">
        <v>0</v>
      </c>
      <c r="J920" s="4">
        <v>41129</v>
      </c>
      <c r="K920" s="4">
        <v>41402</v>
      </c>
      <c r="L920">
        <f t="shared" si="14"/>
        <v>3.3250000000000002</v>
      </c>
    </row>
    <row r="921" spans="1:12" x14ac:dyDescent="0.15">
      <c r="A921" s="1">
        <v>920</v>
      </c>
      <c r="B921" s="4">
        <v>41128</v>
      </c>
      <c r="C921" s="1" t="s">
        <v>20</v>
      </c>
      <c r="D921" s="1" t="s">
        <v>30</v>
      </c>
      <c r="E921" s="1">
        <v>0.49815972222222221</v>
      </c>
      <c r="F921" s="1" t="s">
        <v>13</v>
      </c>
      <c r="G921" s="1">
        <v>3.14</v>
      </c>
      <c r="H921" s="1">
        <v>3.1</v>
      </c>
      <c r="I921" s="1">
        <v>0</v>
      </c>
      <c r="J921" s="4">
        <v>41129</v>
      </c>
      <c r="K921" s="4">
        <v>44781</v>
      </c>
      <c r="L921">
        <f t="shared" si="14"/>
        <v>3.12</v>
      </c>
    </row>
    <row r="922" spans="1:12" x14ac:dyDescent="0.15">
      <c r="A922" s="1">
        <v>921</v>
      </c>
      <c r="B922" s="4">
        <v>41128</v>
      </c>
      <c r="C922" s="1" t="s">
        <v>16</v>
      </c>
      <c r="D922" s="1" t="s">
        <v>30</v>
      </c>
      <c r="E922" s="1">
        <v>0.49815972222222221</v>
      </c>
      <c r="F922" s="1" t="s">
        <v>13</v>
      </c>
      <c r="G922" s="1">
        <v>3.04</v>
      </c>
      <c r="H922" s="1">
        <v>2.96</v>
      </c>
      <c r="I922" s="1">
        <v>0</v>
      </c>
      <c r="J922" s="4">
        <v>41129</v>
      </c>
      <c r="K922" s="4">
        <v>42590</v>
      </c>
      <c r="L922">
        <f t="shared" si="14"/>
        <v>3</v>
      </c>
    </row>
    <row r="923" spans="1:12" x14ac:dyDescent="0.15">
      <c r="A923" s="1">
        <v>922</v>
      </c>
      <c r="B923" s="4">
        <v>41128</v>
      </c>
      <c r="C923" s="1" t="s">
        <v>25</v>
      </c>
      <c r="D923" s="1" t="s">
        <v>30</v>
      </c>
      <c r="E923" s="1">
        <v>0.49815972222222221</v>
      </c>
      <c r="F923" s="1" t="s">
        <v>13</v>
      </c>
      <c r="G923" s="1">
        <v>3.04</v>
      </c>
      <c r="H923" s="1">
        <v>2.96</v>
      </c>
      <c r="I923" s="1">
        <v>0</v>
      </c>
      <c r="J923" s="4">
        <v>41129</v>
      </c>
      <c r="K923" s="4">
        <v>42955</v>
      </c>
      <c r="L923">
        <f t="shared" si="14"/>
        <v>3</v>
      </c>
    </row>
    <row r="924" spans="1:12" x14ac:dyDescent="0.15">
      <c r="A924" s="1">
        <v>923</v>
      </c>
      <c r="B924" s="4">
        <v>41128</v>
      </c>
      <c r="C924" s="1" t="s">
        <v>22</v>
      </c>
      <c r="D924" s="1" t="s">
        <v>30</v>
      </c>
      <c r="E924" s="1">
        <v>0.49815972222222221</v>
      </c>
      <c r="F924" s="1" t="s">
        <v>13</v>
      </c>
      <c r="G924" s="1">
        <v>3.45</v>
      </c>
      <c r="H924" s="1">
        <v>3.52</v>
      </c>
      <c r="I924" s="1">
        <v>0</v>
      </c>
      <c r="J924" s="4">
        <v>41129</v>
      </c>
      <c r="K924" s="4">
        <v>41313</v>
      </c>
      <c r="L924">
        <f t="shared" si="14"/>
        <v>3.4850000000000003</v>
      </c>
    </row>
    <row r="925" spans="1:12" x14ac:dyDescent="0.15">
      <c r="A925" s="1">
        <v>924</v>
      </c>
      <c r="B925" s="4">
        <v>41128</v>
      </c>
      <c r="C925" s="1" t="s">
        <v>14</v>
      </c>
      <c r="D925" s="1" t="s">
        <v>30</v>
      </c>
      <c r="E925" s="1">
        <v>0.49815972222222221</v>
      </c>
      <c r="F925" s="1" t="s">
        <v>13</v>
      </c>
      <c r="G925" s="1">
        <v>3.19</v>
      </c>
      <c r="H925" s="1">
        <v>3.19</v>
      </c>
      <c r="I925" s="1">
        <v>0</v>
      </c>
      <c r="J925" s="4">
        <v>41129</v>
      </c>
      <c r="K925" s="4">
        <v>41494</v>
      </c>
      <c r="L925">
        <f t="shared" si="14"/>
        <v>3.19</v>
      </c>
    </row>
    <row r="926" spans="1:12" x14ac:dyDescent="0.15">
      <c r="A926" s="1">
        <v>925</v>
      </c>
      <c r="B926" s="4">
        <v>41128</v>
      </c>
      <c r="C926" s="1" t="s">
        <v>18</v>
      </c>
      <c r="D926" s="1" t="s">
        <v>30</v>
      </c>
      <c r="E926" s="1">
        <v>0.49815972222222221</v>
      </c>
      <c r="F926" s="1" t="s">
        <v>13</v>
      </c>
      <c r="G926" s="1">
        <v>3.07</v>
      </c>
      <c r="H926" s="1">
        <v>3.02</v>
      </c>
      <c r="I926" s="1">
        <v>0</v>
      </c>
      <c r="J926" s="4">
        <v>41129</v>
      </c>
      <c r="K926" s="4">
        <v>41859</v>
      </c>
      <c r="L926">
        <f t="shared" si="14"/>
        <v>3.0449999999999999</v>
      </c>
    </row>
    <row r="927" spans="1:12" x14ac:dyDescent="0.15">
      <c r="A927" s="1">
        <v>926</v>
      </c>
      <c r="B927" s="4">
        <v>41128</v>
      </c>
      <c r="C927" s="1" t="s">
        <v>11</v>
      </c>
      <c r="D927" s="1" t="s">
        <v>30</v>
      </c>
      <c r="E927" s="1">
        <v>0.49815972222222221</v>
      </c>
      <c r="F927" s="1" t="s">
        <v>13</v>
      </c>
      <c r="G927" s="1">
        <v>3.04</v>
      </c>
      <c r="H927" s="1">
        <v>2.97</v>
      </c>
      <c r="I927" s="1">
        <v>0</v>
      </c>
      <c r="J927" s="4">
        <v>41129</v>
      </c>
      <c r="K927" s="4">
        <v>42224</v>
      </c>
      <c r="L927">
        <f t="shared" si="14"/>
        <v>3.0049999999999999</v>
      </c>
    </row>
    <row r="928" spans="1:12" x14ac:dyDescent="0.15">
      <c r="A928" s="1">
        <v>927</v>
      </c>
      <c r="B928" s="4">
        <v>41128</v>
      </c>
      <c r="C928" s="1" t="s">
        <v>18</v>
      </c>
      <c r="D928" s="1" t="s">
        <v>15</v>
      </c>
      <c r="E928" s="1">
        <v>0.48914351851851851</v>
      </c>
      <c r="F928" s="1" t="s">
        <v>13</v>
      </c>
      <c r="G928" s="1">
        <v>3.09</v>
      </c>
      <c r="H928" s="1">
        <v>3.15</v>
      </c>
      <c r="I928" s="1">
        <v>0</v>
      </c>
      <c r="J928" s="4">
        <v>41129</v>
      </c>
      <c r="K928" s="4">
        <v>41859</v>
      </c>
      <c r="L928">
        <f t="shared" si="14"/>
        <v>3.12</v>
      </c>
    </row>
    <row r="929" spans="1:12" x14ac:dyDescent="0.15">
      <c r="A929" s="1">
        <v>928</v>
      </c>
      <c r="B929" s="4">
        <v>41128</v>
      </c>
      <c r="C929" s="1" t="s">
        <v>25</v>
      </c>
      <c r="D929" s="1" t="s">
        <v>26</v>
      </c>
      <c r="E929" s="1">
        <v>0.48129629629629633</v>
      </c>
      <c r="F929" s="1" t="s">
        <v>13</v>
      </c>
      <c r="G929" s="1">
        <v>3</v>
      </c>
      <c r="H929" s="1">
        <v>3.1</v>
      </c>
      <c r="I929" s="1">
        <v>0</v>
      </c>
      <c r="J929" s="4">
        <v>41129</v>
      </c>
      <c r="K929" s="4">
        <v>42955</v>
      </c>
      <c r="L929">
        <f t="shared" si="14"/>
        <v>3.05</v>
      </c>
    </row>
    <row r="930" spans="1:12" x14ac:dyDescent="0.15">
      <c r="A930" s="1">
        <v>929</v>
      </c>
      <c r="B930" s="4">
        <v>41128</v>
      </c>
      <c r="C930" s="1" t="s">
        <v>14</v>
      </c>
      <c r="D930" s="1" t="s">
        <v>26</v>
      </c>
      <c r="E930" s="1">
        <v>0.48128472222222224</v>
      </c>
      <c r="F930" s="1" t="s">
        <v>13</v>
      </c>
      <c r="G930" s="1">
        <v>3.15</v>
      </c>
      <c r="H930" s="1">
        <v>3.25</v>
      </c>
      <c r="I930" s="1">
        <v>0</v>
      </c>
      <c r="J930" s="4">
        <v>41129</v>
      </c>
      <c r="K930" s="4">
        <v>41494</v>
      </c>
      <c r="L930">
        <f t="shared" si="14"/>
        <v>3.2</v>
      </c>
    </row>
    <row r="931" spans="1:12" x14ac:dyDescent="0.15">
      <c r="A931" s="1">
        <v>930</v>
      </c>
      <c r="B931" s="4">
        <v>41128</v>
      </c>
      <c r="C931" s="1" t="s">
        <v>22</v>
      </c>
      <c r="D931" s="1" t="s">
        <v>26</v>
      </c>
      <c r="E931" s="1">
        <v>0.48128472222222224</v>
      </c>
      <c r="F931" s="1" t="s">
        <v>13</v>
      </c>
      <c r="G931" s="1">
        <v>3.3</v>
      </c>
      <c r="H931" s="1">
        <v>3.5</v>
      </c>
      <c r="I931" s="1">
        <v>0</v>
      </c>
      <c r="J931" s="4">
        <v>41129</v>
      </c>
      <c r="K931" s="4">
        <v>41313</v>
      </c>
      <c r="L931">
        <f t="shared" si="14"/>
        <v>3.4</v>
      </c>
    </row>
    <row r="932" spans="1:12" x14ac:dyDescent="0.15">
      <c r="A932" s="1">
        <v>931</v>
      </c>
      <c r="B932" s="4">
        <v>41128</v>
      </c>
      <c r="C932" s="1" t="s">
        <v>14</v>
      </c>
      <c r="D932" s="1" t="s">
        <v>12</v>
      </c>
      <c r="E932" s="1">
        <v>0.48201388888888891</v>
      </c>
      <c r="F932" s="1" t="s">
        <v>13</v>
      </c>
      <c r="G932" s="1">
        <v>3.15</v>
      </c>
      <c r="H932" s="1">
        <v>3.25</v>
      </c>
      <c r="I932" s="1">
        <v>0</v>
      </c>
      <c r="J932" s="4">
        <v>41129</v>
      </c>
      <c r="K932" s="4">
        <v>41494</v>
      </c>
      <c r="L932">
        <f t="shared" si="14"/>
        <v>3.2</v>
      </c>
    </row>
    <row r="933" spans="1:12" x14ac:dyDescent="0.15">
      <c r="A933" s="1">
        <v>932</v>
      </c>
      <c r="B933" s="4">
        <v>41128</v>
      </c>
      <c r="C933" s="1" t="s">
        <v>11</v>
      </c>
      <c r="D933" s="1" t="s">
        <v>26</v>
      </c>
      <c r="E933" s="1">
        <v>0.48129629629629633</v>
      </c>
      <c r="F933" s="1" t="s">
        <v>13</v>
      </c>
      <c r="G933" s="1">
        <v>3</v>
      </c>
      <c r="H933" s="1">
        <v>3.05</v>
      </c>
      <c r="I933" s="1">
        <v>0</v>
      </c>
      <c r="J933" s="4">
        <v>41129</v>
      </c>
      <c r="K933" s="4">
        <v>42224</v>
      </c>
      <c r="L933">
        <f t="shared" si="14"/>
        <v>3.0249999999999999</v>
      </c>
    </row>
    <row r="934" spans="1:12" x14ac:dyDescent="0.15">
      <c r="A934" s="1">
        <v>933</v>
      </c>
      <c r="B934" s="4">
        <v>41128</v>
      </c>
      <c r="C934" s="1" t="s">
        <v>16</v>
      </c>
      <c r="D934" s="1" t="s">
        <v>26</v>
      </c>
      <c r="E934" s="1">
        <v>0.48129629629629633</v>
      </c>
      <c r="F934" s="1" t="s">
        <v>13</v>
      </c>
      <c r="G934" s="1">
        <v>3</v>
      </c>
      <c r="H934" s="1">
        <v>3.05</v>
      </c>
      <c r="I934" s="1">
        <v>0</v>
      </c>
      <c r="J934" s="4">
        <v>41129</v>
      </c>
      <c r="K934" s="4">
        <v>42590</v>
      </c>
      <c r="L934">
        <f t="shared" si="14"/>
        <v>3.0249999999999999</v>
      </c>
    </row>
    <row r="935" spans="1:12" x14ac:dyDescent="0.15">
      <c r="A935" s="1">
        <v>934</v>
      </c>
      <c r="B935" s="4">
        <v>41128</v>
      </c>
      <c r="C935" s="1" t="s">
        <v>23</v>
      </c>
      <c r="D935" s="1" t="s">
        <v>26</v>
      </c>
      <c r="E935" s="1">
        <v>0.48128472222222224</v>
      </c>
      <c r="F935" s="1" t="s">
        <v>13</v>
      </c>
      <c r="G935" s="1">
        <v>3</v>
      </c>
      <c r="H935" s="1">
        <v>3.3</v>
      </c>
      <c r="I935" s="1">
        <v>0</v>
      </c>
      <c r="J935" s="4">
        <v>41129</v>
      </c>
      <c r="K935" s="4">
        <v>43320</v>
      </c>
      <c r="L935">
        <f t="shared" si="14"/>
        <v>3.15</v>
      </c>
    </row>
    <row r="936" spans="1:12" x14ac:dyDescent="0.15">
      <c r="A936" s="1">
        <v>935</v>
      </c>
      <c r="B936" s="4">
        <v>41128</v>
      </c>
      <c r="C936" s="1" t="s">
        <v>18</v>
      </c>
      <c r="D936" s="1" t="s">
        <v>26</v>
      </c>
      <c r="E936" s="1">
        <v>0.48128472222222224</v>
      </c>
      <c r="F936" s="1" t="s">
        <v>13</v>
      </c>
      <c r="G936" s="1">
        <v>3.05</v>
      </c>
      <c r="H936" s="1">
        <v>3.1</v>
      </c>
      <c r="I936" s="1">
        <v>0</v>
      </c>
      <c r="J936" s="4">
        <v>41129</v>
      </c>
      <c r="K936" s="4">
        <v>41859</v>
      </c>
      <c r="L936">
        <f t="shared" si="14"/>
        <v>3.0750000000000002</v>
      </c>
    </row>
    <row r="937" spans="1:12" x14ac:dyDescent="0.15">
      <c r="A937" s="1">
        <v>936</v>
      </c>
      <c r="B937" s="4">
        <v>41128</v>
      </c>
      <c r="C937" s="1" t="s">
        <v>20</v>
      </c>
      <c r="D937" s="1" t="s">
        <v>26</v>
      </c>
      <c r="E937" s="1">
        <v>0.48128472222222224</v>
      </c>
      <c r="F937" s="1" t="s">
        <v>13</v>
      </c>
      <c r="G937" s="1">
        <v>3</v>
      </c>
      <c r="H937" s="1">
        <v>3.3</v>
      </c>
      <c r="I937" s="1">
        <v>0</v>
      </c>
      <c r="J937" s="4">
        <v>41129</v>
      </c>
      <c r="K937" s="4">
        <v>44781</v>
      </c>
      <c r="L937">
        <f t="shared" si="14"/>
        <v>3.15</v>
      </c>
    </row>
    <row r="938" spans="1:12" x14ac:dyDescent="0.15">
      <c r="A938" s="1">
        <v>937</v>
      </c>
      <c r="B938" s="4">
        <v>41128</v>
      </c>
      <c r="C938" s="1" t="s">
        <v>24</v>
      </c>
      <c r="D938" s="1" t="s">
        <v>26</v>
      </c>
      <c r="E938" s="1">
        <v>0.48128472222222224</v>
      </c>
      <c r="F938" s="1" t="s">
        <v>13</v>
      </c>
      <c r="G938" s="1">
        <v>3</v>
      </c>
      <c r="H938" s="1">
        <v>3.3</v>
      </c>
      <c r="I938" s="1">
        <v>0</v>
      </c>
      <c r="J938" s="4">
        <v>41129</v>
      </c>
      <c r="K938" s="4">
        <v>44051</v>
      </c>
      <c r="L938">
        <f t="shared" si="14"/>
        <v>3.15</v>
      </c>
    </row>
    <row r="939" spans="1:12" x14ac:dyDescent="0.15">
      <c r="A939" s="1">
        <v>938</v>
      </c>
      <c r="B939" s="4">
        <v>41128</v>
      </c>
      <c r="C939" s="1" t="s">
        <v>19</v>
      </c>
      <c r="D939" s="1" t="s">
        <v>26</v>
      </c>
      <c r="E939" s="1">
        <v>0.48128472222222224</v>
      </c>
      <c r="F939" s="1" t="s">
        <v>13</v>
      </c>
      <c r="G939" s="1">
        <v>3.6</v>
      </c>
      <c r="H939" s="1">
        <v>3.7</v>
      </c>
      <c r="I939" s="1">
        <v>0</v>
      </c>
      <c r="J939" s="4">
        <v>41129</v>
      </c>
      <c r="K939" s="4">
        <v>41402</v>
      </c>
      <c r="L939">
        <f t="shared" si="14"/>
        <v>3.6500000000000004</v>
      </c>
    </row>
    <row r="940" spans="1:12" x14ac:dyDescent="0.15">
      <c r="A940" s="1">
        <v>939</v>
      </c>
      <c r="B940" s="4">
        <v>41128</v>
      </c>
      <c r="C940" s="1" t="s">
        <v>21</v>
      </c>
      <c r="D940" s="1" t="s">
        <v>26</v>
      </c>
      <c r="E940" s="1">
        <v>0.48128472222222224</v>
      </c>
      <c r="F940" s="1" t="s">
        <v>13</v>
      </c>
      <c r="G940" s="1">
        <v>3</v>
      </c>
      <c r="H940" s="1">
        <v>3.3</v>
      </c>
      <c r="I940" s="1">
        <v>0</v>
      </c>
      <c r="J940" s="4">
        <v>41129</v>
      </c>
      <c r="K940" s="4">
        <v>43685</v>
      </c>
      <c r="L940">
        <f t="shared" si="14"/>
        <v>3.15</v>
      </c>
    </row>
    <row r="941" spans="1:12" x14ac:dyDescent="0.15">
      <c r="A941" s="1">
        <v>940</v>
      </c>
      <c r="B941" s="4">
        <v>41128</v>
      </c>
      <c r="C941" s="1" t="s">
        <v>17</v>
      </c>
      <c r="D941" s="1" t="s">
        <v>26</v>
      </c>
      <c r="E941" s="1">
        <v>0.48128472222222224</v>
      </c>
      <c r="F941" s="1" t="s">
        <v>13</v>
      </c>
      <c r="G941" s="1">
        <v>3</v>
      </c>
      <c r="H941" s="1">
        <v>3.3</v>
      </c>
      <c r="I941" s="1">
        <v>0</v>
      </c>
      <c r="J941" s="4">
        <v>41129</v>
      </c>
      <c r="K941" s="4">
        <v>44416</v>
      </c>
      <c r="L941">
        <f t="shared" si="14"/>
        <v>3.15</v>
      </c>
    </row>
    <row r="942" spans="1:12" x14ac:dyDescent="0.15">
      <c r="A942" s="1">
        <v>941</v>
      </c>
      <c r="B942" s="4">
        <v>41128</v>
      </c>
      <c r="C942" s="1" t="s">
        <v>17</v>
      </c>
      <c r="D942" s="1" t="s">
        <v>12</v>
      </c>
      <c r="E942" s="1">
        <v>0.48204861111111108</v>
      </c>
      <c r="F942" s="1" t="s">
        <v>13</v>
      </c>
      <c r="G942" s="1">
        <v>2.98</v>
      </c>
      <c r="H942" s="1">
        <v>3.38</v>
      </c>
      <c r="I942" s="1">
        <v>0</v>
      </c>
      <c r="J942" s="4">
        <v>41129</v>
      </c>
      <c r="K942" s="4">
        <v>44416</v>
      </c>
      <c r="L942">
        <f t="shared" si="14"/>
        <v>3.1799999999999997</v>
      </c>
    </row>
    <row r="943" spans="1:12" x14ac:dyDescent="0.15">
      <c r="A943" s="1">
        <v>942</v>
      </c>
      <c r="B943" s="4">
        <v>41128</v>
      </c>
      <c r="C943" s="1" t="s">
        <v>16</v>
      </c>
      <c r="D943" s="1" t="s">
        <v>12</v>
      </c>
      <c r="E943" s="1">
        <v>0.48204861111111108</v>
      </c>
      <c r="F943" s="1" t="s">
        <v>13</v>
      </c>
      <c r="G943" s="1">
        <v>3</v>
      </c>
      <c r="H943" s="1">
        <v>3.1</v>
      </c>
      <c r="I943" s="1">
        <v>0</v>
      </c>
      <c r="J943" s="4">
        <v>41129</v>
      </c>
      <c r="K943" s="4">
        <v>42590</v>
      </c>
      <c r="L943">
        <f t="shared" si="14"/>
        <v>3.05</v>
      </c>
    </row>
    <row r="944" spans="1:12" x14ac:dyDescent="0.15">
      <c r="A944" s="1">
        <v>943</v>
      </c>
      <c r="B944" s="4">
        <v>41128</v>
      </c>
      <c r="C944" s="1" t="s">
        <v>25</v>
      </c>
      <c r="D944" s="1" t="s">
        <v>12</v>
      </c>
      <c r="E944" s="1">
        <v>0.48204861111111108</v>
      </c>
      <c r="F944" s="1" t="s">
        <v>13</v>
      </c>
      <c r="G944" s="1">
        <v>3</v>
      </c>
      <c r="H944" s="1">
        <v>3.1</v>
      </c>
      <c r="I944" s="1">
        <v>0</v>
      </c>
      <c r="J944" s="4">
        <v>41129</v>
      </c>
      <c r="K944" s="4">
        <v>42955</v>
      </c>
      <c r="L944">
        <f t="shared" si="14"/>
        <v>3.05</v>
      </c>
    </row>
    <row r="945" spans="1:12" x14ac:dyDescent="0.15">
      <c r="A945" s="1">
        <v>944</v>
      </c>
      <c r="B945" s="4">
        <v>41128</v>
      </c>
      <c r="C945" s="1" t="s">
        <v>14</v>
      </c>
      <c r="D945" s="1" t="s">
        <v>15</v>
      </c>
      <c r="E945" s="1">
        <v>0.48914351851851851</v>
      </c>
      <c r="F945" s="1" t="s">
        <v>13</v>
      </c>
      <c r="G945" s="1">
        <v>3.21</v>
      </c>
      <c r="H945" s="1">
        <v>3.27</v>
      </c>
      <c r="I945" s="1">
        <v>0</v>
      </c>
      <c r="J945" s="4">
        <v>41129</v>
      </c>
      <c r="K945" s="4">
        <v>41494</v>
      </c>
      <c r="L945">
        <f t="shared" si="14"/>
        <v>3.24</v>
      </c>
    </row>
    <row r="946" spans="1:12" x14ac:dyDescent="0.15">
      <c r="A946" s="1">
        <v>945</v>
      </c>
      <c r="B946" s="4">
        <v>41128</v>
      </c>
      <c r="C946" s="1" t="s">
        <v>22</v>
      </c>
      <c r="D946" s="1" t="s">
        <v>15</v>
      </c>
      <c r="E946" s="1">
        <v>0.48914351851851851</v>
      </c>
      <c r="F946" s="1" t="s">
        <v>13</v>
      </c>
      <c r="G946" s="1">
        <v>3.46</v>
      </c>
      <c r="H946" s="1">
        <v>3.52</v>
      </c>
      <c r="I946" s="1">
        <v>0</v>
      </c>
      <c r="J946" s="4">
        <v>41129</v>
      </c>
      <c r="K946" s="4">
        <v>41313</v>
      </c>
      <c r="L946">
        <f t="shared" si="14"/>
        <v>3.49</v>
      </c>
    </row>
    <row r="947" spans="1:12" x14ac:dyDescent="0.15">
      <c r="A947" s="1">
        <v>946</v>
      </c>
      <c r="B947" s="4">
        <v>41128</v>
      </c>
      <c r="C947" s="1" t="s">
        <v>11</v>
      </c>
      <c r="D947" s="1" t="s">
        <v>12</v>
      </c>
      <c r="E947" s="1">
        <v>0.48204861111111108</v>
      </c>
      <c r="F947" s="1" t="s">
        <v>13</v>
      </c>
      <c r="G947" s="1">
        <v>3</v>
      </c>
      <c r="H947" s="1">
        <v>3.1</v>
      </c>
      <c r="I947" s="1">
        <v>0</v>
      </c>
      <c r="J947" s="4">
        <v>41129</v>
      </c>
      <c r="K947" s="4">
        <v>42224</v>
      </c>
      <c r="L947">
        <f t="shared" si="14"/>
        <v>3.05</v>
      </c>
    </row>
    <row r="948" spans="1:12" x14ac:dyDescent="0.15">
      <c r="A948" s="1">
        <v>947</v>
      </c>
      <c r="B948" s="4">
        <v>41128</v>
      </c>
      <c r="C948" s="1" t="s">
        <v>24</v>
      </c>
      <c r="D948" s="1" t="s">
        <v>12</v>
      </c>
      <c r="E948" s="1">
        <v>0.48204861111111108</v>
      </c>
      <c r="F948" s="1" t="s">
        <v>13</v>
      </c>
      <c r="G948" s="1">
        <v>2.96</v>
      </c>
      <c r="H948" s="1">
        <v>3.36</v>
      </c>
      <c r="I948" s="1">
        <v>0</v>
      </c>
      <c r="J948" s="4">
        <v>41129</v>
      </c>
      <c r="K948" s="4">
        <v>44051</v>
      </c>
      <c r="L948">
        <f t="shared" si="14"/>
        <v>3.16</v>
      </c>
    </row>
    <row r="949" spans="1:12" x14ac:dyDescent="0.15">
      <c r="A949" s="1">
        <v>948</v>
      </c>
      <c r="B949" s="4">
        <v>41128</v>
      </c>
      <c r="C949" s="1" t="s">
        <v>22</v>
      </c>
      <c r="D949" s="1" t="s">
        <v>12</v>
      </c>
      <c r="E949" s="1">
        <v>0.48201388888888891</v>
      </c>
      <c r="F949" s="1" t="s">
        <v>13</v>
      </c>
      <c r="G949" s="1">
        <v>3.45</v>
      </c>
      <c r="H949" s="1">
        <v>3.55</v>
      </c>
      <c r="I949" s="1">
        <v>0</v>
      </c>
      <c r="J949" s="4">
        <v>41129</v>
      </c>
      <c r="K949" s="4">
        <v>41313</v>
      </c>
      <c r="L949">
        <f t="shared" si="14"/>
        <v>3.5</v>
      </c>
    </row>
    <row r="950" spans="1:12" x14ac:dyDescent="0.15">
      <c r="A950" s="1">
        <v>949</v>
      </c>
      <c r="B950" s="4">
        <v>41128</v>
      </c>
      <c r="C950" s="1" t="s">
        <v>23</v>
      </c>
      <c r="D950" s="1" t="s">
        <v>12</v>
      </c>
      <c r="E950" s="1">
        <v>0.48201388888888891</v>
      </c>
      <c r="F950" s="1" t="s">
        <v>13</v>
      </c>
      <c r="G950" s="1">
        <v>2.97</v>
      </c>
      <c r="H950" s="1">
        <v>3.17</v>
      </c>
      <c r="I950" s="1">
        <v>0</v>
      </c>
      <c r="J950" s="4">
        <v>41129</v>
      </c>
      <c r="K950" s="4">
        <v>43320</v>
      </c>
      <c r="L950">
        <f t="shared" si="14"/>
        <v>3.0700000000000003</v>
      </c>
    </row>
    <row r="951" spans="1:12" x14ac:dyDescent="0.15">
      <c r="A951" s="1">
        <v>950</v>
      </c>
      <c r="B951" s="4">
        <v>41128</v>
      </c>
      <c r="C951" s="1" t="s">
        <v>18</v>
      </c>
      <c r="D951" s="1" t="s">
        <v>12</v>
      </c>
      <c r="E951" s="1">
        <v>0.48201388888888891</v>
      </c>
      <c r="F951" s="1" t="s">
        <v>13</v>
      </c>
      <c r="G951" s="1">
        <v>3.04</v>
      </c>
      <c r="H951" s="1">
        <v>3.14</v>
      </c>
      <c r="I951" s="1">
        <v>0</v>
      </c>
      <c r="J951" s="4">
        <v>41129</v>
      </c>
      <c r="K951" s="4">
        <v>41859</v>
      </c>
      <c r="L951">
        <f t="shared" si="14"/>
        <v>3.09</v>
      </c>
    </row>
    <row r="952" spans="1:12" x14ac:dyDescent="0.15">
      <c r="A952" s="1">
        <v>951</v>
      </c>
      <c r="B952" s="4">
        <v>41128</v>
      </c>
      <c r="C952" s="1" t="s">
        <v>20</v>
      </c>
      <c r="D952" s="1" t="s">
        <v>12</v>
      </c>
      <c r="E952" s="1">
        <v>0.48203703703703704</v>
      </c>
      <c r="F952" s="1" t="s">
        <v>13</v>
      </c>
      <c r="G952" s="1">
        <v>2.99</v>
      </c>
      <c r="H952" s="1">
        <v>3.39</v>
      </c>
      <c r="I952" s="1">
        <v>0</v>
      </c>
      <c r="J952" s="4">
        <v>41129</v>
      </c>
      <c r="K952" s="4">
        <v>44781</v>
      </c>
      <c r="L952">
        <f t="shared" si="14"/>
        <v>3.1900000000000004</v>
      </c>
    </row>
    <row r="953" spans="1:12" x14ac:dyDescent="0.15">
      <c r="A953" s="1">
        <v>952</v>
      </c>
      <c r="B953" s="4">
        <v>41128</v>
      </c>
      <c r="C953" s="1" t="s">
        <v>19</v>
      </c>
      <c r="D953" s="1" t="s">
        <v>12</v>
      </c>
      <c r="E953" s="1">
        <v>0.48203703703703704</v>
      </c>
      <c r="F953" s="1" t="s">
        <v>13</v>
      </c>
      <c r="G953" s="1">
        <v>3.25</v>
      </c>
      <c r="H953" s="1">
        <v>3.35</v>
      </c>
      <c r="I953" s="1">
        <v>0</v>
      </c>
      <c r="J953" s="4">
        <v>41129</v>
      </c>
      <c r="K953" s="4">
        <v>41402</v>
      </c>
      <c r="L953">
        <f t="shared" si="14"/>
        <v>3.3</v>
      </c>
    </row>
    <row r="954" spans="1:12" x14ac:dyDescent="0.15">
      <c r="A954" s="1">
        <v>953</v>
      </c>
      <c r="B954" s="4">
        <v>41128</v>
      </c>
      <c r="C954" s="1" t="s">
        <v>21</v>
      </c>
      <c r="D954" s="1" t="s">
        <v>12</v>
      </c>
      <c r="E954" s="1">
        <v>0.48202546296296295</v>
      </c>
      <c r="F954" s="1" t="s">
        <v>13</v>
      </c>
      <c r="G954" s="1">
        <v>2.95</v>
      </c>
      <c r="H954" s="1">
        <v>3.35</v>
      </c>
      <c r="I954" s="1">
        <v>0</v>
      </c>
      <c r="J954" s="4">
        <v>41129</v>
      </c>
      <c r="K954" s="4">
        <v>43685</v>
      </c>
      <c r="L954">
        <f t="shared" si="14"/>
        <v>3.1500000000000004</v>
      </c>
    </row>
    <row r="955" spans="1:12" x14ac:dyDescent="0.15">
      <c r="A955" s="1">
        <v>954</v>
      </c>
      <c r="B955" s="4">
        <v>41128</v>
      </c>
      <c r="C955" s="1" t="s">
        <v>16</v>
      </c>
      <c r="D955" s="1" t="s">
        <v>29</v>
      </c>
      <c r="E955" s="1">
        <v>0.64684027777777775</v>
      </c>
      <c r="F955" s="1" t="s">
        <v>13</v>
      </c>
      <c r="G955" s="1">
        <v>3</v>
      </c>
      <c r="H955" s="1">
        <v>3.1</v>
      </c>
      <c r="I955" s="1">
        <v>0</v>
      </c>
      <c r="J955" s="4">
        <v>41129</v>
      </c>
      <c r="K955" s="4">
        <v>42590</v>
      </c>
      <c r="L955">
        <f t="shared" si="14"/>
        <v>3.05</v>
      </c>
    </row>
    <row r="956" spans="1:12" x14ac:dyDescent="0.15">
      <c r="A956" s="1">
        <v>955</v>
      </c>
      <c r="B956" s="4">
        <v>41128</v>
      </c>
      <c r="C956" s="1" t="s">
        <v>19</v>
      </c>
      <c r="D956" s="1" t="s">
        <v>27</v>
      </c>
      <c r="E956" s="1">
        <v>0.68233796296296301</v>
      </c>
      <c r="F956" s="1" t="s">
        <v>13</v>
      </c>
      <c r="G956" s="1">
        <v>3.25</v>
      </c>
      <c r="H956" s="1">
        <v>3.35</v>
      </c>
      <c r="I956" s="1">
        <v>0</v>
      </c>
      <c r="J956" s="4">
        <v>41129</v>
      </c>
      <c r="K956" s="4">
        <v>41402</v>
      </c>
      <c r="L956">
        <f t="shared" si="14"/>
        <v>3.3</v>
      </c>
    </row>
    <row r="957" spans="1:12" x14ac:dyDescent="0.15">
      <c r="A957" s="1">
        <v>956</v>
      </c>
      <c r="B957" s="4">
        <v>41128</v>
      </c>
      <c r="C957" s="1" t="s">
        <v>25</v>
      </c>
      <c r="D957" s="1" t="s">
        <v>27</v>
      </c>
      <c r="E957" s="1">
        <v>0.68233796296296301</v>
      </c>
      <c r="F957" s="1" t="s">
        <v>13</v>
      </c>
      <c r="G957" s="1">
        <v>3.03</v>
      </c>
      <c r="H957" s="1">
        <v>3.13</v>
      </c>
      <c r="I957" s="1">
        <v>0</v>
      </c>
      <c r="J957" s="4">
        <v>41129</v>
      </c>
      <c r="K957" s="4">
        <v>42955</v>
      </c>
      <c r="L957">
        <f t="shared" si="14"/>
        <v>3.08</v>
      </c>
    </row>
    <row r="958" spans="1:12" x14ac:dyDescent="0.15">
      <c r="A958" s="1">
        <v>957</v>
      </c>
      <c r="B958" s="4">
        <v>41128</v>
      </c>
      <c r="C958" s="1" t="s">
        <v>14</v>
      </c>
      <c r="D958" s="1" t="s">
        <v>27</v>
      </c>
      <c r="E958" s="1">
        <v>0.68233796296296301</v>
      </c>
      <c r="F958" s="1" t="s">
        <v>13</v>
      </c>
      <c r="G958" s="1">
        <v>3.15</v>
      </c>
      <c r="H958" s="1">
        <v>3.25</v>
      </c>
      <c r="I958" s="1">
        <v>0</v>
      </c>
      <c r="J958" s="4">
        <v>41129</v>
      </c>
      <c r="K958" s="4">
        <v>41494</v>
      </c>
      <c r="L958">
        <f t="shared" si="14"/>
        <v>3.2</v>
      </c>
    </row>
    <row r="959" spans="1:12" x14ac:dyDescent="0.15">
      <c r="A959" s="1">
        <v>958</v>
      </c>
      <c r="B959" s="4">
        <v>41128</v>
      </c>
      <c r="C959" s="1" t="s">
        <v>22</v>
      </c>
      <c r="D959" s="1" t="s">
        <v>27</v>
      </c>
      <c r="E959" s="1">
        <v>0.68234953703703705</v>
      </c>
      <c r="F959" s="1" t="s">
        <v>13</v>
      </c>
      <c r="G959" s="1">
        <v>3.4</v>
      </c>
      <c r="H959" s="1">
        <v>3.5</v>
      </c>
      <c r="I959" s="1">
        <v>0</v>
      </c>
      <c r="J959" s="4">
        <v>41129</v>
      </c>
      <c r="K959" s="4">
        <v>41313</v>
      </c>
      <c r="L959">
        <f t="shared" si="14"/>
        <v>3.45</v>
      </c>
    </row>
    <row r="960" spans="1:12" x14ac:dyDescent="0.15">
      <c r="A960" s="1">
        <v>959</v>
      </c>
      <c r="B960" s="4">
        <v>41128</v>
      </c>
      <c r="C960" s="1" t="s">
        <v>18</v>
      </c>
      <c r="D960" s="1" t="s">
        <v>27</v>
      </c>
      <c r="E960" s="1">
        <v>0.68234953703703705</v>
      </c>
      <c r="F960" s="1" t="s">
        <v>13</v>
      </c>
      <c r="G960" s="1">
        <v>3.05</v>
      </c>
      <c r="H960" s="1">
        <v>3.15</v>
      </c>
      <c r="I960" s="1">
        <v>0</v>
      </c>
      <c r="J960" s="4">
        <v>41129</v>
      </c>
      <c r="K960" s="4">
        <v>41859</v>
      </c>
      <c r="L960">
        <f t="shared" si="14"/>
        <v>3.0999999999999996</v>
      </c>
    </row>
    <row r="961" spans="1:12" x14ac:dyDescent="0.15">
      <c r="A961" s="1">
        <v>960</v>
      </c>
      <c r="B961" s="4">
        <v>41128</v>
      </c>
      <c r="C961" s="1" t="s">
        <v>16</v>
      </c>
      <c r="D961" s="1" t="s">
        <v>27</v>
      </c>
      <c r="E961" s="1">
        <v>0.68233796296296301</v>
      </c>
      <c r="F961" s="1" t="s">
        <v>13</v>
      </c>
      <c r="G961" s="1">
        <v>2.99</v>
      </c>
      <c r="H961" s="1">
        <v>3.09</v>
      </c>
      <c r="I961" s="1">
        <v>0</v>
      </c>
      <c r="J961" s="4">
        <v>41129</v>
      </c>
      <c r="K961" s="4">
        <v>42590</v>
      </c>
      <c r="L961">
        <f t="shared" si="14"/>
        <v>3.04</v>
      </c>
    </row>
    <row r="962" spans="1:12" x14ac:dyDescent="0.15">
      <c r="A962" s="1">
        <v>961</v>
      </c>
      <c r="B962" s="4">
        <v>41128</v>
      </c>
      <c r="C962" s="1" t="s">
        <v>20</v>
      </c>
      <c r="D962" s="1" t="s">
        <v>30</v>
      </c>
      <c r="E962" s="1">
        <v>0.67503472222222216</v>
      </c>
      <c r="F962" s="1" t="s">
        <v>13</v>
      </c>
      <c r="G962" s="1">
        <v>3.12</v>
      </c>
      <c r="H962" s="1">
        <v>3.1</v>
      </c>
      <c r="I962" s="1">
        <v>0</v>
      </c>
      <c r="J962" s="4">
        <v>41129</v>
      </c>
      <c r="K962" s="4">
        <v>44781</v>
      </c>
      <c r="L962">
        <f t="shared" si="14"/>
        <v>3.1100000000000003</v>
      </c>
    </row>
    <row r="963" spans="1:12" x14ac:dyDescent="0.15">
      <c r="A963" s="1">
        <v>962</v>
      </c>
      <c r="B963" s="4">
        <v>41128</v>
      </c>
      <c r="C963" s="1" t="s">
        <v>16</v>
      </c>
      <c r="D963" s="1" t="s">
        <v>30</v>
      </c>
      <c r="E963" s="1">
        <v>0.67503472222222216</v>
      </c>
      <c r="F963" s="1" t="s">
        <v>13</v>
      </c>
      <c r="G963" s="1">
        <v>3.02</v>
      </c>
      <c r="H963" s="1">
        <v>2.96</v>
      </c>
      <c r="I963" s="1">
        <v>0</v>
      </c>
      <c r="J963" s="4">
        <v>41129</v>
      </c>
      <c r="K963" s="4">
        <v>42590</v>
      </c>
      <c r="L963">
        <f t="shared" ref="L963:L1026" si="15">AVERAGE(G963:H963)</f>
        <v>2.99</v>
      </c>
    </row>
    <row r="964" spans="1:12" x14ac:dyDescent="0.15">
      <c r="A964" s="1">
        <v>963</v>
      </c>
      <c r="B964" s="4">
        <v>41128</v>
      </c>
      <c r="C964" s="1" t="s">
        <v>25</v>
      </c>
      <c r="D964" s="1" t="s">
        <v>30</v>
      </c>
      <c r="E964" s="1">
        <v>0.67503472222222216</v>
      </c>
      <c r="F964" s="1" t="s">
        <v>13</v>
      </c>
      <c r="G964" s="1">
        <v>3.02</v>
      </c>
      <c r="H964" s="1">
        <v>2.96</v>
      </c>
      <c r="I964" s="1">
        <v>0</v>
      </c>
      <c r="J964" s="4">
        <v>41129</v>
      </c>
      <c r="K964" s="4">
        <v>42955</v>
      </c>
      <c r="L964">
        <f t="shared" si="15"/>
        <v>2.99</v>
      </c>
    </row>
    <row r="965" spans="1:12" x14ac:dyDescent="0.15">
      <c r="A965" s="1">
        <v>964</v>
      </c>
      <c r="B965" s="4">
        <v>41128</v>
      </c>
      <c r="C965" s="1" t="s">
        <v>22</v>
      </c>
      <c r="D965" s="1" t="s">
        <v>30</v>
      </c>
      <c r="E965" s="1">
        <v>0.67503472222222216</v>
      </c>
      <c r="F965" s="1" t="s">
        <v>13</v>
      </c>
      <c r="G965" s="1">
        <v>3.43</v>
      </c>
      <c r="H965" s="1">
        <v>3.52</v>
      </c>
      <c r="I965" s="1">
        <v>0</v>
      </c>
      <c r="J965" s="4">
        <v>41129</v>
      </c>
      <c r="K965" s="4">
        <v>41313</v>
      </c>
      <c r="L965">
        <f t="shared" si="15"/>
        <v>3.4750000000000001</v>
      </c>
    </row>
    <row r="966" spans="1:12" x14ac:dyDescent="0.15">
      <c r="A966" s="1">
        <v>965</v>
      </c>
      <c r="B966" s="4">
        <v>41128</v>
      </c>
      <c r="C966" s="1" t="s">
        <v>14</v>
      </c>
      <c r="D966" s="1" t="s">
        <v>30</v>
      </c>
      <c r="E966" s="1">
        <v>0.67503472222222216</v>
      </c>
      <c r="F966" s="1" t="s">
        <v>13</v>
      </c>
      <c r="G966" s="1">
        <v>3.17</v>
      </c>
      <c r="H966" s="1">
        <v>3.19</v>
      </c>
      <c r="I966" s="1">
        <v>0</v>
      </c>
      <c r="J966" s="4">
        <v>41129</v>
      </c>
      <c r="K966" s="4">
        <v>41494</v>
      </c>
      <c r="L966">
        <f t="shared" si="15"/>
        <v>3.1799999999999997</v>
      </c>
    </row>
    <row r="967" spans="1:12" x14ac:dyDescent="0.15">
      <c r="A967" s="1">
        <v>966</v>
      </c>
      <c r="B967" s="4">
        <v>41128</v>
      </c>
      <c r="C967" s="1" t="s">
        <v>18</v>
      </c>
      <c r="D967" s="1" t="s">
        <v>30</v>
      </c>
      <c r="E967" s="1">
        <v>0.67503472222222216</v>
      </c>
      <c r="F967" s="1" t="s">
        <v>13</v>
      </c>
      <c r="G967" s="1">
        <v>3.05</v>
      </c>
      <c r="H967" s="1">
        <v>3.02</v>
      </c>
      <c r="I967" s="1">
        <v>0</v>
      </c>
      <c r="J967" s="4">
        <v>41129</v>
      </c>
      <c r="K967" s="4">
        <v>41859</v>
      </c>
      <c r="L967">
        <f t="shared" si="15"/>
        <v>3.0350000000000001</v>
      </c>
    </row>
    <row r="968" spans="1:12" x14ac:dyDescent="0.15">
      <c r="A968" s="1">
        <v>967</v>
      </c>
      <c r="B968" s="4">
        <v>41128</v>
      </c>
      <c r="C968" s="1" t="s">
        <v>11</v>
      </c>
      <c r="D968" s="1" t="s">
        <v>30</v>
      </c>
      <c r="E968" s="1">
        <v>0.67503472222222216</v>
      </c>
      <c r="F968" s="1" t="s">
        <v>13</v>
      </c>
      <c r="G968" s="1">
        <v>3.02</v>
      </c>
      <c r="H968" s="1">
        <v>2.97</v>
      </c>
      <c r="I968" s="1">
        <v>0</v>
      </c>
      <c r="J968" s="4">
        <v>41129</v>
      </c>
      <c r="K968" s="4">
        <v>42224</v>
      </c>
      <c r="L968">
        <f t="shared" si="15"/>
        <v>2.9950000000000001</v>
      </c>
    </row>
    <row r="969" spans="1:12" x14ac:dyDescent="0.15">
      <c r="A969" s="1">
        <v>968</v>
      </c>
      <c r="B969" s="4">
        <v>41128</v>
      </c>
      <c r="C969" s="1" t="s">
        <v>24</v>
      </c>
      <c r="D969" s="1" t="s">
        <v>26</v>
      </c>
      <c r="E969" s="1">
        <v>0.6828819444444445</v>
      </c>
      <c r="F969" s="1" t="s">
        <v>13</v>
      </c>
      <c r="G969" s="1">
        <v>3</v>
      </c>
      <c r="H969" s="1">
        <v>3.3</v>
      </c>
      <c r="I969" s="1">
        <v>0</v>
      </c>
      <c r="J969" s="4">
        <v>41129</v>
      </c>
      <c r="K969" s="4">
        <v>44051</v>
      </c>
      <c r="L969">
        <f t="shared" si="15"/>
        <v>3.15</v>
      </c>
    </row>
    <row r="970" spans="1:12" x14ac:dyDescent="0.15">
      <c r="A970" s="1">
        <v>969</v>
      </c>
      <c r="B970" s="4">
        <v>41128</v>
      </c>
      <c r="C970" s="1" t="s">
        <v>14</v>
      </c>
      <c r="D970" s="1" t="s">
        <v>26</v>
      </c>
      <c r="E970" s="1">
        <v>0.6828819444444445</v>
      </c>
      <c r="F970" s="1" t="s">
        <v>13</v>
      </c>
      <c r="G970" s="1">
        <v>3.15</v>
      </c>
      <c r="H970" s="1">
        <v>3.25</v>
      </c>
      <c r="I970" s="1">
        <v>0</v>
      </c>
      <c r="J970" s="4">
        <v>41129</v>
      </c>
      <c r="K970" s="4">
        <v>41494</v>
      </c>
      <c r="L970">
        <f t="shared" si="15"/>
        <v>3.2</v>
      </c>
    </row>
    <row r="971" spans="1:12" x14ac:dyDescent="0.15">
      <c r="A971" s="1">
        <v>970</v>
      </c>
      <c r="B971" s="4">
        <v>41128</v>
      </c>
      <c r="C971" s="1" t="s">
        <v>22</v>
      </c>
      <c r="D971" s="1" t="s">
        <v>26</v>
      </c>
      <c r="E971" s="1">
        <v>0.6828819444444445</v>
      </c>
      <c r="F971" s="1" t="s">
        <v>13</v>
      </c>
      <c r="G971" s="1">
        <v>3.3</v>
      </c>
      <c r="H971" s="1">
        <v>3.5</v>
      </c>
      <c r="I971" s="1">
        <v>0</v>
      </c>
      <c r="J971" s="4">
        <v>41129</v>
      </c>
      <c r="K971" s="4">
        <v>41313</v>
      </c>
      <c r="L971">
        <f t="shared" si="15"/>
        <v>3.4</v>
      </c>
    </row>
    <row r="972" spans="1:12" x14ac:dyDescent="0.15">
      <c r="A972" s="1">
        <v>971</v>
      </c>
      <c r="B972" s="4">
        <v>41128</v>
      </c>
      <c r="C972" s="1" t="s">
        <v>11</v>
      </c>
      <c r="D972" s="1" t="s">
        <v>26</v>
      </c>
      <c r="E972" s="1">
        <v>0.68289351851851843</v>
      </c>
      <c r="F972" s="1" t="s">
        <v>13</v>
      </c>
      <c r="G972" s="1">
        <v>3</v>
      </c>
      <c r="H972" s="1">
        <v>3.05</v>
      </c>
      <c r="I972" s="1">
        <v>0</v>
      </c>
      <c r="J972" s="4">
        <v>41129</v>
      </c>
      <c r="K972" s="4">
        <v>42224</v>
      </c>
      <c r="L972">
        <f t="shared" si="15"/>
        <v>3.0249999999999999</v>
      </c>
    </row>
    <row r="973" spans="1:12" x14ac:dyDescent="0.15">
      <c r="A973" s="1">
        <v>972</v>
      </c>
      <c r="B973" s="4">
        <v>41128</v>
      </c>
      <c r="C973" s="1" t="s">
        <v>16</v>
      </c>
      <c r="D973" s="1" t="s">
        <v>26</v>
      </c>
      <c r="E973" s="1">
        <v>0.68289351851851843</v>
      </c>
      <c r="F973" s="1" t="s">
        <v>13</v>
      </c>
      <c r="G973" s="1">
        <v>3</v>
      </c>
      <c r="H973" s="1">
        <v>3.05</v>
      </c>
      <c r="I973" s="1">
        <v>0</v>
      </c>
      <c r="J973" s="4">
        <v>41129</v>
      </c>
      <c r="K973" s="4">
        <v>42590</v>
      </c>
      <c r="L973">
        <f t="shared" si="15"/>
        <v>3.0249999999999999</v>
      </c>
    </row>
    <row r="974" spans="1:12" x14ac:dyDescent="0.15">
      <c r="A974" s="1">
        <v>973</v>
      </c>
      <c r="B974" s="4">
        <v>41128</v>
      </c>
      <c r="C974" s="1" t="s">
        <v>25</v>
      </c>
      <c r="D974" s="1" t="s">
        <v>26</v>
      </c>
      <c r="E974" s="1">
        <v>0.68289351851851843</v>
      </c>
      <c r="F974" s="1" t="s">
        <v>13</v>
      </c>
      <c r="G974" s="1">
        <v>3</v>
      </c>
      <c r="H974" s="1">
        <v>3.1</v>
      </c>
      <c r="I974" s="1">
        <v>0</v>
      </c>
      <c r="J974" s="4">
        <v>41129</v>
      </c>
      <c r="K974" s="4">
        <v>42955</v>
      </c>
      <c r="L974">
        <f t="shared" si="15"/>
        <v>3.05</v>
      </c>
    </row>
    <row r="975" spans="1:12" x14ac:dyDescent="0.15">
      <c r="A975" s="1">
        <v>974</v>
      </c>
      <c r="B975" s="4">
        <v>41128</v>
      </c>
      <c r="C975" s="1" t="s">
        <v>23</v>
      </c>
      <c r="D975" s="1" t="s">
        <v>26</v>
      </c>
      <c r="E975" s="1">
        <v>0.6828819444444445</v>
      </c>
      <c r="F975" s="1" t="s">
        <v>13</v>
      </c>
      <c r="G975" s="1">
        <v>3</v>
      </c>
      <c r="H975" s="1">
        <v>3.3</v>
      </c>
      <c r="I975" s="1">
        <v>0</v>
      </c>
      <c r="J975" s="4">
        <v>41129</v>
      </c>
      <c r="K975" s="4">
        <v>43320</v>
      </c>
      <c r="L975">
        <f t="shared" si="15"/>
        <v>3.15</v>
      </c>
    </row>
    <row r="976" spans="1:12" x14ac:dyDescent="0.15">
      <c r="A976" s="1">
        <v>975</v>
      </c>
      <c r="B976" s="4">
        <v>41128</v>
      </c>
      <c r="C976" s="1" t="s">
        <v>18</v>
      </c>
      <c r="D976" s="1" t="s">
        <v>26</v>
      </c>
      <c r="E976" s="1">
        <v>0.6828819444444445</v>
      </c>
      <c r="F976" s="1" t="s">
        <v>13</v>
      </c>
      <c r="G976" s="1">
        <v>3.05</v>
      </c>
      <c r="H976" s="1">
        <v>3.1</v>
      </c>
      <c r="I976" s="1">
        <v>0</v>
      </c>
      <c r="J976" s="4">
        <v>41129</v>
      </c>
      <c r="K976" s="4">
        <v>41859</v>
      </c>
      <c r="L976">
        <f t="shared" si="15"/>
        <v>3.0750000000000002</v>
      </c>
    </row>
    <row r="977" spans="1:12" x14ac:dyDescent="0.15">
      <c r="A977" s="1">
        <v>976</v>
      </c>
      <c r="B977" s="4">
        <v>41128</v>
      </c>
      <c r="C977" s="1" t="s">
        <v>20</v>
      </c>
      <c r="D977" s="1" t="s">
        <v>26</v>
      </c>
      <c r="E977" s="1">
        <v>0.6828819444444445</v>
      </c>
      <c r="F977" s="1" t="s">
        <v>13</v>
      </c>
      <c r="G977" s="1">
        <v>3</v>
      </c>
      <c r="H977" s="1">
        <v>3.3</v>
      </c>
      <c r="I977" s="1">
        <v>0</v>
      </c>
      <c r="J977" s="4">
        <v>41129</v>
      </c>
      <c r="K977" s="4">
        <v>44781</v>
      </c>
      <c r="L977">
        <f t="shared" si="15"/>
        <v>3.15</v>
      </c>
    </row>
    <row r="978" spans="1:12" x14ac:dyDescent="0.15">
      <c r="A978" s="1">
        <v>977</v>
      </c>
      <c r="B978" s="4">
        <v>41128</v>
      </c>
      <c r="C978" s="1" t="s">
        <v>11</v>
      </c>
      <c r="D978" s="1" t="s">
        <v>27</v>
      </c>
      <c r="E978" s="1">
        <v>0.68236111111111108</v>
      </c>
      <c r="F978" s="1" t="s">
        <v>13</v>
      </c>
      <c r="G978" s="1">
        <v>3.01</v>
      </c>
      <c r="H978" s="1">
        <v>3.11</v>
      </c>
      <c r="I978" s="1">
        <v>0</v>
      </c>
      <c r="J978" s="4">
        <v>41129</v>
      </c>
      <c r="K978" s="4">
        <v>42224</v>
      </c>
      <c r="L978">
        <f t="shared" si="15"/>
        <v>3.0599999999999996</v>
      </c>
    </row>
    <row r="979" spans="1:12" x14ac:dyDescent="0.15">
      <c r="A979" s="1">
        <v>978</v>
      </c>
      <c r="B979" s="4">
        <v>41128</v>
      </c>
      <c r="C979" s="1" t="s">
        <v>19</v>
      </c>
      <c r="D979" s="1" t="s">
        <v>26</v>
      </c>
      <c r="E979" s="1">
        <v>0.6828819444444445</v>
      </c>
      <c r="F979" s="1" t="s">
        <v>13</v>
      </c>
      <c r="G979" s="1">
        <v>3.6</v>
      </c>
      <c r="H979" s="1">
        <v>3.7</v>
      </c>
      <c r="I979" s="1">
        <v>0</v>
      </c>
      <c r="J979" s="4">
        <v>41129</v>
      </c>
      <c r="K979" s="4">
        <v>41402</v>
      </c>
      <c r="L979">
        <f t="shared" si="15"/>
        <v>3.6500000000000004</v>
      </c>
    </row>
    <row r="980" spans="1:12" x14ac:dyDescent="0.15">
      <c r="A980" s="1">
        <v>979</v>
      </c>
      <c r="B980" s="4">
        <v>41128</v>
      </c>
      <c r="C980" s="1" t="s">
        <v>21</v>
      </c>
      <c r="D980" s="1" t="s">
        <v>26</v>
      </c>
      <c r="E980" s="1">
        <v>0.6828819444444445</v>
      </c>
      <c r="F980" s="1" t="s">
        <v>13</v>
      </c>
      <c r="G980" s="1">
        <v>3</v>
      </c>
      <c r="H980" s="1">
        <v>3.3</v>
      </c>
      <c r="I980" s="1">
        <v>0</v>
      </c>
      <c r="J980" s="4">
        <v>41129</v>
      </c>
      <c r="K980" s="4">
        <v>43685</v>
      </c>
      <c r="L980">
        <f t="shared" si="15"/>
        <v>3.15</v>
      </c>
    </row>
    <row r="981" spans="1:12" x14ac:dyDescent="0.15">
      <c r="A981" s="1">
        <v>980</v>
      </c>
      <c r="B981" s="4">
        <v>41128</v>
      </c>
      <c r="C981" s="1" t="s">
        <v>17</v>
      </c>
      <c r="D981" s="1" t="s">
        <v>26</v>
      </c>
      <c r="E981" s="1">
        <v>0.6828819444444445</v>
      </c>
      <c r="F981" s="1" t="s">
        <v>13</v>
      </c>
      <c r="G981" s="1">
        <v>3</v>
      </c>
      <c r="H981" s="1">
        <v>3.3</v>
      </c>
      <c r="I981" s="1">
        <v>0</v>
      </c>
      <c r="J981" s="4">
        <v>41129</v>
      </c>
      <c r="K981" s="4">
        <v>44416</v>
      </c>
      <c r="L981">
        <f t="shared" si="15"/>
        <v>3.15</v>
      </c>
    </row>
    <row r="982" spans="1:12" x14ac:dyDescent="0.15">
      <c r="A982" s="1">
        <v>981</v>
      </c>
      <c r="B982" s="4">
        <v>41128</v>
      </c>
      <c r="C982" s="1" t="s">
        <v>21</v>
      </c>
      <c r="D982" s="1" t="s">
        <v>30</v>
      </c>
      <c r="E982" s="1">
        <v>0.67503472222222216</v>
      </c>
      <c r="F982" s="1" t="s">
        <v>13</v>
      </c>
      <c r="G982" s="1">
        <v>3.07</v>
      </c>
      <c r="H982" s="1">
        <v>3.05</v>
      </c>
      <c r="I982" s="1">
        <v>0</v>
      </c>
      <c r="J982" s="4">
        <v>41129</v>
      </c>
      <c r="K982" s="4">
        <v>43685</v>
      </c>
      <c r="L982">
        <f t="shared" si="15"/>
        <v>3.0599999999999996</v>
      </c>
    </row>
    <row r="983" spans="1:12" x14ac:dyDescent="0.15">
      <c r="A983" s="1">
        <v>982</v>
      </c>
      <c r="B983" s="4">
        <v>41128</v>
      </c>
      <c r="C983" s="1" t="s">
        <v>19</v>
      </c>
      <c r="D983" s="1" t="s">
        <v>12</v>
      </c>
      <c r="E983" s="1">
        <v>0.66576388888888893</v>
      </c>
      <c r="F983" s="1" t="s">
        <v>13</v>
      </c>
      <c r="G983" s="1">
        <v>3.25</v>
      </c>
      <c r="H983" s="1">
        <v>3.35</v>
      </c>
      <c r="I983" s="1">
        <v>0</v>
      </c>
      <c r="J983" s="4">
        <v>41129</v>
      </c>
      <c r="K983" s="4">
        <v>41402</v>
      </c>
      <c r="L983">
        <f t="shared" si="15"/>
        <v>3.3</v>
      </c>
    </row>
    <row r="984" spans="1:12" x14ac:dyDescent="0.15">
      <c r="A984" s="1">
        <v>983</v>
      </c>
      <c r="B984" s="4">
        <v>41128</v>
      </c>
      <c r="C984" s="1" t="s">
        <v>21</v>
      </c>
      <c r="D984" s="1" t="s">
        <v>12</v>
      </c>
      <c r="E984" s="1">
        <v>0.66575231481481478</v>
      </c>
      <c r="F984" s="1" t="s">
        <v>13</v>
      </c>
      <c r="G984" s="1">
        <v>2.95</v>
      </c>
      <c r="H984" s="1">
        <v>3.35</v>
      </c>
      <c r="I984" s="1">
        <v>0</v>
      </c>
      <c r="J984" s="4">
        <v>41129</v>
      </c>
      <c r="K984" s="4">
        <v>43685</v>
      </c>
      <c r="L984">
        <f t="shared" si="15"/>
        <v>3.1500000000000004</v>
      </c>
    </row>
    <row r="985" spans="1:12" x14ac:dyDescent="0.15">
      <c r="A985" s="1">
        <v>984</v>
      </c>
      <c r="B985" s="4">
        <v>41128</v>
      </c>
      <c r="C985" s="1" t="s">
        <v>18</v>
      </c>
      <c r="D985" s="1" t="s">
        <v>12</v>
      </c>
      <c r="E985" s="1">
        <v>0.66574074074074074</v>
      </c>
      <c r="F985" s="1" t="s">
        <v>13</v>
      </c>
      <c r="G985" s="1">
        <v>3.04</v>
      </c>
      <c r="H985" s="1">
        <v>3.14</v>
      </c>
      <c r="I985" s="1">
        <v>0</v>
      </c>
      <c r="J985" s="4">
        <v>41129</v>
      </c>
      <c r="K985" s="4">
        <v>41859</v>
      </c>
      <c r="L985">
        <f t="shared" si="15"/>
        <v>3.09</v>
      </c>
    </row>
    <row r="986" spans="1:12" x14ac:dyDescent="0.15">
      <c r="A986" s="1">
        <v>985</v>
      </c>
      <c r="B986" s="4">
        <v>41128</v>
      </c>
      <c r="C986" s="1" t="s">
        <v>25</v>
      </c>
      <c r="D986" s="1" t="s">
        <v>12</v>
      </c>
      <c r="E986" s="1">
        <v>0.66576388888888893</v>
      </c>
      <c r="F986" s="1" t="s">
        <v>13</v>
      </c>
      <c r="G986" s="1">
        <v>3</v>
      </c>
      <c r="H986" s="1">
        <v>3.1</v>
      </c>
      <c r="I986" s="1">
        <v>0</v>
      </c>
      <c r="J986" s="4">
        <v>41129</v>
      </c>
      <c r="K986" s="4">
        <v>42955</v>
      </c>
      <c r="L986">
        <f t="shared" si="15"/>
        <v>3.05</v>
      </c>
    </row>
    <row r="987" spans="1:12" x14ac:dyDescent="0.15">
      <c r="A987" s="1">
        <v>986</v>
      </c>
      <c r="B987" s="4">
        <v>41128</v>
      </c>
      <c r="C987" s="1" t="s">
        <v>24</v>
      </c>
      <c r="D987" s="1" t="s">
        <v>12</v>
      </c>
      <c r="E987" s="1">
        <v>0.66576388888888893</v>
      </c>
      <c r="F987" s="1" t="s">
        <v>13</v>
      </c>
      <c r="G987" s="1">
        <v>2.96</v>
      </c>
      <c r="H987" s="1">
        <v>3.36</v>
      </c>
      <c r="I987" s="1">
        <v>0</v>
      </c>
      <c r="J987" s="4">
        <v>41129</v>
      </c>
      <c r="K987" s="4">
        <v>44051</v>
      </c>
      <c r="L987">
        <f t="shared" si="15"/>
        <v>3.16</v>
      </c>
    </row>
    <row r="988" spans="1:12" x14ac:dyDescent="0.15">
      <c r="A988" s="1">
        <v>987</v>
      </c>
      <c r="B988" s="4">
        <v>41128</v>
      </c>
      <c r="C988" s="1" t="s">
        <v>20</v>
      </c>
      <c r="D988" s="1" t="s">
        <v>12</v>
      </c>
      <c r="E988" s="1">
        <v>0.66576388888888893</v>
      </c>
      <c r="F988" s="1" t="s">
        <v>13</v>
      </c>
      <c r="G988" s="1">
        <v>2.99</v>
      </c>
      <c r="H988" s="1">
        <v>3.39</v>
      </c>
      <c r="I988" s="1">
        <v>0</v>
      </c>
      <c r="J988" s="4">
        <v>41129</v>
      </c>
      <c r="K988" s="4">
        <v>44781</v>
      </c>
      <c r="L988">
        <f t="shared" si="15"/>
        <v>3.1900000000000004</v>
      </c>
    </row>
    <row r="989" spans="1:12" x14ac:dyDescent="0.15">
      <c r="A989" s="1">
        <v>988</v>
      </c>
      <c r="B989" s="4">
        <v>41128</v>
      </c>
      <c r="C989" s="1" t="s">
        <v>14</v>
      </c>
      <c r="D989" s="1" t="s">
        <v>12</v>
      </c>
      <c r="E989" s="1">
        <v>0.66574074074074074</v>
      </c>
      <c r="F989" s="1" t="s">
        <v>13</v>
      </c>
      <c r="G989" s="1">
        <v>3.15</v>
      </c>
      <c r="H989" s="1">
        <v>3.25</v>
      </c>
      <c r="I989" s="1">
        <v>0</v>
      </c>
      <c r="J989" s="4">
        <v>41129</v>
      </c>
      <c r="K989" s="4">
        <v>41494</v>
      </c>
      <c r="L989">
        <f t="shared" si="15"/>
        <v>3.2</v>
      </c>
    </row>
    <row r="990" spans="1:12" x14ac:dyDescent="0.15">
      <c r="A990" s="1">
        <v>989</v>
      </c>
      <c r="B990" s="4">
        <v>41128</v>
      </c>
      <c r="C990" s="1" t="s">
        <v>18</v>
      </c>
      <c r="D990" s="1" t="s">
        <v>29</v>
      </c>
      <c r="E990" s="1">
        <v>0.64684027777777775</v>
      </c>
      <c r="F990" s="1" t="s">
        <v>13</v>
      </c>
      <c r="G990" s="1">
        <v>3.05</v>
      </c>
      <c r="H990" s="1">
        <v>3.15</v>
      </c>
      <c r="I990" s="1">
        <v>0</v>
      </c>
      <c r="J990" s="4">
        <v>41129</v>
      </c>
      <c r="K990" s="4">
        <v>41859</v>
      </c>
      <c r="L990">
        <f t="shared" si="15"/>
        <v>3.0999999999999996</v>
      </c>
    </row>
    <row r="991" spans="1:12" x14ac:dyDescent="0.15">
      <c r="A991" s="1">
        <v>990</v>
      </c>
      <c r="B991" s="4">
        <v>41128</v>
      </c>
      <c r="C991" s="1" t="s">
        <v>14</v>
      </c>
      <c r="D991" s="1" t="s">
        <v>29</v>
      </c>
      <c r="E991" s="1">
        <v>0.64684027777777775</v>
      </c>
      <c r="F991" s="1" t="s">
        <v>13</v>
      </c>
      <c r="G991" s="1">
        <v>3.15</v>
      </c>
      <c r="H991" s="1">
        <v>3.25</v>
      </c>
      <c r="I991" s="1">
        <v>0</v>
      </c>
      <c r="J991" s="4">
        <v>41129</v>
      </c>
      <c r="K991" s="4">
        <v>41494</v>
      </c>
      <c r="L991">
        <f t="shared" si="15"/>
        <v>3.2</v>
      </c>
    </row>
    <row r="992" spans="1:12" x14ac:dyDescent="0.15">
      <c r="A992" s="1">
        <v>991</v>
      </c>
      <c r="B992" s="4">
        <v>41128</v>
      </c>
      <c r="C992" s="1" t="s">
        <v>11</v>
      </c>
      <c r="D992" s="1" t="s">
        <v>29</v>
      </c>
      <c r="E992" s="1">
        <v>0.64684027777777775</v>
      </c>
      <c r="F992" s="1" t="s">
        <v>13</v>
      </c>
      <c r="G992" s="1">
        <v>3.08</v>
      </c>
      <c r="H992" s="1">
        <v>3.18</v>
      </c>
      <c r="I992" s="1">
        <v>0</v>
      </c>
      <c r="J992" s="4">
        <v>41129</v>
      </c>
      <c r="K992" s="4">
        <v>42224</v>
      </c>
      <c r="L992">
        <f t="shared" si="15"/>
        <v>3.13</v>
      </c>
    </row>
    <row r="993" spans="1:12" x14ac:dyDescent="0.15">
      <c r="A993" s="1">
        <v>992</v>
      </c>
      <c r="B993" s="4">
        <v>41128</v>
      </c>
      <c r="C993" s="1" t="s">
        <v>22</v>
      </c>
      <c r="D993" s="1" t="s">
        <v>12</v>
      </c>
      <c r="E993" s="1">
        <v>0.66572916666666659</v>
      </c>
      <c r="F993" s="1" t="s">
        <v>13</v>
      </c>
      <c r="G993" s="1">
        <v>3.45</v>
      </c>
      <c r="H993" s="1">
        <v>3.55</v>
      </c>
      <c r="I993" s="1">
        <v>0</v>
      </c>
      <c r="J993" s="4">
        <v>41129</v>
      </c>
      <c r="K993" s="4">
        <v>41313</v>
      </c>
      <c r="L993">
        <f t="shared" si="15"/>
        <v>3.5</v>
      </c>
    </row>
    <row r="994" spans="1:12" x14ac:dyDescent="0.15">
      <c r="A994" s="1">
        <v>993</v>
      </c>
      <c r="B994" s="4">
        <v>41128</v>
      </c>
      <c r="C994" s="1" t="s">
        <v>23</v>
      </c>
      <c r="D994" s="1" t="s">
        <v>12</v>
      </c>
      <c r="E994" s="1">
        <v>0.66572916666666659</v>
      </c>
      <c r="F994" s="1" t="s">
        <v>13</v>
      </c>
      <c r="G994" s="1">
        <v>2.97</v>
      </c>
      <c r="H994" s="1">
        <v>3.17</v>
      </c>
      <c r="I994" s="1">
        <v>0</v>
      </c>
      <c r="J994" s="4">
        <v>41129</v>
      </c>
      <c r="K994" s="4">
        <v>43320</v>
      </c>
      <c r="L994">
        <f t="shared" si="15"/>
        <v>3.0700000000000003</v>
      </c>
    </row>
    <row r="995" spans="1:12" x14ac:dyDescent="0.15">
      <c r="A995" s="1">
        <v>994</v>
      </c>
      <c r="B995" s="4">
        <v>41128</v>
      </c>
      <c r="C995" s="1" t="s">
        <v>21</v>
      </c>
      <c r="D995" s="1" t="s">
        <v>29</v>
      </c>
      <c r="E995" s="1">
        <v>0.64684027777777775</v>
      </c>
      <c r="F995" s="1" t="s">
        <v>13</v>
      </c>
      <c r="G995" s="1">
        <v>3.1</v>
      </c>
      <c r="H995" s="1">
        <v>3.2</v>
      </c>
      <c r="I995" s="1">
        <v>0</v>
      </c>
      <c r="J995" s="4">
        <v>41129</v>
      </c>
      <c r="K995" s="4">
        <v>43685</v>
      </c>
      <c r="L995">
        <f t="shared" si="15"/>
        <v>3.1500000000000004</v>
      </c>
    </row>
    <row r="996" spans="1:12" x14ac:dyDescent="0.15">
      <c r="A996" s="1">
        <v>995</v>
      </c>
      <c r="B996" s="4">
        <v>41128</v>
      </c>
      <c r="C996" s="1" t="s">
        <v>20</v>
      </c>
      <c r="D996" s="1" t="s">
        <v>15</v>
      </c>
      <c r="E996" s="1">
        <v>0.67469907407407403</v>
      </c>
      <c r="F996" s="1" t="s">
        <v>13</v>
      </c>
      <c r="G996" s="1">
        <v>3.14</v>
      </c>
      <c r="H996" s="1">
        <v>3.2</v>
      </c>
      <c r="I996" s="1">
        <v>0</v>
      </c>
      <c r="J996" s="4">
        <v>41129</v>
      </c>
      <c r="K996" s="4">
        <v>44781</v>
      </c>
      <c r="L996">
        <f t="shared" si="15"/>
        <v>3.17</v>
      </c>
    </row>
    <row r="997" spans="1:12" x14ac:dyDescent="0.15">
      <c r="A997" s="1">
        <v>996</v>
      </c>
      <c r="B997" s="4">
        <v>41128</v>
      </c>
      <c r="C997" s="1" t="s">
        <v>19</v>
      </c>
      <c r="D997" s="1" t="s">
        <v>15</v>
      </c>
      <c r="E997" s="1">
        <v>0.67469907407407403</v>
      </c>
      <c r="F997" s="1" t="s">
        <v>13</v>
      </c>
      <c r="G997" s="1">
        <v>3.28</v>
      </c>
      <c r="H997" s="1">
        <v>3.34</v>
      </c>
      <c r="I997" s="1">
        <v>0</v>
      </c>
      <c r="J997" s="4">
        <v>41129</v>
      </c>
      <c r="K997" s="4">
        <v>41402</v>
      </c>
      <c r="L997">
        <f t="shared" si="15"/>
        <v>3.3099999999999996</v>
      </c>
    </row>
    <row r="998" spans="1:12" x14ac:dyDescent="0.15">
      <c r="A998" s="1">
        <v>997</v>
      </c>
      <c r="B998" s="4">
        <v>41128</v>
      </c>
      <c r="C998" s="1" t="s">
        <v>21</v>
      </c>
      <c r="D998" s="1" t="s">
        <v>15</v>
      </c>
      <c r="E998" s="1">
        <v>0.67469907407407403</v>
      </c>
      <c r="F998" s="1" t="s">
        <v>13</v>
      </c>
      <c r="G998" s="1">
        <v>3.09</v>
      </c>
      <c r="H998" s="1">
        <v>3.15</v>
      </c>
      <c r="I998" s="1">
        <v>0</v>
      </c>
      <c r="J998" s="4">
        <v>41129</v>
      </c>
      <c r="K998" s="4">
        <v>43685</v>
      </c>
      <c r="L998">
        <f t="shared" si="15"/>
        <v>3.12</v>
      </c>
    </row>
    <row r="999" spans="1:12" x14ac:dyDescent="0.15">
      <c r="A999" s="1">
        <v>998</v>
      </c>
      <c r="B999" s="4">
        <v>41128</v>
      </c>
      <c r="C999" s="1" t="s">
        <v>19</v>
      </c>
      <c r="D999" s="1" t="s">
        <v>30</v>
      </c>
      <c r="E999" s="1">
        <v>0.67503472222222216</v>
      </c>
      <c r="F999" s="1" t="s">
        <v>13</v>
      </c>
      <c r="G999" s="1">
        <v>3.25</v>
      </c>
      <c r="H999" s="1">
        <v>3.31</v>
      </c>
      <c r="I999" s="1">
        <v>0</v>
      </c>
      <c r="J999" s="4">
        <v>41129</v>
      </c>
      <c r="K999" s="4">
        <v>41402</v>
      </c>
      <c r="L999">
        <f t="shared" si="15"/>
        <v>3.2800000000000002</v>
      </c>
    </row>
    <row r="1000" spans="1:12" x14ac:dyDescent="0.15">
      <c r="A1000" s="1">
        <v>999</v>
      </c>
      <c r="B1000" s="4">
        <v>41128</v>
      </c>
      <c r="C1000" s="1" t="s">
        <v>16</v>
      </c>
      <c r="D1000" s="1" t="s">
        <v>15</v>
      </c>
      <c r="E1000" s="1">
        <v>0.67469907407407403</v>
      </c>
      <c r="F1000" s="1" t="s">
        <v>13</v>
      </c>
      <c r="G1000" s="1">
        <v>3.02</v>
      </c>
      <c r="H1000" s="1">
        <v>3.08</v>
      </c>
      <c r="I1000" s="1">
        <v>0</v>
      </c>
      <c r="J1000" s="4">
        <v>41129</v>
      </c>
      <c r="K1000" s="4">
        <v>42590</v>
      </c>
      <c r="L1000">
        <f t="shared" si="15"/>
        <v>3.05</v>
      </c>
    </row>
    <row r="1001" spans="1:12" x14ac:dyDescent="0.15">
      <c r="A1001" s="1">
        <v>1000</v>
      </c>
      <c r="B1001" s="4">
        <v>41128</v>
      </c>
      <c r="C1001" s="1" t="s">
        <v>25</v>
      </c>
      <c r="D1001" s="1" t="s">
        <v>15</v>
      </c>
      <c r="E1001" s="1">
        <v>0.67469907407407403</v>
      </c>
      <c r="F1001" s="1" t="s">
        <v>13</v>
      </c>
      <c r="G1001" s="1">
        <v>3.04</v>
      </c>
      <c r="H1001" s="1">
        <v>3.1</v>
      </c>
      <c r="I1001" s="1">
        <v>0</v>
      </c>
      <c r="J1001" s="4">
        <v>41129</v>
      </c>
      <c r="K1001" s="4">
        <v>42955</v>
      </c>
      <c r="L1001">
        <f t="shared" si="15"/>
        <v>3.0700000000000003</v>
      </c>
    </row>
    <row r="1002" spans="1:12" x14ac:dyDescent="0.15">
      <c r="A1002" s="1">
        <v>1001</v>
      </c>
      <c r="B1002" s="4">
        <v>41128</v>
      </c>
      <c r="C1002" s="1" t="s">
        <v>11</v>
      </c>
      <c r="D1002" s="1" t="s">
        <v>15</v>
      </c>
      <c r="E1002" s="1">
        <v>0.67469907407407403</v>
      </c>
      <c r="F1002" s="1" t="s">
        <v>13</v>
      </c>
      <c r="G1002" s="1">
        <v>3.05</v>
      </c>
      <c r="H1002" s="1">
        <v>3.11</v>
      </c>
      <c r="I1002" s="1">
        <v>0</v>
      </c>
      <c r="J1002" s="4">
        <v>41129</v>
      </c>
      <c r="K1002" s="4">
        <v>42224</v>
      </c>
      <c r="L1002">
        <f t="shared" si="15"/>
        <v>3.08</v>
      </c>
    </row>
    <row r="1003" spans="1:12" x14ac:dyDescent="0.15">
      <c r="A1003" s="1">
        <v>1002</v>
      </c>
      <c r="B1003" s="4">
        <v>41128</v>
      </c>
      <c r="C1003" s="1" t="s">
        <v>11</v>
      </c>
      <c r="D1003" s="1" t="s">
        <v>12</v>
      </c>
      <c r="E1003" s="1">
        <v>0.66578703703703701</v>
      </c>
      <c r="F1003" s="1" t="s">
        <v>13</v>
      </c>
      <c r="G1003" s="1">
        <v>3</v>
      </c>
      <c r="H1003" s="1">
        <v>3.1</v>
      </c>
      <c r="I1003" s="1">
        <v>0</v>
      </c>
      <c r="J1003" s="4">
        <v>41129</v>
      </c>
      <c r="K1003" s="4">
        <v>42224</v>
      </c>
      <c r="L1003">
        <f t="shared" si="15"/>
        <v>3.05</v>
      </c>
    </row>
    <row r="1004" spans="1:12" x14ac:dyDescent="0.15">
      <c r="A1004" s="1">
        <v>1003</v>
      </c>
      <c r="B1004" s="4">
        <v>41128</v>
      </c>
      <c r="C1004" s="1" t="s">
        <v>17</v>
      </c>
      <c r="D1004" s="1" t="s">
        <v>12</v>
      </c>
      <c r="E1004" s="1">
        <v>0.66578703703703701</v>
      </c>
      <c r="F1004" s="1" t="s">
        <v>13</v>
      </c>
      <c r="G1004" s="1">
        <v>2.98</v>
      </c>
      <c r="H1004" s="1">
        <v>3.38</v>
      </c>
      <c r="I1004" s="1">
        <v>0</v>
      </c>
      <c r="J1004" s="4">
        <v>41129</v>
      </c>
      <c r="K1004" s="4">
        <v>44416</v>
      </c>
      <c r="L1004">
        <f t="shared" si="15"/>
        <v>3.1799999999999997</v>
      </c>
    </row>
    <row r="1005" spans="1:12" x14ac:dyDescent="0.15">
      <c r="A1005" s="1">
        <v>1004</v>
      </c>
      <c r="B1005" s="4">
        <v>41128</v>
      </c>
      <c r="C1005" s="1" t="s">
        <v>16</v>
      </c>
      <c r="D1005" s="1" t="s">
        <v>12</v>
      </c>
      <c r="E1005" s="1">
        <v>0.66578703703703701</v>
      </c>
      <c r="F1005" s="1" t="s">
        <v>13</v>
      </c>
      <c r="G1005" s="1">
        <v>3</v>
      </c>
      <c r="H1005" s="1">
        <v>3.1</v>
      </c>
      <c r="I1005" s="1">
        <v>0</v>
      </c>
      <c r="J1005" s="4">
        <v>41129</v>
      </c>
      <c r="K1005" s="4">
        <v>42590</v>
      </c>
      <c r="L1005">
        <f t="shared" si="15"/>
        <v>3.05</v>
      </c>
    </row>
    <row r="1006" spans="1:12" x14ac:dyDescent="0.15">
      <c r="A1006" s="1">
        <v>1005</v>
      </c>
      <c r="B1006" s="4">
        <v>41128</v>
      </c>
      <c r="C1006" s="1" t="s">
        <v>18</v>
      </c>
      <c r="D1006" s="1" t="s">
        <v>15</v>
      </c>
      <c r="E1006" s="1">
        <v>0.6746875</v>
      </c>
      <c r="F1006" s="1" t="s">
        <v>13</v>
      </c>
      <c r="G1006" s="1">
        <v>3.07</v>
      </c>
      <c r="H1006" s="1">
        <v>3.13</v>
      </c>
      <c r="I1006" s="1">
        <v>0</v>
      </c>
      <c r="J1006" s="4">
        <v>41129</v>
      </c>
      <c r="K1006" s="4">
        <v>41859</v>
      </c>
      <c r="L1006">
        <f t="shared" si="15"/>
        <v>3.0999999999999996</v>
      </c>
    </row>
    <row r="1007" spans="1:12" x14ac:dyDescent="0.15">
      <c r="A1007" s="1">
        <v>1006</v>
      </c>
      <c r="B1007" s="4">
        <v>41128</v>
      </c>
      <c r="C1007" s="1" t="s">
        <v>14</v>
      </c>
      <c r="D1007" s="1" t="s">
        <v>15</v>
      </c>
      <c r="E1007" s="1">
        <v>0.6746875</v>
      </c>
      <c r="F1007" s="1" t="s">
        <v>13</v>
      </c>
      <c r="G1007" s="1">
        <v>3.18</v>
      </c>
      <c r="H1007" s="1">
        <v>3.24</v>
      </c>
      <c r="I1007" s="1">
        <v>0</v>
      </c>
      <c r="J1007" s="4">
        <v>41129</v>
      </c>
      <c r="K1007" s="4">
        <v>41494</v>
      </c>
      <c r="L1007">
        <f t="shared" si="15"/>
        <v>3.21</v>
      </c>
    </row>
    <row r="1008" spans="1:12" x14ac:dyDescent="0.15">
      <c r="A1008" s="1">
        <v>1007</v>
      </c>
      <c r="B1008" s="4">
        <v>41128</v>
      </c>
      <c r="C1008" s="1" t="s">
        <v>22</v>
      </c>
      <c r="D1008" s="1" t="s">
        <v>15</v>
      </c>
      <c r="E1008" s="1">
        <v>0.6746875</v>
      </c>
      <c r="F1008" s="1" t="s">
        <v>13</v>
      </c>
      <c r="G1008" s="1">
        <v>3.44</v>
      </c>
      <c r="H1008" s="1">
        <v>3.5</v>
      </c>
      <c r="I1008" s="1">
        <v>0</v>
      </c>
      <c r="J1008" s="4">
        <v>41129</v>
      </c>
      <c r="K1008" s="4">
        <v>41313</v>
      </c>
      <c r="L1008">
        <f t="shared" si="15"/>
        <v>3.4699999999999998</v>
      </c>
    </row>
    <row r="1009" spans="1:12" x14ac:dyDescent="0.15">
      <c r="A1009" s="1">
        <v>1008</v>
      </c>
      <c r="B1009" s="4">
        <v>41127</v>
      </c>
      <c r="C1009" s="1" t="s">
        <v>21</v>
      </c>
      <c r="D1009" s="1" t="s">
        <v>15</v>
      </c>
      <c r="E1009" s="1">
        <v>0.48951388888888886</v>
      </c>
      <c r="F1009" s="1" t="s">
        <v>13</v>
      </c>
      <c r="G1009" s="1">
        <v>3.09</v>
      </c>
      <c r="H1009" s="1">
        <v>3.15</v>
      </c>
      <c r="I1009" s="1">
        <v>0</v>
      </c>
      <c r="J1009" s="4">
        <v>41128</v>
      </c>
      <c r="K1009" s="4">
        <v>43684</v>
      </c>
      <c r="L1009">
        <f t="shared" si="15"/>
        <v>3.12</v>
      </c>
    </row>
    <row r="1010" spans="1:12" x14ac:dyDescent="0.15">
      <c r="A1010" s="1">
        <v>1009</v>
      </c>
      <c r="B1010" s="4">
        <v>41127</v>
      </c>
      <c r="C1010" s="1" t="s">
        <v>22</v>
      </c>
      <c r="D1010" s="1" t="s">
        <v>15</v>
      </c>
      <c r="E1010" s="1">
        <v>0.48949074074074073</v>
      </c>
      <c r="F1010" s="1" t="s">
        <v>13</v>
      </c>
      <c r="G1010" s="1">
        <v>3.51</v>
      </c>
      <c r="H1010" s="1">
        <v>3.57</v>
      </c>
      <c r="I1010" s="1">
        <v>0</v>
      </c>
      <c r="J1010" s="4">
        <v>41128</v>
      </c>
      <c r="K1010" s="4">
        <v>41312</v>
      </c>
      <c r="L1010">
        <f t="shared" si="15"/>
        <v>3.54</v>
      </c>
    </row>
    <row r="1011" spans="1:12" x14ac:dyDescent="0.15">
      <c r="A1011" s="1">
        <v>1010</v>
      </c>
      <c r="B1011" s="4">
        <v>41127</v>
      </c>
      <c r="C1011" s="1" t="s">
        <v>11</v>
      </c>
      <c r="D1011" s="1" t="s">
        <v>27</v>
      </c>
      <c r="E1011" s="1">
        <v>0.48718750000000005</v>
      </c>
      <c r="F1011" s="1" t="s">
        <v>13</v>
      </c>
      <c r="G1011" s="1">
        <v>3.29</v>
      </c>
      <c r="H1011" s="1">
        <v>3.34</v>
      </c>
      <c r="I1011" s="1">
        <v>0</v>
      </c>
      <c r="J1011" s="4">
        <v>41128</v>
      </c>
      <c r="K1011" s="4">
        <v>42223</v>
      </c>
      <c r="L1011">
        <f t="shared" si="15"/>
        <v>3.3149999999999999</v>
      </c>
    </row>
    <row r="1012" spans="1:12" x14ac:dyDescent="0.15">
      <c r="A1012" s="1">
        <v>1011</v>
      </c>
      <c r="B1012" s="4">
        <v>41127</v>
      </c>
      <c r="C1012" s="1" t="s">
        <v>18</v>
      </c>
      <c r="D1012" s="1" t="s">
        <v>15</v>
      </c>
      <c r="E1012" s="1">
        <v>0.48951388888888886</v>
      </c>
      <c r="F1012" s="1" t="s">
        <v>13</v>
      </c>
      <c r="G1012" s="1">
        <v>3.06</v>
      </c>
      <c r="H1012" s="1">
        <v>3.12</v>
      </c>
      <c r="I1012" s="1">
        <v>0</v>
      </c>
      <c r="J1012" s="4">
        <v>41128</v>
      </c>
      <c r="K1012" s="4">
        <v>41858</v>
      </c>
      <c r="L1012">
        <f t="shared" si="15"/>
        <v>3.09</v>
      </c>
    </row>
    <row r="1013" spans="1:12" x14ac:dyDescent="0.15">
      <c r="A1013" s="1">
        <v>1012</v>
      </c>
      <c r="B1013" s="4">
        <v>41127</v>
      </c>
      <c r="C1013" s="1" t="s">
        <v>14</v>
      </c>
      <c r="D1013" s="1" t="s">
        <v>15</v>
      </c>
      <c r="E1013" s="1">
        <v>0.48951388888888886</v>
      </c>
      <c r="F1013" s="1" t="s">
        <v>13</v>
      </c>
      <c r="G1013" s="1">
        <v>3.21</v>
      </c>
      <c r="H1013" s="1">
        <v>3.27</v>
      </c>
      <c r="I1013" s="1">
        <v>0</v>
      </c>
      <c r="J1013" s="4">
        <v>41128</v>
      </c>
      <c r="K1013" s="4">
        <v>41493</v>
      </c>
      <c r="L1013">
        <f t="shared" si="15"/>
        <v>3.24</v>
      </c>
    </row>
    <row r="1014" spans="1:12" x14ac:dyDescent="0.15">
      <c r="A1014" s="1">
        <v>1013</v>
      </c>
      <c r="B1014" s="4">
        <v>41127</v>
      </c>
      <c r="C1014" s="1" t="s">
        <v>19</v>
      </c>
      <c r="D1014" s="1" t="s">
        <v>15</v>
      </c>
      <c r="E1014" s="1">
        <v>0.48951388888888886</v>
      </c>
      <c r="F1014" s="1" t="s">
        <v>13</v>
      </c>
      <c r="G1014" s="1">
        <v>3.32</v>
      </c>
      <c r="H1014" s="1">
        <v>3.38</v>
      </c>
      <c r="I1014" s="1">
        <v>0</v>
      </c>
      <c r="J1014" s="4">
        <v>41128</v>
      </c>
      <c r="K1014" s="4">
        <v>41401</v>
      </c>
      <c r="L1014">
        <f t="shared" si="15"/>
        <v>3.3499999999999996</v>
      </c>
    </row>
    <row r="1015" spans="1:12" x14ac:dyDescent="0.15">
      <c r="A1015" s="1">
        <v>1014</v>
      </c>
      <c r="B1015" s="4">
        <v>41127</v>
      </c>
      <c r="C1015" s="1" t="s">
        <v>19</v>
      </c>
      <c r="D1015" s="1" t="s">
        <v>27</v>
      </c>
      <c r="E1015" s="1">
        <v>0.4871759259259259</v>
      </c>
      <c r="F1015" s="1" t="s">
        <v>13</v>
      </c>
      <c r="G1015" s="1">
        <v>3.28</v>
      </c>
      <c r="H1015" s="1">
        <v>3.35</v>
      </c>
      <c r="I1015" s="1">
        <v>0</v>
      </c>
      <c r="J1015" s="4">
        <v>41128</v>
      </c>
      <c r="K1015" s="4">
        <v>41401</v>
      </c>
      <c r="L1015">
        <f t="shared" si="15"/>
        <v>3.3149999999999999</v>
      </c>
    </row>
    <row r="1016" spans="1:12" x14ac:dyDescent="0.15">
      <c r="A1016" s="1">
        <v>1015</v>
      </c>
      <c r="B1016" s="4">
        <v>41127</v>
      </c>
      <c r="C1016" s="1" t="s">
        <v>25</v>
      </c>
      <c r="D1016" s="1" t="s">
        <v>27</v>
      </c>
      <c r="E1016" s="1">
        <v>0.48716435185185186</v>
      </c>
      <c r="F1016" s="1" t="s">
        <v>13</v>
      </c>
      <c r="G1016" s="1">
        <v>3.23</v>
      </c>
      <c r="H1016" s="1">
        <v>3.28</v>
      </c>
      <c r="I1016" s="1">
        <v>0</v>
      </c>
      <c r="J1016" s="4">
        <v>41128</v>
      </c>
      <c r="K1016" s="4">
        <v>42954</v>
      </c>
      <c r="L1016">
        <f t="shared" si="15"/>
        <v>3.2549999999999999</v>
      </c>
    </row>
    <row r="1017" spans="1:12" x14ac:dyDescent="0.15">
      <c r="A1017" s="1">
        <v>1016</v>
      </c>
      <c r="B1017" s="4">
        <v>41127</v>
      </c>
      <c r="C1017" s="1" t="s">
        <v>14</v>
      </c>
      <c r="D1017" s="1" t="s">
        <v>27</v>
      </c>
      <c r="E1017" s="1">
        <v>0.48716435185185186</v>
      </c>
      <c r="F1017" s="1" t="s">
        <v>13</v>
      </c>
      <c r="G1017" s="1">
        <v>3.49</v>
      </c>
      <c r="H1017" s="1">
        <v>3.55</v>
      </c>
      <c r="I1017" s="1">
        <v>0</v>
      </c>
      <c r="J1017" s="4">
        <v>41128</v>
      </c>
      <c r="K1017" s="4">
        <v>41493</v>
      </c>
      <c r="L1017">
        <f t="shared" si="15"/>
        <v>3.52</v>
      </c>
    </row>
    <row r="1018" spans="1:12" x14ac:dyDescent="0.15">
      <c r="A1018" s="1">
        <v>1017</v>
      </c>
      <c r="B1018" s="4">
        <v>41127</v>
      </c>
      <c r="C1018" s="1" t="s">
        <v>22</v>
      </c>
      <c r="D1018" s="1" t="s">
        <v>27</v>
      </c>
      <c r="E1018" s="1">
        <v>0.48718750000000005</v>
      </c>
      <c r="F1018" s="1" t="s">
        <v>13</v>
      </c>
      <c r="G1018" s="1">
        <v>3.5</v>
      </c>
      <c r="H1018" s="1">
        <v>3.55</v>
      </c>
      <c r="I1018" s="1">
        <v>0</v>
      </c>
      <c r="J1018" s="4">
        <v>41128</v>
      </c>
      <c r="K1018" s="4">
        <v>41312</v>
      </c>
      <c r="L1018">
        <f t="shared" si="15"/>
        <v>3.5249999999999999</v>
      </c>
    </row>
    <row r="1019" spans="1:12" x14ac:dyDescent="0.15">
      <c r="A1019" s="1">
        <v>1018</v>
      </c>
      <c r="B1019" s="4">
        <v>41127</v>
      </c>
      <c r="C1019" s="1" t="s">
        <v>18</v>
      </c>
      <c r="D1019" s="1" t="s">
        <v>27</v>
      </c>
      <c r="E1019" s="1">
        <v>0.48718750000000005</v>
      </c>
      <c r="F1019" s="1" t="s">
        <v>13</v>
      </c>
      <c r="G1019" s="1">
        <v>3.38</v>
      </c>
      <c r="H1019" s="1">
        <v>3.44</v>
      </c>
      <c r="I1019" s="1">
        <v>0</v>
      </c>
      <c r="J1019" s="4">
        <v>41128</v>
      </c>
      <c r="K1019" s="4">
        <v>41858</v>
      </c>
      <c r="L1019">
        <f t="shared" si="15"/>
        <v>3.41</v>
      </c>
    </row>
    <row r="1020" spans="1:12" x14ac:dyDescent="0.15">
      <c r="A1020" s="1">
        <v>1019</v>
      </c>
      <c r="B1020" s="4">
        <v>41127</v>
      </c>
      <c r="C1020" s="1" t="s">
        <v>16</v>
      </c>
      <c r="D1020" s="1" t="s">
        <v>27</v>
      </c>
      <c r="E1020" s="1">
        <v>0.48718750000000005</v>
      </c>
      <c r="F1020" s="1" t="s">
        <v>13</v>
      </c>
      <c r="G1020" s="1">
        <v>2.97</v>
      </c>
      <c r="H1020" s="1">
        <v>3.07</v>
      </c>
      <c r="I1020" s="1">
        <v>0</v>
      </c>
      <c r="J1020" s="4">
        <v>41128</v>
      </c>
      <c r="K1020" s="4">
        <v>42589</v>
      </c>
      <c r="L1020">
        <f t="shared" si="15"/>
        <v>3.02</v>
      </c>
    </row>
    <row r="1021" spans="1:12" x14ac:dyDescent="0.15">
      <c r="A1021" s="1">
        <v>1020</v>
      </c>
      <c r="B1021" s="4">
        <v>41127</v>
      </c>
      <c r="C1021" s="1" t="s">
        <v>21</v>
      </c>
      <c r="D1021" s="1" t="s">
        <v>31</v>
      </c>
      <c r="E1021" s="1">
        <v>0.50034722222222217</v>
      </c>
      <c r="F1021" s="1" t="s">
        <v>13</v>
      </c>
      <c r="G1021" s="1">
        <v>3.01</v>
      </c>
      <c r="H1021" s="1">
        <v>3.11</v>
      </c>
      <c r="I1021" s="1">
        <v>0</v>
      </c>
      <c r="J1021" s="4">
        <v>41128</v>
      </c>
      <c r="K1021" s="4">
        <v>43684</v>
      </c>
      <c r="L1021">
        <f t="shared" si="15"/>
        <v>3.0599999999999996</v>
      </c>
    </row>
    <row r="1022" spans="1:12" x14ac:dyDescent="0.15">
      <c r="A1022" s="1">
        <v>1021</v>
      </c>
      <c r="B1022" s="4">
        <v>41127</v>
      </c>
      <c r="C1022" s="1" t="s">
        <v>18</v>
      </c>
      <c r="D1022" s="1" t="s">
        <v>31</v>
      </c>
      <c r="E1022" s="1">
        <v>0.50034722222222217</v>
      </c>
      <c r="F1022" s="1" t="s">
        <v>13</v>
      </c>
      <c r="G1022" s="1">
        <v>2.97</v>
      </c>
      <c r="H1022" s="1">
        <v>3.05</v>
      </c>
      <c r="I1022" s="1">
        <v>0</v>
      </c>
      <c r="J1022" s="4">
        <v>41128</v>
      </c>
      <c r="K1022" s="4">
        <v>41858</v>
      </c>
      <c r="L1022">
        <f t="shared" si="15"/>
        <v>3.01</v>
      </c>
    </row>
    <row r="1023" spans="1:12" x14ac:dyDescent="0.15">
      <c r="A1023" s="1">
        <v>1022</v>
      </c>
      <c r="B1023" s="4">
        <v>41127</v>
      </c>
      <c r="C1023" s="1" t="s">
        <v>14</v>
      </c>
      <c r="D1023" s="1" t="s">
        <v>31</v>
      </c>
      <c r="E1023" s="1">
        <v>0.50034722222222217</v>
      </c>
      <c r="F1023" s="1" t="s">
        <v>13</v>
      </c>
      <c r="G1023" s="1">
        <v>3.11</v>
      </c>
      <c r="H1023" s="1">
        <v>3.19</v>
      </c>
      <c r="I1023" s="1">
        <v>0</v>
      </c>
      <c r="J1023" s="4">
        <v>41128</v>
      </c>
      <c r="K1023" s="4">
        <v>41493</v>
      </c>
      <c r="L1023">
        <f t="shared" si="15"/>
        <v>3.15</v>
      </c>
    </row>
    <row r="1024" spans="1:12" x14ac:dyDescent="0.15">
      <c r="A1024" s="1">
        <v>1023</v>
      </c>
      <c r="B1024" s="4">
        <v>41127</v>
      </c>
      <c r="C1024" s="1" t="s">
        <v>16</v>
      </c>
      <c r="D1024" s="1" t="s">
        <v>31</v>
      </c>
      <c r="E1024" s="1">
        <v>0.50035879629629632</v>
      </c>
      <c r="F1024" s="1" t="s">
        <v>13</v>
      </c>
      <c r="G1024" s="1">
        <v>2.92</v>
      </c>
      <c r="H1024" s="1">
        <v>3</v>
      </c>
      <c r="I1024" s="1">
        <v>0</v>
      </c>
      <c r="J1024" s="4">
        <v>41128</v>
      </c>
      <c r="K1024" s="4">
        <v>42589</v>
      </c>
      <c r="L1024">
        <f t="shared" si="15"/>
        <v>2.96</v>
      </c>
    </row>
    <row r="1025" spans="1:12" x14ac:dyDescent="0.15">
      <c r="A1025" s="1">
        <v>1024</v>
      </c>
      <c r="B1025" s="4">
        <v>41127</v>
      </c>
      <c r="C1025" s="1" t="s">
        <v>25</v>
      </c>
      <c r="D1025" s="1" t="s">
        <v>31</v>
      </c>
      <c r="E1025" s="1">
        <v>0.50035879629629632</v>
      </c>
      <c r="F1025" s="1" t="s">
        <v>13</v>
      </c>
      <c r="G1025" s="1">
        <v>2.93</v>
      </c>
      <c r="H1025" s="1">
        <v>3.01</v>
      </c>
      <c r="I1025" s="1">
        <v>0</v>
      </c>
      <c r="J1025" s="4">
        <v>41128</v>
      </c>
      <c r="K1025" s="4">
        <v>42954</v>
      </c>
      <c r="L1025">
        <f t="shared" si="15"/>
        <v>2.9699999999999998</v>
      </c>
    </row>
    <row r="1026" spans="1:12" x14ac:dyDescent="0.15">
      <c r="A1026" s="1">
        <v>1025</v>
      </c>
      <c r="B1026" s="4">
        <v>41127</v>
      </c>
      <c r="C1026" s="1" t="s">
        <v>19</v>
      </c>
      <c r="D1026" s="1" t="s">
        <v>31</v>
      </c>
      <c r="E1026" s="1">
        <v>0.50034722222222217</v>
      </c>
      <c r="F1026" s="1" t="s">
        <v>13</v>
      </c>
      <c r="G1026" s="1">
        <v>3.24</v>
      </c>
      <c r="H1026" s="1">
        <v>3.32</v>
      </c>
      <c r="I1026" s="1">
        <v>0</v>
      </c>
      <c r="J1026" s="4">
        <v>41128</v>
      </c>
      <c r="K1026" s="4">
        <v>41401</v>
      </c>
      <c r="L1026">
        <f t="shared" si="15"/>
        <v>3.2800000000000002</v>
      </c>
    </row>
    <row r="1027" spans="1:12" x14ac:dyDescent="0.15">
      <c r="A1027" s="1">
        <v>1026</v>
      </c>
      <c r="B1027" s="4">
        <v>41127</v>
      </c>
      <c r="C1027" s="1" t="s">
        <v>16</v>
      </c>
      <c r="D1027" s="1" t="s">
        <v>15</v>
      </c>
      <c r="E1027" s="1">
        <v>0.48952546296296301</v>
      </c>
      <c r="F1027" s="1" t="s">
        <v>13</v>
      </c>
      <c r="G1027" s="1">
        <v>3.01</v>
      </c>
      <c r="H1027" s="1">
        <v>3.07</v>
      </c>
      <c r="I1027" s="1">
        <v>0</v>
      </c>
      <c r="J1027" s="4">
        <v>41128</v>
      </c>
      <c r="K1027" s="4">
        <v>42589</v>
      </c>
      <c r="L1027">
        <f t="shared" ref="L1027:L1090" si="16">AVERAGE(G1027:H1027)</f>
        <v>3.04</v>
      </c>
    </row>
    <row r="1028" spans="1:12" x14ac:dyDescent="0.15">
      <c r="A1028" s="1">
        <v>1027</v>
      </c>
      <c r="B1028" s="4">
        <v>41127</v>
      </c>
      <c r="C1028" s="1" t="s">
        <v>25</v>
      </c>
      <c r="D1028" s="1" t="s">
        <v>15</v>
      </c>
      <c r="E1028" s="1">
        <v>0.48952546296296301</v>
      </c>
      <c r="F1028" s="1" t="s">
        <v>13</v>
      </c>
      <c r="G1028" s="1">
        <v>3.02</v>
      </c>
      <c r="H1028" s="1">
        <v>3.08</v>
      </c>
      <c r="I1028" s="1">
        <v>0</v>
      </c>
      <c r="J1028" s="4">
        <v>41128</v>
      </c>
      <c r="K1028" s="4">
        <v>42954</v>
      </c>
      <c r="L1028">
        <f t="shared" si="16"/>
        <v>3.05</v>
      </c>
    </row>
    <row r="1029" spans="1:12" x14ac:dyDescent="0.15">
      <c r="A1029" s="1">
        <v>1028</v>
      </c>
      <c r="B1029" s="4">
        <v>41127</v>
      </c>
      <c r="C1029" s="1" t="s">
        <v>20</v>
      </c>
      <c r="D1029" s="1" t="s">
        <v>15</v>
      </c>
      <c r="E1029" s="1">
        <v>0.48952546296296301</v>
      </c>
      <c r="F1029" s="1" t="s">
        <v>13</v>
      </c>
      <c r="G1029" s="1">
        <v>3.14</v>
      </c>
      <c r="H1029" s="1">
        <v>3.2</v>
      </c>
      <c r="I1029" s="1">
        <v>0</v>
      </c>
      <c r="J1029" s="4">
        <v>41128</v>
      </c>
      <c r="K1029" s="4">
        <v>44780</v>
      </c>
      <c r="L1029">
        <f t="shared" si="16"/>
        <v>3.17</v>
      </c>
    </row>
    <row r="1030" spans="1:12" x14ac:dyDescent="0.15">
      <c r="A1030" s="1">
        <v>1029</v>
      </c>
      <c r="B1030" s="4">
        <v>41127</v>
      </c>
      <c r="C1030" s="1" t="s">
        <v>20</v>
      </c>
      <c r="D1030" s="1" t="s">
        <v>31</v>
      </c>
      <c r="E1030" s="1">
        <v>0.50034722222222217</v>
      </c>
      <c r="F1030" s="1" t="s">
        <v>13</v>
      </c>
      <c r="G1030" s="1">
        <v>3.05</v>
      </c>
      <c r="H1030" s="1">
        <v>3.15</v>
      </c>
      <c r="I1030" s="1">
        <v>0</v>
      </c>
      <c r="J1030" s="4">
        <v>41128</v>
      </c>
      <c r="K1030" s="4">
        <v>44780</v>
      </c>
      <c r="L1030">
        <f t="shared" si="16"/>
        <v>3.0999999999999996</v>
      </c>
    </row>
    <row r="1031" spans="1:12" x14ac:dyDescent="0.15">
      <c r="A1031" s="1">
        <v>1030</v>
      </c>
      <c r="B1031" s="4">
        <v>41127</v>
      </c>
      <c r="C1031" s="1" t="s">
        <v>22</v>
      </c>
      <c r="D1031" s="1" t="s">
        <v>31</v>
      </c>
      <c r="E1031" s="1">
        <v>0.50032407407407409</v>
      </c>
      <c r="F1031" s="1" t="s">
        <v>13</v>
      </c>
      <c r="G1031" s="1">
        <v>3.43</v>
      </c>
      <c r="H1031" s="1">
        <v>3.51</v>
      </c>
      <c r="I1031" s="1">
        <v>0</v>
      </c>
      <c r="J1031" s="4">
        <v>41128</v>
      </c>
      <c r="K1031" s="4">
        <v>41312</v>
      </c>
      <c r="L1031">
        <f t="shared" si="16"/>
        <v>3.4699999999999998</v>
      </c>
    </row>
    <row r="1032" spans="1:12" x14ac:dyDescent="0.15">
      <c r="A1032" s="1">
        <v>1031</v>
      </c>
      <c r="B1032" s="4">
        <v>41127</v>
      </c>
      <c r="C1032" s="1" t="s">
        <v>11</v>
      </c>
      <c r="D1032" s="1" t="s">
        <v>15</v>
      </c>
      <c r="E1032" s="1">
        <v>0.48953703703703705</v>
      </c>
      <c r="F1032" s="1" t="s">
        <v>13</v>
      </c>
      <c r="G1032" s="1">
        <v>3.01</v>
      </c>
      <c r="H1032" s="1">
        <v>3.07</v>
      </c>
      <c r="I1032" s="1">
        <v>0</v>
      </c>
      <c r="J1032" s="4">
        <v>41128</v>
      </c>
      <c r="K1032" s="4">
        <v>42223</v>
      </c>
      <c r="L1032">
        <f t="shared" si="16"/>
        <v>3.04</v>
      </c>
    </row>
    <row r="1033" spans="1:12" x14ac:dyDescent="0.15">
      <c r="A1033" s="1">
        <v>1032</v>
      </c>
      <c r="B1033" s="4">
        <v>41127</v>
      </c>
      <c r="C1033" s="1" t="s">
        <v>11</v>
      </c>
      <c r="D1033" s="1" t="s">
        <v>26</v>
      </c>
      <c r="E1033" s="1">
        <v>0.48256944444444444</v>
      </c>
      <c r="F1033" s="1" t="s">
        <v>13</v>
      </c>
      <c r="G1033" s="1">
        <v>3.3</v>
      </c>
      <c r="H1033" s="1">
        <v>3.4</v>
      </c>
      <c r="I1033" s="1">
        <v>0</v>
      </c>
      <c r="J1033" s="4">
        <v>41128</v>
      </c>
      <c r="K1033" s="4">
        <v>42223</v>
      </c>
      <c r="L1033">
        <f t="shared" si="16"/>
        <v>3.3499999999999996</v>
      </c>
    </row>
    <row r="1034" spans="1:12" x14ac:dyDescent="0.15">
      <c r="A1034" s="1">
        <v>1033</v>
      </c>
      <c r="B1034" s="4">
        <v>41127</v>
      </c>
      <c r="C1034" s="1" t="s">
        <v>16</v>
      </c>
      <c r="D1034" s="1" t="s">
        <v>26</v>
      </c>
      <c r="E1034" s="1">
        <v>0.48256944444444444</v>
      </c>
      <c r="F1034" s="1" t="s">
        <v>13</v>
      </c>
      <c r="G1034" s="1">
        <v>3.3</v>
      </c>
      <c r="H1034" s="1">
        <v>3.42</v>
      </c>
      <c r="I1034" s="1">
        <v>0</v>
      </c>
      <c r="J1034" s="4">
        <v>41128</v>
      </c>
      <c r="K1034" s="4">
        <v>42589</v>
      </c>
      <c r="L1034">
        <f t="shared" si="16"/>
        <v>3.36</v>
      </c>
    </row>
    <row r="1035" spans="1:12" x14ac:dyDescent="0.15">
      <c r="A1035" s="1">
        <v>1034</v>
      </c>
      <c r="B1035" s="4">
        <v>41127</v>
      </c>
      <c r="C1035" s="1" t="s">
        <v>25</v>
      </c>
      <c r="D1035" s="1" t="s">
        <v>26</v>
      </c>
      <c r="E1035" s="1">
        <v>0.48256944444444444</v>
      </c>
      <c r="F1035" s="1" t="s">
        <v>13</v>
      </c>
      <c r="G1035" s="1">
        <v>3.32</v>
      </c>
      <c r="H1035" s="1">
        <v>3.45</v>
      </c>
      <c r="I1035" s="1">
        <v>0</v>
      </c>
      <c r="J1035" s="4">
        <v>41128</v>
      </c>
      <c r="K1035" s="4">
        <v>42954</v>
      </c>
      <c r="L1035">
        <f t="shared" si="16"/>
        <v>3.3849999999999998</v>
      </c>
    </row>
    <row r="1036" spans="1:12" x14ac:dyDescent="0.15">
      <c r="A1036" s="1">
        <v>1035</v>
      </c>
      <c r="B1036" s="4">
        <v>41127</v>
      </c>
      <c r="C1036" s="1" t="s">
        <v>19</v>
      </c>
      <c r="D1036" s="1" t="s">
        <v>26</v>
      </c>
      <c r="E1036" s="1">
        <v>0.48256944444444444</v>
      </c>
      <c r="F1036" s="1" t="s">
        <v>13</v>
      </c>
      <c r="G1036" s="1">
        <v>3.6</v>
      </c>
      <c r="H1036" s="1">
        <v>3.7</v>
      </c>
      <c r="I1036" s="1">
        <v>0</v>
      </c>
      <c r="J1036" s="4">
        <v>41128</v>
      </c>
      <c r="K1036" s="4">
        <v>41401</v>
      </c>
      <c r="L1036">
        <f t="shared" si="16"/>
        <v>3.6500000000000004</v>
      </c>
    </row>
    <row r="1037" spans="1:12" x14ac:dyDescent="0.15">
      <c r="A1037" s="1">
        <v>1036</v>
      </c>
      <c r="B1037" s="4">
        <v>41127</v>
      </c>
      <c r="C1037" s="1" t="s">
        <v>21</v>
      </c>
      <c r="D1037" s="1" t="s">
        <v>26</v>
      </c>
      <c r="E1037" s="1">
        <v>0.48256944444444444</v>
      </c>
      <c r="F1037" s="1" t="s">
        <v>13</v>
      </c>
      <c r="G1037" s="1">
        <v>3.2</v>
      </c>
      <c r="H1037" s="1">
        <v>3.6</v>
      </c>
      <c r="I1037" s="1">
        <v>0</v>
      </c>
      <c r="J1037" s="4">
        <v>41128</v>
      </c>
      <c r="K1037" s="4">
        <v>43684</v>
      </c>
      <c r="L1037">
        <f t="shared" si="16"/>
        <v>3.4000000000000004</v>
      </c>
    </row>
    <row r="1038" spans="1:12" x14ac:dyDescent="0.15">
      <c r="A1038" s="1">
        <v>1037</v>
      </c>
      <c r="B1038" s="4">
        <v>41127</v>
      </c>
      <c r="C1038" s="1" t="s">
        <v>17</v>
      </c>
      <c r="D1038" s="1" t="s">
        <v>26</v>
      </c>
      <c r="E1038" s="1">
        <v>0.48256944444444444</v>
      </c>
      <c r="F1038" s="1" t="s">
        <v>13</v>
      </c>
      <c r="G1038" s="1">
        <v>3.2</v>
      </c>
      <c r="H1038" s="1">
        <v>3.6</v>
      </c>
      <c r="I1038" s="1">
        <v>0</v>
      </c>
      <c r="J1038" s="4">
        <v>41128</v>
      </c>
      <c r="K1038" s="4">
        <v>44415</v>
      </c>
      <c r="L1038">
        <f t="shared" si="16"/>
        <v>3.4000000000000004</v>
      </c>
    </row>
    <row r="1039" spans="1:12" x14ac:dyDescent="0.15">
      <c r="A1039" s="1">
        <v>1038</v>
      </c>
      <c r="B1039" s="4">
        <v>41127</v>
      </c>
      <c r="C1039" s="1" t="s">
        <v>14</v>
      </c>
      <c r="D1039" s="1" t="s">
        <v>26</v>
      </c>
      <c r="E1039" s="1">
        <v>0.48255787037037035</v>
      </c>
      <c r="F1039" s="1" t="s">
        <v>13</v>
      </c>
      <c r="G1039" s="1">
        <v>3.48</v>
      </c>
      <c r="H1039" s="1">
        <v>3.5</v>
      </c>
      <c r="I1039" s="1">
        <v>0</v>
      </c>
      <c r="J1039" s="4">
        <v>41128</v>
      </c>
      <c r="K1039" s="4">
        <v>41493</v>
      </c>
      <c r="L1039">
        <f t="shared" si="16"/>
        <v>3.49</v>
      </c>
    </row>
    <row r="1040" spans="1:12" x14ac:dyDescent="0.15">
      <c r="A1040" s="1">
        <v>1039</v>
      </c>
      <c r="B1040" s="4">
        <v>41127</v>
      </c>
      <c r="C1040" s="1" t="s">
        <v>22</v>
      </c>
      <c r="D1040" s="1" t="s">
        <v>26</v>
      </c>
      <c r="E1040" s="1">
        <v>0.48255787037037035</v>
      </c>
      <c r="F1040" s="1" t="s">
        <v>13</v>
      </c>
      <c r="G1040" s="1">
        <v>3.3</v>
      </c>
      <c r="H1040" s="1">
        <v>3.5</v>
      </c>
      <c r="I1040" s="1">
        <v>0</v>
      </c>
      <c r="J1040" s="4">
        <v>41128</v>
      </c>
      <c r="K1040" s="4">
        <v>41312</v>
      </c>
      <c r="L1040">
        <f t="shared" si="16"/>
        <v>3.4</v>
      </c>
    </row>
    <row r="1041" spans="1:12" x14ac:dyDescent="0.15">
      <c r="A1041" s="1">
        <v>1040</v>
      </c>
      <c r="B1041" s="4">
        <v>41127</v>
      </c>
      <c r="C1041" s="1" t="s">
        <v>23</v>
      </c>
      <c r="D1041" s="1" t="s">
        <v>26</v>
      </c>
      <c r="E1041" s="1">
        <v>0.48255787037037035</v>
      </c>
      <c r="F1041" s="1" t="s">
        <v>13</v>
      </c>
      <c r="G1041" s="1">
        <v>3.25</v>
      </c>
      <c r="H1041" s="1">
        <v>3.55</v>
      </c>
      <c r="I1041" s="1">
        <v>0</v>
      </c>
      <c r="J1041" s="4">
        <v>41128</v>
      </c>
      <c r="K1041" s="4">
        <v>43319</v>
      </c>
      <c r="L1041">
        <f t="shared" si="16"/>
        <v>3.4</v>
      </c>
    </row>
    <row r="1042" spans="1:12" x14ac:dyDescent="0.15">
      <c r="A1042" s="1">
        <v>1041</v>
      </c>
      <c r="B1042" s="4">
        <v>41127</v>
      </c>
      <c r="C1042" s="1" t="s">
        <v>18</v>
      </c>
      <c r="D1042" s="1" t="s">
        <v>26</v>
      </c>
      <c r="E1042" s="1">
        <v>0.48255787037037035</v>
      </c>
      <c r="F1042" s="1" t="s">
        <v>13</v>
      </c>
      <c r="G1042" s="1">
        <v>3.3</v>
      </c>
      <c r="H1042" s="1">
        <v>3.37</v>
      </c>
      <c r="I1042" s="1">
        <v>0</v>
      </c>
      <c r="J1042" s="4">
        <v>41128</v>
      </c>
      <c r="K1042" s="4">
        <v>41858</v>
      </c>
      <c r="L1042">
        <f t="shared" si="16"/>
        <v>3.335</v>
      </c>
    </row>
    <row r="1043" spans="1:12" x14ac:dyDescent="0.15">
      <c r="A1043" s="1">
        <v>1042</v>
      </c>
      <c r="B1043" s="4">
        <v>41127</v>
      </c>
      <c r="C1043" s="1" t="s">
        <v>20</v>
      </c>
      <c r="D1043" s="1" t="s">
        <v>26</v>
      </c>
      <c r="E1043" s="1">
        <v>0.48255787037037035</v>
      </c>
      <c r="F1043" s="1" t="s">
        <v>13</v>
      </c>
      <c r="G1043" s="1">
        <v>3.26</v>
      </c>
      <c r="H1043" s="1">
        <v>3.66</v>
      </c>
      <c r="I1043" s="1">
        <v>0</v>
      </c>
      <c r="J1043" s="4">
        <v>41128</v>
      </c>
      <c r="K1043" s="4">
        <v>44780</v>
      </c>
      <c r="L1043">
        <f t="shared" si="16"/>
        <v>3.46</v>
      </c>
    </row>
    <row r="1044" spans="1:12" x14ac:dyDescent="0.15">
      <c r="A1044" s="1">
        <v>1043</v>
      </c>
      <c r="B1044" s="4">
        <v>41127</v>
      </c>
      <c r="C1044" s="1" t="s">
        <v>24</v>
      </c>
      <c r="D1044" s="1" t="s">
        <v>26</v>
      </c>
      <c r="E1044" s="1">
        <v>0.48255787037037035</v>
      </c>
      <c r="F1044" s="1" t="s">
        <v>13</v>
      </c>
      <c r="G1044" s="1">
        <v>3.2</v>
      </c>
      <c r="H1044" s="1">
        <v>3.65</v>
      </c>
      <c r="I1044" s="1">
        <v>0</v>
      </c>
      <c r="J1044" s="4">
        <v>41128</v>
      </c>
      <c r="K1044" s="4">
        <v>44050</v>
      </c>
      <c r="L1044">
        <f t="shared" si="16"/>
        <v>3.4249999999999998</v>
      </c>
    </row>
    <row r="1045" spans="1:12" x14ac:dyDescent="0.15">
      <c r="A1045" s="1">
        <v>1044</v>
      </c>
      <c r="B1045" s="4">
        <v>41127</v>
      </c>
      <c r="C1045" s="1" t="s">
        <v>16</v>
      </c>
      <c r="D1045" s="1" t="s">
        <v>12</v>
      </c>
      <c r="E1045" s="1">
        <v>0.48281250000000003</v>
      </c>
      <c r="F1045" s="1" t="s">
        <v>13</v>
      </c>
      <c r="G1045" s="1">
        <v>3</v>
      </c>
      <c r="H1045" s="1">
        <v>3.1</v>
      </c>
      <c r="I1045" s="1">
        <v>0</v>
      </c>
      <c r="J1045" s="4">
        <v>41128</v>
      </c>
      <c r="K1045" s="4">
        <v>42589</v>
      </c>
      <c r="L1045">
        <f t="shared" si="16"/>
        <v>3.05</v>
      </c>
    </row>
    <row r="1046" spans="1:12" x14ac:dyDescent="0.15">
      <c r="A1046" s="1">
        <v>1045</v>
      </c>
      <c r="B1046" s="4">
        <v>41127</v>
      </c>
      <c r="C1046" s="1" t="s">
        <v>25</v>
      </c>
      <c r="D1046" s="1" t="s">
        <v>12</v>
      </c>
      <c r="E1046" s="1">
        <v>0.48281250000000003</v>
      </c>
      <c r="F1046" s="1" t="s">
        <v>13</v>
      </c>
      <c r="G1046" s="1">
        <v>3</v>
      </c>
      <c r="H1046" s="1">
        <v>3.1</v>
      </c>
      <c r="I1046" s="1">
        <v>0</v>
      </c>
      <c r="J1046" s="4">
        <v>41128</v>
      </c>
      <c r="K1046" s="4">
        <v>42954</v>
      </c>
      <c r="L1046">
        <f t="shared" si="16"/>
        <v>3.05</v>
      </c>
    </row>
    <row r="1047" spans="1:12" x14ac:dyDescent="0.15">
      <c r="A1047" s="1">
        <v>1046</v>
      </c>
      <c r="B1047" s="4">
        <v>41127</v>
      </c>
      <c r="C1047" s="1" t="s">
        <v>22</v>
      </c>
      <c r="D1047" s="1" t="s">
        <v>12</v>
      </c>
      <c r="E1047" s="1">
        <v>0.48280092592592588</v>
      </c>
      <c r="F1047" s="1" t="s">
        <v>13</v>
      </c>
      <c r="G1047" s="1">
        <v>3.45</v>
      </c>
      <c r="H1047" s="1">
        <v>3.55</v>
      </c>
      <c r="I1047" s="1">
        <v>0</v>
      </c>
      <c r="J1047" s="4">
        <v>41128</v>
      </c>
      <c r="K1047" s="4">
        <v>41312</v>
      </c>
      <c r="L1047">
        <f t="shared" si="16"/>
        <v>3.5</v>
      </c>
    </row>
    <row r="1048" spans="1:12" x14ac:dyDescent="0.15">
      <c r="A1048" s="1">
        <v>1047</v>
      </c>
      <c r="B1048" s="4">
        <v>41127</v>
      </c>
      <c r="C1048" s="1" t="s">
        <v>24</v>
      </c>
      <c r="D1048" s="1" t="s">
        <v>12</v>
      </c>
      <c r="E1048" s="1">
        <v>0.48281250000000003</v>
      </c>
      <c r="F1048" s="1" t="s">
        <v>13</v>
      </c>
      <c r="G1048" s="1">
        <v>2.96</v>
      </c>
      <c r="H1048" s="1">
        <v>3.36</v>
      </c>
      <c r="I1048" s="1">
        <v>0</v>
      </c>
      <c r="J1048" s="4">
        <v>41128</v>
      </c>
      <c r="K1048" s="4">
        <v>44050</v>
      </c>
      <c r="L1048">
        <f t="shared" si="16"/>
        <v>3.16</v>
      </c>
    </row>
    <row r="1049" spans="1:12" x14ac:dyDescent="0.15">
      <c r="A1049" s="1">
        <v>1048</v>
      </c>
      <c r="B1049" s="4">
        <v>41127</v>
      </c>
      <c r="C1049" s="1" t="s">
        <v>11</v>
      </c>
      <c r="D1049" s="1" t="s">
        <v>12</v>
      </c>
      <c r="E1049" s="1">
        <v>0.48281250000000003</v>
      </c>
      <c r="F1049" s="1" t="s">
        <v>13</v>
      </c>
      <c r="G1049" s="1">
        <v>3</v>
      </c>
      <c r="H1049" s="1">
        <v>3.1</v>
      </c>
      <c r="I1049" s="1">
        <v>0</v>
      </c>
      <c r="J1049" s="4">
        <v>41128</v>
      </c>
      <c r="K1049" s="4">
        <v>42223</v>
      </c>
      <c r="L1049">
        <f t="shared" si="16"/>
        <v>3.05</v>
      </c>
    </row>
    <row r="1050" spans="1:12" x14ac:dyDescent="0.15">
      <c r="A1050" s="1">
        <v>1049</v>
      </c>
      <c r="B1050" s="4">
        <v>41127</v>
      </c>
      <c r="C1050" s="1" t="s">
        <v>17</v>
      </c>
      <c r="D1050" s="1" t="s">
        <v>12</v>
      </c>
      <c r="E1050" s="1">
        <v>0.48281250000000003</v>
      </c>
      <c r="F1050" s="1" t="s">
        <v>13</v>
      </c>
      <c r="G1050" s="1">
        <v>2.98</v>
      </c>
      <c r="H1050" s="1">
        <v>3.38</v>
      </c>
      <c r="I1050" s="1">
        <v>0</v>
      </c>
      <c r="J1050" s="4">
        <v>41128</v>
      </c>
      <c r="K1050" s="4">
        <v>44415</v>
      </c>
      <c r="L1050">
        <f t="shared" si="16"/>
        <v>3.1799999999999997</v>
      </c>
    </row>
    <row r="1051" spans="1:12" x14ac:dyDescent="0.15">
      <c r="A1051" s="1">
        <v>1050</v>
      </c>
      <c r="B1051" s="4">
        <v>41127</v>
      </c>
      <c r="C1051" s="1" t="s">
        <v>21</v>
      </c>
      <c r="D1051" s="1" t="s">
        <v>12</v>
      </c>
      <c r="E1051" s="1">
        <v>0.48280092592592588</v>
      </c>
      <c r="F1051" s="1" t="s">
        <v>13</v>
      </c>
      <c r="G1051" s="1">
        <v>2.95</v>
      </c>
      <c r="H1051" s="1">
        <v>3.35</v>
      </c>
      <c r="I1051" s="1">
        <v>0</v>
      </c>
      <c r="J1051" s="4">
        <v>41128</v>
      </c>
      <c r="K1051" s="4">
        <v>43684</v>
      </c>
      <c r="L1051">
        <f t="shared" si="16"/>
        <v>3.1500000000000004</v>
      </c>
    </row>
    <row r="1052" spans="1:12" x14ac:dyDescent="0.15">
      <c r="A1052" s="1">
        <v>1051</v>
      </c>
      <c r="B1052" s="4">
        <v>41127</v>
      </c>
      <c r="C1052" s="1" t="s">
        <v>18</v>
      </c>
      <c r="D1052" s="1" t="s">
        <v>12</v>
      </c>
      <c r="E1052" s="1">
        <v>0.48280092592592588</v>
      </c>
      <c r="F1052" s="1" t="s">
        <v>13</v>
      </c>
      <c r="G1052" s="1">
        <v>3.04</v>
      </c>
      <c r="H1052" s="1">
        <v>3.14</v>
      </c>
      <c r="I1052" s="1">
        <v>0</v>
      </c>
      <c r="J1052" s="4">
        <v>41128</v>
      </c>
      <c r="K1052" s="4">
        <v>41858</v>
      </c>
      <c r="L1052">
        <f t="shared" si="16"/>
        <v>3.09</v>
      </c>
    </row>
    <row r="1053" spans="1:12" x14ac:dyDescent="0.15">
      <c r="A1053" s="1">
        <v>1052</v>
      </c>
      <c r="B1053" s="4">
        <v>41127</v>
      </c>
      <c r="C1053" s="1" t="s">
        <v>14</v>
      </c>
      <c r="D1053" s="1" t="s">
        <v>12</v>
      </c>
      <c r="E1053" s="1">
        <v>0.48280092592592588</v>
      </c>
      <c r="F1053" s="1" t="s">
        <v>13</v>
      </c>
      <c r="G1053" s="1">
        <v>3.15</v>
      </c>
      <c r="H1053" s="1">
        <v>3.25</v>
      </c>
      <c r="I1053" s="1">
        <v>0</v>
      </c>
      <c r="J1053" s="4">
        <v>41128</v>
      </c>
      <c r="K1053" s="4">
        <v>41493</v>
      </c>
      <c r="L1053">
        <f t="shared" si="16"/>
        <v>3.2</v>
      </c>
    </row>
    <row r="1054" spans="1:12" x14ac:dyDescent="0.15">
      <c r="A1054" s="1">
        <v>1053</v>
      </c>
      <c r="B1054" s="4">
        <v>41127</v>
      </c>
      <c r="C1054" s="1" t="s">
        <v>23</v>
      </c>
      <c r="D1054" s="1" t="s">
        <v>12</v>
      </c>
      <c r="E1054" s="1">
        <v>0.48280092592592588</v>
      </c>
      <c r="F1054" s="1" t="s">
        <v>13</v>
      </c>
      <c r="G1054" s="1">
        <v>2.97</v>
      </c>
      <c r="H1054" s="1">
        <v>3.17</v>
      </c>
      <c r="I1054" s="1">
        <v>0</v>
      </c>
      <c r="J1054" s="4">
        <v>41128</v>
      </c>
      <c r="K1054" s="4">
        <v>43319</v>
      </c>
      <c r="L1054">
        <f t="shared" si="16"/>
        <v>3.0700000000000003</v>
      </c>
    </row>
    <row r="1055" spans="1:12" x14ac:dyDescent="0.15">
      <c r="A1055" s="1">
        <v>1054</v>
      </c>
      <c r="B1055" s="4">
        <v>41127</v>
      </c>
      <c r="C1055" s="1" t="s">
        <v>20</v>
      </c>
      <c r="D1055" s="1" t="s">
        <v>12</v>
      </c>
      <c r="E1055" s="1">
        <v>0.48280092592592588</v>
      </c>
      <c r="F1055" s="1" t="s">
        <v>13</v>
      </c>
      <c r="G1055" s="1">
        <v>2.99</v>
      </c>
      <c r="H1055" s="1">
        <v>3.39</v>
      </c>
      <c r="I1055" s="1">
        <v>0</v>
      </c>
      <c r="J1055" s="4">
        <v>41128</v>
      </c>
      <c r="K1055" s="4">
        <v>44780</v>
      </c>
      <c r="L1055">
        <f t="shared" si="16"/>
        <v>3.1900000000000004</v>
      </c>
    </row>
    <row r="1056" spans="1:12" x14ac:dyDescent="0.15">
      <c r="A1056" s="1">
        <v>1055</v>
      </c>
      <c r="B1056" s="4">
        <v>41127</v>
      </c>
      <c r="C1056" s="1" t="s">
        <v>19</v>
      </c>
      <c r="D1056" s="1" t="s">
        <v>12</v>
      </c>
      <c r="E1056" s="1">
        <v>0.48280092592592588</v>
      </c>
      <c r="F1056" s="1" t="s">
        <v>13</v>
      </c>
      <c r="G1056" s="1">
        <v>3.25</v>
      </c>
      <c r="H1056" s="1">
        <v>3.35</v>
      </c>
      <c r="I1056" s="1">
        <v>0</v>
      </c>
      <c r="J1056" s="4">
        <v>41128</v>
      </c>
      <c r="K1056" s="4">
        <v>41401</v>
      </c>
      <c r="L1056">
        <f t="shared" si="16"/>
        <v>3.3</v>
      </c>
    </row>
    <row r="1057" spans="1:12" x14ac:dyDescent="0.15">
      <c r="A1057" s="1">
        <v>1056</v>
      </c>
      <c r="B1057" s="4">
        <v>41127</v>
      </c>
      <c r="C1057" s="1" t="s">
        <v>11</v>
      </c>
      <c r="D1057" s="1" t="s">
        <v>31</v>
      </c>
      <c r="E1057" s="1">
        <v>0.50035879629629632</v>
      </c>
      <c r="F1057" s="1" t="s">
        <v>13</v>
      </c>
      <c r="G1057" s="1">
        <v>2.93</v>
      </c>
      <c r="H1057" s="1">
        <v>3.01</v>
      </c>
      <c r="I1057" s="1">
        <v>0</v>
      </c>
      <c r="J1057" s="4">
        <v>41128</v>
      </c>
      <c r="K1057" s="4">
        <v>42223</v>
      </c>
      <c r="L1057">
        <f t="shared" si="16"/>
        <v>2.9699999999999998</v>
      </c>
    </row>
    <row r="1058" spans="1:12" x14ac:dyDescent="0.15">
      <c r="A1058" s="1">
        <v>1057</v>
      </c>
      <c r="B1058" s="4">
        <v>41127</v>
      </c>
      <c r="C1058" s="1" t="s">
        <v>19</v>
      </c>
      <c r="D1058" s="1" t="s">
        <v>26</v>
      </c>
      <c r="E1058" s="1">
        <v>0.67423611111111115</v>
      </c>
      <c r="F1058" s="1" t="s">
        <v>13</v>
      </c>
      <c r="G1058" s="1">
        <v>3.6</v>
      </c>
      <c r="H1058" s="1">
        <v>3.7</v>
      </c>
      <c r="I1058" s="1">
        <v>0</v>
      </c>
      <c r="J1058" s="4">
        <v>41128</v>
      </c>
      <c r="K1058" s="4">
        <v>41401</v>
      </c>
      <c r="L1058">
        <f t="shared" si="16"/>
        <v>3.6500000000000004</v>
      </c>
    </row>
    <row r="1059" spans="1:12" x14ac:dyDescent="0.15">
      <c r="A1059" s="1">
        <v>1058</v>
      </c>
      <c r="B1059" s="4">
        <v>41127</v>
      </c>
      <c r="C1059" s="1" t="s">
        <v>21</v>
      </c>
      <c r="D1059" s="1" t="s">
        <v>26</v>
      </c>
      <c r="E1059" s="1">
        <v>0.67423611111111115</v>
      </c>
      <c r="F1059" s="1" t="s">
        <v>13</v>
      </c>
      <c r="G1059" s="1">
        <v>3</v>
      </c>
      <c r="H1059" s="1">
        <v>3.3</v>
      </c>
      <c r="I1059" s="1">
        <v>0</v>
      </c>
      <c r="J1059" s="4">
        <v>41128</v>
      </c>
      <c r="K1059" s="4">
        <v>43684</v>
      </c>
      <c r="L1059">
        <f t="shared" si="16"/>
        <v>3.15</v>
      </c>
    </row>
    <row r="1060" spans="1:12" x14ac:dyDescent="0.15">
      <c r="A1060" s="1">
        <v>1059</v>
      </c>
      <c r="B1060" s="4">
        <v>41127</v>
      </c>
      <c r="C1060" s="1" t="s">
        <v>17</v>
      </c>
      <c r="D1060" s="1" t="s">
        <v>26</v>
      </c>
      <c r="E1060" s="1">
        <v>0.67423611111111115</v>
      </c>
      <c r="F1060" s="1" t="s">
        <v>13</v>
      </c>
      <c r="G1060" s="1">
        <v>3</v>
      </c>
      <c r="H1060" s="1">
        <v>3.3</v>
      </c>
      <c r="I1060" s="1">
        <v>0</v>
      </c>
      <c r="J1060" s="4">
        <v>41128</v>
      </c>
      <c r="K1060" s="4">
        <v>44415</v>
      </c>
      <c r="L1060">
        <f t="shared" si="16"/>
        <v>3.15</v>
      </c>
    </row>
    <row r="1061" spans="1:12" x14ac:dyDescent="0.15">
      <c r="A1061" s="1">
        <v>1060</v>
      </c>
      <c r="B1061" s="4">
        <v>41127</v>
      </c>
      <c r="C1061" s="1" t="s">
        <v>14</v>
      </c>
      <c r="D1061" s="1" t="s">
        <v>27</v>
      </c>
      <c r="E1061" s="1">
        <v>0.67517361111111107</v>
      </c>
      <c r="F1061" s="1" t="s">
        <v>13</v>
      </c>
      <c r="G1061" s="1">
        <v>3.2</v>
      </c>
      <c r="H1061" s="1">
        <v>3.26</v>
      </c>
      <c r="I1061" s="1">
        <v>0</v>
      </c>
      <c r="J1061" s="4">
        <v>41128</v>
      </c>
      <c r="K1061" s="4">
        <v>41493</v>
      </c>
      <c r="L1061">
        <f t="shared" si="16"/>
        <v>3.23</v>
      </c>
    </row>
    <row r="1062" spans="1:12" x14ac:dyDescent="0.15">
      <c r="A1062" s="1">
        <v>1061</v>
      </c>
      <c r="B1062" s="4">
        <v>41127</v>
      </c>
      <c r="C1062" s="1" t="s">
        <v>16</v>
      </c>
      <c r="D1062" s="1" t="s">
        <v>27</v>
      </c>
      <c r="E1062" s="1">
        <v>0.67517361111111107</v>
      </c>
      <c r="F1062" s="1" t="s">
        <v>13</v>
      </c>
      <c r="G1062" s="1">
        <v>2.95</v>
      </c>
      <c r="H1062" s="1">
        <v>3.05</v>
      </c>
      <c r="I1062" s="1">
        <v>0</v>
      </c>
      <c r="J1062" s="4">
        <v>41128</v>
      </c>
      <c r="K1062" s="4">
        <v>42589</v>
      </c>
      <c r="L1062">
        <f t="shared" si="16"/>
        <v>3</v>
      </c>
    </row>
    <row r="1063" spans="1:12" x14ac:dyDescent="0.15">
      <c r="A1063" s="1">
        <v>1062</v>
      </c>
      <c r="B1063" s="4">
        <v>41127</v>
      </c>
      <c r="C1063" s="1" t="s">
        <v>25</v>
      </c>
      <c r="D1063" s="1" t="s">
        <v>27</v>
      </c>
      <c r="E1063" s="1">
        <v>0.67517361111111107</v>
      </c>
      <c r="F1063" s="1" t="s">
        <v>13</v>
      </c>
      <c r="G1063" s="1">
        <v>3</v>
      </c>
      <c r="H1063" s="1">
        <v>3.05</v>
      </c>
      <c r="I1063" s="1">
        <v>0</v>
      </c>
      <c r="J1063" s="4">
        <v>41128</v>
      </c>
      <c r="K1063" s="4">
        <v>42954</v>
      </c>
      <c r="L1063">
        <f t="shared" si="16"/>
        <v>3.0249999999999999</v>
      </c>
    </row>
    <row r="1064" spans="1:12" x14ac:dyDescent="0.15">
      <c r="A1064" s="1">
        <v>1063</v>
      </c>
      <c r="B1064" s="4">
        <v>41127</v>
      </c>
      <c r="C1064" s="1" t="s">
        <v>25</v>
      </c>
      <c r="D1064" s="1" t="s">
        <v>26</v>
      </c>
      <c r="E1064" s="1">
        <v>0.67423611111111115</v>
      </c>
      <c r="F1064" s="1" t="s">
        <v>13</v>
      </c>
      <c r="G1064" s="1">
        <v>3</v>
      </c>
      <c r="H1064" s="1">
        <v>3.1</v>
      </c>
      <c r="I1064" s="1">
        <v>0</v>
      </c>
      <c r="J1064" s="4">
        <v>41128</v>
      </c>
      <c r="K1064" s="4">
        <v>42954</v>
      </c>
      <c r="L1064">
        <f t="shared" si="16"/>
        <v>3.05</v>
      </c>
    </row>
    <row r="1065" spans="1:12" x14ac:dyDescent="0.15">
      <c r="A1065" s="1">
        <v>1064</v>
      </c>
      <c r="B1065" s="4">
        <v>41127</v>
      </c>
      <c r="C1065" s="1" t="s">
        <v>20</v>
      </c>
      <c r="D1065" s="1" t="s">
        <v>26</v>
      </c>
      <c r="E1065" s="1">
        <v>0.67422453703703711</v>
      </c>
      <c r="F1065" s="1" t="s">
        <v>13</v>
      </c>
      <c r="G1065" s="1">
        <v>3</v>
      </c>
      <c r="H1065" s="1">
        <v>3.3</v>
      </c>
      <c r="I1065" s="1">
        <v>0</v>
      </c>
      <c r="J1065" s="4">
        <v>41128</v>
      </c>
      <c r="K1065" s="4">
        <v>44780</v>
      </c>
      <c r="L1065">
        <f t="shared" si="16"/>
        <v>3.15</v>
      </c>
    </row>
    <row r="1066" spans="1:12" x14ac:dyDescent="0.15">
      <c r="A1066" s="1">
        <v>1065</v>
      </c>
      <c r="B1066" s="4">
        <v>41127</v>
      </c>
      <c r="C1066" s="1" t="s">
        <v>24</v>
      </c>
      <c r="D1066" s="1" t="s">
        <v>26</v>
      </c>
      <c r="E1066" s="1">
        <v>0.67422453703703711</v>
      </c>
      <c r="F1066" s="1" t="s">
        <v>13</v>
      </c>
      <c r="G1066" s="1">
        <v>3</v>
      </c>
      <c r="H1066" s="1">
        <v>3.3</v>
      </c>
      <c r="I1066" s="1">
        <v>0</v>
      </c>
      <c r="J1066" s="4">
        <v>41128</v>
      </c>
      <c r="K1066" s="4">
        <v>44050</v>
      </c>
      <c r="L1066">
        <f t="shared" si="16"/>
        <v>3.15</v>
      </c>
    </row>
    <row r="1067" spans="1:12" x14ac:dyDescent="0.15">
      <c r="A1067" s="1">
        <v>1066</v>
      </c>
      <c r="B1067" s="4">
        <v>41127</v>
      </c>
      <c r="C1067" s="1" t="s">
        <v>18</v>
      </c>
      <c r="D1067" s="1" t="s">
        <v>26</v>
      </c>
      <c r="E1067" s="1">
        <v>0.67423611111111115</v>
      </c>
      <c r="F1067" s="1" t="s">
        <v>13</v>
      </c>
      <c r="G1067" s="1">
        <v>3.05</v>
      </c>
      <c r="H1067" s="1">
        <v>3.1</v>
      </c>
      <c r="I1067" s="1">
        <v>0</v>
      </c>
      <c r="J1067" s="4">
        <v>41128</v>
      </c>
      <c r="K1067" s="4">
        <v>41858</v>
      </c>
      <c r="L1067">
        <f t="shared" si="16"/>
        <v>3.0750000000000002</v>
      </c>
    </row>
    <row r="1068" spans="1:12" x14ac:dyDescent="0.15">
      <c r="A1068" s="1">
        <v>1067</v>
      </c>
      <c r="B1068" s="4">
        <v>41127</v>
      </c>
      <c r="C1068" s="1" t="s">
        <v>11</v>
      </c>
      <c r="D1068" s="1" t="s">
        <v>26</v>
      </c>
      <c r="E1068" s="1">
        <v>0.67423611111111115</v>
      </c>
      <c r="F1068" s="1" t="s">
        <v>13</v>
      </c>
      <c r="G1068" s="1">
        <v>3</v>
      </c>
      <c r="H1068" s="1">
        <v>3.05</v>
      </c>
      <c r="I1068" s="1">
        <v>0</v>
      </c>
      <c r="J1068" s="4">
        <v>41128</v>
      </c>
      <c r="K1068" s="4">
        <v>42223</v>
      </c>
      <c r="L1068">
        <f t="shared" si="16"/>
        <v>3.0249999999999999</v>
      </c>
    </row>
    <row r="1069" spans="1:12" x14ac:dyDescent="0.15">
      <c r="A1069" s="1">
        <v>1068</v>
      </c>
      <c r="B1069" s="4">
        <v>41127</v>
      </c>
      <c r="C1069" s="1" t="s">
        <v>16</v>
      </c>
      <c r="D1069" s="1" t="s">
        <v>26</v>
      </c>
      <c r="E1069" s="1">
        <v>0.67423611111111115</v>
      </c>
      <c r="F1069" s="1" t="s">
        <v>13</v>
      </c>
      <c r="G1069" s="1">
        <v>3</v>
      </c>
      <c r="H1069" s="1">
        <v>3.05</v>
      </c>
      <c r="I1069" s="1">
        <v>0</v>
      </c>
      <c r="J1069" s="4">
        <v>41128</v>
      </c>
      <c r="K1069" s="4">
        <v>42589</v>
      </c>
      <c r="L1069">
        <f t="shared" si="16"/>
        <v>3.0249999999999999</v>
      </c>
    </row>
    <row r="1070" spans="1:12" x14ac:dyDescent="0.15">
      <c r="A1070" s="1">
        <v>1069</v>
      </c>
      <c r="B1070" s="4">
        <v>41127</v>
      </c>
      <c r="C1070" s="1" t="s">
        <v>20</v>
      </c>
      <c r="D1070" s="1" t="s">
        <v>15</v>
      </c>
      <c r="E1070" s="1">
        <v>0.67631944444444436</v>
      </c>
      <c r="F1070" s="1" t="s">
        <v>13</v>
      </c>
      <c r="G1070" s="1">
        <v>3.11</v>
      </c>
      <c r="H1070" s="1">
        <v>3.17</v>
      </c>
      <c r="I1070" s="1">
        <v>0</v>
      </c>
      <c r="J1070" s="4">
        <v>41128</v>
      </c>
      <c r="K1070" s="4">
        <v>44780</v>
      </c>
      <c r="L1070">
        <f t="shared" si="16"/>
        <v>3.1399999999999997</v>
      </c>
    </row>
    <row r="1071" spans="1:12" x14ac:dyDescent="0.15">
      <c r="A1071" s="1">
        <v>1070</v>
      </c>
      <c r="B1071" s="4">
        <v>41127</v>
      </c>
      <c r="C1071" s="1" t="s">
        <v>19</v>
      </c>
      <c r="D1071" s="1" t="s">
        <v>15</v>
      </c>
      <c r="E1071" s="1">
        <v>0.67631944444444436</v>
      </c>
      <c r="F1071" s="1" t="s">
        <v>13</v>
      </c>
      <c r="G1071" s="1">
        <v>3.28</v>
      </c>
      <c r="H1071" s="1">
        <v>3.34</v>
      </c>
      <c r="I1071" s="1">
        <v>0</v>
      </c>
      <c r="J1071" s="4">
        <v>41128</v>
      </c>
      <c r="K1071" s="4">
        <v>41401</v>
      </c>
      <c r="L1071">
        <f t="shared" si="16"/>
        <v>3.3099999999999996</v>
      </c>
    </row>
    <row r="1072" spans="1:12" x14ac:dyDescent="0.15">
      <c r="A1072" s="1">
        <v>1071</v>
      </c>
      <c r="B1072" s="4">
        <v>41127</v>
      </c>
      <c r="C1072" s="1" t="s">
        <v>22</v>
      </c>
      <c r="D1072" s="1" t="s">
        <v>15</v>
      </c>
      <c r="E1072" s="1">
        <v>0.67630787037037043</v>
      </c>
      <c r="F1072" s="1" t="s">
        <v>13</v>
      </c>
      <c r="G1072" s="1">
        <v>3.46</v>
      </c>
      <c r="H1072" s="1">
        <v>3.52</v>
      </c>
      <c r="I1072" s="1">
        <v>0</v>
      </c>
      <c r="J1072" s="4">
        <v>41128</v>
      </c>
      <c r="K1072" s="4">
        <v>41312</v>
      </c>
      <c r="L1072">
        <f t="shared" si="16"/>
        <v>3.49</v>
      </c>
    </row>
    <row r="1073" spans="1:12" x14ac:dyDescent="0.15">
      <c r="A1073" s="1">
        <v>1072</v>
      </c>
      <c r="B1073" s="4">
        <v>41127</v>
      </c>
      <c r="C1073" s="1" t="s">
        <v>11</v>
      </c>
      <c r="D1073" s="1" t="s">
        <v>15</v>
      </c>
      <c r="E1073" s="1">
        <v>0.67631944444444436</v>
      </c>
      <c r="F1073" s="1" t="s">
        <v>13</v>
      </c>
      <c r="G1073" s="1">
        <v>2.98</v>
      </c>
      <c r="H1073" s="1">
        <v>3.04</v>
      </c>
      <c r="I1073" s="1">
        <v>0</v>
      </c>
      <c r="J1073" s="4">
        <v>41128</v>
      </c>
      <c r="K1073" s="4">
        <v>42223</v>
      </c>
      <c r="L1073">
        <f t="shared" si="16"/>
        <v>3.01</v>
      </c>
    </row>
    <row r="1074" spans="1:12" x14ac:dyDescent="0.15">
      <c r="A1074" s="1">
        <v>1073</v>
      </c>
      <c r="B1074" s="4">
        <v>41127</v>
      </c>
      <c r="C1074" s="1" t="s">
        <v>16</v>
      </c>
      <c r="D1074" s="1" t="s">
        <v>15</v>
      </c>
      <c r="E1074" s="1">
        <v>0.67631944444444436</v>
      </c>
      <c r="F1074" s="1" t="s">
        <v>13</v>
      </c>
      <c r="G1074" s="1">
        <v>2.97</v>
      </c>
      <c r="H1074" s="1">
        <v>3.03</v>
      </c>
      <c r="I1074" s="1">
        <v>0</v>
      </c>
      <c r="J1074" s="4">
        <v>41128</v>
      </c>
      <c r="K1074" s="4">
        <v>42589</v>
      </c>
      <c r="L1074">
        <f t="shared" si="16"/>
        <v>3</v>
      </c>
    </row>
    <row r="1075" spans="1:12" x14ac:dyDescent="0.15">
      <c r="A1075" s="1">
        <v>1074</v>
      </c>
      <c r="B1075" s="4">
        <v>41127</v>
      </c>
      <c r="C1075" s="1" t="s">
        <v>25</v>
      </c>
      <c r="D1075" s="1" t="s">
        <v>15</v>
      </c>
      <c r="E1075" s="1">
        <v>0.67631944444444436</v>
      </c>
      <c r="F1075" s="1" t="s">
        <v>13</v>
      </c>
      <c r="G1075" s="1">
        <v>3</v>
      </c>
      <c r="H1075" s="1">
        <v>3.06</v>
      </c>
      <c r="I1075" s="1">
        <v>0</v>
      </c>
      <c r="J1075" s="4">
        <v>41128</v>
      </c>
      <c r="K1075" s="4">
        <v>42954</v>
      </c>
      <c r="L1075">
        <f t="shared" si="16"/>
        <v>3.0300000000000002</v>
      </c>
    </row>
    <row r="1076" spans="1:12" x14ac:dyDescent="0.15">
      <c r="A1076" s="1">
        <v>1075</v>
      </c>
      <c r="B1076" s="4">
        <v>41127</v>
      </c>
      <c r="C1076" s="1" t="s">
        <v>22</v>
      </c>
      <c r="D1076" s="1" t="s">
        <v>27</v>
      </c>
      <c r="E1076" s="1">
        <v>0.67517361111111107</v>
      </c>
      <c r="F1076" s="1" t="s">
        <v>13</v>
      </c>
      <c r="G1076" s="1">
        <v>3.43</v>
      </c>
      <c r="H1076" s="1">
        <v>3.5</v>
      </c>
      <c r="I1076" s="1">
        <v>0</v>
      </c>
      <c r="J1076" s="4">
        <v>41128</v>
      </c>
      <c r="K1076" s="4">
        <v>41312</v>
      </c>
      <c r="L1076">
        <f t="shared" si="16"/>
        <v>3.4649999999999999</v>
      </c>
    </row>
    <row r="1077" spans="1:12" x14ac:dyDescent="0.15">
      <c r="A1077" s="1">
        <v>1076</v>
      </c>
      <c r="B1077" s="4">
        <v>41127</v>
      </c>
      <c r="C1077" s="1" t="s">
        <v>18</v>
      </c>
      <c r="D1077" s="1" t="s">
        <v>27</v>
      </c>
      <c r="E1077" s="1">
        <v>0.67517361111111107</v>
      </c>
      <c r="F1077" s="1" t="s">
        <v>13</v>
      </c>
      <c r="G1077" s="1">
        <v>3.01</v>
      </c>
      <c r="H1077" s="1">
        <v>3.11</v>
      </c>
      <c r="I1077" s="1">
        <v>0</v>
      </c>
      <c r="J1077" s="4">
        <v>41128</v>
      </c>
      <c r="K1077" s="4">
        <v>41858</v>
      </c>
      <c r="L1077">
        <f t="shared" si="16"/>
        <v>3.0599999999999996</v>
      </c>
    </row>
    <row r="1078" spans="1:12" x14ac:dyDescent="0.15">
      <c r="A1078" s="1">
        <v>1077</v>
      </c>
      <c r="B1078" s="4">
        <v>41127</v>
      </c>
      <c r="C1078" s="1" t="s">
        <v>11</v>
      </c>
      <c r="D1078" s="1" t="s">
        <v>27</v>
      </c>
      <c r="E1078" s="1">
        <v>0.67517361111111107</v>
      </c>
      <c r="F1078" s="1" t="s">
        <v>13</v>
      </c>
      <c r="G1078" s="1">
        <v>3</v>
      </c>
      <c r="H1078" s="1">
        <v>3.1</v>
      </c>
      <c r="I1078" s="1">
        <v>0</v>
      </c>
      <c r="J1078" s="4">
        <v>41128</v>
      </c>
      <c r="K1078" s="4">
        <v>42223</v>
      </c>
      <c r="L1078">
        <f t="shared" si="16"/>
        <v>3.05</v>
      </c>
    </row>
    <row r="1079" spans="1:12" x14ac:dyDescent="0.15">
      <c r="A1079" s="1">
        <v>1078</v>
      </c>
      <c r="B1079" s="4">
        <v>41127</v>
      </c>
      <c r="C1079" s="1" t="s">
        <v>21</v>
      </c>
      <c r="D1079" s="1" t="s">
        <v>15</v>
      </c>
      <c r="E1079" s="1">
        <v>0.67630787037037043</v>
      </c>
      <c r="F1079" s="1" t="s">
        <v>13</v>
      </c>
      <c r="G1079" s="1">
        <v>3.06</v>
      </c>
      <c r="H1079" s="1">
        <v>3.12</v>
      </c>
      <c r="I1079" s="1">
        <v>0</v>
      </c>
      <c r="J1079" s="4">
        <v>41128</v>
      </c>
      <c r="K1079" s="4">
        <v>43684</v>
      </c>
      <c r="L1079">
        <f t="shared" si="16"/>
        <v>3.09</v>
      </c>
    </row>
    <row r="1080" spans="1:12" x14ac:dyDescent="0.15">
      <c r="A1080" s="1">
        <v>1079</v>
      </c>
      <c r="B1080" s="4">
        <v>41127</v>
      </c>
      <c r="C1080" s="1" t="s">
        <v>18</v>
      </c>
      <c r="D1080" s="1" t="s">
        <v>15</v>
      </c>
      <c r="E1080" s="1">
        <v>0.67630787037037043</v>
      </c>
      <c r="F1080" s="1" t="s">
        <v>13</v>
      </c>
      <c r="G1080" s="1">
        <v>3.03</v>
      </c>
      <c r="H1080" s="1">
        <v>3.09</v>
      </c>
      <c r="I1080" s="1">
        <v>0</v>
      </c>
      <c r="J1080" s="4">
        <v>41128</v>
      </c>
      <c r="K1080" s="4">
        <v>41858</v>
      </c>
      <c r="L1080">
        <f t="shared" si="16"/>
        <v>3.0599999999999996</v>
      </c>
    </row>
    <row r="1081" spans="1:12" x14ac:dyDescent="0.15">
      <c r="A1081" s="1">
        <v>1080</v>
      </c>
      <c r="B1081" s="4">
        <v>41127</v>
      </c>
      <c r="C1081" s="1" t="s">
        <v>14</v>
      </c>
      <c r="D1081" s="1" t="s">
        <v>15</v>
      </c>
      <c r="E1081" s="1">
        <v>0.67630787037037043</v>
      </c>
      <c r="F1081" s="1" t="s">
        <v>13</v>
      </c>
      <c r="G1081" s="1">
        <v>3.18</v>
      </c>
      <c r="H1081" s="1">
        <v>3.24</v>
      </c>
      <c r="I1081" s="1">
        <v>0</v>
      </c>
      <c r="J1081" s="4">
        <v>41128</v>
      </c>
      <c r="K1081" s="4">
        <v>41493</v>
      </c>
      <c r="L1081">
        <f t="shared" si="16"/>
        <v>3.21</v>
      </c>
    </row>
    <row r="1082" spans="1:12" x14ac:dyDescent="0.15">
      <c r="A1082" s="1">
        <v>1081</v>
      </c>
      <c r="B1082" s="4">
        <v>41127</v>
      </c>
      <c r="C1082" s="1" t="s">
        <v>14</v>
      </c>
      <c r="D1082" s="1" t="s">
        <v>32</v>
      </c>
      <c r="E1082" s="1">
        <v>0.51252314814814814</v>
      </c>
      <c r="F1082" s="1" t="s">
        <v>13</v>
      </c>
      <c r="G1082" s="1">
        <v>3.28</v>
      </c>
      <c r="H1082" s="1">
        <v>3.33</v>
      </c>
      <c r="I1082" s="1">
        <v>0</v>
      </c>
      <c r="J1082" s="4">
        <v>41128</v>
      </c>
      <c r="K1082" s="4">
        <v>41493</v>
      </c>
      <c r="L1082">
        <f t="shared" si="16"/>
        <v>3.3049999999999997</v>
      </c>
    </row>
    <row r="1083" spans="1:12" x14ac:dyDescent="0.15">
      <c r="A1083" s="1">
        <v>1082</v>
      </c>
      <c r="B1083" s="4">
        <v>41127</v>
      </c>
      <c r="C1083" s="1" t="s">
        <v>19</v>
      </c>
      <c r="D1083" s="1" t="s">
        <v>32</v>
      </c>
      <c r="E1083" s="1">
        <v>0.51252314814814814</v>
      </c>
      <c r="F1083" s="1" t="s">
        <v>13</v>
      </c>
      <c r="G1083" s="1">
        <v>3.31</v>
      </c>
      <c r="H1083" s="1">
        <v>3.36</v>
      </c>
      <c r="I1083" s="1">
        <v>0</v>
      </c>
      <c r="J1083" s="4">
        <v>41128</v>
      </c>
      <c r="K1083" s="4">
        <v>41401</v>
      </c>
      <c r="L1083">
        <f t="shared" si="16"/>
        <v>3.335</v>
      </c>
    </row>
    <row r="1084" spans="1:12" x14ac:dyDescent="0.15">
      <c r="A1084" s="1">
        <v>1083</v>
      </c>
      <c r="B1084" s="4">
        <v>41127</v>
      </c>
      <c r="C1084" s="1" t="s">
        <v>22</v>
      </c>
      <c r="D1084" s="1" t="s">
        <v>32</v>
      </c>
      <c r="E1084" s="1">
        <v>0.51252314814814814</v>
      </c>
      <c r="F1084" s="1" t="s">
        <v>13</v>
      </c>
      <c r="G1084" s="1">
        <v>3.5</v>
      </c>
      <c r="H1084" s="1">
        <v>3.55</v>
      </c>
      <c r="I1084" s="1">
        <v>0</v>
      </c>
      <c r="J1084" s="4">
        <v>41128</v>
      </c>
      <c r="K1084" s="4">
        <v>41312</v>
      </c>
      <c r="L1084">
        <f t="shared" si="16"/>
        <v>3.5249999999999999</v>
      </c>
    </row>
    <row r="1085" spans="1:12" x14ac:dyDescent="0.15">
      <c r="A1085" s="1">
        <v>1084</v>
      </c>
      <c r="B1085" s="4">
        <v>41127</v>
      </c>
      <c r="C1085" s="1" t="s">
        <v>23</v>
      </c>
      <c r="D1085" s="1" t="s">
        <v>12</v>
      </c>
      <c r="E1085" s="1">
        <v>0.66697916666666668</v>
      </c>
      <c r="F1085" s="1" t="s">
        <v>13</v>
      </c>
      <c r="G1085" s="1">
        <v>2.97</v>
      </c>
      <c r="H1085" s="1">
        <v>3.17</v>
      </c>
      <c r="I1085" s="1">
        <v>0</v>
      </c>
      <c r="J1085" s="4">
        <v>41128</v>
      </c>
      <c r="K1085" s="4">
        <v>43319</v>
      </c>
      <c r="L1085">
        <f t="shared" si="16"/>
        <v>3.0700000000000003</v>
      </c>
    </row>
    <row r="1086" spans="1:12" x14ac:dyDescent="0.15">
      <c r="A1086" s="1">
        <v>1085</v>
      </c>
      <c r="B1086" s="4">
        <v>41127</v>
      </c>
      <c r="C1086" s="1" t="s">
        <v>14</v>
      </c>
      <c r="D1086" s="1" t="s">
        <v>12</v>
      </c>
      <c r="E1086" s="1">
        <v>0.66697916666666668</v>
      </c>
      <c r="F1086" s="1" t="s">
        <v>13</v>
      </c>
      <c r="G1086" s="1">
        <v>3.15</v>
      </c>
      <c r="H1086" s="1">
        <v>3.25</v>
      </c>
      <c r="I1086" s="1">
        <v>0</v>
      </c>
      <c r="J1086" s="4">
        <v>41128</v>
      </c>
      <c r="K1086" s="4">
        <v>41493</v>
      </c>
      <c r="L1086">
        <f t="shared" si="16"/>
        <v>3.2</v>
      </c>
    </row>
    <row r="1087" spans="1:12" x14ac:dyDescent="0.15">
      <c r="A1087" s="1">
        <v>1086</v>
      </c>
      <c r="B1087" s="4">
        <v>41127</v>
      </c>
      <c r="C1087" s="1" t="s">
        <v>22</v>
      </c>
      <c r="D1087" s="1" t="s">
        <v>12</v>
      </c>
      <c r="E1087" s="1">
        <v>0.66697916666666668</v>
      </c>
      <c r="F1087" s="1" t="s">
        <v>13</v>
      </c>
      <c r="G1087" s="1">
        <v>3.45</v>
      </c>
      <c r="H1087" s="1">
        <v>3.55</v>
      </c>
      <c r="I1087" s="1">
        <v>0</v>
      </c>
      <c r="J1087" s="4">
        <v>41128</v>
      </c>
      <c r="K1087" s="4">
        <v>41312</v>
      </c>
      <c r="L1087">
        <f t="shared" si="16"/>
        <v>3.5</v>
      </c>
    </row>
    <row r="1088" spans="1:12" x14ac:dyDescent="0.15">
      <c r="A1088" s="1">
        <v>1087</v>
      </c>
      <c r="B1088" s="4">
        <v>41127</v>
      </c>
      <c r="C1088" s="1" t="s">
        <v>16</v>
      </c>
      <c r="D1088" s="1" t="s">
        <v>32</v>
      </c>
      <c r="E1088" s="1">
        <v>0.51252314814814814</v>
      </c>
      <c r="F1088" s="1" t="s">
        <v>13</v>
      </c>
      <c r="G1088" s="1">
        <v>3.05</v>
      </c>
      <c r="H1088" s="1">
        <v>3.1</v>
      </c>
      <c r="I1088" s="1">
        <v>0</v>
      </c>
      <c r="J1088" s="4">
        <v>41128</v>
      </c>
      <c r="K1088" s="4">
        <v>42589</v>
      </c>
      <c r="L1088">
        <f t="shared" si="16"/>
        <v>3.0750000000000002</v>
      </c>
    </row>
    <row r="1089" spans="1:12" x14ac:dyDescent="0.15">
      <c r="A1089" s="1">
        <v>1088</v>
      </c>
      <c r="B1089" s="4">
        <v>41127</v>
      </c>
      <c r="C1089" s="1" t="s">
        <v>11</v>
      </c>
      <c r="D1089" s="1" t="s">
        <v>32</v>
      </c>
      <c r="E1089" s="1">
        <v>0.51252314814814814</v>
      </c>
      <c r="F1089" s="1" t="s">
        <v>13</v>
      </c>
      <c r="G1089" s="1">
        <v>3.05</v>
      </c>
      <c r="H1089" s="1">
        <v>3.1</v>
      </c>
      <c r="I1089" s="1">
        <v>0</v>
      </c>
      <c r="J1089" s="4">
        <v>41128</v>
      </c>
      <c r="K1089" s="4">
        <v>42223</v>
      </c>
      <c r="L1089">
        <f t="shared" si="16"/>
        <v>3.0750000000000002</v>
      </c>
    </row>
    <row r="1090" spans="1:12" x14ac:dyDescent="0.15">
      <c r="A1090" s="1">
        <v>1089</v>
      </c>
      <c r="B1090" s="4">
        <v>41127</v>
      </c>
      <c r="C1090" s="1" t="s">
        <v>18</v>
      </c>
      <c r="D1090" s="1" t="s">
        <v>32</v>
      </c>
      <c r="E1090" s="1">
        <v>0.51252314814814814</v>
      </c>
      <c r="F1090" s="1" t="s">
        <v>13</v>
      </c>
      <c r="G1090" s="1">
        <v>3.05</v>
      </c>
      <c r="H1090" s="1">
        <v>3.1</v>
      </c>
      <c r="I1090" s="1">
        <v>0</v>
      </c>
      <c r="J1090" s="4">
        <v>41128</v>
      </c>
      <c r="K1090" s="4">
        <v>41858</v>
      </c>
      <c r="L1090">
        <f t="shared" si="16"/>
        <v>3.0750000000000002</v>
      </c>
    </row>
    <row r="1091" spans="1:12" x14ac:dyDescent="0.15">
      <c r="A1091" s="1">
        <v>1090</v>
      </c>
      <c r="B1091" s="4">
        <v>41127</v>
      </c>
      <c r="C1091" s="1" t="s">
        <v>20</v>
      </c>
      <c r="D1091" s="1" t="s">
        <v>32</v>
      </c>
      <c r="E1091" s="1">
        <v>0.51252314814814814</v>
      </c>
      <c r="F1091" s="1" t="s">
        <v>13</v>
      </c>
      <c r="G1091" s="1">
        <v>3.2</v>
      </c>
      <c r="H1091" s="1">
        <v>3.3</v>
      </c>
      <c r="I1091" s="1">
        <v>0</v>
      </c>
      <c r="J1091" s="4">
        <v>41128</v>
      </c>
      <c r="K1091" s="4">
        <v>44780</v>
      </c>
      <c r="L1091">
        <f t="shared" ref="L1091:L1154" si="17">AVERAGE(G1091:H1091)</f>
        <v>3.25</v>
      </c>
    </row>
    <row r="1092" spans="1:12" x14ac:dyDescent="0.15">
      <c r="A1092" s="1">
        <v>1091</v>
      </c>
      <c r="B1092" s="4">
        <v>41127</v>
      </c>
      <c r="C1092" s="1" t="s">
        <v>21</v>
      </c>
      <c r="D1092" s="1" t="s">
        <v>32</v>
      </c>
      <c r="E1092" s="1">
        <v>0.51252314814814814</v>
      </c>
      <c r="F1092" s="1" t="s">
        <v>13</v>
      </c>
      <c r="G1092" s="1">
        <v>3.15</v>
      </c>
      <c r="H1092" s="1">
        <v>3.25</v>
      </c>
      <c r="I1092" s="1">
        <v>0</v>
      </c>
      <c r="J1092" s="4">
        <v>41128</v>
      </c>
      <c r="K1092" s="4">
        <v>43684</v>
      </c>
      <c r="L1092">
        <f t="shared" si="17"/>
        <v>3.2</v>
      </c>
    </row>
    <row r="1093" spans="1:12" x14ac:dyDescent="0.15">
      <c r="A1093" s="1">
        <v>1092</v>
      </c>
      <c r="B1093" s="4">
        <v>41127</v>
      </c>
      <c r="C1093" s="1" t="s">
        <v>25</v>
      </c>
      <c r="D1093" s="1" t="s">
        <v>32</v>
      </c>
      <c r="E1093" s="1">
        <v>0.51252314814814814</v>
      </c>
      <c r="F1093" s="1" t="s">
        <v>13</v>
      </c>
      <c r="G1093" s="1">
        <v>3.1</v>
      </c>
      <c r="H1093" s="1">
        <v>3.15</v>
      </c>
      <c r="I1093" s="1">
        <v>0</v>
      </c>
      <c r="J1093" s="4">
        <v>41128</v>
      </c>
      <c r="K1093" s="4">
        <v>42954</v>
      </c>
      <c r="L1093">
        <f t="shared" si="17"/>
        <v>3.125</v>
      </c>
    </row>
    <row r="1094" spans="1:12" x14ac:dyDescent="0.15">
      <c r="A1094" s="1">
        <v>1093</v>
      </c>
      <c r="B1094" s="4">
        <v>41127</v>
      </c>
      <c r="C1094" s="1" t="s">
        <v>11</v>
      </c>
      <c r="D1094" s="1" t="s">
        <v>12</v>
      </c>
      <c r="E1094" s="1">
        <v>0.66701388888888891</v>
      </c>
      <c r="F1094" s="1" t="s">
        <v>13</v>
      </c>
      <c r="G1094" s="1">
        <v>3</v>
      </c>
      <c r="H1094" s="1">
        <v>3.1</v>
      </c>
      <c r="I1094" s="1">
        <v>0</v>
      </c>
      <c r="J1094" s="4">
        <v>41128</v>
      </c>
      <c r="K1094" s="4">
        <v>42223</v>
      </c>
      <c r="L1094">
        <f t="shared" si="17"/>
        <v>3.05</v>
      </c>
    </row>
    <row r="1095" spans="1:12" x14ac:dyDescent="0.15">
      <c r="A1095" s="1">
        <v>1094</v>
      </c>
      <c r="B1095" s="4">
        <v>41127</v>
      </c>
      <c r="C1095" s="1" t="s">
        <v>17</v>
      </c>
      <c r="D1095" s="1" t="s">
        <v>12</v>
      </c>
      <c r="E1095" s="1">
        <v>0.66701388888888891</v>
      </c>
      <c r="F1095" s="1" t="s">
        <v>13</v>
      </c>
      <c r="G1095" s="1">
        <v>2.98</v>
      </c>
      <c r="H1095" s="1">
        <v>3.38</v>
      </c>
      <c r="I1095" s="1">
        <v>0</v>
      </c>
      <c r="J1095" s="4">
        <v>41128</v>
      </c>
      <c r="K1095" s="4">
        <v>44415</v>
      </c>
      <c r="L1095">
        <f t="shared" si="17"/>
        <v>3.1799999999999997</v>
      </c>
    </row>
    <row r="1096" spans="1:12" x14ac:dyDescent="0.15">
      <c r="A1096" s="1">
        <v>1095</v>
      </c>
      <c r="B1096" s="4">
        <v>41127</v>
      </c>
      <c r="C1096" s="1" t="s">
        <v>16</v>
      </c>
      <c r="D1096" s="1" t="s">
        <v>12</v>
      </c>
      <c r="E1096" s="1">
        <v>0.66701388888888891</v>
      </c>
      <c r="F1096" s="1" t="s">
        <v>13</v>
      </c>
      <c r="G1096" s="1">
        <v>3</v>
      </c>
      <c r="H1096" s="1">
        <v>3.1</v>
      </c>
      <c r="I1096" s="1">
        <v>0</v>
      </c>
      <c r="J1096" s="4">
        <v>41128</v>
      </c>
      <c r="K1096" s="4">
        <v>42589</v>
      </c>
      <c r="L1096">
        <f t="shared" si="17"/>
        <v>3.05</v>
      </c>
    </row>
    <row r="1097" spans="1:12" x14ac:dyDescent="0.15">
      <c r="A1097" s="1">
        <v>1096</v>
      </c>
      <c r="B1097" s="4">
        <v>41127</v>
      </c>
      <c r="C1097" s="1" t="s">
        <v>14</v>
      </c>
      <c r="D1097" s="1" t="s">
        <v>26</v>
      </c>
      <c r="E1097" s="1">
        <v>0.67422453703703711</v>
      </c>
      <c r="F1097" s="1" t="s">
        <v>13</v>
      </c>
      <c r="G1097" s="1">
        <v>3.15</v>
      </c>
      <c r="H1097" s="1">
        <v>3.25</v>
      </c>
      <c r="I1097" s="1">
        <v>0</v>
      </c>
      <c r="J1097" s="4">
        <v>41128</v>
      </c>
      <c r="K1097" s="4">
        <v>41493</v>
      </c>
      <c r="L1097">
        <f t="shared" si="17"/>
        <v>3.2</v>
      </c>
    </row>
    <row r="1098" spans="1:12" x14ac:dyDescent="0.15">
      <c r="A1098" s="1">
        <v>1097</v>
      </c>
      <c r="B1098" s="4">
        <v>41127</v>
      </c>
      <c r="C1098" s="1" t="s">
        <v>22</v>
      </c>
      <c r="D1098" s="1" t="s">
        <v>26</v>
      </c>
      <c r="E1098" s="1">
        <v>0.67422453703703711</v>
      </c>
      <c r="F1098" s="1" t="s">
        <v>13</v>
      </c>
      <c r="G1098" s="1">
        <v>3.3</v>
      </c>
      <c r="H1098" s="1">
        <v>3.5</v>
      </c>
      <c r="I1098" s="1">
        <v>0</v>
      </c>
      <c r="J1098" s="4">
        <v>41128</v>
      </c>
      <c r="K1098" s="4">
        <v>41312</v>
      </c>
      <c r="L1098">
        <f t="shared" si="17"/>
        <v>3.4</v>
      </c>
    </row>
    <row r="1099" spans="1:12" x14ac:dyDescent="0.15">
      <c r="A1099" s="1">
        <v>1098</v>
      </c>
      <c r="B1099" s="4">
        <v>41127</v>
      </c>
      <c r="C1099" s="1" t="s">
        <v>23</v>
      </c>
      <c r="D1099" s="1" t="s">
        <v>26</v>
      </c>
      <c r="E1099" s="1">
        <v>0.67422453703703711</v>
      </c>
      <c r="F1099" s="1" t="s">
        <v>13</v>
      </c>
      <c r="G1099" s="1">
        <v>3</v>
      </c>
      <c r="H1099" s="1">
        <v>3.3</v>
      </c>
      <c r="I1099" s="1">
        <v>0</v>
      </c>
      <c r="J1099" s="4">
        <v>41128</v>
      </c>
      <c r="K1099" s="4">
        <v>43319</v>
      </c>
      <c r="L1099">
        <f t="shared" si="17"/>
        <v>3.15</v>
      </c>
    </row>
    <row r="1100" spans="1:12" x14ac:dyDescent="0.15">
      <c r="A1100" s="1">
        <v>1099</v>
      </c>
      <c r="B1100" s="4">
        <v>41127</v>
      </c>
      <c r="C1100" s="1" t="s">
        <v>19</v>
      </c>
      <c r="D1100" s="1" t="s">
        <v>12</v>
      </c>
      <c r="E1100" s="1">
        <v>0.66700231481481476</v>
      </c>
      <c r="F1100" s="1" t="s">
        <v>13</v>
      </c>
      <c r="G1100" s="1">
        <v>3.25</v>
      </c>
      <c r="H1100" s="1">
        <v>3.35</v>
      </c>
      <c r="I1100" s="1">
        <v>0</v>
      </c>
      <c r="J1100" s="4">
        <v>41128</v>
      </c>
      <c r="K1100" s="4">
        <v>41401</v>
      </c>
      <c r="L1100">
        <f t="shared" si="17"/>
        <v>3.3</v>
      </c>
    </row>
    <row r="1101" spans="1:12" x14ac:dyDescent="0.15">
      <c r="A1101" s="1">
        <v>1100</v>
      </c>
      <c r="B1101" s="4">
        <v>41127</v>
      </c>
      <c r="C1101" s="1" t="s">
        <v>21</v>
      </c>
      <c r="D1101" s="1" t="s">
        <v>12</v>
      </c>
      <c r="E1101" s="1">
        <v>0.66699074074074083</v>
      </c>
      <c r="F1101" s="1" t="s">
        <v>13</v>
      </c>
      <c r="G1101" s="1">
        <v>2.95</v>
      </c>
      <c r="H1101" s="1">
        <v>3.35</v>
      </c>
      <c r="I1101" s="1">
        <v>0</v>
      </c>
      <c r="J1101" s="4">
        <v>41128</v>
      </c>
      <c r="K1101" s="4">
        <v>43684</v>
      </c>
      <c r="L1101">
        <f t="shared" si="17"/>
        <v>3.1500000000000004</v>
      </c>
    </row>
    <row r="1102" spans="1:12" x14ac:dyDescent="0.15">
      <c r="A1102" s="1">
        <v>1101</v>
      </c>
      <c r="B1102" s="4">
        <v>41127</v>
      </c>
      <c r="C1102" s="1" t="s">
        <v>18</v>
      </c>
      <c r="D1102" s="1" t="s">
        <v>12</v>
      </c>
      <c r="E1102" s="1">
        <v>0.66699074074074083</v>
      </c>
      <c r="F1102" s="1" t="s">
        <v>13</v>
      </c>
      <c r="G1102" s="1">
        <v>3.04</v>
      </c>
      <c r="H1102" s="1">
        <v>3.14</v>
      </c>
      <c r="I1102" s="1">
        <v>0</v>
      </c>
      <c r="J1102" s="4">
        <v>41128</v>
      </c>
      <c r="K1102" s="4">
        <v>41858</v>
      </c>
      <c r="L1102">
        <f t="shared" si="17"/>
        <v>3.09</v>
      </c>
    </row>
    <row r="1103" spans="1:12" x14ac:dyDescent="0.15">
      <c r="A1103" s="1">
        <v>1102</v>
      </c>
      <c r="B1103" s="4">
        <v>41127</v>
      </c>
      <c r="C1103" s="1" t="s">
        <v>25</v>
      </c>
      <c r="D1103" s="1" t="s">
        <v>12</v>
      </c>
      <c r="E1103" s="1">
        <v>0.66700231481481476</v>
      </c>
      <c r="F1103" s="1" t="s">
        <v>13</v>
      </c>
      <c r="G1103" s="1">
        <v>3</v>
      </c>
      <c r="H1103" s="1">
        <v>3.1</v>
      </c>
      <c r="I1103" s="1">
        <v>0</v>
      </c>
      <c r="J1103" s="4">
        <v>41128</v>
      </c>
      <c r="K1103" s="4">
        <v>42954</v>
      </c>
      <c r="L1103">
        <f t="shared" si="17"/>
        <v>3.05</v>
      </c>
    </row>
    <row r="1104" spans="1:12" x14ac:dyDescent="0.15">
      <c r="A1104" s="1">
        <v>1103</v>
      </c>
      <c r="B1104" s="4">
        <v>41127</v>
      </c>
      <c r="C1104" s="1" t="s">
        <v>24</v>
      </c>
      <c r="D1104" s="1" t="s">
        <v>12</v>
      </c>
      <c r="E1104" s="1">
        <v>0.66700231481481476</v>
      </c>
      <c r="F1104" s="1" t="s">
        <v>13</v>
      </c>
      <c r="G1104" s="1">
        <v>2.96</v>
      </c>
      <c r="H1104" s="1">
        <v>3.36</v>
      </c>
      <c r="I1104" s="1">
        <v>0</v>
      </c>
      <c r="J1104" s="4">
        <v>41128</v>
      </c>
      <c r="K1104" s="4">
        <v>44050</v>
      </c>
      <c r="L1104">
        <f t="shared" si="17"/>
        <v>3.16</v>
      </c>
    </row>
    <row r="1105" spans="1:12" x14ac:dyDescent="0.15">
      <c r="A1105" s="1">
        <v>1104</v>
      </c>
      <c r="B1105" s="4">
        <v>41127</v>
      </c>
      <c r="C1105" s="1" t="s">
        <v>20</v>
      </c>
      <c r="D1105" s="1" t="s">
        <v>12</v>
      </c>
      <c r="E1105" s="1">
        <v>0.66700231481481476</v>
      </c>
      <c r="F1105" s="1" t="s">
        <v>13</v>
      </c>
      <c r="G1105" s="1">
        <v>2.99</v>
      </c>
      <c r="H1105" s="1">
        <v>3.39</v>
      </c>
      <c r="I1105" s="1">
        <v>0</v>
      </c>
      <c r="J1105" s="4">
        <v>41128</v>
      </c>
      <c r="K1105" s="4">
        <v>44780</v>
      </c>
      <c r="L1105">
        <f t="shared" si="17"/>
        <v>3.1900000000000004</v>
      </c>
    </row>
    <row r="1106" spans="1:12" x14ac:dyDescent="0.15">
      <c r="A1106" s="1">
        <v>1105</v>
      </c>
      <c r="B1106" s="4">
        <v>41124</v>
      </c>
      <c r="C1106" s="1" t="s">
        <v>25</v>
      </c>
      <c r="D1106" s="1" t="s">
        <v>27</v>
      </c>
      <c r="E1106" s="1">
        <v>0.48924768518518519</v>
      </c>
      <c r="F1106" s="1" t="s">
        <v>13</v>
      </c>
      <c r="G1106" s="1">
        <v>2.98</v>
      </c>
      <c r="H1106" s="1">
        <v>3.03</v>
      </c>
      <c r="I1106" s="1">
        <v>0</v>
      </c>
      <c r="J1106" s="4">
        <v>41125</v>
      </c>
      <c r="K1106" s="4">
        <v>42951</v>
      </c>
      <c r="L1106">
        <f t="shared" si="17"/>
        <v>3.0049999999999999</v>
      </c>
    </row>
    <row r="1107" spans="1:12" x14ac:dyDescent="0.15">
      <c r="A1107" s="1">
        <v>1106</v>
      </c>
      <c r="B1107" s="4">
        <v>41124</v>
      </c>
      <c r="C1107" s="1" t="s">
        <v>11</v>
      </c>
      <c r="D1107" s="1" t="s">
        <v>12</v>
      </c>
      <c r="E1107" s="1">
        <v>0.48056712962962966</v>
      </c>
      <c r="F1107" s="1" t="s">
        <v>13</v>
      </c>
      <c r="G1107" s="1">
        <v>2.9</v>
      </c>
      <c r="H1107" s="1">
        <v>3</v>
      </c>
      <c r="I1107" s="1">
        <v>0</v>
      </c>
      <c r="J1107" s="4">
        <v>41125</v>
      </c>
      <c r="K1107" s="4">
        <v>42220</v>
      </c>
      <c r="L1107">
        <f t="shared" si="17"/>
        <v>2.95</v>
      </c>
    </row>
    <row r="1108" spans="1:12" x14ac:dyDescent="0.15">
      <c r="A1108" s="1">
        <v>1107</v>
      </c>
      <c r="B1108" s="4">
        <v>41124</v>
      </c>
      <c r="C1108" s="1" t="s">
        <v>11</v>
      </c>
      <c r="D1108" s="1" t="s">
        <v>27</v>
      </c>
      <c r="E1108" s="1">
        <v>0.48925925925925928</v>
      </c>
      <c r="F1108" s="1" t="s">
        <v>13</v>
      </c>
      <c r="G1108" s="1">
        <v>2.93</v>
      </c>
      <c r="H1108" s="1">
        <v>3.01</v>
      </c>
      <c r="I1108" s="1">
        <v>0</v>
      </c>
      <c r="J1108" s="4">
        <v>41125</v>
      </c>
      <c r="K1108" s="4">
        <v>42220</v>
      </c>
      <c r="L1108">
        <f t="shared" si="17"/>
        <v>2.9699999999999998</v>
      </c>
    </row>
    <row r="1109" spans="1:12" x14ac:dyDescent="0.15">
      <c r="A1109" s="1">
        <v>1108</v>
      </c>
      <c r="B1109" s="4">
        <v>41124</v>
      </c>
      <c r="C1109" s="1" t="s">
        <v>22</v>
      </c>
      <c r="D1109" s="1" t="s">
        <v>27</v>
      </c>
      <c r="E1109" s="1">
        <v>0.48925925925925928</v>
      </c>
      <c r="F1109" s="1" t="s">
        <v>13</v>
      </c>
      <c r="G1109" s="1">
        <v>3.45</v>
      </c>
      <c r="H1109" s="1">
        <v>3.55</v>
      </c>
      <c r="I1109" s="1">
        <v>0</v>
      </c>
      <c r="J1109" s="4">
        <v>41125</v>
      </c>
      <c r="K1109" s="4">
        <v>41309</v>
      </c>
      <c r="L1109">
        <f t="shared" si="17"/>
        <v>3.5</v>
      </c>
    </row>
    <row r="1110" spans="1:12" x14ac:dyDescent="0.15">
      <c r="A1110" s="1">
        <v>1109</v>
      </c>
      <c r="B1110" s="4">
        <v>41124</v>
      </c>
      <c r="C1110" s="1" t="s">
        <v>22</v>
      </c>
      <c r="D1110" s="1" t="s">
        <v>12</v>
      </c>
      <c r="E1110" s="1">
        <v>0.48055555555555557</v>
      </c>
      <c r="F1110" s="1" t="s">
        <v>13</v>
      </c>
      <c r="G1110" s="1">
        <v>3.45</v>
      </c>
      <c r="H1110" s="1">
        <v>3.55</v>
      </c>
      <c r="I1110" s="1">
        <v>0</v>
      </c>
      <c r="J1110" s="4">
        <v>41125</v>
      </c>
      <c r="K1110" s="4">
        <v>41309</v>
      </c>
      <c r="L1110">
        <f t="shared" si="17"/>
        <v>3.5</v>
      </c>
    </row>
    <row r="1111" spans="1:12" x14ac:dyDescent="0.15">
      <c r="A1111" s="1">
        <v>1110</v>
      </c>
      <c r="B1111" s="4">
        <v>41124</v>
      </c>
      <c r="C1111" s="1" t="s">
        <v>23</v>
      </c>
      <c r="D1111" s="1" t="s">
        <v>12</v>
      </c>
      <c r="E1111" s="1">
        <v>0.48055555555555557</v>
      </c>
      <c r="F1111" s="1" t="s">
        <v>13</v>
      </c>
      <c r="G1111" s="1">
        <v>2.9</v>
      </c>
      <c r="H1111" s="1">
        <v>3.1</v>
      </c>
      <c r="I1111" s="1">
        <v>0</v>
      </c>
      <c r="J1111" s="4">
        <v>41125</v>
      </c>
      <c r="K1111" s="4">
        <v>43316</v>
      </c>
      <c r="L1111">
        <f t="shared" si="17"/>
        <v>3</v>
      </c>
    </row>
    <row r="1112" spans="1:12" x14ac:dyDescent="0.15">
      <c r="A1112" s="1">
        <v>1111</v>
      </c>
      <c r="B1112" s="4">
        <v>41124</v>
      </c>
      <c r="C1112" s="1" t="s">
        <v>18</v>
      </c>
      <c r="D1112" s="1" t="s">
        <v>12</v>
      </c>
      <c r="E1112" s="1">
        <v>0.48055555555555557</v>
      </c>
      <c r="F1112" s="1" t="s">
        <v>13</v>
      </c>
      <c r="G1112" s="1">
        <v>2.95</v>
      </c>
      <c r="H1112" s="1">
        <v>3.05</v>
      </c>
      <c r="I1112" s="1">
        <v>0</v>
      </c>
      <c r="J1112" s="4">
        <v>41125</v>
      </c>
      <c r="K1112" s="4">
        <v>41855</v>
      </c>
      <c r="L1112">
        <f t="shared" si="17"/>
        <v>3</v>
      </c>
    </row>
    <row r="1113" spans="1:12" x14ac:dyDescent="0.15">
      <c r="A1113" s="1">
        <v>1112</v>
      </c>
      <c r="B1113" s="4">
        <v>41124</v>
      </c>
      <c r="C1113" s="1" t="s">
        <v>14</v>
      </c>
      <c r="D1113" s="1" t="s">
        <v>12</v>
      </c>
      <c r="E1113" s="1">
        <v>0.48055555555555557</v>
      </c>
      <c r="F1113" s="1" t="s">
        <v>13</v>
      </c>
      <c r="G1113" s="1">
        <v>3.12</v>
      </c>
      <c r="H1113" s="1">
        <v>3.22</v>
      </c>
      <c r="I1113" s="1">
        <v>0</v>
      </c>
      <c r="J1113" s="4">
        <v>41125</v>
      </c>
      <c r="K1113" s="4">
        <v>41490</v>
      </c>
      <c r="L1113">
        <f t="shared" si="17"/>
        <v>3.17</v>
      </c>
    </row>
    <row r="1114" spans="1:12" x14ac:dyDescent="0.15">
      <c r="A1114" s="1">
        <v>1113</v>
      </c>
      <c r="B1114" s="4">
        <v>41124</v>
      </c>
      <c r="C1114" s="1" t="s">
        <v>20</v>
      </c>
      <c r="D1114" s="1" t="s">
        <v>15</v>
      </c>
      <c r="E1114" s="1">
        <v>0.67030092592592594</v>
      </c>
      <c r="F1114" s="1" t="s">
        <v>13</v>
      </c>
      <c r="G1114" s="1">
        <v>3.07</v>
      </c>
      <c r="H1114" s="1">
        <v>3.13</v>
      </c>
      <c r="I1114" s="1">
        <v>0</v>
      </c>
      <c r="J1114" s="4">
        <v>41125</v>
      </c>
      <c r="K1114" s="4">
        <v>44777</v>
      </c>
      <c r="L1114">
        <f t="shared" si="17"/>
        <v>3.0999999999999996</v>
      </c>
    </row>
    <row r="1115" spans="1:12" x14ac:dyDescent="0.15">
      <c r="A1115" s="1">
        <v>1114</v>
      </c>
      <c r="B1115" s="4">
        <v>41124</v>
      </c>
      <c r="C1115" s="1" t="s">
        <v>19</v>
      </c>
      <c r="D1115" s="1" t="s">
        <v>15</v>
      </c>
      <c r="E1115" s="1">
        <v>0.67030092592592594</v>
      </c>
      <c r="F1115" s="1" t="s">
        <v>13</v>
      </c>
      <c r="G1115" s="1">
        <v>3.28</v>
      </c>
      <c r="H1115" s="1">
        <v>3.34</v>
      </c>
      <c r="I1115" s="1">
        <v>0</v>
      </c>
      <c r="J1115" s="4">
        <v>41125</v>
      </c>
      <c r="K1115" s="4">
        <v>41398</v>
      </c>
      <c r="L1115">
        <f t="shared" si="17"/>
        <v>3.3099999999999996</v>
      </c>
    </row>
    <row r="1116" spans="1:12" x14ac:dyDescent="0.15">
      <c r="A1116" s="1">
        <v>1115</v>
      </c>
      <c r="B1116" s="4">
        <v>41124</v>
      </c>
      <c r="C1116" s="1" t="s">
        <v>16</v>
      </c>
      <c r="D1116" s="1" t="s">
        <v>15</v>
      </c>
      <c r="E1116" s="1">
        <v>0.67030092592592594</v>
      </c>
      <c r="F1116" s="1" t="s">
        <v>13</v>
      </c>
      <c r="G1116" s="1">
        <v>2.94</v>
      </c>
      <c r="H1116" s="1">
        <v>3</v>
      </c>
      <c r="I1116" s="1">
        <v>0</v>
      </c>
      <c r="J1116" s="4">
        <v>41125</v>
      </c>
      <c r="K1116" s="4">
        <v>42586</v>
      </c>
      <c r="L1116">
        <f t="shared" si="17"/>
        <v>2.9699999999999998</v>
      </c>
    </row>
    <row r="1117" spans="1:12" x14ac:dyDescent="0.15">
      <c r="A1117" s="1">
        <v>1116</v>
      </c>
      <c r="B1117" s="4">
        <v>41124</v>
      </c>
      <c r="C1117" s="1" t="s">
        <v>25</v>
      </c>
      <c r="D1117" s="1" t="s">
        <v>15</v>
      </c>
      <c r="E1117" s="1">
        <v>0.67030092592592594</v>
      </c>
      <c r="F1117" s="1" t="s">
        <v>13</v>
      </c>
      <c r="G1117" s="1">
        <v>2.95</v>
      </c>
      <c r="H1117" s="1">
        <v>3.01</v>
      </c>
      <c r="I1117" s="1">
        <v>0</v>
      </c>
      <c r="J1117" s="4">
        <v>41125</v>
      </c>
      <c r="K1117" s="4">
        <v>42951</v>
      </c>
      <c r="L1117">
        <f t="shared" si="17"/>
        <v>2.98</v>
      </c>
    </row>
    <row r="1118" spans="1:12" x14ac:dyDescent="0.15">
      <c r="A1118" s="1">
        <v>1117</v>
      </c>
      <c r="B1118" s="4">
        <v>41124</v>
      </c>
      <c r="C1118" s="1" t="s">
        <v>16</v>
      </c>
      <c r="D1118" s="1" t="s">
        <v>27</v>
      </c>
      <c r="E1118" s="1">
        <v>0.48925925925925928</v>
      </c>
      <c r="F1118" s="1" t="s">
        <v>13</v>
      </c>
      <c r="G1118" s="1">
        <v>2.91</v>
      </c>
      <c r="H1118" s="1">
        <v>3.01</v>
      </c>
      <c r="I1118" s="1">
        <v>0</v>
      </c>
      <c r="J1118" s="4">
        <v>41125</v>
      </c>
      <c r="K1118" s="4">
        <v>42586</v>
      </c>
      <c r="L1118">
        <f t="shared" si="17"/>
        <v>2.96</v>
      </c>
    </row>
    <row r="1119" spans="1:12" x14ac:dyDescent="0.15">
      <c r="A1119" s="1">
        <v>1118</v>
      </c>
      <c r="B1119" s="4">
        <v>41124</v>
      </c>
      <c r="C1119" s="1" t="s">
        <v>19</v>
      </c>
      <c r="D1119" s="1" t="s">
        <v>27</v>
      </c>
      <c r="E1119" s="1">
        <v>0.48925925925925928</v>
      </c>
      <c r="F1119" s="1" t="s">
        <v>13</v>
      </c>
      <c r="G1119" s="1">
        <v>3.25</v>
      </c>
      <c r="H1119" s="1">
        <v>3.35</v>
      </c>
      <c r="I1119" s="1">
        <v>0</v>
      </c>
      <c r="J1119" s="4">
        <v>41125</v>
      </c>
      <c r="K1119" s="4">
        <v>41398</v>
      </c>
      <c r="L1119">
        <f t="shared" si="17"/>
        <v>3.3</v>
      </c>
    </row>
    <row r="1120" spans="1:12" x14ac:dyDescent="0.15">
      <c r="A1120" s="1">
        <v>1119</v>
      </c>
      <c r="B1120" s="4">
        <v>41124</v>
      </c>
      <c r="C1120" s="1" t="s">
        <v>21</v>
      </c>
      <c r="D1120" s="1" t="s">
        <v>15</v>
      </c>
      <c r="E1120" s="1">
        <v>0.67030092592592594</v>
      </c>
      <c r="F1120" s="1" t="s">
        <v>13</v>
      </c>
      <c r="G1120" s="1">
        <v>3.02</v>
      </c>
      <c r="H1120" s="1">
        <v>3.08</v>
      </c>
      <c r="I1120" s="1">
        <v>0</v>
      </c>
      <c r="J1120" s="4">
        <v>41125</v>
      </c>
      <c r="K1120" s="4">
        <v>43681</v>
      </c>
      <c r="L1120">
        <f t="shared" si="17"/>
        <v>3.05</v>
      </c>
    </row>
    <row r="1121" spans="1:12" x14ac:dyDescent="0.15">
      <c r="A1121" s="1">
        <v>1120</v>
      </c>
      <c r="B1121" s="4">
        <v>41124</v>
      </c>
      <c r="C1121" s="1" t="s">
        <v>18</v>
      </c>
      <c r="D1121" s="1" t="s">
        <v>27</v>
      </c>
      <c r="E1121" s="1">
        <v>0.48925925925925928</v>
      </c>
      <c r="F1121" s="1" t="s">
        <v>13</v>
      </c>
      <c r="G1121" s="1">
        <v>2.96</v>
      </c>
      <c r="H1121" s="1">
        <v>3.06</v>
      </c>
      <c r="I1121" s="1">
        <v>0</v>
      </c>
      <c r="J1121" s="4">
        <v>41125</v>
      </c>
      <c r="K1121" s="4">
        <v>41855</v>
      </c>
      <c r="L1121">
        <f t="shared" si="17"/>
        <v>3.01</v>
      </c>
    </row>
    <row r="1122" spans="1:12" x14ac:dyDescent="0.15">
      <c r="A1122" s="1">
        <v>1121</v>
      </c>
      <c r="B1122" s="4">
        <v>41124</v>
      </c>
      <c r="C1122" s="1" t="s">
        <v>18</v>
      </c>
      <c r="D1122" s="1" t="s">
        <v>15</v>
      </c>
      <c r="E1122" s="1">
        <v>0.47940972222222222</v>
      </c>
      <c r="F1122" s="1" t="s">
        <v>13</v>
      </c>
      <c r="G1122" s="1">
        <v>2.99</v>
      </c>
      <c r="H1122" s="1">
        <v>3.05</v>
      </c>
      <c r="I1122" s="1">
        <v>0</v>
      </c>
      <c r="J1122" s="4">
        <v>41125</v>
      </c>
      <c r="K1122" s="4">
        <v>41855</v>
      </c>
      <c r="L1122">
        <f t="shared" si="17"/>
        <v>3.02</v>
      </c>
    </row>
    <row r="1123" spans="1:12" x14ac:dyDescent="0.15">
      <c r="A1123" s="1">
        <v>1122</v>
      </c>
      <c r="B1123" s="4">
        <v>41124</v>
      </c>
      <c r="C1123" s="1" t="s">
        <v>14</v>
      </c>
      <c r="D1123" s="1" t="s">
        <v>15</v>
      </c>
      <c r="E1123" s="1">
        <v>0.47940972222222222</v>
      </c>
      <c r="F1123" s="1" t="s">
        <v>13</v>
      </c>
      <c r="G1123" s="1">
        <v>3.16</v>
      </c>
      <c r="H1123" s="1">
        <v>3.22</v>
      </c>
      <c r="I1123" s="1">
        <v>0</v>
      </c>
      <c r="J1123" s="4">
        <v>41125</v>
      </c>
      <c r="K1123" s="4">
        <v>41490</v>
      </c>
      <c r="L1123">
        <f t="shared" si="17"/>
        <v>3.1900000000000004</v>
      </c>
    </row>
    <row r="1124" spans="1:12" x14ac:dyDescent="0.15">
      <c r="A1124" s="1">
        <v>1123</v>
      </c>
      <c r="B1124" s="4">
        <v>41124</v>
      </c>
      <c r="C1124" s="1" t="s">
        <v>19</v>
      </c>
      <c r="D1124" s="1" t="s">
        <v>15</v>
      </c>
      <c r="E1124" s="1">
        <v>0.47940972222222222</v>
      </c>
      <c r="F1124" s="1" t="s">
        <v>13</v>
      </c>
      <c r="G1124" s="1">
        <v>3.29</v>
      </c>
      <c r="H1124" s="1">
        <v>3.35</v>
      </c>
      <c r="I1124" s="1">
        <v>0</v>
      </c>
      <c r="J1124" s="4">
        <v>41125</v>
      </c>
      <c r="K1124" s="4">
        <v>41398</v>
      </c>
      <c r="L1124">
        <f t="shared" si="17"/>
        <v>3.3200000000000003</v>
      </c>
    </row>
    <row r="1125" spans="1:12" x14ac:dyDescent="0.15">
      <c r="A1125" s="1">
        <v>1124</v>
      </c>
      <c r="B1125" s="4">
        <v>41124</v>
      </c>
      <c r="C1125" s="1" t="s">
        <v>21</v>
      </c>
      <c r="D1125" s="1" t="s">
        <v>15</v>
      </c>
      <c r="E1125" s="1">
        <v>0.47940972222222222</v>
      </c>
      <c r="F1125" s="1" t="s">
        <v>13</v>
      </c>
      <c r="G1125" s="1">
        <v>3.03</v>
      </c>
      <c r="H1125" s="1">
        <v>3.09</v>
      </c>
      <c r="I1125" s="1">
        <v>0</v>
      </c>
      <c r="J1125" s="4">
        <v>41125</v>
      </c>
      <c r="K1125" s="4">
        <v>43681</v>
      </c>
      <c r="L1125">
        <f t="shared" si="17"/>
        <v>3.0599999999999996</v>
      </c>
    </row>
    <row r="1126" spans="1:12" x14ac:dyDescent="0.15">
      <c r="A1126" s="1">
        <v>1125</v>
      </c>
      <c r="B1126" s="4">
        <v>41124</v>
      </c>
      <c r="C1126" s="1" t="s">
        <v>25</v>
      </c>
      <c r="D1126" s="1" t="s">
        <v>15</v>
      </c>
      <c r="E1126" s="1">
        <v>0.47940972222222222</v>
      </c>
      <c r="F1126" s="1" t="s">
        <v>13</v>
      </c>
      <c r="G1126" s="1">
        <v>2.95</v>
      </c>
      <c r="H1126" s="1">
        <v>3.01</v>
      </c>
      <c r="I1126" s="1">
        <v>0</v>
      </c>
      <c r="J1126" s="4">
        <v>41125</v>
      </c>
      <c r="K1126" s="4">
        <v>42951</v>
      </c>
      <c r="L1126">
        <f t="shared" si="17"/>
        <v>2.98</v>
      </c>
    </row>
    <row r="1127" spans="1:12" x14ac:dyDescent="0.15">
      <c r="A1127" s="1">
        <v>1126</v>
      </c>
      <c r="B1127" s="4">
        <v>41124</v>
      </c>
      <c r="C1127" s="1" t="s">
        <v>22</v>
      </c>
      <c r="D1127" s="1" t="s">
        <v>15</v>
      </c>
      <c r="E1127" s="1">
        <v>0.47939814814814818</v>
      </c>
      <c r="F1127" s="1" t="s">
        <v>13</v>
      </c>
      <c r="G1127" s="1">
        <v>3.49</v>
      </c>
      <c r="H1127" s="1">
        <v>3.55</v>
      </c>
      <c r="I1127" s="1">
        <v>0</v>
      </c>
      <c r="J1127" s="4">
        <v>41125</v>
      </c>
      <c r="K1127" s="4">
        <v>41309</v>
      </c>
      <c r="L1127">
        <f t="shared" si="17"/>
        <v>3.52</v>
      </c>
    </row>
    <row r="1128" spans="1:12" x14ac:dyDescent="0.15">
      <c r="A1128" s="1">
        <v>1127</v>
      </c>
      <c r="B1128" s="4">
        <v>41124</v>
      </c>
      <c r="C1128" s="1" t="s">
        <v>11</v>
      </c>
      <c r="D1128" s="1" t="s">
        <v>15</v>
      </c>
      <c r="E1128" s="1">
        <v>0.47940972222222222</v>
      </c>
      <c r="F1128" s="1" t="s">
        <v>13</v>
      </c>
      <c r="G1128" s="1">
        <v>2.94</v>
      </c>
      <c r="H1128" s="1">
        <v>3</v>
      </c>
      <c r="I1128" s="1">
        <v>0</v>
      </c>
      <c r="J1128" s="4">
        <v>41125</v>
      </c>
      <c r="K1128" s="4">
        <v>42220</v>
      </c>
      <c r="L1128">
        <f t="shared" si="17"/>
        <v>2.9699999999999998</v>
      </c>
    </row>
    <row r="1129" spans="1:12" x14ac:dyDescent="0.15">
      <c r="A1129" s="1">
        <v>1128</v>
      </c>
      <c r="B1129" s="4">
        <v>41124</v>
      </c>
      <c r="C1129" s="1" t="s">
        <v>16</v>
      </c>
      <c r="D1129" s="1" t="s">
        <v>15</v>
      </c>
      <c r="E1129" s="1">
        <v>0.47940972222222222</v>
      </c>
      <c r="F1129" s="1" t="s">
        <v>13</v>
      </c>
      <c r="G1129" s="1">
        <v>2.94</v>
      </c>
      <c r="H1129" s="1">
        <v>3</v>
      </c>
      <c r="I1129" s="1">
        <v>0</v>
      </c>
      <c r="J1129" s="4">
        <v>41125</v>
      </c>
      <c r="K1129" s="4">
        <v>42586</v>
      </c>
      <c r="L1129">
        <f t="shared" si="17"/>
        <v>2.9699999999999998</v>
      </c>
    </row>
    <row r="1130" spans="1:12" x14ac:dyDescent="0.15">
      <c r="A1130" s="1">
        <v>1129</v>
      </c>
      <c r="B1130" s="4">
        <v>41124</v>
      </c>
      <c r="C1130" s="1" t="s">
        <v>25</v>
      </c>
      <c r="D1130" s="1" t="s">
        <v>12</v>
      </c>
      <c r="E1130" s="1">
        <v>0.48055555555555557</v>
      </c>
      <c r="F1130" s="1" t="s">
        <v>13</v>
      </c>
      <c r="G1130" s="1">
        <v>2.92</v>
      </c>
      <c r="H1130" s="1">
        <v>3.02</v>
      </c>
      <c r="I1130" s="1">
        <v>0</v>
      </c>
      <c r="J1130" s="4">
        <v>41125</v>
      </c>
      <c r="K1130" s="4">
        <v>42951</v>
      </c>
      <c r="L1130">
        <f t="shared" si="17"/>
        <v>2.9699999999999998</v>
      </c>
    </row>
    <row r="1131" spans="1:12" x14ac:dyDescent="0.15">
      <c r="A1131" s="1">
        <v>1130</v>
      </c>
      <c r="B1131" s="4">
        <v>41124</v>
      </c>
      <c r="C1131" s="1" t="s">
        <v>24</v>
      </c>
      <c r="D1131" s="1" t="s">
        <v>12</v>
      </c>
      <c r="E1131" s="1">
        <v>0.48055555555555557</v>
      </c>
      <c r="F1131" s="1" t="s">
        <v>13</v>
      </c>
      <c r="G1131" s="1">
        <v>2.88</v>
      </c>
      <c r="H1131" s="1">
        <v>3.28</v>
      </c>
      <c r="I1131" s="1">
        <v>0</v>
      </c>
      <c r="J1131" s="4">
        <v>41125</v>
      </c>
      <c r="K1131" s="4">
        <v>44047</v>
      </c>
      <c r="L1131">
        <f t="shared" si="17"/>
        <v>3.08</v>
      </c>
    </row>
    <row r="1132" spans="1:12" x14ac:dyDescent="0.15">
      <c r="A1132" s="1">
        <v>1131</v>
      </c>
      <c r="B1132" s="4">
        <v>41124</v>
      </c>
      <c r="C1132" s="1" t="s">
        <v>17</v>
      </c>
      <c r="D1132" s="1" t="s">
        <v>12</v>
      </c>
      <c r="E1132" s="1">
        <v>0.48055555555555557</v>
      </c>
      <c r="F1132" s="1" t="s">
        <v>13</v>
      </c>
      <c r="G1132" s="1">
        <v>2.9</v>
      </c>
      <c r="H1132" s="1">
        <v>3.3</v>
      </c>
      <c r="I1132" s="1">
        <v>0</v>
      </c>
      <c r="J1132" s="4">
        <v>41125</v>
      </c>
      <c r="K1132" s="4">
        <v>44412</v>
      </c>
      <c r="L1132">
        <f t="shared" si="17"/>
        <v>3.0999999999999996</v>
      </c>
    </row>
    <row r="1133" spans="1:12" x14ac:dyDescent="0.15">
      <c r="A1133" s="1">
        <v>1132</v>
      </c>
      <c r="B1133" s="4">
        <v>41124</v>
      </c>
      <c r="C1133" s="1" t="s">
        <v>16</v>
      </c>
      <c r="D1133" s="1" t="s">
        <v>12</v>
      </c>
      <c r="E1133" s="1">
        <v>0.48055555555555557</v>
      </c>
      <c r="F1133" s="1" t="s">
        <v>13</v>
      </c>
      <c r="G1133" s="1">
        <v>2.9</v>
      </c>
      <c r="H1133" s="1">
        <v>3</v>
      </c>
      <c r="I1133" s="1">
        <v>0</v>
      </c>
      <c r="J1133" s="4">
        <v>41125</v>
      </c>
      <c r="K1133" s="4">
        <v>42586</v>
      </c>
      <c r="L1133">
        <f t="shared" si="17"/>
        <v>2.95</v>
      </c>
    </row>
    <row r="1134" spans="1:12" x14ac:dyDescent="0.15">
      <c r="A1134" s="1">
        <v>1133</v>
      </c>
      <c r="B1134" s="4">
        <v>41124</v>
      </c>
      <c r="C1134" s="1" t="s">
        <v>21</v>
      </c>
      <c r="D1134" s="1" t="s">
        <v>12</v>
      </c>
      <c r="E1134" s="1">
        <v>0.48055555555555557</v>
      </c>
      <c r="F1134" s="1" t="s">
        <v>13</v>
      </c>
      <c r="G1134" s="1">
        <v>2.87</v>
      </c>
      <c r="H1134" s="1">
        <v>3.27</v>
      </c>
      <c r="I1134" s="1">
        <v>0</v>
      </c>
      <c r="J1134" s="4">
        <v>41125</v>
      </c>
      <c r="K1134" s="4">
        <v>43681</v>
      </c>
      <c r="L1134">
        <f t="shared" si="17"/>
        <v>3.0700000000000003</v>
      </c>
    </row>
    <row r="1135" spans="1:12" x14ac:dyDescent="0.15">
      <c r="A1135" s="1">
        <v>1134</v>
      </c>
      <c r="B1135" s="4">
        <v>41124</v>
      </c>
      <c r="C1135" s="1" t="s">
        <v>20</v>
      </c>
      <c r="D1135" s="1" t="s">
        <v>15</v>
      </c>
      <c r="E1135" s="1">
        <v>0.47940972222222222</v>
      </c>
      <c r="F1135" s="1" t="s">
        <v>13</v>
      </c>
      <c r="G1135" s="1">
        <v>3.08</v>
      </c>
      <c r="H1135" s="1">
        <v>3.14</v>
      </c>
      <c r="I1135" s="1">
        <v>0</v>
      </c>
      <c r="J1135" s="4">
        <v>41125</v>
      </c>
      <c r="K1135" s="4">
        <v>44777</v>
      </c>
      <c r="L1135">
        <f t="shared" si="17"/>
        <v>3.1100000000000003</v>
      </c>
    </row>
    <row r="1136" spans="1:12" x14ac:dyDescent="0.15">
      <c r="A1136" s="1">
        <v>1135</v>
      </c>
      <c r="B1136" s="4">
        <v>41124</v>
      </c>
      <c r="C1136" s="1" t="s">
        <v>20</v>
      </c>
      <c r="D1136" s="1" t="s">
        <v>12</v>
      </c>
      <c r="E1136" s="1">
        <v>0.48055555555555557</v>
      </c>
      <c r="F1136" s="1" t="s">
        <v>13</v>
      </c>
      <c r="G1136" s="1">
        <v>2.91</v>
      </c>
      <c r="H1136" s="1">
        <v>3.31</v>
      </c>
      <c r="I1136" s="1">
        <v>0</v>
      </c>
      <c r="J1136" s="4">
        <v>41125</v>
      </c>
      <c r="K1136" s="4">
        <v>44777</v>
      </c>
      <c r="L1136">
        <f t="shared" si="17"/>
        <v>3.1100000000000003</v>
      </c>
    </row>
    <row r="1137" spans="1:12" x14ac:dyDescent="0.15">
      <c r="A1137" s="1">
        <v>1136</v>
      </c>
      <c r="B1137" s="4">
        <v>41124</v>
      </c>
      <c r="C1137" s="1" t="s">
        <v>19</v>
      </c>
      <c r="D1137" s="1" t="s">
        <v>12</v>
      </c>
      <c r="E1137" s="1">
        <v>0.48055555555555557</v>
      </c>
      <c r="F1137" s="1" t="s">
        <v>13</v>
      </c>
      <c r="G1137" s="1">
        <v>3.24</v>
      </c>
      <c r="H1137" s="1">
        <v>3.34</v>
      </c>
      <c r="I1137" s="1">
        <v>0</v>
      </c>
      <c r="J1137" s="4">
        <v>41125</v>
      </c>
      <c r="K1137" s="4">
        <v>41398</v>
      </c>
      <c r="L1137">
        <f t="shared" si="17"/>
        <v>3.29</v>
      </c>
    </row>
    <row r="1138" spans="1:12" x14ac:dyDescent="0.15">
      <c r="A1138" s="1">
        <v>1137</v>
      </c>
      <c r="B1138" s="4">
        <v>41124</v>
      </c>
      <c r="C1138" s="1" t="s">
        <v>11</v>
      </c>
      <c r="D1138" s="1" t="s">
        <v>12</v>
      </c>
      <c r="E1138" s="1">
        <v>0.6764930555555555</v>
      </c>
      <c r="F1138" s="1" t="s">
        <v>13</v>
      </c>
      <c r="G1138" s="1">
        <v>2.9</v>
      </c>
      <c r="H1138" s="1">
        <v>3</v>
      </c>
      <c r="I1138" s="1">
        <v>0</v>
      </c>
      <c r="J1138" s="4">
        <v>41125</v>
      </c>
      <c r="K1138" s="4">
        <v>42220</v>
      </c>
      <c r="L1138">
        <f t="shared" si="17"/>
        <v>2.95</v>
      </c>
    </row>
    <row r="1139" spans="1:12" x14ac:dyDescent="0.15">
      <c r="A1139" s="1">
        <v>1138</v>
      </c>
      <c r="B1139" s="4">
        <v>41124</v>
      </c>
      <c r="C1139" s="1" t="s">
        <v>17</v>
      </c>
      <c r="D1139" s="1" t="s">
        <v>12</v>
      </c>
      <c r="E1139" s="1">
        <v>0.6764930555555555</v>
      </c>
      <c r="F1139" s="1" t="s">
        <v>13</v>
      </c>
      <c r="G1139" s="1">
        <v>2.9</v>
      </c>
      <c r="H1139" s="1">
        <v>3.3</v>
      </c>
      <c r="I1139" s="1">
        <v>0</v>
      </c>
      <c r="J1139" s="4">
        <v>41125</v>
      </c>
      <c r="K1139" s="4">
        <v>44412</v>
      </c>
      <c r="L1139">
        <f t="shared" si="17"/>
        <v>3.0999999999999996</v>
      </c>
    </row>
    <row r="1140" spans="1:12" x14ac:dyDescent="0.15">
      <c r="A1140" s="1">
        <v>1139</v>
      </c>
      <c r="B1140" s="4">
        <v>41124</v>
      </c>
      <c r="C1140" s="1" t="s">
        <v>18</v>
      </c>
      <c r="D1140" s="1" t="s">
        <v>12</v>
      </c>
      <c r="E1140" s="1">
        <v>0.6764930555555555</v>
      </c>
      <c r="F1140" s="1" t="s">
        <v>13</v>
      </c>
      <c r="G1140" s="1">
        <v>2.95</v>
      </c>
      <c r="H1140" s="1">
        <v>3.05</v>
      </c>
      <c r="I1140" s="1">
        <v>0</v>
      </c>
      <c r="J1140" s="4">
        <v>41125</v>
      </c>
      <c r="K1140" s="4">
        <v>41855</v>
      </c>
      <c r="L1140">
        <f t="shared" si="17"/>
        <v>3</v>
      </c>
    </row>
    <row r="1141" spans="1:12" x14ac:dyDescent="0.15">
      <c r="A1141" s="1">
        <v>1140</v>
      </c>
      <c r="B1141" s="4">
        <v>41124</v>
      </c>
      <c r="C1141" s="1" t="s">
        <v>14</v>
      </c>
      <c r="D1141" s="1" t="s">
        <v>12</v>
      </c>
      <c r="E1141" s="1">
        <v>0.6764930555555555</v>
      </c>
      <c r="F1141" s="1" t="s">
        <v>13</v>
      </c>
      <c r="G1141" s="1">
        <v>3.12</v>
      </c>
      <c r="H1141" s="1">
        <v>3.22</v>
      </c>
      <c r="I1141" s="1">
        <v>0</v>
      </c>
      <c r="J1141" s="4">
        <v>41125</v>
      </c>
      <c r="K1141" s="4">
        <v>41490</v>
      </c>
      <c r="L1141">
        <f t="shared" si="17"/>
        <v>3.17</v>
      </c>
    </row>
    <row r="1142" spans="1:12" x14ac:dyDescent="0.15">
      <c r="A1142" s="1">
        <v>1141</v>
      </c>
      <c r="B1142" s="4">
        <v>41124</v>
      </c>
      <c r="C1142" s="1" t="s">
        <v>24</v>
      </c>
      <c r="D1142" s="1" t="s">
        <v>12</v>
      </c>
      <c r="E1142" s="1">
        <v>0.6764930555555555</v>
      </c>
      <c r="F1142" s="1" t="s">
        <v>13</v>
      </c>
      <c r="G1142" s="1">
        <v>2.88</v>
      </c>
      <c r="H1142" s="1">
        <v>3.28</v>
      </c>
      <c r="I1142" s="1">
        <v>0</v>
      </c>
      <c r="J1142" s="4">
        <v>41125</v>
      </c>
      <c r="K1142" s="4">
        <v>44047</v>
      </c>
      <c r="L1142">
        <f t="shared" si="17"/>
        <v>3.08</v>
      </c>
    </row>
    <row r="1143" spans="1:12" x14ac:dyDescent="0.15">
      <c r="A1143" s="1">
        <v>1142</v>
      </c>
      <c r="B1143" s="4">
        <v>41124</v>
      </c>
      <c r="C1143" s="1" t="s">
        <v>20</v>
      </c>
      <c r="D1143" s="1" t="s">
        <v>12</v>
      </c>
      <c r="E1143" s="1">
        <v>0.6764930555555555</v>
      </c>
      <c r="F1143" s="1" t="s">
        <v>13</v>
      </c>
      <c r="G1143" s="1">
        <v>2.91</v>
      </c>
      <c r="H1143" s="1">
        <v>3.31</v>
      </c>
      <c r="I1143" s="1">
        <v>0</v>
      </c>
      <c r="J1143" s="4">
        <v>41125</v>
      </c>
      <c r="K1143" s="4">
        <v>44777</v>
      </c>
      <c r="L1143">
        <f t="shared" si="17"/>
        <v>3.1100000000000003</v>
      </c>
    </row>
    <row r="1144" spans="1:12" x14ac:dyDescent="0.15">
      <c r="A1144" s="1">
        <v>1143</v>
      </c>
      <c r="B1144" s="4">
        <v>41124</v>
      </c>
      <c r="C1144" s="1" t="s">
        <v>16</v>
      </c>
      <c r="D1144" s="1" t="s">
        <v>12</v>
      </c>
      <c r="E1144" s="1">
        <v>0.6764930555555555</v>
      </c>
      <c r="F1144" s="1" t="s">
        <v>13</v>
      </c>
      <c r="G1144" s="1">
        <v>2.9</v>
      </c>
      <c r="H1144" s="1">
        <v>3</v>
      </c>
      <c r="I1144" s="1">
        <v>0</v>
      </c>
      <c r="J1144" s="4">
        <v>41125</v>
      </c>
      <c r="K1144" s="4">
        <v>42586</v>
      </c>
      <c r="L1144">
        <f t="shared" si="17"/>
        <v>2.95</v>
      </c>
    </row>
    <row r="1145" spans="1:12" x14ac:dyDescent="0.15">
      <c r="A1145" s="1">
        <v>1144</v>
      </c>
      <c r="B1145" s="4">
        <v>41124</v>
      </c>
      <c r="C1145" s="1" t="s">
        <v>25</v>
      </c>
      <c r="D1145" s="1" t="s">
        <v>12</v>
      </c>
      <c r="E1145" s="1">
        <v>0.6764930555555555</v>
      </c>
      <c r="F1145" s="1" t="s">
        <v>13</v>
      </c>
      <c r="G1145" s="1">
        <v>2.92</v>
      </c>
      <c r="H1145" s="1">
        <v>3.02</v>
      </c>
      <c r="I1145" s="1">
        <v>0</v>
      </c>
      <c r="J1145" s="4">
        <v>41125</v>
      </c>
      <c r="K1145" s="4">
        <v>42951</v>
      </c>
      <c r="L1145">
        <f t="shared" si="17"/>
        <v>2.9699999999999998</v>
      </c>
    </row>
    <row r="1146" spans="1:12" x14ac:dyDescent="0.15">
      <c r="A1146" s="1">
        <v>1145</v>
      </c>
      <c r="B1146" s="4">
        <v>41124</v>
      </c>
      <c r="C1146" s="1" t="s">
        <v>22</v>
      </c>
      <c r="D1146" s="1" t="s">
        <v>27</v>
      </c>
      <c r="E1146" s="1">
        <v>0.68274305555555559</v>
      </c>
      <c r="F1146" s="1" t="s">
        <v>13</v>
      </c>
      <c r="G1146" s="1">
        <v>3.42</v>
      </c>
      <c r="H1146" s="1">
        <v>3.52</v>
      </c>
      <c r="I1146" s="1">
        <v>0</v>
      </c>
      <c r="J1146" s="4">
        <v>41125</v>
      </c>
      <c r="K1146" s="4">
        <v>41309</v>
      </c>
      <c r="L1146">
        <f t="shared" si="17"/>
        <v>3.4699999999999998</v>
      </c>
    </row>
    <row r="1147" spans="1:12" x14ac:dyDescent="0.15">
      <c r="A1147" s="1">
        <v>1146</v>
      </c>
      <c r="B1147" s="4">
        <v>41124</v>
      </c>
      <c r="C1147" s="1" t="s">
        <v>14</v>
      </c>
      <c r="D1147" s="1" t="s">
        <v>27</v>
      </c>
      <c r="E1147" s="1">
        <v>0.68273148148148144</v>
      </c>
      <c r="F1147" s="1" t="s">
        <v>13</v>
      </c>
      <c r="G1147" s="1">
        <v>3.1</v>
      </c>
      <c r="H1147" s="1">
        <v>3.2</v>
      </c>
      <c r="I1147" s="1">
        <v>0</v>
      </c>
      <c r="J1147" s="4">
        <v>41125</v>
      </c>
      <c r="K1147" s="4">
        <v>41490</v>
      </c>
      <c r="L1147">
        <f t="shared" si="17"/>
        <v>3.1500000000000004</v>
      </c>
    </row>
    <row r="1148" spans="1:12" x14ac:dyDescent="0.15">
      <c r="A1148" s="1">
        <v>1147</v>
      </c>
      <c r="B1148" s="4">
        <v>41124</v>
      </c>
      <c r="C1148" s="1" t="s">
        <v>18</v>
      </c>
      <c r="D1148" s="1" t="s">
        <v>27</v>
      </c>
      <c r="E1148" s="1">
        <v>0.68274305555555559</v>
      </c>
      <c r="F1148" s="1" t="s">
        <v>13</v>
      </c>
      <c r="G1148" s="1">
        <v>2.97</v>
      </c>
      <c r="H1148" s="1">
        <v>3.05</v>
      </c>
      <c r="I1148" s="1">
        <v>0</v>
      </c>
      <c r="J1148" s="4">
        <v>41125</v>
      </c>
      <c r="K1148" s="4">
        <v>41855</v>
      </c>
      <c r="L1148">
        <f t="shared" si="17"/>
        <v>3.01</v>
      </c>
    </row>
    <row r="1149" spans="1:12" x14ac:dyDescent="0.15">
      <c r="A1149" s="1">
        <v>1148</v>
      </c>
      <c r="B1149" s="4">
        <v>41124</v>
      </c>
      <c r="C1149" s="1" t="s">
        <v>11</v>
      </c>
      <c r="D1149" s="1" t="s">
        <v>27</v>
      </c>
      <c r="E1149" s="1">
        <v>0.68274305555555559</v>
      </c>
      <c r="F1149" s="1" t="s">
        <v>13</v>
      </c>
      <c r="G1149" s="1">
        <v>2.92</v>
      </c>
      <c r="H1149" s="1">
        <v>3.02</v>
      </c>
      <c r="I1149" s="1">
        <v>0</v>
      </c>
      <c r="J1149" s="4">
        <v>41125</v>
      </c>
      <c r="K1149" s="4">
        <v>42220</v>
      </c>
      <c r="L1149">
        <f t="shared" si="17"/>
        <v>2.9699999999999998</v>
      </c>
    </row>
    <row r="1150" spans="1:12" x14ac:dyDescent="0.15">
      <c r="A1150" s="1">
        <v>1149</v>
      </c>
      <c r="B1150" s="4">
        <v>41124</v>
      </c>
      <c r="C1150" s="1" t="s">
        <v>25</v>
      </c>
      <c r="D1150" s="1" t="s">
        <v>27</v>
      </c>
      <c r="E1150" s="1">
        <v>0.68273148148148144</v>
      </c>
      <c r="F1150" s="1" t="s">
        <v>13</v>
      </c>
      <c r="G1150" s="1">
        <v>2.96</v>
      </c>
      <c r="H1150" s="1">
        <v>3.01</v>
      </c>
      <c r="I1150" s="1">
        <v>0</v>
      </c>
      <c r="J1150" s="4">
        <v>41125</v>
      </c>
      <c r="K1150" s="4">
        <v>42951</v>
      </c>
      <c r="L1150">
        <f t="shared" si="17"/>
        <v>2.9849999999999999</v>
      </c>
    </row>
    <row r="1151" spans="1:12" x14ac:dyDescent="0.15">
      <c r="A1151" s="1">
        <v>1150</v>
      </c>
      <c r="B1151" s="4">
        <v>41124</v>
      </c>
      <c r="C1151" s="1" t="s">
        <v>21</v>
      </c>
      <c r="D1151" s="1" t="s">
        <v>12</v>
      </c>
      <c r="E1151" s="1">
        <v>0.6764930555555555</v>
      </c>
      <c r="F1151" s="1" t="s">
        <v>13</v>
      </c>
      <c r="G1151" s="1">
        <v>2.87</v>
      </c>
      <c r="H1151" s="1">
        <v>3.27</v>
      </c>
      <c r="I1151" s="1">
        <v>0</v>
      </c>
      <c r="J1151" s="4">
        <v>41125</v>
      </c>
      <c r="K1151" s="4">
        <v>43681</v>
      </c>
      <c r="L1151">
        <f t="shared" si="17"/>
        <v>3.0700000000000003</v>
      </c>
    </row>
    <row r="1152" spans="1:12" x14ac:dyDescent="0.15">
      <c r="A1152" s="1">
        <v>1151</v>
      </c>
      <c r="B1152" s="4">
        <v>41124</v>
      </c>
      <c r="C1152" s="1" t="s">
        <v>16</v>
      </c>
      <c r="D1152" s="1" t="s">
        <v>27</v>
      </c>
      <c r="E1152" s="1">
        <v>0.68273148148148144</v>
      </c>
      <c r="F1152" s="1" t="s">
        <v>13</v>
      </c>
      <c r="G1152" s="1">
        <v>2.91</v>
      </c>
      <c r="H1152" s="1">
        <v>3.01</v>
      </c>
      <c r="I1152" s="1">
        <v>0</v>
      </c>
      <c r="J1152" s="4">
        <v>41125</v>
      </c>
      <c r="K1152" s="4">
        <v>42586</v>
      </c>
      <c r="L1152">
        <f t="shared" si="17"/>
        <v>2.96</v>
      </c>
    </row>
    <row r="1153" spans="1:12" x14ac:dyDescent="0.15">
      <c r="A1153" s="1">
        <v>1152</v>
      </c>
      <c r="B1153" s="4">
        <v>41124</v>
      </c>
      <c r="C1153" s="1" t="s">
        <v>19</v>
      </c>
      <c r="D1153" s="1" t="s">
        <v>27</v>
      </c>
      <c r="E1153" s="1">
        <v>0.68273148148148144</v>
      </c>
      <c r="F1153" s="1" t="s">
        <v>13</v>
      </c>
      <c r="G1153" s="1">
        <v>3.23</v>
      </c>
      <c r="H1153" s="1">
        <v>3.33</v>
      </c>
      <c r="I1153" s="1">
        <v>0</v>
      </c>
      <c r="J1153" s="4">
        <v>41125</v>
      </c>
      <c r="K1153" s="4">
        <v>41398</v>
      </c>
      <c r="L1153">
        <f t="shared" si="17"/>
        <v>3.2800000000000002</v>
      </c>
    </row>
    <row r="1154" spans="1:12" x14ac:dyDescent="0.15">
      <c r="A1154" s="1">
        <v>1153</v>
      </c>
      <c r="B1154" s="4">
        <v>41124</v>
      </c>
      <c r="C1154" s="1" t="s">
        <v>14</v>
      </c>
      <c r="D1154" s="1" t="s">
        <v>26</v>
      </c>
      <c r="E1154" s="1">
        <v>0.67509259259259258</v>
      </c>
      <c r="F1154" s="1" t="s">
        <v>13</v>
      </c>
      <c r="G1154" s="1">
        <v>3.12</v>
      </c>
      <c r="H1154" s="1">
        <v>3.17</v>
      </c>
      <c r="I1154" s="1">
        <v>0</v>
      </c>
      <c r="J1154" s="4">
        <v>41125</v>
      </c>
      <c r="K1154" s="4">
        <v>41490</v>
      </c>
      <c r="L1154">
        <f t="shared" si="17"/>
        <v>3.145</v>
      </c>
    </row>
    <row r="1155" spans="1:12" x14ac:dyDescent="0.15">
      <c r="A1155" s="1">
        <v>1154</v>
      </c>
      <c r="B1155" s="4">
        <v>41124</v>
      </c>
      <c r="C1155" s="1" t="s">
        <v>22</v>
      </c>
      <c r="D1155" s="1" t="s">
        <v>26</v>
      </c>
      <c r="E1155" s="1">
        <v>0.67508101851851843</v>
      </c>
      <c r="F1155" s="1" t="s">
        <v>13</v>
      </c>
      <c r="G1155" s="1">
        <v>3.45</v>
      </c>
      <c r="H1155" s="1">
        <v>3.5</v>
      </c>
      <c r="I1155" s="1">
        <v>0</v>
      </c>
      <c r="J1155" s="4">
        <v>41125</v>
      </c>
      <c r="K1155" s="4">
        <v>41309</v>
      </c>
      <c r="L1155">
        <f t="shared" ref="L1155:L1218" si="18">AVERAGE(G1155:H1155)</f>
        <v>3.4750000000000001</v>
      </c>
    </row>
    <row r="1156" spans="1:12" x14ac:dyDescent="0.15">
      <c r="A1156" s="1">
        <v>1155</v>
      </c>
      <c r="B1156" s="4">
        <v>41124</v>
      </c>
      <c r="C1156" s="1" t="s">
        <v>18</v>
      </c>
      <c r="D1156" s="1" t="s">
        <v>26</v>
      </c>
      <c r="E1156" s="1">
        <v>0.67509259259259258</v>
      </c>
      <c r="F1156" s="1" t="s">
        <v>13</v>
      </c>
      <c r="G1156" s="1">
        <v>2.95</v>
      </c>
      <c r="H1156" s="1">
        <v>3.05</v>
      </c>
      <c r="I1156" s="1">
        <v>0</v>
      </c>
      <c r="J1156" s="4">
        <v>41125</v>
      </c>
      <c r="K1156" s="4">
        <v>41855</v>
      </c>
      <c r="L1156">
        <f t="shared" si="18"/>
        <v>3</v>
      </c>
    </row>
    <row r="1157" spans="1:12" x14ac:dyDescent="0.15">
      <c r="A1157" s="1">
        <v>1156</v>
      </c>
      <c r="B1157" s="4">
        <v>41124</v>
      </c>
      <c r="C1157" s="1" t="s">
        <v>20</v>
      </c>
      <c r="D1157" s="1" t="s">
        <v>26</v>
      </c>
      <c r="E1157" s="1">
        <v>0.67509259259259258</v>
      </c>
      <c r="F1157" s="1" t="s">
        <v>13</v>
      </c>
      <c r="G1157" s="1">
        <v>2.95</v>
      </c>
      <c r="H1157" s="1">
        <v>3.02</v>
      </c>
      <c r="I1157" s="1">
        <v>0</v>
      </c>
      <c r="J1157" s="4">
        <v>41125</v>
      </c>
      <c r="K1157" s="4">
        <v>44777</v>
      </c>
      <c r="L1157">
        <f t="shared" si="18"/>
        <v>2.9850000000000003</v>
      </c>
    </row>
    <row r="1158" spans="1:12" x14ac:dyDescent="0.15">
      <c r="A1158" s="1">
        <v>1157</v>
      </c>
      <c r="B1158" s="4">
        <v>41124</v>
      </c>
      <c r="C1158" s="1" t="s">
        <v>14</v>
      </c>
      <c r="D1158" s="1" t="s">
        <v>15</v>
      </c>
      <c r="E1158" s="1">
        <v>0.67030092592592594</v>
      </c>
      <c r="F1158" s="1" t="s">
        <v>13</v>
      </c>
      <c r="G1158" s="1">
        <v>3.15</v>
      </c>
      <c r="H1158" s="1">
        <v>3.21</v>
      </c>
      <c r="I1158" s="1">
        <v>0</v>
      </c>
      <c r="J1158" s="4">
        <v>41125</v>
      </c>
      <c r="K1158" s="4">
        <v>41490</v>
      </c>
      <c r="L1158">
        <f t="shared" si="18"/>
        <v>3.1799999999999997</v>
      </c>
    </row>
    <row r="1159" spans="1:12" x14ac:dyDescent="0.15">
      <c r="A1159" s="1">
        <v>1158</v>
      </c>
      <c r="B1159" s="4">
        <v>41124</v>
      </c>
      <c r="C1159" s="1" t="s">
        <v>22</v>
      </c>
      <c r="D1159" s="1" t="s">
        <v>15</v>
      </c>
      <c r="E1159" s="1">
        <v>0.67030092592592594</v>
      </c>
      <c r="F1159" s="1" t="s">
        <v>13</v>
      </c>
      <c r="G1159" s="1">
        <v>3.48</v>
      </c>
      <c r="H1159" s="1">
        <v>3.54</v>
      </c>
      <c r="I1159" s="1">
        <v>0</v>
      </c>
      <c r="J1159" s="4">
        <v>41125</v>
      </c>
      <c r="K1159" s="4">
        <v>41309</v>
      </c>
      <c r="L1159">
        <f t="shared" si="18"/>
        <v>3.51</v>
      </c>
    </row>
    <row r="1160" spans="1:12" x14ac:dyDescent="0.15">
      <c r="A1160" s="1">
        <v>1159</v>
      </c>
      <c r="B1160" s="4">
        <v>41124</v>
      </c>
      <c r="C1160" s="1" t="s">
        <v>11</v>
      </c>
      <c r="D1160" s="1" t="s">
        <v>15</v>
      </c>
      <c r="E1160" s="1">
        <v>0.67031249999999998</v>
      </c>
      <c r="F1160" s="1" t="s">
        <v>13</v>
      </c>
      <c r="G1160" s="1">
        <v>2.94</v>
      </c>
      <c r="H1160" s="1">
        <v>3</v>
      </c>
      <c r="I1160" s="1">
        <v>0</v>
      </c>
      <c r="J1160" s="4">
        <v>41125</v>
      </c>
      <c r="K1160" s="4">
        <v>42220</v>
      </c>
      <c r="L1160">
        <f t="shared" si="18"/>
        <v>2.9699999999999998</v>
      </c>
    </row>
    <row r="1161" spans="1:12" x14ac:dyDescent="0.15">
      <c r="A1161" s="1">
        <v>1160</v>
      </c>
      <c r="B1161" s="4">
        <v>41124</v>
      </c>
      <c r="C1161" s="1" t="s">
        <v>18</v>
      </c>
      <c r="D1161" s="1" t="s">
        <v>15</v>
      </c>
      <c r="E1161" s="1">
        <v>0.67030092592592594</v>
      </c>
      <c r="F1161" s="1" t="s">
        <v>13</v>
      </c>
      <c r="G1161" s="1">
        <v>2.99</v>
      </c>
      <c r="H1161" s="1">
        <v>3.05</v>
      </c>
      <c r="I1161" s="1">
        <v>0</v>
      </c>
      <c r="J1161" s="4">
        <v>41125</v>
      </c>
      <c r="K1161" s="4">
        <v>41855</v>
      </c>
      <c r="L1161">
        <f t="shared" si="18"/>
        <v>3.02</v>
      </c>
    </row>
    <row r="1162" spans="1:12" x14ac:dyDescent="0.15">
      <c r="A1162" s="1">
        <v>1161</v>
      </c>
      <c r="B1162" s="4">
        <v>41124</v>
      </c>
      <c r="C1162" s="1" t="s">
        <v>23</v>
      </c>
      <c r="D1162" s="1" t="s">
        <v>12</v>
      </c>
      <c r="E1162" s="1">
        <v>0.67648148148148157</v>
      </c>
      <c r="F1162" s="1" t="s">
        <v>13</v>
      </c>
      <c r="G1162" s="1">
        <v>2.9</v>
      </c>
      <c r="H1162" s="1">
        <v>3.1</v>
      </c>
      <c r="I1162" s="1">
        <v>0</v>
      </c>
      <c r="J1162" s="4">
        <v>41125</v>
      </c>
      <c r="K1162" s="4">
        <v>43316</v>
      </c>
      <c r="L1162">
        <f t="shared" si="18"/>
        <v>3</v>
      </c>
    </row>
    <row r="1163" spans="1:12" x14ac:dyDescent="0.15">
      <c r="A1163" s="1">
        <v>1162</v>
      </c>
      <c r="B1163" s="4">
        <v>41124</v>
      </c>
      <c r="C1163" s="1" t="s">
        <v>16</v>
      </c>
      <c r="D1163" s="1" t="s">
        <v>26</v>
      </c>
      <c r="E1163" s="1">
        <v>0.67510416666666673</v>
      </c>
      <c r="F1163" s="1" t="s">
        <v>13</v>
      </c>
      <c r="G1163" s="1">
        <v>2.95</v>
      </c>
      <c r="H1163" s="1">
        <v>3.02</v>
      </c>
      <c r="I1163" s="1">
        <v>0</v>
      </c>
      <c r="J1163" s="4">
        <v>41125</v>
      </c>
      <c r="K1163" s="4">
        <v>42586</v>
      </c>
      <c r="L1163">
        <f t="shared" si="18"/>
        <v>2.9850000000000003</v>
      </c>
    </row>
    <row r="1164" spans="1:12" x14ac:dyDescent="0.15">
      <c r="A1164" s="1">
        <v>1163</v>
      </c>
      <c r="B1164" s="4">
        <v>41124</v>
      </c>
      <c r="C1164" s="1" t="s">
        <v>19</v>
      </c>
      <c r="D1164" s="1" t="s">
        <v>12</v>
      </c>
      <c r="E1164" s="1">
        <v>0.6764930555555555</v>
      </c>
      <c r="F1164" s="1" t="s">
        <v>13</v>
      </c>
      <c r="G1164" s="1">
        <v>3.24</v>
      </c>
      <c r="H1164" s="1">
        <v>3.34</v>
      </c>
      <c r="I1164" s="1">
        <v>0</v>
      </c>
      <c r="J1164" s="4">
        <v>41125</v>
      </c>
      <c r="K1164" s="4">
        <v>41398</v>
      </c>
      <c r="L1164">
        <f t="shared" si="18"/>
        <v>3.29</v>
      </c>
    </row>
    <row r="1165" spans="1:12" x14ac:dyDescent="0.15">
      <c r="A1165" s="1">
        <v>1164</v>
      </c>
      <c r="B1165" s="4">
        <v>41124</v>
      </c>
      <c r="C1165" s="1" t="s">
        <v>22</v>
      </c>
      <c r="D1165" s="1" t="s">
        <v>12</v>
      </c>
      <c r="E1165" s="1">
        <v>0.67648148148148157</v>
      </c>
      <c r="F1165" s="1" t="s">
        <v>13</v>
      </c>
      <c r="G1165" s="1">
        <v>3.45</v>
      </c>
      <c r="H1165" s="1">
        <v>3.55</v>
      </c>
      <c r="I1165" s="1">
        <v>0</v>
      </c>
      <c r="J1165" s="4">
        <v>41125</v>
      </c>
      <c r="K1165" s="4">
        <v>41309</v>
      </c>
      <c r="L1165">
        <f t="shared" si="18"/>
        <v>3.5</v>
      </c>
    </row>
    <row r="1166" spans="1:12" x14ac:dyDescent="0.15">
      <c r="A1166" s="1">
        <v>1165</v>
      </c>
      <c r="B1166" s="4">
        <v>41124</v>
      </c>
      <c r="C1166" s="1" t="s">
        <v>11</v>
      </c>
      <c r="D1166" s="1" t="s">
        <v>26</v>
      </c>
      <c r="E1166" s="1">
        <v>0.67510416666666673</v>
      </c>
      <c r="F1166" s="1" t="s">
        <v>13</v>
      </c>
      <c r="G1166" s="1">
        <v>2.95</v>
      </c>
      <c r="H1166" s="1">
        <v>3.02</v>
      </c>
      <c r="I1166" s="1">
        <v>0</v>
      </c>
      <c r="J1166" s="4">
        <v>41125</v>
      </c>
      <c r="K1166" s="4">
        <v>42220</v>
      </c>
      <c r="L1166">
        <f t="shared" si="18"/>
        <v>2.9850000000000003</v>
      </c>
    </row>
    <row r="1167" spans="1:12" x14ac:dyDescent="0.15">
      <c r="A1167" s="1">
        <v>1166</v>
      </c>
      <c r="B1167" s="4">
        <v>41124</v>
      </c>
      <c r="C1167" s="1" t="s">
        <v>21</v>
      </c>
      <c r="D1167" s="1" t="s">
        <v>26</v>
      </c>
      <c r="E1167" s="1">
        <v>0.67509259259259258</v>
      </c>
      <c r="F1167" s="1" t="s">
        <v>13</v>
      </c>
      <c r="G1167" s="1">
        <v>2.95</v>
      </c>
      <c r="H1167" s="1">
        <v>3.02</v>
      </c>
      <c r="I1167" s="1">
        <v>0</v>
      </c>
      <c r="J1167" s="4">
        <v>41125</v>
      </c>
      <c r="K1167" s="4">
        <v>43681</v>
      </c>
      <c r="L1167">
        <f t="shared" si="18"/>
        <v>2.9850000000000003</v>
      </c>
    </row>
    <row r="1168" spans="1:12" x14ac:dyDescent="0.15">
      <c r="A1168" s="1">
        <v>1167</v>
      </c>
      <c r="B1168" s="4">
        <v>41124</v>
      </c>
      <c r="C1168" s="1" t="s">
        <v>25</v>
      </c>
      <c r="D1168" s="1" t="s">
        <v>26</v>
      </c>
      <c r="E1168" s="1">
        <v>0.67510416666666673</v>
      </c>
      <c r="F1168" s="1" t="s">
        <v>13</v>
      </c>
      <c r="G1168" s="1">
        <v>2.95</v>
      </c>
      <c r="H1168" s="1">
        <v>3.02</v>
      </c>
      <c r="I1168" s="1">
        <v>0</v>
      </c>
      <c r="J1168" s="4">
        <v>41125</v>
      </c>
      <c r="K1168" s="4">
        <v>42951</v>
      </c>
      <c r="L1168">
        <f t="shared" si="18"/>
        <v>2.9850000000000003</v>
      </c>
    </row>
    <row r="1169" spans="1:12" x14ac:dyDescent="0.15">
      <c r="A1169" s="1">
        <v>1168</v>
      </c>
      <c r="B1169" s="4">
        <v>41124</v>
      </c>
      <c r="C1169" s="1" t="s">
        <v>19</v>
      </c>
      <c r="D1169" s="1" t="s">
        <v>26</v>
      </c>
      <c r="E1169" s="1">
        <v>0.67510416666666673</v>
      </c>
      <c r="F1169" s="1" t="s">
        <v>13</v>
      </c>
      <c r="G1169" s="1">
        <v>3.2</v>
      </c>
      <c r="H1169" s="1">
        <v>3.28</v>
      </c>
      <c r="I1169" s="1">
        <v>0</v>
      </c>
      <c r="J1169" s="4">
        <v>41125</v>
      </c>
      <c r="K1169" s="4">
        <v>41398</v>
      </c>
      <c r="L1169">
        <f t="shared" si="18"/>
        <v>3.24</v>
      </c>
    </row>
    <row r="1170" spans="1:12" x14ac:dyDescent="0.15">
      <c r="A1170" s="1">
        <v>1169</v>
      </c>
      <c r="B1170" s="4">
        <v>41123</v>
      </c>
      <c r="C1170" s="1" t="s">
        <v>14</v>
      </c>
      <c r="D1170" s="1" t="s">
        <v>27</v>
      </c>
      <c r="E1170" s="1">
        <v>0.48621527777777779</v>
      </c>
      <c r="F1170" s="1" t="s">
        <v>13</v>
      </c>
      <c r="G1170" s="1">
        <v>3.14</v>
      </c>
      <c r="H1170" s="1">
        <v>3.24</v>
      </c>
      <c r="I1170" s="1">
        <v>0</v>
      </c>
      <c r="J1170" s="4">
        <v>41124</v>
      </c>
      <c r="K1170" s="4">
        <v>41489</v>
      </c>
      <c r="L1170">
        <f t="shared" si="18"/>
        <v>3.1900000000000004</v>
      </c>
    </row>
    <row r="1171" spans="1:12" x14ac:dyDescent="0.15">
      <c r="A1171" s="1">
        <v>1170</v>
      </c>
      <c r="B1171" s="4">
        <v>41123</v>
      </c>
      <c r="C1171" s="1" t="s">
        <v>11</v>
      </c>
      <c r="D1171" s="1" t="s">
        <v>26</v>
      </c>
      <c r="E1171" s="1">
        <v>0.4854282407407407</v>
      </c>
      <c r="F1171" s="1" t="s">
        <v>13</v>
      </c>
      <c r="G1171" s="1">
        <v>2.95</v>
      </c>
      <c r="H1171" s="1">
        <v>3.02</v>
      </c>
      <c r="I1171" s="1">
        <v>0</v>
      </c>
      <c r="J1171" s="4">
        <v>41124</v>
      </c>
      <c r="K1171" s="4">
        <v>42219</v>
      </c>
      <c r="L1171">
        <f t="shared" si="18"/>
        <v>2.9850000000000003</v>
      </c>
    </row>
    <row r="1172" spans="1:12" x14ac:dyDescent="0.15">
      <c r="A1172" s="1">
        <v>1171</v>
      </c>
      <c r="B1172" s="4">
        <v>41123</v>
      </c>
      <c r="C1172" s="1" t="s">
        <v>19</v>
      </c>
      <c r="D1172" s="1" t="s">
        <v>27</v>
      </c>
      <c r="E1172" s="1">
        <v>0.48621527777777779</v>
      </c>
      <c r="F1172" s="1" t="s">
        <v>13</v>
      </c>
      <c r="G1172" s="1">
        <v>3.29</v>
      </c>
      <c r="H1172" s="1">
        <v>3.36</v>
      </c>
      <c r="I1172" s="1">
        <v>0</v>
      </c>
      <c r="J1172" s="4">
        <v>41124</v>
      </c>
      <c r="K1172" s="4">
        <v>41397</v>
      </c>
      <c r="L1172">
        <f t="shared" si="18"/>
        <v>3.3250000000000002</v>
      </c>
    </row>
    <row r="1173" spans="1:12" x14ac:dyDescent="0.15">
      <c r="A1173" s="1">
        <v>1172</v>
      </c>
      <c r="B1173" s="4">
        <v>41123</v>
      </c>
      <c r="C1173" s="1" t="s">
        <v>25</v>
      </c>
      <c r="D1173" s="1" t="s">
        <v>27</v>
      </c>
      <c r="E1173" s="1">
        <v>0.48621527777777779</v>
      </c>
      <c r="F1173" s="1" t="s">
        <v>13</v>
      </c>
      <c r="G1173" s="1">
        <v>2.93</v>
      </c>
      <c r="H1173" s="1">
        <v>3.03</v>
      </c>
      <c r="I1173" s="1">
        <v>0</v>
      </c>
      <c r="J1173" s="4">
        <v>41124</v>
      </c>
      <c r="K1173" s="4">
        <v>42950</v>
      </c>
      <c r="L1173">
        <f t="shared" si="18"/>
        <v>2.98</v>
      </c>
    </row>
    <row r="1174" spans="1:12" x14ac:dyDescent="0.15">
      <c r="A1174" s="1">
        <v>1173</v>
      </c>
      <c r="B1174" s="4">
        <v>41123</v>
      </c>
      <c r="C1174" s="1" t="s">
        <v>20</v>
      </c>
      <c r="D1174" s="1" t="s">
        <v>26</v>
      </c>
      <c r="E1174" s="1">
        <v>0.48541666666666666</v>
      </c>
      <c r="F1174" s="1" t="s">
        <v>13</v>
      </c>
      <c r="G1174" s="1">
        <v>2.95</v>
      </c>
      <c r="H1174" s="1">
        <v>3.02</v>
      </c>
      <c r="I1174" s="1">
        <v>0</v>
      </c>
      <c r="J1174" s="4">
        <v>41124</v>
      </c>
      <c r="K1174" s="4">
        <v>44776</v>
      </c>
      <c r="L1174">
        <f t="shared" si="18"/>
        <v>2.9850000000000003</v>
      </c>
    </row>
    <row r="1175" spans="1:12" x14ac:dyDescent="0.15">
      <c r="A1175" s="1">
        <v>1174</v>
      </c>
      <c r="B1175" s="4">
        <v>41123</v>
      </c>
      <c r="C1175" s="1" t="s">
        <v>14</v>
      </c>
      <c r="D1175" s="1" t="s">
        <v>26</v>
      </c>
      <c r="E1175" s="1">
        <v>0.48541666666666666</v>
      </c>
      <c r="F1175" s="1" t="s">
        <v>13</v>
      </c>
      <c r="G1175" s="1">
        <v>3.12</v>
      </c>
      <c r="H1175" s="1">
        <v>3.17</v>
      </c>
      <c r="I1175" s="1">
        <v>0</v>
      </c>
      <c r="J1175" s="4">
        <v>41124</v>
      </c>
      <c r="K1175" s="4">
        <v>41489</v>
      </c>
      <c r="L1175">
        <f t="shared" si="18"/>
        <v>3.145</v>
      </c>
    </row>
    <row r="1176" spans="1:12" x14ac:dyDescent="0.15">
      <c r="A1176" s="1">
        <v>1175</v>
      </c>
      <c r="B1176" s="4">
        <v>41123</v>
      </c>
      <c r="C1176" s="1" t="s">
        <v>21</v>
      </c>
      <c r="D1176" s="1" t="s">
        <v>26</v>
      </c>
      <c r="E1176" s="1">
        <v>0.48541666666666666</v>
      </c>
      <c r="F1176" s="1" t="s">
        <v>13</v>
      </c>
      <c r="G1176" s="1">
        <v>2.95</v>
      </c>
      <c r="H1176" s="1">
        <v>3.02</v>
      </c>
      <c r="I1176" s="1">
        <v>0</v>
      </c>
      <c r="J1176" s="4">
        <v>41124</v>
      </c>
      <c r="K1176" s="4">
        <v>43680</v>
      </c>
      <c r="L1176">
        <f t="shared" si="18"/>
        <v>2.9850000000000003</v>
      </c>
    </row>
    <row r="1177" spans="1:12" x14ac:dyDescent="0.15">
      <c r="A1177" s="1">
        <v>1176</v>
      </c>
      <c r="B1177" s="4">
        <v>41123</v>
      </c>
      <c r="C1177" s="1" t="s">
        <v>18</v>
      </c>
      <c r="D1177" s="1" t="s">
        <v>26</v>
      </c>
      <c r="E1177" s="1">
        <v>0.48541666666666666</v>
      </c>
      <c r="F1177" s="1" t="s">
        <v>13</v>
      </c>
      <c r="G1177" s="1">
        <v>2.95</v>
      </c>
      <c r="H1177" s="1">
        <v>3.05</v>
      </c>
      <c r="I1177" s="1">
        <v>0</v>
      </c>
      <c r="J1177" s="4">
        <v>41124</v>
      </c>
      <c r="K1177" s="4">
        <v>41854</v>
      </c>
      <c r="L1177">
        <f t="shared" si="18"/>
        <v>3</v>
      </c>
    </row>
    <row r="1178" spans="1:12" x14ac:dyDescent="0.15">
      <c r="A1178" s="1">
        <v>1177</v>
      </c>
      <c r="B1178" s="4">
        <v>41123</v>
      </c>
      <c r="C1178" s="1" t="s">
        <v>18</v>
      </c>
      <c r="D1178" s="1" t="s">
        <v>15</v>
      </c>
      <c r="E1178" s="1">
        <v>0.49304398148148149</v>
      </c>
      <c r="F1178" s="1" t="s">
        <v>13</v>
      </c>
      <c r="G1178" s="1">
        <v>2.99</v>
      </c>
      <c r="H1178" s="1">
        <v>3.05</v>
      </c>
      <c r="I1178" s="1">
        <v>0</v>
      </c>
      <c r="J1178" s="4">
        <v>41124</v>
      </c>
      <c r="K1178" s="4">
        <v>41854</v>
      </c>
      <c r="L1178">
        <f t="shared" si="18"/>
        <v>3.02</v>
      </c>
    </row>
    <row r="1179" spans="1:12" x14ac:dyDescent="0.15">
      <c r="A1179" s="1">
        <v>1178</v>
      </c>
      <c r="B1179" s="4">
        <v>41123</v>
      </c>
      <c r="C1179" s="1" t="s">
        <v>14</v>
      </c>
      <c r="D1179" s="1" t="s">
        <v>15</v>
      </c>
      <c r="E1179" s="1">
        <v>0.49304398148148149</v>
      </c>
      <c r="F1179" s="1" t="s">
        <v>13</v>
      </c>
      <c r="G1179" s="1">
        <v>3.16</v>
      </c>
      <c r="H1179" s="1">
        <v>3.22</v>
      </c>
      <c r="I1179" s="1">
        <v>0</v>
      </c>
      <c r="J1179" s="4">
        <v>41124</v>
      </c>
      <c r="K1179" s="4">
        <v>41489</v>
      </c>
      <c r="L1179">
        <f t="shared" si="18"/>
        <v>3.1900000000000004</v>
      </c>
    </row>
    <row r="1180" spans="1:12" x14ac:dyDescent="0.15">
      <c r="A1180" s="1">
        <v>1179</v>
      </c>
      <c r="B1180" s="4">
        <v>41123</v>
      </c>
      <c r="C1180" s="1" t="s">
        <v>19</v>
      </c>
      <c r="D1180" s="1" t="s">
        <v>15</v>
      </c>
      <c r="E1180" s="1">
        <v>0.49304398148148149</v>
      </c>
      <c r="F1180" s="1" t="s">
        <v>13</v>
      </c>
      <c r="G1180" s="1">
        <v>3.29</v>
      </c>
      <c r="H1180" s="1">
        <v>3.35</v>
      </c>
      <c r="I1180" s="1">
        <v>0</v>
      </c>
      <c r="J1180" s="4">
        <v>41124</v>
      </c>
      <c r="K1180" s="4">
        <v>41397</v>
      </c>
      <c r="L1180">
        <f t="shared" si="18"/>
        <v>3.3200000000000003</v>
      </c>
    </row>
    <row r="1181" spans="1:12" x14ac:dyDescent="0.15">
      <c r="A1181" s="1">
        <v>1180</v>
      </c>
      <c r="B1181" s="4">
        <v>41123</v>
      </c>
      <c r="C1181" s="1" t="s">
        <v>21</v>
      </c>
      <c r="D1181" s="1" t="s">
        <v>15</v>
      </c>
      <c r="E1181" s="1">
        <v>0.49304398148148149</v>
      </c>
      <c r="F1181" s="1" t="s">
        <v>13</v>
      </c>
      <c r="G1181" s="1">
        <v>3.02</v>
      </c>
      <c r="H1181" s="1">
        <v>3.08</v>
      </c>
      <c r="I1181" s="1">
        <v>0</v>
      </c>
      <c r="J1181" s="4">
        <v>41124</v>
      </c>
      <c r="K1181" s="4">
        <v>43680</v>
      </c>
      <c r="L1181">
        <f t="shared" si="18"/>
        <v>3.05</v>
      </c>
    </row>
    <row r="1182" spans="1:12" x14ac:dyDescent="0.15">
      <c r="A1182" s="1">
        <v>1181</v>
      </c>
      <c r="B1182" s="4">
        <v>41123</v>
      </c>
      <c r="C1182" s="1" t="s">
        <v>18</v>
      </c>
      <c r="D1182" s="1" t="s">
        <v>27</v>
      </c>
      <c r="E1182" s="1">
        <v>0.48622685185185183</v>
      </c>
      <c r="F1182" s="1" t="s">
        <v>13</v>
      </c>
      <c r="G1182" s="1">
        <v>2.99</v>
      </c>
      <c r="H1182" s="1">
        <v>3.05</v>
      </c>
      <c r="I1182" s="1">
        <v>0</v>
      </c>
      <c r="J1182" s="4">
        <v>41124</v>
      </c>
      <c r="K1182" s="4">
        <v>41854</v>
      </c>
      <c r="L1182">
        <f t="shared" si="18"/>
        <v>3.02</v>
      </c>
    </row>
    <row r="1183" spans="1:12" x14ac:dyDescent="0.15">
      <c r="A1183" s="1">
        <v>1182</v>
      </c>
      <c r="B1183" s="4">
        <v>41123</v>
      </c>
      <c r="C1183" s="1" t="s">
        <v>16</v>
      </c>
      <c r="D1183" s="1" t="s">
        <v>27</v>
      </c>
      <c r="E1183" s="1">
        <v>0.48621527777777779</v>
      </c>
      <c r="F1183" s="1" t="s">
        <v>13</v>
      </c>
      <c r="G1183" s="1">
        <v>2.91</v>
      </c>
      <c r="H1183" s="1">
        <v>3.01</v>
      </c>
      <c r="I1183" s="1">
        <v>0</v>
      </c>
      <c r="J1183" s="4">
        <v>41124</v>
      </c>
      <c r="K1183" s="4">
        <v>42585</v>
      </c>
      <c r="L1183">
        <f t="shared" si="18"/>
        <v>2.96</v>
      </c>
    </row>
    <row r="1184" spans="1:12" x14ac:dyDescent="0.15">
      <c r="A1184" s="1">
        <v>1183</v>
      </c>
      <c r="B1184" s="4">
        <v>41123</v>
      </c>
      <c r="C1184" s="1" t="s">
        <v>11</v>
      </c>
      <c r="D1184" s="1" t="s">
        <v>27</v>
      </c>
      <c r="E1184" s="1">
        <v>0.48622685185185183</v>
      </c>
      <c r="F1184" s="1" t="s">
        <v>13</v>
      </c>
      <c r="G1184" s="1">
        <v>2.91</v>
      </c>
      <c r="H1184" s="1">
        <v>3.01</v>
      </c>
      <c r="I1184" s="1">
        <v>0</v>
      </c>
      <c r="J1184" s="4">
        <v>41124</v>
      </c>
      <c r="K1184" s="4">
        <v>42219</v>
      </c>
      <c r="L1184">
        <f t="shared" si="18"/>
        <v>2.96</v>
      </c>
    </row>
    <row r="1185" spans="1:12" x14ac:dyDescent="0.15">
      <c r="A1185" s="1">
        <v>1184</v>
      </c>
      <c r="B1185" s="4">
        <v>41123</v>
      </c>
      <c r="C1185" s="1" t="s">
        <v>22</v>
      </c>
      <c r="D1185" s="1" t="s">
        <v>27</v>
      </c>
      <c r="E1185" s="1">
        <v>0.48622685185185183</v>
      </c>
      <c r="F1185" s="1" t="s">
        <v>13</v>
      </c>
      <c r="G1185" s="1">
        <v>3.47</v>
      </c>
      <c r="H1185" s="1">
        <v>3.57</v>
      </c>
      <c r="I1185" s="1">
        <v>0</v>
      </c>
      <c r="J1185" s="4">
        <v>41124</v>
      </c>
      <c r="K1185" s="4">
        <v>41308</v>
      </c>
      <c r="L1185">
        <f t="shared" si="18"/>
        <v>3.52</v>
      </c>
    </row>
    <row r="1186" spans="1:12" x14ac:dyDescent="0.15">
      <c r="A1186" s="1">
        <v>1185</v>
      </c>
      <c r="B1186" s="4">
        <v>41123</v>
      </c>
      <c r="C1186" s="1" t="s">
        <v>19</v>
      </c>
      <c r="D1186" s="1" t="s">
        <v>12</v>
      </c>
      <c r="E1186" s="1">
        <v>0.48168981481481482</v>
      </c>
      <c r="F1186" s="1" t="s">
        <v>13</v>
      </c>
      <c r="G1186" s="1">
        <v>3.24</v>
      </c>
      <c r="H1186" s="1">
        <v>3.34</v>
      </c>
      <c r="I1186" s="1">
        <v>0</v>
      </c>
      <c r="J1186" s="4">
        <v>41124</v>
      </c>
      <c r="K1186" s="4">
        <v>41397</v>
      </c>
      <c r="L1186">
        <f t="shared" si="18"/>
        <v>3.29</v>
      </c>
    </row>
    <row r="1187" spans="1:12" x14ac:dyDescent="0.15">
      <c r="A1187" s="1">
        <v>1186</v>
      </c>
      <c r="B1187" s="4">
        <v>41123</v>
      </c>
      <c r="C1187" s="1" t="s">
        <v>21</v>
      </c>
      <c r="D1187" s="1" t="s">
        <v>12</v>
      </c>
      <c r="E1187" s="1">
        <v>0.48168981481481482</v>
      </c>
      <c r="F1187" s="1" t="s">
        <v>13</v>
      </c>
      <c r="G1187" s="1">
        <v>2.87</v>
      </c>
      <c r="H1187" s="1">
        <v>3.27</v>
      </c>
      <c r="I1187" s="1">
        <v>0</v>
      </c>
      <c r="J1187" s="4">
        <v>41124</v>
      </c>
      <c r="K1187" s="4">
        <v>43680</v>
      </c>
      <c r="L1187">
        <f t="shared" si="18"/>
        <v>3.0700000000000003</v>
      </c>
    </row>
    <row r="1188" spans="1:12" x14ac:dyDescent="0.15">
      <c r="A1188" s="1">
        <v>1187</v>
      </c>
      <c r="B1188" s="4">
        <v>41123</v>
      </c>
      <c r="C1188" s="1" t="s">
        <v>11</v>
      </c>
      <c r="D1188" s="1" t="s">
        <v>12</v>
      </c>
      <c r="E1188" s="1">
        <v>0.48170138888888886</v>
      </c>
      <c r="F1188" s="1" t="s">
        <v>13</v>
      </c>
      <c r="G1188" s="1">
        <v>2.9</v>
      </c>
      <c r="H1188" s="1">
        <v>3</v>
      </c>
      <c r="I1188" s="1">
        <v>0</v>
      </c>
      <c r="J1188" s="4">
        <v>41124</v>
      </c>
      <c r="K1188" s="4">
        <v>42219</v>
      </c>
      <c r="L1188">
        <f t="shared" si="18"/>
        <v>2.95</v>
      </c>
    </row>
    <row r="1189" spans="1:12" x14ac:dyDescent="0.15">
      <c r="A1189" s="1">
        <v>1188</v>
      </c>
      <c r="B1189" s="4">
        <v>41123</v>
      </c>
      <c r="C1189" s="1" t="s">
        <v>20</v>
      </c>
      <c r="D1189" s="1" t="s">
        <v>12</v>
      </c>
      <c r="E1189" s="1">
        <v>0.48168981481481482</v>
      </c>
      <c r="F1189" s="1" t="s">
        <v>13</v>
      </c>
      <c r="G1189" s="1">
        <v>2.91</v>
      </c>
      <c r="H1189" s="1">
        <v>3.31</v>
      </c>
      <c r="I1189" s="1">
        <v>0</v>
      </c>
      <c r="J1189" s="4">
        <v>41124</v>
      </c>
      <c r="K1189" s="4">
        <v>44776</v>
      </c>
      <c r="L1189">
        <f t="shared" si="18"/>
        <v>3.1100000000000003</v>
      </c>
    </row>
    <row r="1190" spans="1:12" x14ac:dyDescent="0.15">
      <c r="A1190" s="1">
        <v>1189</v>
      </c>
      <c r="B1190" s="4">
        <v>41123</v>
      </c>
      <c r="C1190" s="1" t="s">
        <v>22</v>
      </c>
      <c r="D1190" s="1" t="s">
        <v>12</v>
      </c>
      <c r="E1190" s="1">
        <v>0.48166666666666669</v>
      </c>
      <c r="F1190" s="1" t="s">
        <v>13</v>
      </c>
      <c r="G1190" s="1">
        <v>3.45</v>
      </c>
      <c r="H1190" s="1">
        <v>3.55</v>
      </c>
      <c r="I1190" s="1">
        <v>0</v>
      </c>
      <c r="J1190" s="4">
        <v>41124</v>
      </c>
      <c r="K1190" s="4">
        <v>41308</v>
      </c>
      <c r="L1190">
        <f t="shared" si="18"/>
        <v>3.5</v>
      </c>
    </row>
    <row r="1191" spans="1:12" x14ac:dyDescent="0.15">
      <c r="A1191" s="1">
        <v>1190</v>
      </c>
      <c r="B1191" s="4">
        <v>41123</v>
      </c>
      <c r="C1191" s="1" t="s">
        <v>23</v>
      </c>
      <c r="D1191" s="1" t="s">
        <v>12</v>
      </c>
      <c r="E1191" s="1">
        <v>0.48166666666666669</v>
      </c>
      <c r="F1191" s="1" t="s">
        <v>13</v>
      </c>
      <c r="G1191" s="1">
        <v>2.9</v>
      </c>
      <c r="H1191" s="1">
        <v>3.1</v>
      </c>
      <c r="I1191" s="1">
        <v>0</v>
      </c>
      <c r="J1191" s="4">
        <v>41124</v>
      </c>
      <c r="K1191" s="4">
        <v>43315</v>
      </c>
      <c r="L1191">
        <f t="shared" si="18"/>
        <v>3</v>
      </c>
    </row>
    <row r="1192" spans="1:12" x14ac:dyDescent="0.15">
      <c r="A1192" s="1">
        <v>1191</v>
      </c>
      <c r="B1192" s="4">
        <v>41123</v>
      </c>
      <c r="C1192" s="1" t="s">
        <v>18</v>
      </c>
      <c r="D1192" s="1" t="s">
        <v>12</v>
      </c>
      <c r="E1192" s="1">
        <v>0.48167824074074073</v>
      </c>
      <c r="F1192" s="1" t="s">
        <v>13</v>
      </c>
      <c r="G1192" s="1">
        <v>2.95</v>
      </c>
      <c r="H1192" s="1">
        <v>3.05</v>
      </c>
      <c r="I1192" s="1">
        <v>0</v>
      </c>
      <c r="J1192" s="4">
        <v>41124</v>
      </c>
      <c r="K1192" s="4">
        <v>41854</v>
      </c>
      <c r="L1192">
        <f t="shared" si="18"/>
        <v>3</v>
      </c>
    </row>
    <row r="1193" spans="1:12" x14ac:dyDescent="0.15">
      <c r="A1193" s="1">
        <v>1192</v>
      </c>
      <c r="B1193" s="4">
        <v>41123</v>
      </c>
      <c r="C1193" s="1" t="s">
        <v>14</v>
      </c>
      <c r="D1193" s="1" t="s">
        <v>12</v>
      </c>
      <c r="E1193" s="1">
        <v>0.48167824074074073</v>
      </c>
      <c r="F1193" s="1" t="s">
        <v>13</v>
      </c>
      <c r="G1193" s="1">
        <v>3.12</v>
      </c>
      <c r="H1193" s="1">
        <v>3.22</v>
      </c>
      <c r="I1193" s="1">
        <v>0</v>
      </c>
      <c r="J1193" s="4">
        <v>41124</v>
      </c>
      <c r="K1193" s="4">
        <v>41489</v>
      </c>
      <c r="L1193">
        <f t="shared" si="18"/>
        <v>3.17</v>
      </c>
    </row>
    <row r="1194" spans="1:12" x14ac:dyDescent="0.15">
      <c r="A1194" s="1">
        <v>1193</v>
      </c>
      <c r="B1194" s="4">
        <v>41123</v>
      </c>
      <c r="C1194" s="1" t="s">
        <v>19</v>
      </c>
      <c r="D1194" s="1" t="s">
        <v>26</v>
      </c>
      <c r="E1194" s="1">
        <v>0.48541666666666666</v>
      </c>
      <c r="F1194" s="1" t="s">
        <v>13</v>
      </c>
      <c r="G1194" s="1">
        <v>3.2</v>
      </c>
      <c r="H1194" s="1">
        <v>3.28</v>
      </c>
      <c r="I1194" s="1">
        <v>0</v>
      </c>
      <c r="J1194" s="4">
        <v>41124</v>
      </c>
      <c r="K1194" s="4">
        <v>41397</v>
      </c>
      <c r="L1194">
        <f t="shared" si="18"/>
        <v>3.24</v>
      </c>
    </row>
    <row r="1195" spans="1:12" x14ac:dyDescent="0.15">
      <c r="A1195" s="1">
        <v>1194</v>
      </c>
      <c r="B1195" s="4">
        <v>41123</v>
      </c>
      <c r="C1195" s="1" t="s">
        <v>22</v>
      </c>
      <c r="D1195" s="1" t="s">
        <v>26</v>
      </c>
      <c r="E1195" s="1">
        <v>0.48540509259259257</v>
      </c>
      <c r="F1195" s="1" t="s">
        <v>13</v>
      </c>
      <c r="G1195" s="1">
        <v>3.45</v>
      </c>
      <c r="H1195" s="1">
        <v>3.5</v>
      </c>
      <c r="I1195" s="1">
        <v>0</v>
      </c>
      <c r="J1195" s="4">
        <v>41124</v>
      </c>
      <c r="K1195" s="4">
        <v>41308</v>
      </c>
      <c r="L1195">
        <f t="shared" si="18"/>
        <v>3.4750000000000001</v>
      </c>
    </row>
    <row r="1196" spans="1:12" x14ac:dyDescent="0.15">
      <c r="A1196" s="1">
        <v>1195</v>
      </c>
      <c r="B1196" s="4">
        <v>41123</v>
      </c>
      <c r="C1196" s="1" t="s">
        <v>16</v>
      </c>
      <c r="D1196" s="1" t="s">
        <v>26</v>
      </c>
      <c r="E1196" s="1">
        <v>0.48541666666666666</v>
      </c>
      <c r="F1196" s="1" t="s">
        <v>13</v>
      </c>
      <c r="G1196" s="1">
        <v>2.95</v>
      </c>
      <c r="H1196" s="1">
        <v>3.02</v>
      </c>
      <c r="I1196" s="1">
        <v>0</v>
      </c>
      <c r="J1196" s="4">
        <v>41124</v>
      </c>
      <c r="K1196" s="4">
        <v>42585</v>
      </c>
      <c r="L1196">
        <f t="shared" si="18"/>
        <v>2.9850000000000003</v>
      </c>
    </row>
    <row r="1197" spans="1:12" x14ac:dyDescent="0.15">
      <c r="A1197" s="1">
        <v>1196</v>
      </c>
      <c r="B1197" s="4">
        <v>41123</v>
      </c>
      <c r="C1197" s="1" t="s">
        <v>25</v>
      </c>
      <c r="D1197" s="1" t="s">
        <v>26</v>
      </c>
      <c r="E1197" s="1">
        <v>0.48541666666666666</v>
      </c>
      <c r="F1197" s="1" t="s">
        <v>13</v>
      </c>
      <c r="G1197" s="1">
        <v>2.95</v>
      </c>
      <c r="H1197" s="1">
        <v>3.02</v>
      </c>
      <c r="I1197" s="1">
        <v>0</v>
      </c>
      <c r="J1197" s="4">
        <v>41124</v>
      </c>
      <c r="K1197" s="4">
        <v>42950</v>
      </c>
      <c r="L1197">
        <f t="shared" si="18"/>
        <v>2.9850000000000003</v>
      </c>
    </row>
    <row r="1198" spans="1:12" x14ac:dyDescent="0.15">
      <c r="A1198" s="1">
        <v>1197</v>
      </c>
      <c r="B1198" s="4">
        <v>41123</v>
      </c>
      <c r="C1198" s="1" t="s">
        <v>25</v>
      </c>
      <c r="D1198" s="1" t="s">
        <v>12</v>
      </c>
      <c r="E1198" s="1">
        <v>0.48170138888888886</v>
      </c>
      <c r="F1198" s="1" t="s">
        <v>13</v>
      </c>
      <c r="G1198" s="1">
        <v>2.92</v>
      </c>
      <c r="H1198" s="1">
        <v>3.02</v>
      </c>
      <c r="I1198" s="1">
        <v>0</v>
      </c>
      <c r="J1198" s="4">
        <v>41124</v>
      </c>
      <c r="K1198" s="4">
        <v>42950</v>
      </c>
      <c r="L1198">
        <f t="shared" si="18"/>
        <v>2.9699999999999998</v>
      </c>
    </row>
    <row r="1199" spans="1:12" x14ac:dyDescent="0.15">
      <c r="A1199" s="1">
        <v>1198</v>
      </c>
      <c r="B1199" s="4">
        <v>41123</v>
      </c>
      <c r="C1199" s="1" t="s">
        <v>24</v>
      </c>
      <c r="D1199" s="1" t="s">
        <v>12</v>
      </c>
      <c r="E1199" s="1">
        <v>0.48170138888888886</v>
      </c>
      <c r="F1199" s="1" t="s">
        <v>13</v>
      </c>
      <c r="G1199" s="1">
        <v>2.88</v>
      </c>
      <c r="H1199" s="1">
        <v>3.28</v>
      </c>
      <c r="I1199" s="1">
        <v>0</v>
      </c>
      <c r="J1199" s="4">
        <v>41124</v>
      </c>
      <c r="K1199" s="4">
        <v>44046</v>
      </c>
      <c r="L1199">
        <f t="shared" si="18"/>
        <v>3.08</v>
      </c>
    </row>
    <row r="1200" spans="1:12" x14ac:dyDescent="0.15">
      <c r="A1200" s="1">
        <v>1199</v>
      </c>
      <c r="B1200" s="4">
        <v>41123</v>
      </c>
      <c r="C1200" s="1" t="s">
        <v>17</v>
      </c>
      <c r="D1200" s="1" t="s">
        <v>12</v>
      </c>
      <c r="E1200" s="1">
        <v>0.48170138888888886</v>
      </c>
      <c r="F1200" s="1" t="s">
        <v>13</v>
      </c>
      <c r="G1200" s="1">
        <v>2.9</v>
      </c>
      <c r="H1200" s="1">
        <v>3.3</v>
      </c>
      <c r="I1200" s="1">
        <v>0</v>
      </c>
      <c r="J1200" s="4">
        <v>41124</v>
      </c>
      <c r="K1200" s="4">
        <v>44411</v>
      </c>
      <c r="L1200">
        <f t="shared" si="18"/>
        <v>3.0999999999999996</v>
      </c>
    </row>
    <row r="1201" spans="1:12" x14ac:dyDescent="0.15">
      <c r="A1201" s="1">
        <v>1200</v>
      </c>
      <c r="B1201" s="4">
        <v>41123</v>
      </c>
      <c r="C1201" s="1" t="s">
        <v>16</v>
      </c>
      <c r="D1201" s="1" t="s">
        <v>12</v>
      </c>
      <c r="E1201" s="1">
        <v>0.48170138888888886</v>
      </c>
      <c r="F1201" s="1" t="s">
        <v>13</v>
      </c>
      <c r="G1201" s="1">
        <v>2.9</v>
      </c>
      <c r="H1201" s="1">
        <v>3</v>
      </c>
      <c r="I1201" s="1">
        <v>0</v>
      </c>
      <c r="J1201" s="4">
        <v>41124</v>
      </c>
      <c r="K1201" s="4">
        <v>42585</v>
      </c>
      <c r="L1201">
        <f t="shared" si="18"/>
        <v>2.95</v>
      </c>
    </row>
    <row r="1202" spans="1:12" x14ac:dyDescent="0.15">
      <c r="A1202" s="1">
        <v>1201</v>
      </c>
      <c r="B1202" s="4">
        <v>41123</v>
      </c>
      <c r="C1202" s="1" t="s">
        <v>20</v>
      </c>
      <c r="D1202" s="1" t="s">
        <v>15</v>
      </c>
      <c r="E1202" s="1">
        <v>0.49304398148148149</v>
      </c>
      <c r="F1202" s="1" t="s">
        <v>13</v>
      </c>
      <c r="G1202" s="1">
        <v>3.07</v>
      </c>
      <c r="H1202" s="1">
        <v>3.13</v>
      </c>
      <c r="I1202" s="1">
        <v>0</v>
      </c>
      <c r="J1202" s="4">
        <v>41124</v>
      </c>
      <c r="K1202" s="4">
        <v>44776</v>
      </c>
      <c r="L1202">
        <f t="shared" si="18"/>
        <v>3.0999999999999996</v>
      </c>
    </row>
    <row r="1203" spans="1:12" x14ac:dyDescent="0.15">
      <c r="A1203" s="1">
        <v>1202</v>
      </c>
      <c r="B1203" s="4">
        <v>41123</v>
      </c>
      <c r="C1203" s="1" t="s">
        <v>20</v>
      </c>
      <c r="D1203" s="1" t="s">
        <v>26</v>
      </c>
      <c r="E1203" s="1">
        <v>0.6754282407407407</v>
      </c>
      <c r="F1203" s="1" t="s">
        <v>13</v>
      </c>
      <c r="G1203" s="1">
        <v>2.95</v>
      </c>
      <c r="H1203" s="1">
        <v>3.02</v>
      </c>
      <c r="I1203" s="1">
        <v>0</v>
      </c>
      <c r="J1203" s="4">
        <v>41124</v>
      </c>
      <c r="K1203" s="4">
        <v>44776</v>
      </c>
      <c r="L1203">
        <f t="shared" si="18"/>
        <v>2.9850000000000003</v>
      </c>
    </row>
    <row r="1204" spans="1:12" x14ac:dyDescent="0.15">
      <c r="A1204" s="1">
        <v>1203</v>
      </c>
      <c r="B1204" s="4">
        <v>41123</v>
      </c>
      <c r="C1204" s="1" t="s">
        <v>14</v>
      </c>
      <c r="D1204" s="1" t="s">
        <v>26</v>
      </c>
      <c r="E1204" s="1">
        <v>0.6754282407407407</v>
      </c>
      <c r="F1204" s="1" t="s">
        <v>13</v>
      </c>
      <c r="G1204" s="1">
        <v>3.12</v>
      </c>
      <c r="H1204" s="1">
        <v>3.17</v>
      </c>
      <c r="I1204" s="1">
        <v>0</v>
      </c>
      <c r="J1204" s="4">
        <v>41124</v>
      </c>
      <c r="K1204" s="4">
        <v>41489</v>
      </c>
      <c r="L1204">
        <f t="shared" si="18"/>
        <v>3.145</v>
      </c>
    </row>
    <row r="1205" spans="1:12" x14ac:dyDescent="0.15">
      <c r="A1205" s="1">
        <v>1204</v>
      </c>
      <c r="B1205" s="4">
        <v>41123</v>
      </c>
      <c r="C1205" s="1" t="s">
        <v>21</v>
      </c>
      <c r="D1205" s="1" t="s">
        <v>26</v>
      </c>
      <c r="E1205" s="1">
        <v>0.6754282407407407</v>
      </c>
      <c r="F1205" s="1" t="s">
        <v>13</v>
      </c>
      <c r="G1205" s="1">
        <v>2.95</v>
      </c>
      <c r="H1205" s="1">
        <v>3.02</v>
      </c>
      <c r="I1205" s="1">
        <v>0</v>
      </c>
      <c r="J1205" s="4">
        <v>41124</v>
      </c>
      <c r="K1205" s="4">
        <v>43680</v>
      </c>
      <c r="L1205">
        <f t="shared" si="18"/>
        <v>2.9850000000000003</v>
      </c>
    </row>
    <row r="1206" spans="1:12" x14ac:dyDescent="0.15">
      <c r="A1206" s="1">
        <v>1205</v>
      </c>
      <c r="B1206" s="4">
        <v>41123</v>
      </c>
      <c r="C1206" s="1" t="s">
        <v>18</v>
      </c>
      <c r="D1206" s="1" t="s">
        <v>26</v>
      </c>
      <c r="E1206" s="1">
        <v>0.6754282407407407</v>
      </c>
      <c r="F1206" s="1" t="s">
        <v>13</v>
      </c>
      <c r="G1206" s="1">
        <v>2.95</v>
      </c>
      <c r="H1206" s="1">
        <v>3.05</v>
      </c>
      <c r="I1206" s="1">
        <v>0</v>
      </c>
      <c r="J1206" s="4">
        <v>41124</v>
      </c>
      <c r="K1206" s="4">
        <v>41854</v>
      </c>
      <c r="L1206">
        <f t="shared" si="18"/>
        <v>3</v>
      </c>
    </row>
    <row r="1207" spans="1:12" x14ac:dyDescent="0.15">
      <c r="A1207" s="1">
        <v>1206</v>
      </c>
      <c r="B1207" s="4">
        <v>41123</v>
      </c>
      <c r="C1207" s="1" t="s">
        <v>19</v>
      </c>
      <c r="D1207" s="1" t="s">
        <v>26</v>
      </c>
      <c r="E1207" s="1">
        <v>0.6754282407407407</v>
      </c>
      <c r="F1207" s="1" t="s">
        <v>13</v>
      </c>
      <c r="G1207" s="1">
        <v>3.2</v>
      </c>
      <c r="H1207" s="1">
        <v>3.28</v>
      </c>
      <c r="I1207" s="1">
        <v>0</v>
      </c>
      <c r="J1207" s="4">
        <v>41124</v>
      </c>
      <c r="K1207" s="4">
        <v>41397</v>
      </c>
      <c r="L1207">
        <f t="shared" si="18"/>
        <v>3.24</v>
      </c>
    </row>
    <row r="1208" spans="1:12" x14ac:dyDescent="0.15">
      <c r="A1208" s="1">
        <v>1207</v>
      </c>
      <c r="B1208" s="4">
        <v>41123</v>
      </c>
      <c r="C1208" s="1" t="s">
        <v>22</v>
      </c>
      <c r="D1208" s="1" t="s">
        <v>26</v>
      </c>
      <c r="E1208" s="1">
        <v>0.67541666666666667</v>
      </c>
      <c r="F1208" s="1" t="s">
        <v>13</v>
      </c>
      <c r="G1208" s="1">
        <v>3.45</v>
      </c>
      <c r="H1208" s="1">
        <v>3.5</v>
      </c>
      <c r="I1208" s="1">
        <v>0</v>
      </c>
      <c r="J1208" s="4">
        <v>41124</v>
      </c>
      <c r="K1208" s="4">
        <v>41308</v>
      </c>
      <c r="L1208">
        <f t="shared" si="18"/>
        <v>3.4750000000000001</v>
      </c>
    </row>
    <row r="1209" spans="1:12" x14ac:dyDescent="0.15">
      <c r="A1209" s="1">
        <v>1208</v>
      </c>
      <c r="B1209" s="4">
        <v>41123</v>
      </c>
      <c r="C1209" s="1" t="s">
        <v>16</v>
      </c>
      <c r="D1209" s="1" t="s">
        <v>26</v>
      </c>
      <c r="E1209" s="1">
        <v>0.6754282407407407</v>
      </c>
      <c r="F1209" s="1" t="s">
        <v>13</v>
      </c>
      <c r="G1209" s="1">
        <v>2.95</v>
      </c>
      <c r="H1209" s="1">
        <v>3.02</v>
      </c>
      <c r="I1209" s="1">
        <v>0</v>
      </c>
      <c r="J1209" s="4">
        <v>41124</v>
      </c>
      <c r="K1209" s="4">
        <v>42585</v>
      </c>
      <c r="L1209">
        <f t="shared" si="18"/>
        <v>2.9850000000000003</v>
      </c>
    </row>
    <row r="1210" spans="1:12" x14ac:dyDescent="0.15">
      <c r="A1210" s="1">
        <v>1209</v>
      </c>
      <c r="B1210" s="4">
        <v>41123</v>
      </c>
      <c r="C1210" s="1" t="s">
        <v>25</v>
      </c>
      <c r="D1210" s="1" t="s">
        <v>26</v>
      </c>
      <c r="E1210" s="1">
        <v>0.6754282407407407</v>
      </c>
      <c r="F1210" s="1" t="s">
        <v>13</v>
      </c>
      <c r="G1210" s="1">
        <v>2.95</v>
      </c>
      <c r="H1210" s="1">
        <v>3.02</v>
      </c>
      <c r="I1210" s="1">
        <v>0</v>
      </c>
      <c r="J1210" s="4">
        <v>41124</v>
      </c>
      <c r="K1210" s="4">
        <v>42950</v>
      </c>
      <c r="L1210">
        <f t="shared" si="18"/>
        <v>2.9850000000000003</v>
      </c>
    </row>
    <row r="1211" spans="1:12" x14ac:dyDescent="0.15">
      <c r="A1211" s="1">
        <v>1210</v>
      </c>
      <c r="B1211" s="4">
        <v>41123</v>
      </c>
      <c r="C1211" s="1" t="s">
        <v>18</v>
      </c>
      <c r="D1211" s="1" t="s">
        <v>27</v>
      </c>
      <c r="E1211" s="1">
        <v>0.67766203703703709</v>
      </c>
      <c r="F1211" s="1" t="s">
        <v>13</v>
      </c>
      <c r="G1211" s="1">
        <v>2.97</v>
      </c>
      <c r="H1211" s="1">
        <v>3.05</v>
      </c>
      <c r="I1211" s="1">
        <v>0</v>
      </c>
      <c r="J1211" s="4">
        <v>41124</v>
      </c>
      <c r="K1211" s="4">
        <v>41854</v>
      </c>
      <c r="L1211">
        <f t="shared" si="18"/>
        <v>3.01</v>
      </c>
    </row>
    <row r="1212" spans="1:12" x14ac:dyDescent="0.15">
      <c r="A1212" s="1">
        <v>1211</v>
      </c>
      <c r="B1212" s="4">
        <v>41123</v>
      </c>
      <c r="C1212" s="1" t="s">
        <v>16</v>
      </c>
      <c r="D1212" s="1" t="s">
        <v>27</v>
      </c>
      <c r="E1212" s="1">
        <v>0.67765046296296294</v>
      </c>
      <c r="F1212" s="1" t="s">
        <v>13</v>
      </c>
      <c r="G1212" s="1">
        <v>2.91</v>
      </c>
      <c r="H1212" s="1">
        <v>3.01</v>
      </c>
      <c r="I1212" s="1">
        <v>0</v>
      </c>
      <c r="J1212" s="4">
        <v>41124</v>
      </c>
      <c r="K1212" s="4">
        <v>42585</v>
      </c>
      <c r="L1212">
        <f t="shared" si="18"/>
        <v>2.96</v>
      </c>
    </row>
    <row r="1213" spans="1:12" x14ac:dyDescent="0.15">
      <c r="A1213" s="1">
        <v>1212</v>
      </c>
      <c r="B1213" s="4">
        <v>41123</v>
      </c>
      <c r="C1213" s="1" t="s">
        <v>11</v>
      </c>
      <c r="D1213" s="1" t="s">
        <v>27</v>
      </c>
      <c r="E1213" s="1">
        <v>0.67767361111111113</v>
      </c>
      <c r="F1213" s="1" t="s">
        <v>13</v>
      </c>
      <c r="G1213" s="1">
        <v>2.94</v>
      </c>
      <c r="H1213" s="1">
        <v>3</v>
      </c>
      <c r="I1213" s="1">
        <v>0</v>
      </c>
      <c r="J1213" s="4">
        <v>41124</v>
      </c>
      <c r="K1213" s="4">
        <v>42219</v>
      </c>
      <c r="L1213">
        <f t="shared" si="18"/>
        <v>2.9699999999999998</v>
      </c>
    </row>
    <row r="1214" spans="1:12" x14ac:dyDescent="0.15">
      <c r="A1214" s="1">
        <v>1213</v>
      </c>
      <c r="B1214" s="4">
        <v>41123</v>
      </c>
      <c r="C1214" s="1" t="s">
        <v>22</v>
      </c>
      <c r="D1214" s="1" t="s">
        <v>27</v>
      </c>
      <c r="E1214" s="1">
        <v>0.67766203703703709</v>
      </c>
      <c r="F1214" s="1" t="s">
        <v>13</v>
      </c>
      <c r="G1214" s="1">
        <v>3.45</v>
      </c>
      <c r="H1214" s="1">
        <v>3.55</v>
      </c>
      <c r="I1214" s="1">
        <v>0</v>
      </c>
      <c r="J1214" s="4">
        <v>41124</v>
      </c>
      <c r="K1214" s="4">
        <v>41308</v>
      </c>
      <c r="L1214">
        <f t="shared" si="18"/>
        <v>3.5</v>
      </c>
    </row>
    <row r="1215" spans="1:12" x14ac:dyDescent="0.15">
      <c r="A1215" s="1">
        <v>1214</v>
      </c>
      <c r="B1215" s="4">
        <v>41123</v>
      </c>
      <c r="C1215" s="1" t="s">
        <v>14</v>
      </c>
      <c r="D1215" s="1" t="s">
        <v>27</v>
      </c>
      <c r="E1215" s="1">
        <v>0.67765046296296294</v>
      </c>
      <c r="F1215" s="1" t="s">
        <v>13</v>
      </c>
      <c r="G1215" s="1">
        <v>3.14</v>
      </c>
      <c r="H1215" s="1">
        <v>3.23</v>
      </c>
      <c r="I1215" s="1">
        <v>0</v>
      </c>
      <c r="J1215" s="4">
        <v>41124</v>
      </c>
      <c r="K1215" s="4">
        <v>41489</v>
      </c>
      <c r="L1215">
        <f t="shared" si="18"/>
        <v>3.1850000000000001</v>
      </c>
    </row>
    <row r="1216" spans="1:12" x14ac:dyDescent="0.15">
      <c r="A1216" s="1">
        <v>1215</v>
      </c>
      <c r="B1216" s="4">
        <v>41123</v>
      </c>
      <c r="C1216" s="1" t="s">
        <v>11</v>
      </c>
      <c r="D1216" s="1" t="s">
        <v>26</v>
      </c>
      <c r="E1216" s="1">
        <v>0.67543981481481474</v>
      </c>
      <c r="F1216" s="1" t="s">
        <v>13</v>
      </c>
      <c r="G1216" s="1">
        <v>2.95</v>
      </c>
      <c r="H1216" s="1">
        <v>3.02</v>
      </c>
      <c r="I1216" s="1">
        <v>0</v>
      </c>
      <c r="J1216" s="4">
        <v>41124</v>
      </c>
      <c r="K1216" s="4">
        <v>42219</v>
      </c>
      <c r="L1216">
        <f t="shared" si="18"/>
        <v>2.9850000000000003</v>
      </c>
    </row>
    <row r="1217" spans="1:12" x14ac:dyDescent="0.15">
      <c r="A1217" s="1">
        <v>1216</v>
      </c>
      <c r="B1217" s="4">
        <v>41123</v>
      </c>
      <c r="C1217" s="1" t="s">
        <v>19</v>
      </c>
      <c r="D1217" s="1" t="s">
        <v>27</v>
      </c>
      <c r="E1217" s="1">
        <v>0.67765046296296294</v>
      </c>
      <c r="F1217" s="1" t="s">
        <v>13</v>
      </c>
      <c r="G1217" s="1">
        <v>3.26</v>
      </c>
      <c r="H1217" s="1">
        <v>3.34</v>
      </c>
      <c r="I1217" s="1">
        <v>0</v>
      </c>
      <c r="J1217" s="4">
        <v>41124</v>
      </c>
      <c r="K1217" s="4">
        <v>41397</v>
      </c>
      <c r="L1217">
        <f t="shared" si="18"/>
        <v>3.3</v>
      </c>
    </row>
    <row r="1218" spans="1:12" x14ac:dyDescent="0.15">
      <c r="A1218" s="1">
        <v>1217</v>
      </c>
      <c r="B1218" s="4">
        <v>41123</v>
      </c>
      <c r="C1218" s="1" t="s">
        <v>25</v>
      </c>
      <c r="D1218" s="1" t="s">
        <v>27</v>
      </c>
      <c r="E1218" s="1">
        <v>0.67765046296296294</v>
      </c>
      <c r="F1218" s="1" t="s">
        <v>13</v>
      </c>
      <c r="G1218" s="1">
        <v>2.96</v>
      </c>
      <c r="H1218" s="1">
        <v>3.01</v>
      </c>
      <c r="I1218" s="1">
        <v>0</v>
      </c>
      <c r="J1218" s="4">
        <v>41124</v>
      </c>
      <c r="K1218" s="4">
        <v>42950</v>
      </c>
      <c r="L1218">
        <f t="shared" si="18"/>
        <v>2.9849999999999999</v>
      </c>
    </row>
    <row r="1219" spans="1:12" x14ac:dyDescent="0.15">
      <c r="A1219" s="1">
        <v>1218</v>
      </c>
      <c r="B1219" s="4">
        <v>41123</v>
      </c>
      <c r="C1219" s="1" t="s">
        <v>22</v>
      </c>
      <c r="D1219" s="1" t="s">
        <v>12</v>
      </c>
      <c r="E1219" s="1">
        <v>0.66857638888888893</v>
      </c>
      <c r="F1219" s="1" t="s">
        <v>13</v>
      </c>
      <c r="G1219" s="1">
        <v>3.45</v>
      </c>
      <c r="H1219" s="1">
        <v>3.55</v>
      </c>
      <c r="I1219" s="1">
        <v>0</v>
      </c>
      <c r="J1219" s="4">
        <v>41124</v>
      </c>
      <c r="K1219" s="4">
        <v>41308</v>
      </c>
      <c r="L1219">
        <f t="shared" ref="L1219:L1282" si="19">AVERAGE(G1219:H1219)</f>
        <v>3.5</v>
      </c>
    </row>
    <row r="1220" spans="1:12" x14ac:dyDescent="0.15">
      <c r="A1220" s="1">
        <v>1219</v>
      </c>
      <c r="B1220" s="4">
        <v>41123</v>
      </c>
      <c r="C1220" s="1" t="s">
        <v>23</v>
      </c>
      <c r="D1220" s="1" t="s">
        <v>12</v>
      </c>
      <c r="E1220" s="1">
        <v>0.66857638888888893</v>
      </c>
      <c r="F1220" s="1" t="s">
        <v>13</v>
      </c>
      <c r="G1220" s="1">
        <v>2.9</v>
      </c>
      <c r="H1220" s="1">
        <v>3.1</v>
      </c>
      <c r="I1220" s="1">
        <v>0</v>
      </c>
      <c r="J1220" s="4">
        <v>41124</v>
      </c>
      <c r="K1220" s="4">
        <v>43315</v>
      </c>
      <c r="L1220">
        <f t="shared" si="19"/>
        <v>3</v>
      </c>
    </row>
    <row r="1221" spans="1:12" x14ac:dyDescent="0.15">
      <c r="A1221" s="1">
        <v>1220</v>
      </c>
      <c r="B1221" s="4">
        <v>41123</v>
      </c>
      <c r="C1221" s="1" t="s">
        <v>18</v>
      </c>
      <c r="D1221" s="1" t="s">
        <v>12</v>
      </c>
      <c r="E1221" s="1">
        <v>0.66857638888888893</v>
      </c>
      <c r="F1221" s="1" t="s">
        <v>13</v>
      </c>
      <c r="G1221" s="1">
        <v>2.95</v>
      </c>
      <c r="H1221" s="1">
        <v>3.05</v>
      </c>
      <c r="I1221" s="1">
        <v>0</v>
      </c>
      <c r="J1221" s="4">
        <v>41124</v>
      </c>
      <c r="K1221" s="4">
        <v>41854</v>
      </c>
      <c r="L1221">
        <f t="shared" si="19"/>
        <v>3</v>
      </c>
    </row>
    <row r="1222" spans="1:12" x14ac:dyDescent="0.15">
      <c r="A1222" s="1">
        <v>1221</v>
      </c>
      <c r="B1222" s="4">
        <v>41123</v>
      </c>
      <c r="C1222" s="1" t="s">
        <v>14</v>
      </c>
      <c r="D1222" s="1" t="s">
        <v>12</v>
      </c>
      <c r="E1222" s="1">
        <v>0.66857638888888893</v>
      </c>
      <c r="F1222" s="1" t="s">
        <v>13</v>
      </c>
      <c r="G1222" s="1">
        <v>3.12</v>
      </c>
      <c r="H1222" s="1">
        <v>3.22</v>
      </c>
      <c r="I1222" s="1">
        <v>0</v>
      </c>
      <c r="J1222" s="4">
        <v>41124</v>
      </c>
      <c r="K1222" s="4">
        <v>41489</v>
      </c>
      <c r="L1222">
        <f t="shared" si="19"/>
        <v>3.17</v>
      </c>
    </row>
    <row r="1223" spans="1:12" x14ac:dyDescent="0.15">
      <c r="A1223" s="1">
        <v>1222</v>
      </c>
      <c r="B1223" s="4">
        <v>41123</v>
      </c>
      <c r="C1223" s="1" t="s">
        <v>25</v>
      </c>
      <c r="D1223" s="1" t="s">
        <v>15</v>
      </c>
      <c r="E1223" s="1">
        <v>0.49305555555555558</v>
      </c>
      <c r="F1223" s="1" t="s">
        <v>13</v>
      </c>
      <c r="G1223" s="1">
        <v>2.96</v>
      </c>
      <c r="H1223" s="1">
        <v>3.02</v>
      </c>
      <c r="I1223" s="1">
        <v>0</v>
      </c>
      <c r="J1223" s="4">
        <v>41124</v>
      </c>
      <c r="K1223" s="4">
        <v>42950</v>
      </c>
      <c r="L1223">
        <f t="shared" si="19"/>
        <v>2.99</v>
      </c>
    </row>
    <row r="1224" spans="1:12" x14ac:dyDescent="0.15">
      <c r="A1224" s="1">
        <v>1223</v>
      </c>
      <c r="B1224" s="4">
        <v>41123</v>
      </c>
      <c r="C1224" s="1" t="s">
        <v>22</v>
      </c>
      <c r="D1224" s="1" t="s">
        <v>15</v>
      </c>
      <c r="E1224" s="1">
        <v>0.49304398148148149</v>
      </c>
      <c r="F1224" s="1" t="s">
        <v>13</v>
      </c>
      <c r="G1224" s="1">
        <v>3.49</v>
      </c>
      <c r="H1224" s="1">
        <v>3.55</v>
      </c>
      <c r="I1224" s="1">
        <v>0</v>
      </c>
      <c r="J1224" s="4">
        <v>41124</v>
      </c>
      <c r="K1224" s="4">
        <v>41308</v>
      </c>
      <c r="L1224">
        <f t="shared" si="19"/>
        <v>3.52</v>
      </c>
    </row>
    <row r="1225" spans="1:12" x14ac:dyDescent="0.15">
      <c r="A1225" s="1">
        <v>1224</v>
      </c>
      <c r="B1225" s="4">
        <v>41123</v>
      </c>
      <c r="C1225" s="1" t="s">
        <v>11</v>
      </c>
      <c r="D1225" s="1" t="s">
        <v>15</v>
      </c>
      <c r="E1225" s="1">
        <v>0.49305555555555558</v>
      </c>
      <c r="F1225" s="1" t="s">
        <v>13</v>
      </c>
      <c r="G1225" s="1">
        <v>2.94</v>
      </c>
      <c r="H1225" s="1">
        <v>3</v>
      </c>
      <c r="I1225" s="1">
        <v>0</v>
      </c>
      <c r="J1225" s="4">
        <v>41124</v>
      </c>
      <c r="K1225" s="4">
        <v>42219</v>
      </c>
      <c r="L1225">
        <f t="shared" si="19"/>
        <v>2.9699999999999998</v>
      </c>
    </row>
    <row r="1226" spans="1:12" x14ac:dyDescent="0.15">
      <c r="A1226" s="1">
        <v>1225</v>
      </c>
      <c r="B1226" s="4">
        <v>41123</v>
      </c>
      <c r="C1226" s="1" t="s">
        <v>16</v>
      </c>
      <c r="D1226" s="1" t="s">
        <v>15</v>
      </c>
      <c r="E1226" s="1">
        <v>0.49305555555555558</v>
      </c>
      <c r="F1226" s="1" t="s">
        <v>13</v>
      </c>
      <c r="G1226" s="1">
        <v>2.94</v>
      </c>
      <c r="H1226" s="1">
        <v>3</v>
      </c>
      <c r="I1226" s="1">
        <v>0</v>
      </c>
      <c r="J1226" s="4">
        <v>41124</v>
      </c>
      <c r="K1226" s="4">
        <v>42585</v>
      </c>
      <c r="L1226">
        <f t="shared" si="19"/>
        <v>2.9699999999999998</v>
      </c>
    </row>
    <row r="1227" spans="1:12" x14ac:dyDescent="0.15">
      <c r="A1227" s="1">
        <v>1226</v>
      </c>
      <c r="B1227" s="4">
        <v>41123</v>
      </c>
      <c r="C1227" s="1" t="s">
        <v>16</v>
      </c>
      <c r="D1227" s="1" t="s">
        <v>12</v>
      </c>
      <c r="E1227" s="1">
        <v>0.66859953703703701</v>
      </c>
      <c r="F1227" s="1" t="s">
        <v>13</v>
      </c>
      <c r="G1227" s="1">
        <v>2.9</v>
      </c>
      <c r="H1227" s="1">
        <v>3</v>
      </c>
      <c r="I1227" s="1">
        <v>0</v>
      </c>
      <c r="J1227" s="4">
        <v>41124</v>
      </c>
      <c r="K1227" s="4">
        <v>42585</v>
      </c>
      <c r="L1227">
        <f t="shared" si="19"/>
        <v>2.95</v>
      </c>
    </row>
    <row r="1228" spans="1:12" x14ac:dyDescent="0.15">
      <c r="A1228" s="1">
        <v>1227</v>
      </c>
      <c r="B1228" s="4">
        <v>41123</v>
      </c>
      <c r="C1228" s="1" t="s">
        <v>25</v>
      </c>
      <c r="D1228" s="1" t="s">
        <v>12</v>
      </c>
      <c r="E1228" s="1">
        <v>0.66859953703703701</v>
      </c>
      <c r="F1228" s="1" t="s">
        <v>13</v>
      </c>
      <c r="G1228" s="1">
        <v>2.92</v>
      </c>
      <c r="H1228" s="1">
        <v>3.02</v>
      </c>
      <c r="I1228" s="1">
        <v>0</v>
      </c>
      <c r="J1228" s="4">
        <v>41124</v>
      </c>
      <c r="K1228" s="4">
        <v>42950</v>
      </c>
      <c r="L1228">
        <f t="shared" si="19"/>
        <v>2.9699999999999998</v>
      </c>
    </row>
    <row r="1229" spans="1:12" x14ac:dyDescent="0.15">
      <c r="A1229" s="1">
        <v>1228</v>
      </c>
      <c r="B1229" s="4">
        <v>41123</v>
      </c>
      <c r="C1229" s="1" t="s">
        <v>11</v>
      </c>
      <c r="D1229" s="1" t="s">
        <v>12</v>
      </c>
      <c r="E1229" s="1">
        <v>0.66859953703703701</v>
      </c>
      <c r="F1229" s="1" t="s">
        <v>13</v>
      </c>
      <c r="G1229" s="1">
        <v>2.9</v>
      </c>
      <c r="H1229" s="1">
        <v>3</v>
      </c>
      <c r="I1229" s="1">
        <v>0</v>
      </c>
      <c r="J1229" s="4">
        <v>41124</v>
      </c>
      <c r="K1229" s="4">
        <v>42219</v>
      </c>
      <c r="L1229">
        <f t="shared" si="19"/>
        <v>2.95</v>
      </c>
    </row>
    <row r="1230" spans="1:12" x14ac:dyDescent="0.15">
      <c r="A1230" s="1">
        <v>1229</v>
      </c>
      <c r="B1230" s="4">
        <v>41123</v>
      </c>
      <c r="C1230" s="1" t="s">
        <v>17</v>
      </c>
      <c r="D1230" s="1" t="s">
        <v>12</v>
      </c>
      <c r="E1230" s="1">
        <v>0.66859953703703701</v>
      </c>
      <c r="F1230" s="1" t="s">
        <v>13</v>
      </c>
      <c r="G1230" s="1">
        <v>2.9</v>
      </c>
      <c r="H1230" s="1">
        <v>3.3</v>
      </c>
      <c r="I1230" s="1">
        <v>0</v>
      </c>
      <c r="J1230" s="4">
        <v>41124</v>
      </c>
      <c r="K1230" s="4">
        <v>44411</v>
      </c>
      <c r="L1230">
        <f t="shared" si="19"/>
        <v>3.0999999999999996</v>
      </c>
    </row>
    <row r="1231" spans="1:12" x14ac:dyDescent="0.15">
      <c r="A1231" s="1">
        <v>1230</v>
      </c>
      <c r="B1231" s="4">
        <v>41123</v>
      </c>
      <c r="C1231" s="1" t="s">
        <v>19</v>
      </c>
      <c r="D1231" s="1" t="s">
        <v>12</v>
      </c>
      <c r="E1231" s="1">
        <v>0.66858796296296286</v>
      </c>
      <c r="F1231" s="1" t="s">
        <v>13</v>
      </c>
      <c r="G1231" s="1">
        <v>3.24</v>
      </c>
      <c r="H1231" s="1">
        <v>3.34</v>
      </c>
      <c r="I1231" s="1">
        <v>0</v>
      </c>
      <c r="J1231" s="4">
        <v>41124</v>
      </c>
      <c r="K1231" s="4">
        <v>41397</v>
      </c>
      <c r="L1231">
        <f t="shared" si="19"/>
        <v>3.29</v>
      </c>
    </row>
    <row r="1232" spans="1:12" x14ac:dyDescent="0.15">
      <c r="A1232" s="1">
        <v>1231</v>
      </c>
      <c r="B1232" s="4">
        <v>41123</v>
      </c>
      <c r="C1232" s="1" t="s">
        <v>21</v>
      </c>
      <c r="D1232" s="1" t="s">
        <v>12</v>
      </c>
      <c r="E1232" s="1">
        <v>0.66858796296296286</v>
      </c>
      <c r="F1232" s="1" t="s">
        <v>13</v>
      </c>
      <c r="G1232" s="1">
        <v>2.87</v>
      </c>
      <c r="H1232" s="1">
        <v>3.27</v>
      </c>
      <c r="I1232" s="1">
        <v>0</v>
      </c>
      <c r="J1232" s="4">
        <v>41124</v>
      </c>
      <c r="K1232" s="4">
        <v>43680</v>
      </c>
      <c r="L1232">
        <f t="shared" si="19"/>
        <v>3.0700000000000003</v>
      </c>
    </row>
    <row r="1233" spans="1:12" x14ac:dyDescent="0.15">
      <c r="A1233" s="1">
        <v>1232</v>
      </c>
      <c r="B1233" s="4">
        <v>41123</v>
      </c>
      <c r="C1233" s="1" t="s">
        <v>24</v>
      </c>
      <c r="D1233" s="1" t="s">
        <v>12</v>
      </c>
      <c r="E1233" s="1">
        <v>0.66858796296296286</v>
      </c>
      <c r="F1233" s="1" t="s">
        <v>13</v>
      </c>
      <c r="G1233" s="1">
        <v>2.88</v>
      </c>
      <c r="H1233" s="1">
        <v>3.28</v>
      </c>
      <c r="I1233" s="1">
        <v>0</v>
      </c>
      <c r="J1233" s="4">
        <v>41124</v>
      </c>
      <c r="K1233" s="4">
        <v>44046</v>
      </c>
      <c r="L1233">
        <f t="shared" si="19"/>
        <v>3.08</v>
      </c>
    </row>
    <row r="1234" spans="1:12" x14ac:dyDescent="0.15">
      <c r="A1234" s="1">
        <v>1233</v>
      </c>
      <c r="B1234" s="4">
        <v>41123</v>
      </c>
      <c r="C1234" s="1" t="s">
        <v>20</v>
      </c>
      <c r="D1234" s="1" t="s">
        <v>12</v>
      </c>
      <c r="E1234" s="1">
        <v>0.66858796296296286</v>
      </c>
      <c r="F1234" s="1" t="s">
        <v>13</v>
      </c>
      <c r="G1234" s="1">
        <v>2.91</v>
      </c>
      <c r="H1234" s="1">
        <v>3.31</v>
      </c>
      <c r="I1234" s="1">
        <v>0</v>
      </c>
      <c r="J1234" s="4">
        <v>41124</v>
      </c>
      <c r="K1234" s="4">
        <v>44776</v>
      </c>
      <c r="L1234">
        <f t="shared" si="19"/>
        <v>3.1100000000000003</v>
      </c>
    </row>
    <row r="1235" spans="1:12" x14ac:dyDescent="0.15">
      <c r="A1235" s="1">
        <v>1234</v>
      </c>
      <c r="B1235" s="4">
        <v>41122</v>
      </c>
      <c r="C1235" s="1" t="s">
        <v>24</v>
      </c>
      <c r="D1235" s="1" t="s">
        <v>12</v>
      </c>
      <c r="E1235" s="1">
        <v>0.48603009259259261</v>
      </c>
      <c r="F1235" s="1" t="s">
        <v>13</v>
      </c>
      <c r="G1235" s="1">
        <v>2.88</v>
      </c>
      <c r="H1235" s="1">
        <v>3.28</v>
      </c>
      <c r="I1235" s="1">
        <v>0</v>
      </c>
      <c r="J1235" s="4">
        <v>41123</v>
      </c>
      <c r="K1235" s="4">
        <v>44045</v>
      </c>
      <c r="L1235">
        <f t="shared" si="19"/>
        <v>3.08</v>
      </c>
    </row>
    <row r="1236" spans="1:12" x14ac:dyDescent="0.15">
      <c r="A1236" s="1">
        <v>1235</v>
      </c>
      <c r="B1236" s="4">
        <v>41122</v>
      </c>
      <c r="C1236" s="1" t="s">
        <v>22</v>
      </c>
      <c r="D1236" s="1" t="s">
        <v>12</v>
      </c>
      <c r="E1236" s="1">
        <v>0.48601851851851857</v>
      </c>
      <c r="F1236" s="1" t="s">
        <v>13</v>
      </c>
      <c r="G1236" s="1">
        <v>3.45</v>
      </c>
      <c r="H1236" s="1">
        <v>3.57</v>
      </c>
      <c r="I1236" s="1">
        <v>0</v>
      </c>
      <c r="J1236" s="4">
        <v>41123</v>
      </c>
      <c r="K1236" s="4">
        <v>41307</v>
      </c>
      <c r="L1236">
        <f t="shared" si="19"/>
        <v>3.51</v>
      </c>
    </row>
    <row r="1237" spans="1:12" x14ac:dyDescent="0.15">
      <c r="A1237" s="1">
        <v>1236</v>
      </c>
      <c r="B1237" s="4">
        <v>41122</v>
      </c>
      <c r="C1237" s="1" t="s">
        <v>16</v>
      </c>
      <c r="D1237" s="1" t="s">
        <v>12</v>
      </c>
      <c r="E1237" s="1">
        <v>0.48603009259259261</v>
      </c>
      <c r="F1237" s="1" t="s">
        <v>13</v>
      </c>
      <c r="G1237" s="1">
        <v>2.89</v>
      </c>
      <c r="H1237" s="1">
        <v>3</v>
      </c>
      <c r="I1237" s="1">
        <v>0</v>
      </c>
      <c r="J1237" s="4">
        <v>41123</v>
      </c>
      <c r="K1237" s="4">
        <v>42584</v>
      </c>
      <c r="L1237">
        <f t="shared" si="19"/>
        <v>2.9450000000000003</v>
      </c>
    </row>
    <row r="1238" spans="1:12" x14ac:dyDescent="0.15">
      <c r="A1238" s="1">
        <v>1237</v>
      </c>
      <c r="B1238" s="4">
        <v>41122</v>
      </c>
      <c r="C1238" s="1" t="s">
        <v>25</v>
      </c>
      <c r="D1238" s="1" t="s">
        <v>12</v>
      </c>
      <c r="E1238" s="1">
        <v>0.48603009259259261</v>
      </c>
      <c r="F1238" s="1" t="s">
        <v>13</v>
      </c>
      <c r="G1238" s="1">
        <v>2.92</v>
      </c>
      <c r="H1238" s="1">
        <v>3.03</v>
      </c>
      <c r="I1238" s="1">
        <v>0</v>
      </c>
      <c r="J1238" s="4">
        <v>41123</v>
      </c>
      <c r="K1238" s="4">
        <v>42949</v>
      </c>
      <c r="L1238">
        <f t="shared" si="19"/>
        <v>2.9749999999999996</v>
      </c>
    </row>
    <row r="1239" spans="1:12" x14ac:dyDescent="0.15">
      <c r="A1239" s="1">
        <v>1238</v>
      </c>
      <c r="B1239" s="4">
        <v>41122</v>
      </c>
      <c r="C1239" s="1" t="s">
        <v>23</v>
      </c>
      <c r="D1239" s="1" t="s">
        <v>12</v>
      </c>
      <c r="E1239" s="1">
        <v>0.48601851851851857</v>
      </c>
      <c r="F1239" s="1" t="s">
        <v>13</v>
      </c>
      <c r="G1239" s="1">
        <v>2.9</v>
      </c>
      <c r="H1239" s="1">
        <v>3.1</v>
      </c>
      <c r="I1239" s="1">
        <v>0</v>
      </c>
      <c r="J1239" s="4">
        <v>41123</v>
      </c>
      <c r="K1239" s="4">
        <v>43314</v>
      </c>
      <c r="L1239">
        <f t="shared" si="19"/>
        <v>3</v>
      </c>
    </row>
    <row r="1240" spans="1:12" x14ac:dyDescent="0.15">
      <c r="A1240" s="1">
        <v>1239</v>
      </c>
      <c r="B1240" s="4">
        <v>41122</v>
      </c>
      <c r="C1240" s="1" t="s">
        <v>21</v>
      </c>
      <c r="D1240" s="1" t="s">
        <v>12</v>
      </c>
      <c r="E1240" s="1">
        <v>0.48601851851851857</v>
      </c>
      <c r="F1240" s="1" t="s">
        <v>13</v>
      </c>
      <c r="G1240" s="1">
        <v>2.87</v>
      </c>
      <c r="H1240" s="1">
        <v>3.27</v>
      </c>
      <c r="I1240" s="1">
        <v>0</v>
      </c>
      <c r="J1240" s="4">
        <v>41123</v>
      </c>
      <c r="K1240" s="4">
        <v>43679</v>
      </c>
      <c r="L1240">
        <f t="shared" si="19"/>
        <v>3.0700000000000003</v>
      </c>
    </row>
    <row r="1241" spans="1:12" x14ac:dyDescent="0.15">
      <c r="A1241" s="1">
        <v>1240</v>
      </c>
      <c r="B1241" s="4">
        <v>41122</v>
      </c>
      <c r="C1241" s="1" t="s">
        <v>18</v>
      </c>
      <c r="D1241" s="1" t="s">
        <v>12</v>
      </c>
      <c r="E1241" s="1">
        <v>0.48601851851851857</v>
      </c>
      <c r="F1241" s="1" t="s">
        <v>13</v>
      </c>
      <c r="G1241" s="1">
        <v>2.95</v>
      </c>
      <c r="H1241" s="1">
        <v>3.05</v>
      </c>
      <c r="I1241" s="1">
        <v>0</v>
      </c>
      <c r="J1241" s="4">
        <v>41123</v>
      </c>
      <c r="K1241" s="4">
        <v>41853</v>
      </c>
      <c r="L1241">
        <f t="shared" si="19"/>
        <v>3</v>
      </c>
    </row>
    <row r="1242" spans="1:12" x14ac:dyDescent="0.15">
      <c r="A1242" s="1">
        <v>1241</v>
      </c>
      <c r="B1242" s="4">
        <v>41122</v>
      </c>
      <c r="C1242" s="1" t="s">
        <v>20</v>
      </c>
      <c r="D1242" s="1" t="s">
        <v>12</v>
      </c>
      <c r="E1242" s="1">
        <v>0.48601851851851857</v>
      </c>
      <c r="F1242" s="1" t="s">
        <v>13</v>
      </c>
      <c r="G1242" s="1">
        <v>2.91</v>
      </c>
      <c r="H1242" s="1">
        <v>3.31</v>
      </c>
      <c r="I1242" s="1">
        <v>0</v>
      </c>
      <c r="J1242" s="4">
        <v>41123</v>
      </c>
      <c r="K1242" s="4">
        <v>44775</v>
      </c>
      <c r="L1242">
        <f t="shared" si="19"/>
        <v>3.1100000000000003</v>
      </c>
    </row>
    <row r="1243" spans="1:12" x14ac:dyDescent="0.15">
      <c r="A1243" s="1">
        <v>1242</v>
      </c>
      <c r="B1243" s="4">
        <v>41122</v>
      </c>
      <c r="C1243" s="1" t="s">
        <v>19</v>
      </c>
      <c r="D1243" s="1" t="s">
        <v>12</v>
      </c>
      <c r="E1243" s="1">
        <v>0.48601851851851857</v>
      </c>
      <c r="F1243" s="1" t="s">
        <v>13</v>
      </c>
      <c r="G1243" s="1">
        <v>3.24</v>
      </c>
      <c r="H1243" s="1">
        <v>3.34</v>
      </c>
      <c r="I1243" s="1">
        <v>0</v>
      </c>
      <c r="J1243" s="4">
        <v>41123</v>
      </c>
      <c r="K1243" s="4">
        <v>41396</v>
      </c>
      <c r="L1243">
        <f t="shared" si="19"/>
        <v>3.29</v>
      </c>
    </row>
    <row r="1244" spans="1:12" x14ac:dyDescent="0.15">
      <c r="A1244" s="1">
        <v>1243</v>
      </c>
      <c r="B1244" s="4">
        <v>41122</v>
      </c>
      <c r="C1244" s="1" t="s">
        <v>11</v>
      </c>
      <c r="D1244" s="1" t="s">
        <v>27</v>
      </c>
      <c r="E1244" s="1">
        <v>0.49009259259259258</v>
      </c>
      <c r="F1244" s="1" t="s">
        <v>13</v>
      </c>
      <c r="G1244" s="1">
        <v>2.93</v>
      </c>
      <c r="H1244" s="1">
        <v>2.98</v>
      </c>
      <c r="I1244" s="1">
        <v>0</v>
      </c>
      <c r="J1244" s="4">
        <v>41123</v>
      </c>
      <c r="K1244" s="4">
        <v>42218</v>
      </c>
      <c r="L1244">
        <f t="shared" si="19"/>
        <v>2.9550000000000001</v>
      </c>
    </row>
    <row r="1245" spans="1:12" x14ac:dyDescent="0.15">
      <c r="A1245" s="1">
        <v>1244</v>
      </c>
      <c r="B1245" s="4">
        <v>41122</v>
      </c>
      <c r="C1245" s="1" t="s">
        <v>16</v>
      </c>
      <c r="D1245" s="1" t="s">
        <v>27</v>
      </c>
      <c r="E1245" s="1">
        <v>0.49008101851851849</v>
      </c>
      <c r="F1245" s="1" t="s">
        <v>13</v>
      </c>
      <c r="G1245" s="1">
        <v>2.91</v>
      </c>
      <c r="H1245" s="1">
        <v>2.98</v>
      </c>
      <c r="I1245" s="1">
        <v>0</v>
      </c>
      <c r="J1245" s="4">
        <v>41123</v>
      </c>
      <c r="K1245" s="4">
        <v>42584</v>
      </c>
      <c r="L1245">
        <f t="shared" si="19"/>
        <v>2.9450000000000003</v>
      </c>
    </row>
    <row r="1246" spans="1:12" x14ac:dyDescent="0.15">
      <c r="A1246" s="1">
        <v>1245</v>
      </c>
      <c r="B1246" s="4">
        <v>41122</v>
      </c>
      <c r="C1246" s="1" t="s">
        <v>22</v>
      </c>
      <c r="D1246" s="1" t="s">
        <v>27</v>
      </c>
      <c r="E1246" s="1">
        <v>0.49009259259259258</v>
      </c>
      <c r="F1246" s="1" t="s">
        <v>13</v>
      </c>
      <c r="G1246" s="1">
        <v>3.48</v>
      </c>
      <c r="H1246" s="1">
        <v>3.57</v>
      </c>
      <c r="I1246" s="1">
        <v>0</v>
      </c>
      <c r="J1246" s="4">
        <v>41123</v>
      </c>
      <c r="K1246" s="4">
        <v>41307</v>
      </c>
      <c r="L1246">
        <f t="shared" si="19"/>
        <v>3.5249999999999999</v>
      </c>
    </row>
    <row r="1247" spans="1:12" x14ac:dyDescent="0.15">
      <c r="A1247" s="1">
        <v>1246</v>
      </c>
      <c r="B1247" s="4">
        <v>41122</v>
      </c>
      <c r="C1247" s="1" t="s">
        <v>18</v>
      </c>
      <c r="D1247" s="1" t="s">
        <v>27</v>
      </c>
      <c r="E1247" s="1">
        <v>0.49009259259259258</v>
      </c>
      <c r="F1247" s="1" t="s">
        <v>13</v>
      </c>
      <c r="G1247" s="1">
        <v>2.97</v>
      </c>
      <c r="H1247" s="1">
        <v>3.03</v>
      </c>
      <c r="I1247" s="1">
        <v>0</v>
      </c>
      <c r="J1247" s="4">
        <v>41123</v>
      </c>
      <c r="K1247" s="4">
        <v>41853</v>
      </c>
      <c r="L1247">
        <f t="shared" si="19"/>
        <v>3</v>
      </c>
    </row>
    <row r="1248" spans="1:12" x14ac:dyDescent="0.15">
      <c r="A1248" s="1">
        <v>1247</v>
      </c>
      <c r="B1248" s="4">
        <v>41122</v>
      </c>
      <c r="C1248" s="1" t="s">
        <v>19</v>
      </c>
      <c r="D1248" s="1" t="s">
        <v>27</v>
      </c>
      <c r="E1248" s="1">
        <v>0.49008101851851849</v>
      </c>
      <c r="F1248" s="1" t="s">
        <v>13</v>
      </c>
      <c r="G1248" s="1">
        <v>3.25</v>
      </c>
      <c r="H1248" s="1">
        <v>3.33</v>
      </c>
      <c r="I1248" s="1">
        <v>0</v>
      </c>
      <c r="J1248" s="4">
        <v>41123</v>
      </c>
      <c r="K1248" s="4">
        <v>41396</v>
      </c>
      <c r="L1248">
        <f t="shared" si="19"/>
        <v>3.29</v>
      </c>
    </row>
    <row r="1249" spans="1:12" x14ac:dyDescent="0.15">
      <c r="A1249" s="1">
        <v>1248</v>
      </c>
      <c r="B1249" s="4">
        <v>41122</v>
      </c>
      <c r="C1249" s="1" t="s">
        <v>11</v>
      </c>
      <c r="D1249" s="1" t="s">
        <v>12</v>
      </c>
      <c r="E1249" s="1">
        <v>0.48603009259259261</v>
      </c>
      <c r="F1249" s="1" t="s">
        <v>13</v>
      </c>
      <c r="G1249" s="1">
        <v>2.89</v>
      </c>
      <c r="H1249" s="1">
        <v>3</v>
      </c>
      <c r="I1249" s="1">
        <v>0</v>
      </c>
      <c r="J1249" s="4">
        <v>41123</v>
      </c>
      <c r="K1249" s="4">
        <v>42218</v>
      </c>
      <c r="L1249">
        <f t="shared" si="19"/>
        <v>2.9450000000000003</v>
      </c>
    </row>
    <row r="1250" spans="1:12" x14ac:dyDescent="0.15">
      <c r="A1250" s="1">
        <v>1249</v>
      </c>
      <c r="B1250" s="4">
        <v>41122</v>
      </c>
      <c r="C1250" s="1" t="s">
        <v>17</v>
      </c>
      <c r="D1250" s="1" t="s">
        <v>12</v>
      </c>
      <c r="E1250" s="1">
        <v>0.48603009259259261</v>
      </c>
      <c r="F1250" s="1" t="s">
        <v>13</v>
      </c>
      <c r="G1250" s="1">
        <v>2.9</v>
      </c>
      <c r="H1250" s="1">
        <v>3.3</v>
      </c>
      <c r="I1250" s="1">
        <v>0</v>
      </c>
      <c r="J1250" s="4">
        <v>41123</v>
      </c>
      <c r="K1250" s="4">
        <v>44410</v>
      </c>
      <c r="L1250">
        <f t="shared" si="19"/>
        <v>3.0999999999999996</v>
      </c>
    </row>
    <row r="1251" spans="1:12" x14ac:dyDescent="0.15">
      <c r="A1251" s="1">
        <v>1250</v>
      </c>
      <c r="B1251" s="4">
        <v>41122</v>
      </c>
      <c r="C1251" s="1" t="s">
        <v>25</v>
      </c>
      <c r="D1251" s="1" t="s">
        <v>27</v>
      </c>
      <c r="E1251" s="1">
        <v>0.49008101851851849</v>
      </c>
      <c r="F1251" s="1" t="s">
        <v>13</v>
      </c>
      <c r="G1251" s="1">
        <v>2.96</v>
      </c>
      <c r="H1251" s="1">
        <v>3.01</v>
      </c>
      <c r="I1251" s="1">
        <v>0</v>
      </c>
      <c r="J1251" s="4">
        <v>41123</v>
      </c>
      <c r="K1251" s="4">
        <v>42949</v>
      </c>
      <c r="L1251">
        <f t="shared" si="19"/>
        <v>2.9849999999999999</v>
      </c>
    </row>
    <row r="1252" spans="1:12" x14ac:dyDescent="0.15">
      <c r="A1252" s="1">
        <v>1251</v>
      </c>
      <c r="B1252" s="4">
        <v>41122</v>
      </c>
      <c r="C1252" s="1" t="s">
        <v>14</v>
      </c>
      <c r="D1252" s="1" t="s">
        <v>27</v>
      </c>
      <c r="E1252" s="1">
        <v>0.49008101851851849</v>
      </c>
      <c r="F1252" s="1" t="s">
        <v>13</v>
      </c>
      <c r="G1252" s="1">
        <v>3.1</v>
      </c>
      <c r="H1252" s="1">
        <v>3.2</v>
      </c>
      <c r="I1252" s="1">
        <v>0</v>
      </c>
      <c r="J1252" s="4">
        <v>41123</v>
      </c>
      <c r="K1252" s="4">
        <v>41488</v>
      </c>
      <c r="L1252">
        <f t="shared" si="19"/>
        <v>3.1500000000000004</v>
      </c>
    </row>
    <row r="1253" spans="1:12" x14ac:dyDescent="0.15">
      <c r="A1253" s="1">
        <v>1252</v>
      </c>
      <c r="B1253" s="4">
        <v>41122</v>
      </c>
      <c r="C1253" s="1" t="s">
        <v>14</v>
      </c>
      <c r="D1253" s="1" t="s">
        <v>12</v>
      </c>
      <c r="E1253" s="1">
        <v>0.48601851851851857</v>
      </c>
      <c r="F1253" s="1" t="s">
        <v>13</v>
      </c>
      <c r="G1253" s="1">
        <v>3.12</v>
      </c>
      <c r="H1253" s="1">
        <v>3.24</v>
      </c>
      <c r="I1253" s="1">
        <v>0</v>
      </c>
      <c r="J1253" s="4">
        <v>41123</v>
      </c>
      <c r="K1253" s="4">
        <v>41488</v>
      </c>
      <c r="L1253">
        <f t="shared" si="19"/>
        <v>3.18</v>
      </c>
    </row>
    <row r="1254" spans="1:12" x14ac:dyDescent="0.15">
      <c r="A1254" s="1">
        <v>1253</v>
      </c>
      <c r="B1254" s="4">
        <v>41122</v>
      </c>
      <c r="C1254" s="1" t="s">
        <v>21</v>
      </c>
      <c r="D1254" s="1" t="s">
        <v>26</v>
      </c>
      <c r="E1254" s="1">
        <v>0.4811111111111111</v>
      </c>
      <c r="F1254" s="1" t="s">
        <v>13</v>
      </c>
      <c r="G1254" s="1">
        <v>2.95</v>
      </c>
      <c r="H1254" s="1">
        <v>3.02</v>
      </c>
      <c r="I1254" s="1">
        <v>0</v>
      </c>
      <c r="J1254" s="4">
        <v>41123</v>
      </c>
      <c r="K1254" s="4">
        <v>43679</v>
      </c>
      <c r="L1254">
        <f t="shared" si="19"/>
        <v>2.9850000000000003</v>
      </c>
    </row>
    <row r="1255" spans="1:12" x14ac:dyDescent="0.15">
      <c r="A1255" s="1">
        <v>1254</v>
      </c>
      <c r="B1255" s="4">
        <v>41122</v>
      </c>
      <c r="C1255" s="1" t="s">
        <v>16</v>
      </c>
      <c r="D1255" s="1" t="s">
        <v>26</v>
      </c>
      <c r="E1255" s="1">
        <v>0.4811111111111111</v>
      </c>
      <c r="F1255" s="1" t="s">
        <v>13</v>
      </c>
      <c r="G1255" s="1">
        <v>2.95</v>
      </c>
      <c r="H1255" s="1">
        <v>3.02</v>
      </c>
      <c r="I1255" s="1">
        <v>0</v>
      </c>
      <c r="J1255" s="4">
        <v>41123</v>
      </c>
      <c r="K1255" s="4">
        <v>42584</v>
      </c>
      <c r="L1255">
        <f t="shared" si="19"/>
        <v>2.9850000000000003</v>
      </c>
    </row>
    <row r="1256" spans="1:12" x14ac:dyDescent="0.15">
      <c r="A1256" s="1">
        <v>1255</v>
      </c>
      <c r="B1256" s="4">
        <v>41122</v>
      </c>
      <c r="C1256" s="1" t="s">
        <v>11</v>
      </c>
      <c r="D1256" s="1" t="s">
        <v>26</v>
      </c>
      <c r="E1256" s="1">
        <v>0.48112268518518514</v>
      </c>
      <c r="F1256" s="1" t="s">
        <v>13</v>
      </c>
      <c r="G1256" s="1">
        <v>2.95</v>
      </c>
      <c r="H1256" s="1">
        <v>3.02</v>
      </c>
      <c r="I1256" s="1">
        <v>0</v>
      </c>
      <c r="J1256" s="4">
        <v>41123</v>
      </c>
      <c r="K1256" s="4">
        <v>42218</v>
      </c>
      <c r="L1256">
        <f t="shared" si="19"/>
        <v>2.9850000000000003</v>
      </c>
    </row>
    <row r="1257" spans="1:12" x14ac:dyDescent="0.15">
      <c r="A1257" s="1">
        <v>1256</v>
      </c>
      <c r="B1257" s="4">
        <v>41122</v>
      </c>
      <c r="C1257" s="1" t="s">
        <v>19</v>
      </c>
      <c r="D1257" s="1" t="s">
        <v>26</v>
      </c>
      <c r="E1257" s="1">
        <v>0.4811111111111111</v>
      </c>
      <c r="F1257" s="1" t="s">
        <v>13</v>
      </c>
      <c r="G1257" s="1">
        <v>3.2</v>
      </c>
      <c r="H1257" s="1">
        <v>3.28</v>
      </c>
      <c r="I1257" s="1">
        <v>0</v>
      </c>
      <c r="J1257" s="4">
        <v>41123</v>
      </c>
      <c r="K1257" s="4">
        <v>41396</v>
      </c>
      <c r="L1257">
        <f t="shared" si="19"/>
        <v>3.24</v>
      </c>
    </row>
    <row r="1258" spans="1:12" x14ac:dyDescent="0.15">
      <c r="A1258" s="1">
        <v>1257</v>
      </c>
      <c r="B1258" s="4">
        <v>41122</v>
      </c>
      <c r="C1258" s="1" t="s">
        <v>25</v>
      </c>
      <c r="D1258" s="1" t="s">
        <v>26</v>
      </c>
      <c r="E1258" s="1">
        <v>0.4811111111111111</v>
      </c>
      <c r="F1258" s="1" t="s">
        <v>13</v>
      </c>
      <c r="G1258" s="1">
        <v>2.95</v>
      </c>
      <c r="H1258" s="1">
        <v>3.02</v>
      </c>
      <c r="I1258" s="1">
        <v>0</v>
      </c>
      <c r="J1258" s="4">
        <v>41123</v>
      </c>
      <c r="K1258" s="4">
        <v>42949</v>
      </c>
      <c r="L1258">
        <f t="shared" si="19"/>
        <v>2.9850000000000003</v>
      </c>
    </row>
    <row r="1259" spans="1:12" x14ac:dyDescent="0.15">
      <c r="A1259" s="1">
        <v>1258</v>
      </c>
      <c r="B1259" s="4">
        <v>41122</v>
      </c>
      <c r="C1259" s="1" t="s">
        <v>14</v>
      </c>
      <c r="D1259" s="1" t="s">
        <v>26</v>
      </c>
      <c r="E1259" s="1">
        <v>0.48109953703703701</v>
      </c>
      <c r="F1259" s="1" t="s">
        <v>13</v>
      </c>
      <c r="G1259" s="1">
        <v>3.12</v>
      </c>
      <c r="H1259" s="1">
        <v>3.17</v>
      </c>
      <c r="I1259" s="1">
        <v>0</v>
      </c>
      <c r="J1259" s="4">
        <v>41123</v>
      </c>
      <c r="K1259" s="4">
        <v>41488</v>
      </c>
      <c r="L1259">
        <f t="shared" si="19"/>
        <v>3.145</v>
      </c>
    </row>
    <row r="1260" spans="1:12" x14ac:dyDescent="0.15">
      <c r="A1260" s="1">
        <v>1259</v>
      </c>
      <c r="B1260" s="4">
        <v>41122</v>
      </c>
      <c r="C1260" s="1" t="s">
        <v>22</v>
      </c>
      <c r="D1260" s="1" t="s">
        <v>26</v>
      </c>
      <c r="E1260" s="1">
        <v>0.48109953703703701</v>
      </c>
      <c r="F1260" s="1" t="s">
        <v>13</v>
      </c>
      <c r="G1260" s="1">
        <v>3.45</v>
      </c>
      <c r="H1260" s="1">
        <v>3.5</v>
      </c>
      <c r="I1260" s="1">
        <v>0</v>
      </c>
      <c r="J1260" s="4">
        <v>41123</v>
      </c>
      <c r="K1260" s="4">
        <v>41307</v>
      </c>
      <c r="L1260">
        <f t="shared" si="19"/>
        <v>3.4750000000000001</v>
      </c>
    </row>
    <row r="1261" spans="1:12" x14ac:dyDescent="0.15">
      <c r="A1261" s="1">
        <v>1260</v>
      </c>
      <c r="B1261" s="4">
        <v>41122</v>
      </c>
      <c r="C1261" s="1" t="s">
        <v>18</v>
      </c>
      <c r="D1261" s="1" t="s">
        <v>26</v>
      </c>
      <c r="E1261" s="1">
        <v>0.48109953703703701</v>
      </c>
      <c r="F1261" s="1" t="s">
        <v>13</v>
      </c>
      <c r="G1261" s="1">
        <v>2.95</v>
      </c>
      <c r="H1261" s="1">
        <v>3.05</v>
      </c>
      <c r="I1261" s="1">
        <v>0</v>
      </c>
      <c r="J1261" s="4">
        <v>41123</v>
      </c>
      <c r="K1261" s="4">
        <v>41853</v>
      </c>
      <c r="L1261">
        <f t="shared" si="19"/>
        <v>3</v>
      </c>
    </row>
    <row r="1262" spans="1:12" x14ac:dyDescent="0.15">
      <c r="A1262" s="1">
        <v>1261</v>
      </c>
      <c r="B1262" s="4">
        <v>41122</v>
      </c>
      <c r="C1262" s="1" t="s">
        <v>20</v>
      </c>
      <c r="D1262" s="1" t="s">
        <v>26</v>
      </c>
      <c r="E1262" s="1">
        <v>0.48109953703703701</v>
      </c>
      <c r="F1262" s="1" t="s">
        <v>13</v>
      </c>
      <c r="G1262" s="1">
        <v>2.95</v>
      </c>
      <c r="H1262" s="1">
        <v>3.02</v>
      </c>
      <c r="I1262" s="1">
        <v>0</v>
      </c>
      <c r="J1262" s="4">
        <v>41123</v>
      </c>
      <c r="K1262" s="4">
        <v>44775</v>
      </c>
      <c r="L1262">
        <f t="shared" si="19"/>
        <v>2.9850000000000003</v>
      </c>
    </row>
    <row r="1263" spans="1:12" x14ac:dyDescent="0.15">
      <c r="A1263" s="1">
        <v>1262</v>
      </c>
      <c r="B1263" s="4">
        <v>41122</v>
      </c>
      <c r="C1263" s="1" t="s">
        <v>25</v>
      </c>
      <c r="D1263" s="1" t="s">
        <v>15</v>
      </c>
      <c r="E1263" s="1">
        <v>0.48293981481481479</v>
      </c>
      <c r="F1263" s="1" t="s">
        <v>13</v>
      </c>
      <c r="G1263" s="1">
        <v>2.94</v>
      </c>
      <c r="H1263" s="1">
        <v>3</v>
      </c>
      <c r="I1263" s="1">
        <v>0</v>
      </c>
      <c r="J1263" s="4">
        <v>41123</v>
      </c>
      <c r="K1263" s="4">
        <v>42949</v>
      </c>
      <c r="L1263">
        <f t="shared" si="19"/>
        <v>2.9699999999999998</v>
      </c>
    </row>
    <row r="1264" spans="1:12" x14ac:dyDescent="0.15">
      <c r="A1264" s="1">
        <v>1263</v>
      </c>
      <c r="B1264" s="4">
        <v>41122</v>
      </c>
      <c r="C1264" s="1" t="s">
        <v>20</v>
      </c>
      <c r="D1264" s="1" t="s">
        <v>15</v>
      </c>
      <c r="E1264" s="1">
        <v>0.48293981481481479</v>
      </c>
      <c r="F1264" s="1" t="s">
        <v>13</v>
      </c>
      <c r="G1264" s="1">
        <v>3.05</v>
      </c>
      <c r="H1264" s="1">
        <v>3.11</v>
      </c>
      <c r="I1264" s="1">
        <v>0</v>
      </c>
      <c r="J1264" s="4">
        <v>41123</v>
      </c>
      <c r="K1264" s="4">
        <v>44775</v>
      </c>
      <c r="L1264">
        <f t="shared" si="19"/>
        <v>3.08</v>
      </c>
    </row>
    <row r="1265" spans="1:12" x14ac:dyDescent="0.15">
      <c r="A1265" s="1">
        <v>1264</v>
      </c>
      <c r="B1265" s="4">
        <v>41122</v>
      </c>
      <c r="C1265" s="1" t="s">
        <v>11</v>
      </c>
      <c r="D1265" s="1" t="s">
        <v>15</v>
      </c>
      <c r="E1265" s="1">
        <v>0.48293981481481479</v>
      </c>
      <c r="F1265" s="1" t="s">
        <v>13</v>
      </c>
      <c r="G1265" s="1">
        <v>2.92</v>
      </c>
      <c r="H1265" s="1">
        <v>2.98</v>
      </c>
      <c r="I1265" s="1">
        <v>0</v>
      </c>
      <c r="J1265" s="4">
        <v>41123</v>
      </c>
      <c r="K1265" s="4">
        <v>42218</v>
      </c>
      <c r="L1265">
        <f t="shared" si="19"/>
        <v>2.95</v>
      </c>
    </row>
    <row r="1266" spans="1:12" x14ac:dyDescent="0.15">
      <c r="A1266" s="1">
        <v>1265</v>
      </c>
      <c r="B1266" s="4">
        <v>41122</v>
      </c>
      <c r="C1266" s="1" t="s">
        <v>16</v>
      </c>
      <c r="D1266" s="1" t="s">
        <v>15</v>
      </c>
      <c r="E1266" s="1">
        <v>0.48293981481481479</v>
      </c>
      <c r="F1266" s="1" t="s">
        <v>13</v>
      </c>
      <c r="G1266" s="1">
        <v>2.92</v>
      </c>
      <c r="H1266" s="1">
        <v>2.98</v>
      </c>
      <c r="I1266" s="1">
        <v>0</v>
      </c>
      <c r="J1266" s="4">
        <v>41123</v>
      </c>
      <c r="K1266" s="4">
        <v>42584</v>
      </c>
      <c r="L1266">
        <f t="shared" si="19"/>
        <v>2.95</v>
      </c>
    </row>
    <row r="1267" spans="1:12" x14ac:dyDescent="0.15">
      <c r="A1267" s="1">
        <v>1266</v>
      </c>
      <c r="B1267" s="4">
        <v>41122</v>
      </c>
      <c r="C1267" s="1" t="s">
        <v>19</v>
      </c>
      <c r="D1267" s="1" t="s">
        <v>15</v>
      </c>
      <c r="E1267" s="1">
        <v>0.48293981481481479</v>
      </c>
      <c r="F1267" s="1" t="s">
        <v>13</v>
      </c>
      <c r="G1267" s="1">
        <v>3.28</v>
      </c>
      <c r="H1267" s="1">
        <v>3.34</v>
      </c>
      <c r="I1267" s="1">
        <v>0</v>
      </c>
      <c r="J1267" s="4">
        <v>41123</v>
      </c>
      <c r="K1267" s="4">
        <v>41396</v>
      </c>
      <c r="L1267">
        <f t="shared" si="19"/>
        <v>3.3099999999999996</v>
      </c>
    </row>
    <row r="1268" spans="1:12" x14ac:dyDescent="0.15">
      <c r="A1268" s="1">
        <v>1267</v>
      </c>
      <c r="B1268" s="4">
        <v>41122</v>
      </c>
      <c r="C1268" s="1" t="s">
        <v>14</v>
      </c>
      <c r="D1268" s="1" t="s">
        <v>15</v>
      </c>
      <c r="E1268" s="1">
        <v>0.48292824074074076</v>
      </c>
      <c r="F1268" s="1" t="s">
        <v>13</v>
      </c>
      <c r="G1268" s="1">
        <v>3.14</v>
      </c>
      <c r="H1268" s="1">
        <v>3.2</v>
      </c>
      <c r="I1268" s="1">
        <v>0</v>
      </c>
      <c r="J1268" s="4">
        <v>41123</v>
      </c>
      <c r="K1268" s="4">
        <v>41488</v>
      </c>
      <c r="L1268">
        <f t="shared" si="19"/>
        <v>3.17</v>
      </c>
    </row>
    <row r="1269" spans="1:12" x14ac:dyDescent="0.15">
      <c r="A1269" s="1">
        <v>1268</v>
      </c>
      <c r="B1269" s="4">
        <v>41122</v>
      </c>
      <c r="C1269" s="1" t="s">
        <v>22</v>
      </c>
      <c r="D1269" s="1" t="s">
        <v>15</v>
      </c>
      <c r="E1269" s="1">
        <v>0.48292824074074076</v>
      </c>
      <c r="F1269" s="1" t="s">
        <v>13</v>
      </c>
      <c r="G1269" s="1">
        <v>3.48</v>
      </c>
      <c r="H1269" s="1">
        <v>3.54</v>
      </c>
      <c r="I1269" s="1">
        <v>0</v>
      </c>
      <c r="J1269" s="4">
        <v>41123</v>
      </c>
      <c r="K1269" s="4">
        <v>41307</v>
      </c>
      <c r="L1269">
        <f t="shared" si="19"/>
        <v>3.51</v>
      </c>
    </row>
    <row r="1270" spans="1:12" x14ac:dyDescent="0.15">
      <c r="A1270" s="1">
        <v>1269</v>
      </c>
      <c r="B1270" s="4">
        <v>41122</v>
      </c>
      <c r="C1270" s="1" t="s">
        <v>21</v>
      </c>
      <c r="D1270" s="1" t="s">
        <v>15</v>
      </c>
      <c r="E1270" s="1">
        <v>0.48293981481481479</v>
      </c>
      <c r="F1270" s="1" t="s">
        <v>13</v>
      </c>
      <c r="G1270" s="1">
        <v>3</v>
      </c>
      <c r="H1270" s="1">
        <v>3.06</v>
      </c>
      <c r="I1270" s="1">
        <v>0</v>
      </c>
      <c r="J1270" s="4">
        <v>41123</v>
      </c>
      <c r="K1270" s="4">
        <v>43679</v>
      </c>
      <c r="L1270">
        <f t="shared" si="19"/>
        <v>3.0300000000000002</v>
      </c>
    </row>
    <row r="1271" spans="1:12" x14ac:dyDescent="0.15">
      <c r="A1271" s="1">
        <v>1270</v>
      </c>
      <c r="B1271" s="4">
        <v>41122</v>
      </c>
      <c r="C1271" s="1" t="s">
        <v>18</v>
      </c>
      <c r="D1271" s="1" t="s">
        <v>15</v>
      </c>
      <c r="E1271" s="1">
        <v>0.48292824074074076</v>
      </c>
      <c r="F1271" s="1" t="s">
        <v>13</v>
      </c>
      <c r="G1271" s="1">
        <v>2.97</v>
      </c>
      <c r="H1271" s="1">
        <v>3.03</v>
      </c>
      <c r="I1271" s="1">
        <v>0</v>
      </c>
      <c r="J1271" s="4">
        <v>41123</v>
      </c>
      <c r="K1271" s="4">
        <v>41853</v>
      </c>
      <c r="L1271">
        <f t="shared" si="19"/>
        <v>3</v>
      </c>
    </row>
    <row r="1272" spans="1:12" x14ac:dyDescent="0.15">
      <c r="A1272" s="1">
        <v>1271</v>
      </c>
      <c r="B1272" s="4">
        <v>41122</v>
      </c>
      <c r="C1272" s="1" t="s">
        <v>16</v>
      </c>
      <c r="D1272" s="1" t="s">
        <v>12</v>
      </c>
      <c r="E1272" s="1">
        <v>0.67656250000000007</v>
      </c>
      <c r="F1272" s="1" t="s">
        <v>13</v>
      </c>
      <c r="G1272" s="1">
        <v>2.9</v>
      </c>
      <c r="H1272" s="1">
        <v>3</v>
      </c>
      <c r="I1272" s="1">
        <v>0</v>
      </c>
      <c r="J1272" s="4">
        <v>41123</v>
      </c>
      <c r="K1272" s="4">
        <v>42584</v>
      </c>
      <c r="L1272">
        <f t="shared" si="19"/>
        <v>2.95</v>
      </c>
    </row>
    <row r="1273" spans="1:12" x14ac:dyDescent="0.15">
      <c r="A1273" s="1">
        <v>1272</v>
      </c>
      <c r="B1273" s="4">
        <v>41122</v>
      </c>
      <c r="C1273" s="1" t="s">
        <v>25</v>
      </c>
      <c r="D1273" s="1" t="s">
        <v>12</v>
      </c>
      <c r="E1273" s="1">
        <v>0.67656250000000007</v>
      </c>
      <c r="F1273" s="1" t="s">
        <v>13</v>
      </c>
      <c r="G1273" s="1">
        <v>2.92</v>
      </c>
      <c r="H1273" s="1">
        <v>3.02</v>
      </c>
      <c r="I1273" s="1">
        <v>0</v>
      </c>
      <c r="J1273" s="4">
        <v>41123</v>
      </c>
      <c r="K1273" s="4">
        <v>42949</v>
      </c>
      <c r="L1273">
        <f t="shared" si="19"/>
        <v>2.9699999999999998</v>
      </c>
    </row>
    <row r="1274" spans="1:12" x14ac:dyDescent="0.15">
      <c r="A1274" s="1">
        <v>1273</v>
      </c>
      <c r="B1274" s="4">
        <v>41122</v>
      </c>
      <c r="C1274" s="1" t="s">
        <v>11</v>
      </c>
      <c r="D1274" s="1" t="s">
        <v>12</v>
      </c>
      <c r="E1274" s="1">
        <v>0.67656250000000007</v>
      </c>
      <c r="F1274" s="1" t="s">
        <v>13</v>
      </c>
      <c r="G1274" s="1">
        <v>2.9</v>
      </c>
      <c r="H1274" s="1">
        <v>3</v>
      </c>
      <c r="I1274" s="1">
        <v>0</v>
      </c>
      <c r="J1274" s="4">
        <v>41123</v>
      </c>
      <c r="K1274" s="4">
        <v>42218</v>
      </c>
      <c r="L1274">
        <f t="shared" si="19"/>
        <v>2.95</v>
      </c>
    </row>
    <row r="1275" spans="1:12" x14ac:dyDescent="0.15">
      <c r="A1275" s="1">
        <v>1274</v>
      </c>
      <c r="B1275" s="4">
        <v>41122</v>
      </c>
      <c r="C1275" s="1" t="s">
        <v>17</v>
      </c>
      <c r="D1275" s="1" t="s">
        <v>12</v>
      </c>
      <c r="E1275" s="1">
        <v>0.67656250000000007</v>
      </c>
      <c r="F1275" s="1" t="s">
        <v>13</v>
      </c>
      <c r="G1275" s="1">
        <v>2.9</v>
      </c>
      <c r="H1275" s="1">
        <v>3.3</v>
      </c>
      <c r="I1275" s="1">
        <v>0</v>
      </c>
      <c r="J1275" s="4">
        <v>41123</v>
      </c>
      <c r="K1275" s="4">
        <v>44410</v>
      </c>
      <c r="L1275">
        <f t="shared" si="19"/>
        <v>3.0999999999999996</v>
      </c>
    </row>
    <row r="1276" spans="1:12" x14ac:dyDescent="0.15">
      <c r="A1276" s="1">
        <v>1275</v>
      </c>
      <c r="B1276" s="4">
        <v>41122</v>
      </c>
      <c r="C1276" s="1" t="s">
        <v>24</v>
      </c>
      <c r="D1276" s="1" t="s">
        <v>12</v>
      </c>
      <c r="E1276" s="1">
        <v>0.67656250000000007</v>
      </c>
      <c r="F1276" s="1" t="s">
        <v>13</v>
      </c>
      <c r="G1276" s="1">
        <v>2.88</v>
      </c>
      <c r="H1276" s="1">
        <v>3.28</v>
      </c>
      <c r="I1276" s="1">
        <v>0</v>
      </c>
      <c r="J1276" s="4">
        <v>41123</v>
      </c>
      <c r="K1276" s="4">
        <v>44045</v>
      </c>
      <c r="L1276">
        <f t="shared" si="19"/>
        <v>3.08</v>
      </c>
    </row>
    <row r="1277" spans="1:12" x14ac:dyDescent="0.15">
      <c r="A1277" s="1">
        <v>1276</v>
      </c>
      <c r="B1277" s="4">
        <v>41122</v>
      </c>
      <c r="C1277" s="1" t="s">
        <v>22</v>
      </c>
      <c r="D1277" s="1" t="s">
        <v>12</v>
      </c>
      <c r="E1277" s="1">
        <v>0.67655092592592592</v>
      </c>
      <c r="F1277" s="1" t="s">
        <v>13</v>
      </c>
      <c r="G1277" s="1">
        <v>3.45</v>
      </c>
      <c r="H1277" s="1">
        <v>3.55</v>
      </c>
      <c r="I1277" s="1">
        <v>0</v>
      </c>
      <c r="J1277" s="4">
        <v>41123</v>
      </c>
      <c r="K1277" s="4">
        <v>41307</v>
      </c>
      <c r="L1277">
        <f t="shared" si="19"/>
        <v>3.5</v>
      </c>
    </row>
    <row r="1278" spans="1:12" x14ac:dyDescent="0.15">
      <c r="A1278" s="1">
        <v>1277</v>
      </c>
      <c r="B1278" s="4">
        <v>41122</v>
      </c>
      <c r="C1278" s="1" t="s">
        <v>23</v>
      </c>
      <c r="D1278" s="1" t="s">
        <v>12</v>
      </c>
      <c r="E1278" s="1">
        <v>0.67655092592592592</v>
      </c>
      <c r="F1278" s="1" t="s">
        <v>13</v>
      </c>
      <c r="G1278" s="1">
        <v>2.9</v>
      </c>
      <c r="H1278" s="1">
        <v>3.1</v>
      </c>
      <c r="I1278" s="1">
        <v>0</v>
      </c>
      <c r="J1278" s="4">
        <v>41123</v>
      </c>
      <c r="K1278" s="4">
        <v>43314</v>
      </c>
      <c r="L1278">
        <f t="shared" si="19"/>
        <v>3</v>
      </c>
    </row>
    <row r="1279" spans="1:12" x14ac:dyDescent="0.15">
      <c r="A1279" s="1">
        <v>1278</v>
      </c>
      <c r="B1279" s="4">
        <v>41122</v>
      </c>
      <c r="C1279" s="1" t="s">
        <v>20</v>
      </c>
      <c r="D1279" s="1" t="s">
        <v>12</v>
      </c>
      <c r="E1279" s="1">
        <v>0.67656250000000007</v>
      </c>
      <c r="F1279" s="1" t="s">
        <v>13</v>
      </c>
      <c r="G1279" s="1">
        <v>2.91</v>
      </c>
      <c r="H1279" s="1">
        <v>3.31</v>
      </c>
      <c r="I1279" s="1">
        <v>0</v>
      </c>
      <c r="J1279" s="4">
        <v>41123</v>
      </c>
      <c r="K1279" s="4">
        <v>44775</v>
      </c>
      <c r="L1279">
        <f t="shared" si="19"/>
        <v>3.1100000000000003</v>
      </c>
    </row>
    <row r="1280" spans="1:12" x14ac:dyDescent="0.15">
      <c r="A1280" s="1">
        <v>1279</v>
      </c>
      <c r="B1280" s="4">
        <v>41122</v>
      </c>
      <c r="C1280" s="1" t="s">
        <v>19</v>
      </c>
      <c r="D1280" s="1" t="s">
        <v>12</v>
      </c>
      <c r="E1280" s="1">
        <v>0.67656250000000007</v>
      </c>
      <c r="F1280" s="1" t="s">
        <v>13</v>
      </c>
      <c r="G1280" s="1">
        <v>3.24</v>
      </c>
      <c r="H1280" s="1">
        <v>3.34</v>
      </c>
      <c r="I1280" s="1">
        <v>0</v>
      </c>
      <c r="J1280" s="4">
        <v>41123</v>
      </c>
      <c r="K1280" s="4">
        <v>41396</v>
      </c>
      <c r="L1280">
        <f t="shared" si="19"/>
        <v>3.29</v>
      </c>
    </row>
    <row r="1281" spans="1:12" x14ac:dyDescent="0.15">
      <c r="A1281" s="1">
        <v>1280</v>
      </c>
      <c r="B1281" s="4">
        <v>41122</v>
      </c>
      <c r="C1281" s="1" t="s">
        <v>18</v>
      </c>
      <c r="D1281" s="1" t="s">
        <v>15</v>
      </c>
      <c r="E1281" s="1">
        <v>0.68579861111111118</v>
      </c>
      <c r="F1281" s="1" t="s">
        <v>13</v>
      </c>
      <c r="G1281" s="1">
        <v>2.97</v>
      </c>
      <c r="H1281" s="1">
        <v>3.03</v>
      </c>
      <c r="I1281" s="1">
        <v>0</v>
      </c>
      <c r="J1281" s="4">
        <v>41123</v>
      </c>
      <c r="K1281" s="4">
        <v>41853</v>
      </c>
      <c r="L1281">
        <f t="shared" si="19"/>
        <v>3</v>
      </c>
    </row>
    <row r="1282" spans="1:12" x14ac:dyDescent="0.15">
      <c r="A1282" s="1">
        <v>1281</v>
      </c>
      <c r="B1282" s="4">
        <v>41122</v>
      </c>
      <c r="C1282" s="1" t="s">
        <v>14</v>
      </c>
      <c r="D1282" s="1" t="s">
        <v>15</v>
      </c>
      <c r="E1282" s="1">
        <v>0.68579861111111118</v>
      </c>
      <c r="F1282" s="1" t="s">
        <v>13</v>
      </c>
      <c r="G1282" s="1">
        <v>3.14</v>
      </c>
      <c r="H1282" s="1">
        <v>3.2</v>
      </c>
      <c r="I1282" s="1">
        <v>0</v>
      </c>
      <c r="J1282" s="4">
        <v>41123</v>
      </c>
      <c r="K1282" s="4">
        <v>41488</v>
      </c>
      <c r="L1282">
        <f t="shared" si="19"/>
        <v>3.17</v>
      </c>
    </row>
    <row r="1283" spans="1:12" x14ac:dyDescent="0.15">
      <c r="A1283" s="1">
        <v>1282</v>
      </c>
      <c r="B1283" s="4">
        <v>41122</v>
      </c>
      <c r="C1283" s="1" t="s">
        <v>11</v>
      </c>
      <c r="D1283" s="1" t="s">
        <v>15</v>
      </c>
      <c r="E1283" s="1">
        <v>0.68581018518518511</v>
      </c>
      <c r="F1283" s="1" t="s">
        <v>13</v>
      </c>
      <c r="G1283" s="1">
        <v>2.92</v>
      </c>
      <c r="H1283" s="1">
        <v>2.98</v>
      </c>
      <c r="I1283" s="1">
        <v>0</v>
      </c>
      <c r="J1283" s="4">
        <v>41123</v>
      </c>
      <c r="K1283" s="4">
        <v>42218</v>
      </c>
      <c r="L1283">
        <f t="shared" ref="L1283:L1346" si="20">AVERAGE(G1283:H1283)</f>
        <v>2.95</v>
      </c>
    </row>
    <row r="1284" spans="1:12" x14ac:dyDescent="0.15">
      <c r="A1284" s="1">
        <v>1283</v>
      </c>
      <c r="B1284" s="4">
        <v>41122</v>
      </c>
      <c r="C1284" s="1" t="s">
        <v>16</v>
      </c>
      <c r="D1284" s="1" t="s">
        <v>15</v>
      </c>
      <c r="E1284" s="1">
        <v>0.68581018518518511</v>
      </c>
      <c r="F1284" s="1" t="s">
        <v>13</v>
      </c>
      <c r="G1284" s="1">
        <v>2.92</v>
      </c>
      <c r="H1284" s="1">
        <v>2.98</v>
      </c>
      <c r="I1284" s="1">
        <v>0</v>
      </c>
      <c r="J1284" s="4">
        <v>41123</v>
      </c>
      <c r="K1284" s="4">
        <v>42584</v>
      </c>
      <c r="L1284">
        <f t="shared" si="20"/>
        <v>2.95</v>
      </c>
    </row>
    <row r="1285" spans="1:12" x14ac:dyDescent="0.15">
      <c r="A1285" s="1">
        <v>1284</v>
      </c>
      <c r="B1285" s="4">
        <v>41122</v>
      </c>
      <c r="C1285" s="1" t="s">
        <v>22</v>
      </c>
      <c r="D1285" s="1" t="s">
        <v>15</v>
      </c>
      <c r="E1285" s="1">
        <v>0.68579861111111118</v>
      </c>
      <c r="F1285" s="1" t="s">
        <v>13</v>
      </c>
      <c r="G1285" s="1">
        <v>3.48</v>
      </c>
      <c r="H1285" s="1">
        <v>3.54</v>
      </c>
      <c r="I1285" s="1">
        <v>0</v>
      </c>
      <c r="J1285" s="4">
        <v>41123</v>
      </c>
      <c r="K1285" s="4">
        <v>41307</v>
      </c>
      <c r="L1285">
        <f t="shared" si="20"/>
        <v>3.51</v>
      </c>
    </row>
    <row r="1286" spans="1:12" x14ac:dyDescent="0.15">
      <c r="A1286" s="1">
        <v>1285</v>
      </c>
      <c r="B1286" s="4">
        <v>41122</v>
      </c>
      <c r="C1286" s="1" t="s">
        <v>19</v>
      </c>
      <c r="D1286" s="1" t="s">
        <v>15</v>
      </c>
      <c r="E1286" s="1">
        <v>0.68579861111111118</v>
      </c>
      <c r="F1286" s="1" t="s">
        <v>13</v>
      </c>
      <c r="G1286" s="1">
        <v>3.28</v>
      </c>
      <c r="H1286" s="1">
        <v>3.34</v>
      </c>
      <c r="I1286" s="1">
        <v>0</v>
      </c>
      <c r="J1286" s="4">
        <v>41123</v>
      </c>
      <c r="K1286" s="4">
        <v>41396</v>
      </c>
      <c r="L1286">
        <f t="shared" si="20"/>
        <v>3.3099999999999996</v>
      </c>
    </row>
    <row r="1287" spans="1:12" x14ac:dyDescent="0.15">
      <c r="A1287" s="1">
        <v>1286</v>
      </c>
      <c r="B1287" s="4">
        <v>41122</v>
      </c>
      <c r="C1287" s="1" t="s">
        <v>21</v>
      </c>
      <c r="D1287" s="1" t="s">
        <v>15</v>
      </c>
      <c r="E1287" s="1">
        <v>0.68579861111111118</v>
      </c>
      <c r="F1287" s="1" t="s">
        <v>13</v>
      </c>
      <c r="G1287" s="1">
        <v>3</v>
      </c>
      <c r="H1287" s="1">
        <v>3.06</v>
      </c>
      <c r="I1287" s="1">
        <v>0</v>
      </c>
      <c r="J1287" s="4">
        <v>41123</v>
      </c>
      <c r="K1287" s="4">
        <v>43679</v>
      </c>
      <c r="L1287">
        <f t="shared" si="20"/>
        <v>3.0300000000000002</v>
      </c>
    </row>
    <row r="1288" spans="1:12" x14ac:dyDescent="0.15">
      <c r="A1288" s="1">
        <v>1287</v>
      </c>
      <c r="B1288" s="4">
        <v>41122</v>
      </c>
      <c r="C1288" s="1" t="s">
        <v>25</v>
      </c>
      <c r="D1288" s="1" t="s">
        <v>15</v>
      </c>
      <c r="E1288" s="1">
        <v>0.68579861111111118</v>
      </c>
      <c r="F1288" s="1" t="s">
        <v>13</v>
      </c>
      <c r="G1288" s="1">
        <v>2.94</v>
      </c>
      <c r="H1288" s="1">
        <v>3</v>
      </c>
      <c r="I1288" s="1">
        <v>0</v>
      </c>
      <c r="J1288" s="4">
        <v>41123</v>
      </c>
      <c r="K1288" s="4">
        <v>42949</v>
      </c>
      <c r="L1288">
        <f t="shared" si="20"/>
        <v>2.9699999999999998</v>
      </c>
    </row>
    <row r="1289" spans="1:12" x14ac:dyDescent="0.15">
      <c r="A1289" s="1">
        <v>1288</v>
      </c>
      <c r="B1289" s="4">
        <v>41122</v>
      </c>
      <c r="C1289" s="1" t="s">
        <v>20</v>
      </c>
      <c r="D1289" s="1" t="s">
        <v>15</v>
      </c>
      <c r="E1289" s="1">
        <v>0.68579861111111118</v>
      </c>
      <c r="F1289" s="1" t="s">
        <v>13</v>
      </c>
      <c r="G1289" s="1">
        <v>3.05</v>
      </c>
      <c r="H1289" s="1">
        <v>3.11</v>
      </c>
      <c r="I1289" s="1">
        <v>0</v>
      </c>
      <c r="J1289" s="4">
        <v>41123</v>
      </c>
      <c r="K1289" s="4">
        <v>44775</v>
      </c>
      <c r="L1289">
        <f t="shared" si="20"/>
        <v>3.08</v>
      </c>
    </row>
    <row r="1290" spans="1:12" x14ac:dyDescent="0.15">
      <c r="A1290" s="1">
        <v>1289</v>
      </c>
      <c r="B1290" s="4">
        <v>41122</v>
      </c>
      <c r="C1290" s="1" t="s">
        <v>21</v>
      </c>
      <c r="D1290" s="1" t="s">
        <v>12</v>
      </c>
      <c r="E1290" s="1">
        <v>0.67655092592592592</v>
      </c>
      <c r="F1290" s="1" t="s">
        <v>13</v>
      </c>
      <c r="G1290" s="1">
        <v>2.87</v>
      </c>
      <c r="H1290" s="1">
        <v>3.27</v>
      </c>
      <c r="I1290" s="1">
        <v>0</v>
      </c>
      <c r="J1290" s="4">
        <v>41123</v>
      </c>
      <c r="K1290" s="4">
        <v>43679</v>
      </c>
      <c r="L1290">
        <f t="shared" si="20"/>
        <v>3.0700000000000003</v>
      </c>
    </row>
    <row r="1291" spans="1:12" x14ac:dyDescent="0.15">
      <c r="A1291" s="1">
        <v>1290</v>
      </c>
      <c r="B1291" s="4">
        <v>41122</v>
      </c>
      <c r="C1291" s="1" t="s">
        <v>19</v>
      </c>
      <c r="D1291" s="1" t="s">
        <v>26</v>
      </c>
      <c r="E1291" s="1">
        <v>0.67385416666666664</v>
      </c>
      <c r="F1291" s="1" t="s">
        <v>13</v>
      </c>
      <c r="G1291" s="1">
        <v>3.2</v>
      </c>
      <c r="H1291" s="1">
        <v>3.28</v>
      </c>
      <c r="I1291" s="1">
        <v>0</v>
      </c>
      <c r="J1291" s="4">
        <v>41123</v>
      </c>
      <c r="K1291" s="4">
        <v>41396</v>
      </c>
      <c r="L1291">
        <f t="shared" si="20"/>
        <v>3.24</v>
      </c>
    </row>
    <row r="1292" spans="1:12" x14ac:dyDescent="0.15">
      <c r="A1292" s="1">
        <v>1291</v>
      </c>
      <c r="B1292" s="4">
        <v>41122</v>
      </c>
      <c r="C1292" s="1" t="s">
        <v>11</v>
      </c>
      <c r="D1292" s="1" t="s">
        <v>26</v>
      </c>
      <c r="E1292" s="1">
        <v>0.67385416666666664</v>
      </c>
      <c r="F1292" s="1" t="s">
        <v>13</v>
      </c>
      <c r="G1292" s="1">
        <v>2.95</v>
      </c>
      <c r="H1292" s="1">
        <v>3.02</v>
      </c>
      <c r="I1292" s="1">
        <v>0</v>
      </c>
      <c r="J1292" s="4">
        <v>41123</v>
      </c>
      <c r="K1292" s="4">
        <v>42218</v>
      </c>
      <c r="L1292">
        <f t="shared" si="20"/>
        <v>2.9850000000000003</v>
      </c>
    </row>
    <row r="1293" spans="1:12" x14ac:dyDescent="0.15">
      <c r="A1293" s="1">
        <v>1292</v>
      </c>
      <c r="B1293" s="4">
        <v>41122</v>
      </c>
      <c r="C1293" s="1" t="s">
        <v>16</v>
      </c>
      <c r="D1293" s="1" t="s">
        <v>26</v>
      </c>
      <c r="E1293" s="1">
        <v>0.67385416666666664</v>
      </c>
      <c r="F1293" s="1" t="s">
        <v>13</v>
      </c>
      <c r="G1293" s="1">
        <v>2.95</v>
      </c>
      <c r="H1293" s="1">
        <v>3.02</v>
      </c>
      <c r="I1293" s="1">
        <v>0</v>
      </c>
      <c r="J1293" s="4">
        <v>41123</v>
      </c>
      <c r="K1293" s="4">
        <v>42584</v>
      </c>
      <c r="L1293">
        <f t="shared" si="20"/>
        <v>2.9850000000000003</v>
      </c>
    </row>
    <row r="1294" spans="1:12" x14ac:dyDescent="0.15">
      <c r="A1294" s="1">
        <v>1293</v>
      </c>
      <c r="B1294" s="4">
        <v>41122</v>
      </c>
      <c r="C1294" s="1" t="s">
        <v>25</v>
      </c>
      <c r="D1294" s="1" t="s">
        <v>26</v>
      </c>
      <c r="E1294" s="1">
        <v>0.67385416666666664</v>
      </c>
      <c r="F1294" s="1" t="s">
        <v>13</v>
      </c>
      <c r="G1294" s="1">
        <v>2.95</v>
      </c>
      <c r="H1294" s="1">
        <v>3.02</v>
      </c>
      <c r="I1294" s="1">
        <v>0</v>
      </c>
      <c r="J1294" s="4">
        <v>41123</v>
      </c>
      <c r="K1294" s="4">
        <v>42949</v>
      </c>
      <c r="L1294">
        <f t="shared" si="20"/>
        <v>2.9850000000000003</v>
      </c>
    </row>
    <row r="1295" spans="1:12" x14ac:dyDescent="0.15">
      <c r="A1295" s="1">
        <v>1294</v>
      </c>
      <c r="B1295" s="4">
        <v>41122</v>
      </c>
      <c r="C1295" s="1" t="s">
        <v>22</v>
      </c>
      <c r="D1295" s="1" t="s">
        <v>26</v>
      </c>
      <c r="E1295" s="1">
        <v>0.67384259259259249</v>
      </c>
      <c r="F1295" s="1" t="s">
        <v>13</v>
      </c>
      <c r="G1295" s="1">
        <v>3.45</v>
      </c>
      <c r="H1295" s="1">
        <v>3.5</v>
      </c>
      <c r="I1295" s="1">
        <v>0</v>
      </c>
      <c r="J1295" s="4">
        <v>41123</v>
      </c>
      <c r="K1295" s="4">
        <v>41307</v>
      </c>
      <c r="L1295">
        <f t="shared" si="20"/>
        <v>3.4750000000000001</v>
      </c>
    </row>
    <row r="1296" spans="1:12" x14ac:dyDescent="0.15">
      <c r="A1296" s="1">
        <v>1295</v>
      </c>
      <c r="B1296" s="4">
        <v>41122</v>
      </c>
      <c r="C1296" s="1" t="s">
        <v>20</v>
      </c>
      <c r="D1296" s="1" t="s">
        <v>26</v>
      </c>
      <c r="E1296" s="1">
        <v>0.67384259259259249</v>
      </c>
      <c r="F1296" s="1" t="s">
        <v>13</v>
      </c>
      <c r="G1296" s="1">
        <v>2.95</v>
      </c>
      <c r="H1296" s="1">
        <v>3.02</v>
      </c>
      <c r="I1296" s="1">
        <v>0</v>
      </c>
      <c r="J1296" s="4">
        <v>41123</v>
      </c>
      <c r="K1296" s="4">
        <v>44775</v>
      </c>
      <c r="L1296">
        <f t="shared" si="20"/>
        <v>2.9850000000000003</v>
      </c>
    </row>
    <row r="1297" spans="1:12" x14ac:dyDescent="0.15">
      <c r="A1297" s="1">
        <v>1296</v>
      </c>
      <c r="B1297" s="4">
        <v>41122</v>
      </c>
      <c r="C1297" s="1" t="s">
        <v>14</v>
      </c>
      <c r="D1297" s="1" t="s">
        <v>26</v>
      </c>
      <c r="E1297" s="1">
        <v>0.67384259259259249</v>
      </c>
      <c r="F1297" s="1" t="s">
        <v>13</v>
      </c>
      <c r="G1297" s="1">
        <v>3.12</v>
      </c>
      <c r="H1297" s="1">
        <v>3.17</v>
      </c>
      <c r="I1297" s="1">
        <v>0</v>
      </c>
      <c r="J1297" s="4">
        <v>41123</v>
      </c>
      <c r="K1297" s="4">
        <v>41488</v>
      </c>
      <c r="L1297">
        <f t="shared" si="20"/>
        <v>3.145</v>
      </c>
    </row>
    <row r="1298" spans="1:12" x14ac:dyDescent="0.15">
      <c r="A1298" s="1">
        <v>1297</v>
      </c>
      <c r="B1298" s="4">
        <v>41122</v>
      </c>
      <c r="C1298" s="1" t="s">
        <v>21</v>
      </c>
      <c r="D1298" s="1" t="s">
        <v>26</v>
      </c>
      <c r="E1298" s="1">
        <v>0.67384259259259249</v>
      </c>
      <c r="F1298" s="1" t="s">
        <v>13</v>
      </c>
      <c r="G1298" s="1">
        <v>2.95</v>
      </c>
      <c r="H1298" s="1">
        <v>3.02</v>
      </c>
      <c r="I1298" s="1">
        <v>0</v>
      </c>
      <c r="J1298" s="4">
        <v>41123</v>
      </c>
      <c r="K1298" s="4">
        <v>43679</v>
      </c>
      <c r="L1298">
        <f t="shared" si="20"/>
        <v>2.9850000000000003</v>
      </c>
    </row>
    <row r="1299" spans="1:12" x14ac:dyDescent="0.15">
      <c r="A1299" s="1">
        <v>1298</v>
      </c>
      <c r="B1299" s="4">
        <v>41122</v>
      </c>
      <c r="C1299" s="1" t="s">
        <v>18</v>
      </c>
      <c r="D1299" s="1" t="s">
        <v>26</v>
      </c>
      <c r="E1299" s="1">
        <v>0.67384259259259249</v>
      </c>
      <c r="F1299" s="1" t="s">
        <v>13</v>
      </c>
      <c r="G1299" s="1">
        <v>2.95</v>
      </c>
      <c r="H1299" s="1">
        <v>3.05</v>
      </c>
      <c r="I1299" s="1">
        <v>0</v>
      </c>
      <c r="J1299" s="4">
        <v>41123</v>
      </c>
      <c r="K1299" s="4">
        <v>41853</v>
      </c>
      <c r="L1299">
        <f t="shared" si="20"/>
        <v>3</v>
      </c>
    </row>
    <row r="1300" spans="1:12" x14ac:dyDescent="0.15">
      <c r="A1300" s="1">
        <v>1299</v>
      </c>
      <c r="B1300" s="4">
        <v>41122</v>
      </c>
      <c r="C1300" s="1" t="s">
        <v>22</v>
      </c>
      <c r="D1300" s="1" t="s">
        <v>27</v>
      </c>
      <c r="E1300" s="1">
        <v>0.67584490740740744</v>
      </c>
      <c r="F1300" s="1" t="s">
        <v>13</v>
      </c>
      <c r="G1300" s="1">
        <v>3.47</v>
      </c>
      <c r="H1300" s="1">
        <v>3.57</v>
      </c>
      <c r="I1300" s="1">
        <v>0</v>
      </c>
      <c r="J1300" s="4">
        <v>41123</v>
      </c>
      <c r="K1300" s="4">
        <v>41307</v>
      </c>
      <c r="L1300">
        <f t="shared" si="20"/>
        <v>3.52</v>
      </c>
    </row>
    <row r="1301" spans="1:12" x14ac:dyDescent="0.15">
      <c r="A1301" s="1">
        <v>1300</v>
      </c>
      <c r="B1301" s="4">
        <v>41122</v>
      </c>
      <c r="C1301" s="1" t="s">
        <v>18</v>
      </c>
      <c r="D1301" s="1" t="s">
        <v>27</v>
      </c>
      <c r="E1301" s="1">
        <v>0.67584490740740744</v>
      </c>
      <c r="F1301" s="1" t="s">
        <v>13</v>
      </c>
      <c r="G1301" s="1">
        <v>2.99</v>
      </c>
      <c r="H1301" s="1">
        <v>3.05</v>
      </c>
      <c r="I1301" s="1">
        <v>0</v>
      </c>
      <c r="J1301" s="4">
        <v>41123</v>
      </c>
      <c r="K1301" s="4">
        <v>41853</v>
      </c>
      <c r="L1301">
        <f t="shared" si="20"/>
        <v>3.02</v>
      </c>
    </row>
    <row r="1302" spans="1:12" x14ac:dyDescent="0.15">
      <c r="A1302" s="1">
        <v>1301</v>
      </c>
      <c r="B1302" s="4">
        <v>41122</v>
      </c>
      <c r="C1302" s="1" t="s">
        <v>18</v>
      </c>
      <c r="D1302" s="1" t="s">
        <v>12</v>
      </c>
      <c r="E1302" s="1">
        <v>0.67655092592592592</v>
      </c>
      <c r="F1302" s="1" t="s">
        <v>13</v>
      </c>
      <c r="G1302" s="1">
        <v>2.95</v>
      </c>
      <c r="H1302" s="1">
        <v>3.05</v>
      </c>
      <c r="I1302" s="1">
        <v>0</v>
      </c>
      <c r="J1302" s="4">
        <v>41123</v>
      </c>
      <c r="K1302" s="4">
        <v>41853</v>
      </c>
      <c r="L1302">
        <f t="shared" si="20"/>
        <v>3</v>
      </c>
    </row>
    <row r="1303" spans="1:12" x14ac:dyDescent="0.15">
      <c r="A1303" s="1">
        <v>1302</v>
      </c>
      <c r="B1303" s="4">
        <v>41122</v>
      </c>
      <c r="C1303" s="1" t="s">
        <v>14</v>
      </c>
      <c r="D1303" s="1" t="s">
        <v>12</v>
      </c>
      <c r="E1303" s="1">
        <v>0.67655092592592592</v>
      </c>
      <c r="F1303" s="1" t="s">
        <v>13</v>
      </c>
      <c r="G1303" s="1">
        <v>3.12</v>
      </c>
      <c r="H1303" s="1">
        <v>3.22</v>
      </c>
      <c r="I1303" s="1">
        <v>0</v>
      </c>
      <c r="J1303" s="4">
        <v>41123</v>
      </c>
      <c r="K1303" s="4">
        <v>41488</v>
      </c>
      <c r="L1303">
        <f t="shared" si="20"/>
        <v>3.17</v>
      </c>
    </row>
    <row r="1304" spans="1:12" x14ac:dyDescent="0.15">
      <c r="A1304" s="1">
        <v>1303</v>
      </c>
      <c r="B1304" s="4">
        <v>41122</v>
      </c>
      <c r="C1304" s="1" t="s">
        <v>11</v>
      </c>
      <c r="D1304" s="1" t="s">
        <v>27</v>
      </c>
      <c r="E1304" s="1">
        <v>0.67584490740740744</v>
      </c>
      <c r="F1304" s="1" t="s">
        <v>13</v>
      </c>
      <c r="G1304" s="1">
        <v>2.94</v>
      </c>
      <c r="H1304" s="1">
        <v>2.99</v>
      </c>
      <c r="I1304" s="1">
        <v>0</v>
      </c>
      <c r="J1304" s="4">
        <v>41123</v>
      </c>
      <c r="K1304" s="4">
        <v>42218</v>
      </c>
      <c r="L1304">
        <f t="shared" si="20"/>
        <v>2.9649999999999999</v>
      </c>
    </row>
    <row r="1305" spans="1:12" x14ac:dyDescent="0.15">
      <c r="A1305" s="1">
        <v>1304</v>
      </c>
      <c r="B1305" s="4">
        <v>41122</v>
      </c>
      <c r="C1305" s="1" t="s">
        <v>25</v>
      </c>
      <c r="D1305" s="1" t="s">
        <v>27</v>
      </c>
      <c r="E1305" s="1">
        <v>0.67583333333333329</v>
      </c>
      <c r="F1305" s="1" t="s">
        <v>13</v>
      </c>
      <c r="G1305" s="1">
        <v>2.96</v>
      </c>
      <c r="H1305" s="1">
        <v>3.01</v>
      </c>
      <c r="I1305" s="1">
        <v>0</v>
      </c>
      <c r="J1305" s="4">
        <v>41123</v>
      </c>
      <c r="K1305" s="4">
        <v>42949</v>
      </c>
      <c r="L1305">
        <f t="shared" si="20"/>
        <v>2.9849999999999999</v>
      </c>
    </row>
    <row r="1306" spans="1:12" x14ac:dyDescent="0.15">
      <c r="A1306" s="1">
        <v>1305</v>
      </c>
      <c r="B1306" s="4">
        <v>41122</v>
      </c>
      <c r="C1306" s="1" t="s">
        <v>14</v>
      </c>
      <c r="D1306" s="1" t="s">
        <v>27</v>
      </c>
      <c r="E1306" s="1">
        <v>0.67583333333333329</v>
      </c>
      <c r="F1306" s="1" t="s">
        <v>13</v>
      </c>
      <c r="G1306" s="1">
        <v>3.15</v>
      </c>
      <c r="H1306" s="1">
        <v>3.25</v>
      </c>
      <c r="I1306" s="1">
        <v>0</v>
      </c>
      <c r="J1306" s="4">
        <v>41123</v>
      </c>
      <c r="K1306" s="4">
        <v>41488</v>
      </c>
      <c r="L1306">
        <f t="shared" si="20"/>
        <v>3.2</v>
      </c>
    </row>
    <row r="1307" spans="1:12" x14ac:dyDescent="0.15">
      <c r="A1307" s="1">
        <v>1306</v>
      </c>
      <c r="B1307" s="4">
        <v>41122</v>
      </c>
      <c r="C1307" s="1" t="s">
        <v>16</v>
      </c>
      <c r="D1307" s="1" t="s">
        <v>27</v>
      </c>
      <c r="E1307" s="1">
        <v>0.67583333333333329</v>
      </c>
      <c r="F1307" s="1" t="s">
        <v>13</v>
      </c>
      <c r="G1307" s="1">
        <v>2.92</v>
      </c>
      <c r="H1307" s="1">
        <v>3.02</v>
      </c>
      <c r="I1307" s="1">
        <v>0</v>
      </c>
      <c r="J1307" s="4">
        <v>41123</v>
      </c>
      <c r="K1307" s="4">
        <v>42584</v>
      </c>
      <c r="L1307">
        <f t="shared" si="20"/>
        <v>2.9699999999999998</v>
      </c>
    </row>
    <row r="1308" spans="1:12" x14ac:dyDescent="0.15">
      <c r="A1308" s="1">
        <v>1307</v>
      </c>
      <c r="B1308" s="4">
        <v>41122</v>
      </c>
      <c r="C1308" s="1" t="s">
        <v>19</v>
      </c>
      <c r="D1308" s="1" t="s">
        <v>27</v>
      </c>
      <c r="E1308" s="1">
        <v>0.67583333333333329</v>
      </c>
      <c r="F1308" s="1" t="s">
        <v>13</v>
      </c>
      <c r="G1308" s="1">
        <v>3.28</v>
      </c>
      <c r="H1308" s="1">
        <v>3.35</v>
      </c>
      <c r="I1308" s="1">
        <v>0</v>
      </c>
      <c r="J1308" s="4">
        <v>41123</v>
      </c>
      <c r="K1308" s="4">
        <v>41396</v>
      </c>
      <c r="L1308">
        <f t="shared" si="20"/>
        <v>3.3149999999999999</v>
      </c>
    </row>
    <row r="1309" spans="1:12" x14ac:dyDescent="0.15">
      <c r="A1309" s="1">
        <v>1308</v>
      </c>
      <c r="B1309" s="4">
        <v>41121</v>
      </c>
      <c r="C1309" s="1" t="s">
        <v>18</v>
      </c>
      <c r="D1309" s="1" t="s">
        <v>26</v>
      </c>
      <c r="E1309" s="1">
        <v>0.4880902777777778</v>
      </c>
      <c r="F1309" s="1" t="s">
        <v>13</v>
      </c>
      <c r="G1309" s="1">
        <v>2.95</v>
      </c>
      <c r="H1309" s="1">
        <v>3.05</v>
      </c>
      <c r="I1309" s="1">
        <v>0</v>
      </c>
      <c r="J1309" s="4">
        <v>41122</v>
      </c>
      <c r="K1309" s="4">
        <v>41852</v>
      </c>
      <c r="L1309">
        <f t="shared" si="20"/>
        <v>3</v>
      </c>
    </row>
    <row r="1310" spans="1:12" x14ac:dyDescent="0.15">
      <c r="A1310" s="1">
        <v>1309</v>
      </c>
      <c r="B1310" s="4">
        <v>41121</v>
      </c>
      <c r="C1310" s="1" t="s">
        <v>25</v>
      </c>
      <c r="D1310" s="1" t="s">
        <v>26</v>
      </c>
      <c r="E1310" s="1">
        <v>0.48810185185185184</v>
      </c>
      <c r="F1310" s="1" t="s">
        <v>13</v>
      </c>
      <c r="G1310" s="1">
        <v>2.95</v>
      </c>
      <c r="H1310" s="1">
        <v>3.02</v>
      </c>
      <c r="I1310" s="1">
        <v>0</v>
      </c>
      <c r="J1310" s="4">
        <v>41122</v>
      </c>
      <c r="K1310" s="4">
        <v>42948</v>
      </c>
      <c r="L1310">
        <f t="shared" si="20"/>
        <v>2.9850000000000003</v>
      </c>
    </row>
    <row r="1311" spans="1:12" x14ac:dyDescent="0.15">
      <c r="A1311" s="1">
        <v>1310</v>
      </c>
      <c r="B1311" s="4">
        <v>41121</v>
      </c>
      <c r="C1311" s="1" t="s">
        <v>16</v>
      </c>
      <c r="D1311" s="1" t="s">
        <v>26</v>
      </c>
      <c r="E1311" s="1">
        <v>0.48810185185185184</v>
      </c>
      <c r="F1311" s="1" t="s">
        <v>13</v>
      </c>
      <c r="G1311" s="1">
        <v>2.95</v>
      </c>
      <c r="H1311" s="1">
        <v>3.02</v>
      </c>
      <c r="I1311" s="1">
        <v>0</v>
      </c>
      <c r="J1311" s="4">
        <v>41122</v>
      </c>
      <c r="K1311" s="4">
        <v>42583</v>
      </c>
      <c r="L1311">
        <f t="shared" si="20"/>
        <v>2.9850000000000003</v>
      </c>
    </row>
    <row r="1312" spans="1:12" x14ac:dyDescent="0.15">
      <c r="A1312" s="1">
        <v>1311</v>
      </c>
      <c r="B1312" s="4">
        <v>41121</v>
      </c>
      <c r="C1312" s="1" t="s">
        <v>20</v>
      </c>
      <c r="D1312" s="1" t="s">
        <v>26</v>
      </c>
      <c r="E1312" s="1">
        <v>0.4880902777777778</v>
      </c>
      <c r="F1312" s="1" t="s">
        <v>13</v>
      </c>
      <c r="G1312" s="1">
        <v>2.95</v>
      </c>
      <c r="H1312" s="1">
        <v>3.02</v>
      </c>
      <c r="I1312" s="1">
        <v>0</v>
      </c>
      <c r="J1312" s="4">
        <v>41122</v>
      </c>
      <c r="K1312" s="4">
        <v>44774</v>
      </c>
      <c r="L1312">
        <f t="shared" si="20"/>
        <v>2.9850000000000003</v>
      </c>
    </row>
    <row r="1313" spans="1:12" x14ac:dyDescent="0.15">
      <c r="A1313" s="1">
        <v>1312</v>
      </c>
      <c r="B1313" s="4">
        <v>41121</v>
      </c>
      <c r="C1313" s="1" t="s">
        <v>11</v>
      </c>
      <c r="D1313" s="1" t="s">
        <v>15</v>
      </c>
      <c r="E1313" s="1">
        <v>0.48731481481481481</v>
      </c>
      <c r="F1313" s="1" t="s">
        <v>13</v>
      </c>
      <c r="G1313" s="1">
        <v>2.94</v>
      </c>
      <c r="H1313" s="1">
        <v>3</v>
      </c>
      <c r="I1313" s="1">
        <v>0</v>
      </c>
      <c r="J1313" s="4">
        <v>41122</v>
      </c>
      <c r="K1313" s="4">
        <v>42217</v>
      </c>
      <c r="L1313">
        <f t="shared" si="20"/>
        <v>2.9699999999999998</v>
      </c>
    </row>
    <row r="1314" spans="1:12" x14ac:dyDescent="0.15">
      <c r="A1314" s="1">
        <v>1313</v>
      </c>
      <c r="B1314" s="4">
        <v>41121</v>
      </c>
      <c r="C1314" s="1" t="s">
        <v>22</v>
      </c>
      <c r="D1314" s="1" t="s">
        <v>26</v>
      </c>
      <c r="E1314" s="1">
        <v>0.48807870370370371</v>
      </c>
      <c r="F1314" s="1" t="s">
        <v>13</v>
      </c>
      <c r="G1314" s="1">
        <v>3.45</v>
      </c>
      <c r="H1314" s="1">
        <v>3.5</v>
      </c>
      <c r="I1314" s="1">
        <v>0</v>
      </c>
      <c r="J1314" s="4">
        <v>41122</v>
      </c>
      <c r="K1314" s="4">
        <v>41306</v>
      </c>
      <c r="L1314">
        <f t="shared" si="20"/>
        <v>3.4750000000000001</v>
      </c>
    </row>
    <row r="1315" spans="1:12" x14ac:dyDescent="0.15">
      <c r="A1315" s="1">
        <v>1314</v>
      </c>
      <c r="B1315" s="4">
        <v>41121</v>
      </c>
      <c r="C1315" s="1" t="s">
        <v>14</v>
      </c>
      <c r="D1315" s="1" t="s">
        <v>26</v>
      </c>
      <c r="E1315" s="1">
        <v>0.4880902777777778</v>
      </c>
      <c r="F1315" s="1" t="s">
        <v>13</v>
      </c>
      <c r="G1315" s="1">
        <v>3.12</v>
      </c>
      <c r="H1315" s="1">
        <v>3.17</v>
      </c>
      <c r="I1315" s="1">
        <v>0</v>
      </c>
      <c r="J1315" s="4">
        <v>41122</v>
      </c>
      <c r="K1315" s="4">
        <v>41487</v>
      </c>
      <c r="L1315">
        <f t="shared" si="20"/>
        <v>3.145</v>
      </c>
    </row>
    <row r="1316" spans="1:12" x14ac:dyDescent="0.15">
      <c r="A1316" s="1">
        <v>1315</v>
      </c>
      <c r="B1316" s="4">
        <v>41121</v>
      </c>
      <c r="C1316" s="1" t="s">
        <v>14</v>
      </c>
      <c r="D1316" s="1" t="s">
        <v>15</v>
      </c>
      <c r="E1316" s="1">
        <v>0.67300925925925925</v>
      </c>
      <c r="F1316" s="1" t="s">
        <v>13</v>
      </c>
      <c r="G1316" s="1">
        <v>3.16</v>
      </c>
      <c r="H1316" s="1">
        <v>3.22</v>
      </c>
      <c r="I1316" s="1">
        <v>0</v>
      </c>
      <c r="J1316" s="4">
        <v>41122</v>
      </c>
      <c r="K1316" s="4">
        <v>41487</v>
      </c>
      <c r="L1316">
        <f t="shared" si="20"/>
        <v>3.1900000000000004</v>
      </c>
    </row>
    <row r="1317" spans="1:12" x14ac:dyDescent="0.15">
      <c r="A1317" s="1">
        <v>1316</v>
      </c>
      <c r="B1317" s="4">
        <v>41121</v>
      </c>
      <c r="C1317" s="1" t="s">
        <v>18</v>
      </c>
      <c r="D1317" s="1" t="s">
        <v>15</v>
      </c>
      <c r="E1317" s="1">
        <v>0.67300925925925925</v>
      </c>
      <c r="F1317" s="1" t="s">
        <v>13</v>
      </c>
      <c r="G1317" s="1">
        <v>2.99</v>
      </c>
      <c r="H1317" s="1">
        <v>3.05</v>
      </c>
      <c r="I1317" s="1">
        <v>0</v>
      </c>
      <c r="J1317" s="4">
        <v>41122</v>
      </c>
      <c r="K1317" s="4">
        <v>41852</v>
      </c>
      <c r="L1317">
        <f t="shared" si="20"/>
        <v>3.02</v>
      </c>
    </row>
    <row r="1318" spans="1:12" x14ac:dyDescent="0.15">
      <c r="A1318" s="1">
        <v>1317</v>
      </c>
      <c r="B1318" s="4">
        <v>41121</v>
      </c>
      <c r="C1318" s="1" t="s">
        <v>22</v>
      </c>
      <c r="D1318" s="1" t="s">
        <v>26</v>
      </c>
      <c r="E1318" s="1">
        <v>0.67300925925925925</v>
      </c>
      <c r="F1318" s="1" t="s">
        <v>13</v>
      </c>
      <c r="G1318" s="1">
        <v>3.45</v>
      </c>
      <c r="H1318" s="1">
        <v>3.5</v>
      </c>
      <c r="I1318" s="1">
        <v>0</v>
      </c>
      <c r="J1318" s="4">
        <v>41122</v>
      </c>
      <c r="K1318" s="4">
        <v>41306</v>
      </c>
      <c r="L1318">
        <f t="shared" si="20"/>
        <v>3.4750000000000001</v>
      </c>
    </row>
    <row r="1319" spans="1:12" x14ac:dyDescent="0.15">
      <c r="A1319" s="1">
        <v>1318</v>
      </c>
      <c r="B1319" s="4">
        <v>41121</v>
      </c>
      <c r="C1319" s="1" t="s">
        <v>22</v>
      </c>
      <c r="D1319" s="1" t="s">
        <v>15</v>
      </c>
      <c r="E1319" s="1">
        <v>0.67300925925925925</v>
      </c>
      <c r="F1319" s="1" t="s">
        <v>13</v>
      </c>
      <c r="G1319" s="1">
        <v>3.49</v>
      </c>
      <c r="H1319" s="1">
        <v>3.55</v>
      </c>
      <c r="I1319" s="1">
        <v>0</v>
      </c>
      <c r="J1319" s="4">
        <v>41122</v>
      </c>
      <c r="K1319" s="4">
        <v>41306</v>
      </c>
      <c r="L1319">
        <f t="shared" si="20"/>
        <v>3.52</v>
      </c>
    </row>
    <row r="1320" spans="1:12" x14ac:dyDescent="0.15">
      <c r="A1320" s="1">
        <v>1319</v>
      </c>
      <c r="B1320" s="4">
        <v>41121</v>
      </c>
      <c r="C1320" s="1" t="s">
        <v>11</v>
      </c>
      <c r="D1320" s="1" t="s">
        <v>26</v>
      </c>
      <c r="E1320" s="1">
        <v>0.48810185185185184</v>
      </c>
      <c r="F1320" s="1" t="s">
        <v>13</v>
      </c>
      <c r="G1320" s="1">
        <v>2.95</v>
      </c>
      <c r="H1320" s="1">
        <v>3.02</v>
      </c>
      <c r="I1320" s="1">
        <v>0</v>
      </c>
      <c r="J1320" s="4">
        <v>41122</v>
      </c>
      <c r="K1320" s="4">
        <v>42217</v>
      </c>
      <c r="L1320">
        <f t="shared" si="20"/>
        <v>2.9850000000000003</v>
      </c>
    </row>
    <row r="1321" spans="1:12" x14ac:dyDescent="0.15">
      <c r="A1321" s="1">
        <v>1320</v>
      </c>
      <c r="B1321" s="4">
        <v>41121</v>
      </c>
      <c r="C1321" s="1" t="s">
        <v>21</v>
      </c>
      <c r="D1321" s="1" t="s">
        <v>26</v>
      </c>
      <c r="E1321" s="1">
        <v>0.48810185185185184</v>
      </c>
      <c r="F1321" s="1" t="s">
        <v>13</v>
      </c>
      <c r="G1321" s="1">
        <v>2.95</v>
      </c>
      <c r="H1321" s="1">
        <v>3.02</v>
      </c>
      <c r="I1321" s="1">
        <v>0</v>
      </c>
      <c r="J1321" s="4">
        <v>41122</v>
      </c>
      <c r="K1321" s="4">
        <v>43678</v>
      </c>
      <c r="L1321">
        <f t="shared" si="20"/>
        <v>2.9850000000000003</v>
      </c>
    </row>
    <row r="1322" spans="1:12" x14ac:dyDescent="0.15">
      <c r="A1322" s="1">
        <v>1321</v>
      </c>
      <c r="B1322" s="4">
        <v>41121</v>
      </c>
      <c r="C1322" s="1" t="s">
        <v>19</v>
      </c>
      <c r="D1322" s="1" t="s">
        <v>26</v>
      </c>
      <c r="E1322" s="1">
        <v>0.48810185185185184</v>
      </c>
      <c r="F1322" s="1" t="s">
        <v>13</v>
      </c>
      <c r="G1322" s="1">
        <v>3.2</v>
      </c>
      <c r="H1322" s="1">
        <v>3.28</v>
      </c>
      <c r="I1322" s="1">
        <v>0</v>
      </c>
      <c r="J1322" s="4">
        <v>41122</v>
      </c>
      <c r="K1322" s="4">
        <v>41395</v>
      </c>
      <c r="L1322">
        <f t="shared" si="20"/>
        <v>3.24</v>
      </c>
    </row>
    <row r="1323" spans="1:12" x14ac:dyDescent="0.15">
      <c r="A1323" s="1">
        <v>1322</v>
      </c>
      <c r="B1323" s="4">
        <v>41121</v>
      </c>
      <c r="C1323" s="1" t="s">
        <v>16</v>
      </c>
      <c r="D1323" s="1" t="s">
        <v>15</v>
      </c>
      <c r="E1323" s="1">
        <v>0.48731481481481481</v>
      </c>
      <c r="F1323" s="1" t="s">
        <v>13</v>
      </c>
      <c r="G1323" s="1">
        <v>2.93</v>
      </c>
      <c r="H1323" s="1">
        <v>2.99</v>
      </c>
      <c r="I1323" s="1">
        <v>0</v>
      </c>
      <c r="J1323" s="4">
        <v>41122</v>
      </c>
      <c r="K1323" s="4">
        <v>42583</v>
      </c>
      <c r="L1323">
        <f t="shared" si="20"/>
        <v>2.96</v>
      </c>
    </row>
    <row r="1324" spans="1:12" x14ac:dyDescent="0.15">
      <c r="A1324" s="1">
        <v>1323</v>
      </c>
      <c r="B1324" s="4">
        <v>41121</v>
      </c>
      <c r="C1324" s="1" t="s">
        <v>18</v>
      </c>
      <c r="D1324" s="1" t="s">
        <v>27</v>
      </c>
      <c r="E1324" s="1">
        <v>0.48534722222222221</v>
      </c>
      <c r="F1324" s="1" t="s">
        <v>13</v>
      </c>
      <c r="G1324" s="1">
        <v>3</v>
      </c>
      <c r="H1324" s="1">
        <v>3.08</v>
      </c>
      <c r="I1324" s="1">
        <v>0</v>
      </c>
      <c r="J1324" s="4">
        <v>41122</v>
      </c>
      <c r="K1324" s="4">
        <v>41852</v>
      </c>
      <c r="L1324">
        <f t="shared" si="20"/>
        <v>3.04</v>
      </c>
    </row>
    <row r="1325" spans="1:12" x14ac:dyDescent="0.15">
      <c r="A1325" s="1">
        <v>1324</v>
      </c>
      <c r="B1325" s="4">
        <v>41121</v>
      </c>
      <c r="C1325" s="1" t="s">
        <v>22</v>
      </c>
      <c r="D1325" s="1" t="s">
        <v>27</v>
      </c>
      <c r="E1325" s="1">
        <v>0.48534722222222221</v>
      </c>
      <c r="F1325" s="1" t="s">
        <v>13</v>
      </c>
      <c r="G1325" s="1">
        <v>3.5</v>
      </c>
      <c r="H1325" s="1">
        <v>3.57</v>
      </c>
      <c r="I1325" s="1">
        <v>0</v>
      </c>
      <c r="J1325" s="4">
        <v>41122</v>
      </c>
      <c r="K1325" s="4">
        <v>41306</v>
      </c>
      <c r="L1325">
        <f t="shared" si="20"/>
        <v>3.5350000000000001</v>
      </c>
    </row>
    <row r="1326" spans="1:12" x14ac:dyDescent="0.15">
      <c r="A1326" s="1">
        <v>1325</v>
      </c>
      <c r="B1326" s="4">
        <v>41121</v>
      </c>
      <c r="C1326" s="1" t="s">
        <v>11</v>
      </c>
      <c r="D1326" s="1" t="s">
        <v>27</v>
      </c>
      <c r="E1326" s="1">
        <v>0.48534722222222221</v>
      </c>
      <c r="F1326" s="1" t="s">
        <v>13</v>
      </c>
      <c r="G1326" s="1">
        <v>2.98</v>
      </c>
      <c r="H1326" s="1">
        <v>3.02</v>
      </c>
      <c r="I1326" s="1">
        <v>0</v>
      </c>
      <c r="J1326" s="4">
        <v>41122</v>
      </c>
      <c r="K1326" s="4">
        <v>42217</v>
      </c>
      <c r="L1326">
        <f t="shared" si="20"/>
        <v>3</v>
      </c>
    </row>
    <row r="1327" spans="1:12" x14ac:dyDescent="0.15">
      <c r="A1327" s="1">
        <v>1326</v>
      </c>
      <c r="B1327" s="4">
        <v>41121</v>
      </c>
      <c r="C1327" s="1" t="s">
        <v>14</v>
      </c>
      <c r="D1327" s="1" t="s">
        <v>27</v>
      </c>
      <c r="E1327" s="1">
        <v>0.48533564814814811</v>
      </c>
      <c r="F1327" s="1" t="s">
        <v>13</v>
      </c>
      <c r="G1327" s="1">
        <v>3.16</v>
      </c>
      <c r="H1327" s="1">
        <v>3.26</v>
      </c>
      <c r="I1327" s="1">
        <v>0</v>
      </c>
      <c r="J1327" s="4">
        <v>41122</v>
      </c>
      <c r="K1327" s="4">
        <v>41487</v>
      </c>
      <c r="L1327">
        <f t="shared" si="20"/>
        <v>3.21</v>
      </c>
    </row>
    <row r="1328" spans="1:12" x14ac:dyDescent="0.15">
      <c r="A1328" s="1">
        <v>1327</v>
      </c>
      <c r="B1328" s="4">
        <v>41121</v>
      </c>
      <c r="C1328" s="1" t="s">
        <v>25</v>
      </c>
      <c r="D1328" s="1" t="s">
        <v>27</v>
      </c>
      <c r="E1328" s="1">
        <v>0.48533564814814811</v>
      </c>
      <c r="F1328" s="1" t="s">
        <v>13</v>
      </c>
      <c r="G1328" s="1">
        <v>2.98</v>
      </c>
      <c r="H1328" s="1">
        <v>3.04</v>
      </c>
      <c r="I1328" s="1">
        <v>0</v>
      </c>
      <c r="J1328" s="4">
        <v>41122</v>
      </c>
      <c r="K1328" s="4">
        <v>42948</v>
      </c>
      <c r="L1328">
        <f t="shared" si="20"/>
        <v>3.01</v>
      </c>
    </row>
    <row r="1329" spans="1:12" x14ac:dyDescent="0.15">
      <c r="A1329" s="1">
        <v>1328</v>
      </c>
      <c r="B1329" s="4">
        <v>41121</v>
      </c>
      <c r="C1329" s="1" t="s">
        <v>19</v>
      </c>
      <c r="D1329" s="1" t="s">
        <v>27</v>
      </c>
      <c r="E1329" s="1">
        <v>0.48533564814814811</v>
      </c>
      <c r="F1329" s="1" t="s">
        <v>13</v>
      </c>
      <c r="G1329" s="1">
        <v>3.28</v>
      </c>
      <c r="H1329" s="1">
        <v>3.38</v>
      </c>
      <c r="I1329" s="1">
        <v>0</v>
      </c>
      <c r="J1329" s="4">
        <v>41122</v>
      </c>
      <c r="K1329" s="4">
        <v>41395</v>
      </c>
      <c r="L1329">
        <f t="shared" si="20"/>
        <v>3.33</v>
      </c>
    </row>
    <row r="1330" spans="1:12" x14ac:dyDescent="0.15">
      <c r="A1330" s="1">
        <v>1329</v>
      </c>
      <c r="B1330" s="4">
        <v>41121</v>
      </c>
      <c r="C1330" s="1" t="s">
        <v>16</v>
      </c>
      <c r="D1330" s="1" t="s">
        <v>27</v>
      </c>
      <c r="E1330" s="1">
        <v>0.48533564814814811</v>
      </c>
      <c r="F1330" s="1" t="s">
        <v>13</v>
      </c>
      <c r="G1330" s="1">
        <v>2.93</v>
      </c>
      <c r="H1330" s="1">
        <v>3.02</v>
      </c>
      <c r="I1330" s="1">
        <v>0</v>
      </c>
      <c r="J1330" s="4">
        <v>41122</v>
      </c>
      <c r="K1330" s="4">
        <v>42583</v>
      </c>
      <c r="L1330">
        <f t="shared" si="20"/>
        <v>2.9750000000000001</v>
      </c>
    </row>
    <row r="1331" spans="1:12" x14ac:dyDescent="0.15">
      <c r="A1331" s="1">
        <v>1330</v>
      </c>
      <c r="B1331" s="4">
        <v>41121</v>
      </c>
      <c r="C1331" s="1" t="s">
        <v>22</v>
      </c>
      <c r="D1331" s="1" t="s">
        <v>15</v>
      </c>
      <c r="E1331" s="1">
        <v>0.48730324074074072</v>
      </c>
      <c r="F1331" s="1" t="s">
        <v>13</v>
      </c>
      <c r="G1331" s="1">
        <v>3.51</v>
      </c>
      <c r="H1331" s="1">
        <v>3.57</v>
      </c>
      <c r="I1331" s="1">
        <v>0</v>
      </c>
      <c r="J1331" s="4">
        <v>41122</v>
      </c>
      <c r="K1331" s="4">
        <v>41306</v>
      </c>
      <c r="L1331">
        <f t="shared" si="20"/>
        <v>3.54</v>
      </c>
    </row>
    <row r="1332" spans="1:12" x14ac:dyDescent="0.15">
      <c r="A1332" s="1">
        <v>1331</v>
      </c>
      <c r="B1332" s="4">
        <v>41121</v>
      </c>
      <c r="C1332" s="1" t="s">
        <v>20</v>
      </c>
      <c r="D1332" s="1" t="s">
        <v>15</v>
      </c>
      <c r="E1332" s="1">
        <v>0.48731481481481481</v>
      </c>
      <c r="F1332" s="1" t="s">
        <v>13</v>
      </c>
      <c r="G1332" s="1">
        <v>3.08</v>
      </c>
      <c r="H1332" s="1">
        <v>3.14</v>
      </c>
      <c r="I1332" s="1">
        <v>0</v>
      </c>
      <c r="J1332" s="4">
        <v>41122</v>
      </c>
      <c r="K1332" s="4">
        <v>44774</v>
      </c>
      <c r="L1332">
        <f t="shared" si="20"/>
        <v>3.1100000000000003</v>
      </c>
    </row>
    <row r="1333" spans="1:12" x14ac:dyDescent="0.15">
      <c r="A1333" s="1">
        <v>1332</v>
      </c>
      <c r="B1333" s="4">
        <v>41121</v>
      </c>
      <c r="C1333" s="1" t="s">
        <v>25</v>
      </c>
      <c r="D1333" s="1" t="s">
        <v>15</v>
      </c>
      <c r="E1333" s="1">
        <v>0.48731481481481481</v>
      </c>
      <c r="F1333" s="1" t="s">
        <v>13</v>
      </c>
      <c r="G1333" s="1">
        <v>2.96</v>
      </c>
      <c r="H1333" s="1">
        <v>3.02</v>
      </c>
      <c r="I1333" s="1">
        <v>0</v>
      </c>
      <c r="J1333" s="4">
        <v>41122</v>
      </c>
      <c r="K1333" s="4">
        <v>42948</v>
      </c>
      <c r="L1333">
        <f t="shared" si="20"/>
        <v>2.99</v>
      </c>
    </row>
    <row r="1334" spans="1:12" x14ac:dyDescent="0.15">
      <c r="A1334" s="1">
        <v>1333</v>
      </c>
      <c r="B1334" s="4">
        <v>41121</v>
      </c>
      <c r="C1334" s="1" t="s">
        <v>19</v>
      </c>
      <c r="D1334" s="1" t="s">
        <v>15</v>
      </c>
      <c r="E1334" s="1">
        <v>0.48730324074074072</v>
      </c>
      <c r="F1334" s="1" t="s">
        <v>13</v>
      </c>
      <c r="G1334" s="1">
        <v>3.3</v>
      </c>
      <c r="H1334" s="1">
        <v>3.36</v>
      </c>
      <c r="I1334" s="1">
        <v>0</v>
      </c>
      <c r="J1334" s="4">
        <v>41122</v>
      </c>
      <c r="K1334" s="4">
        <v>41395</v>
      </c>
      <c r="L1334">
        <f t="shared" si="20"/>
        <v>3.33</v>
      </c>
    </row>
    <row r="1335" spans="1:12" x14ac:dyDescent="0.15">
      <c r="A1335" s="1">
        <v>1334</v>
      </c>
      <c r="B1335" s="4">
        <v>41121</v>
      </c>
      <c r="C1335" s="1" t="s">
        <v>14</v>
      </c>
      <c r="D1335" s="1" t="s">
        <v>15</v>
      </c>
      <c r="E1335" s="1">
        <v>0.48730324074074072</v>
      </c>
      <c r="F1335" s="1" t="s">
        <v>13</v>
      </c>
      <c r="G1335" s="1">
        <v>3.16</v>
      </c>
      <c r="H1335" s="1">
        <v>3.22</v>
      </c>
      <c r="I1335" s="1">
        <v>0</v>
      </c>
      <c r="J1335" s="4">
        <v>41122</v>
      </c>
      <c r="K1335" s="4">
        <v>41487</v>
      </c>
      <c r="L1335">
        <f t="shared" si="20"/>
        <v>3.1900000000000004</v>
      </c>
    </row>
    <row r="1336" spans="1:12" x14ac:dyDescent="0.15">
      <c r="A1336" s="1">
        <v>1335</v>
      </c>
      <c r="B1336" s="4">
        <v>41121</v>
      </c>
      <c r="C1336" s="1" t="s">
        <v>18</v>
      </c>
      <c r="D1336" s="1" t="s">
        <v>15</v>
      </c>
      <c r="E1336" s="1">
        <v>0.48730324074074072</v>
      </c>
      <c r="F1336" s="1" t="s">
        <v>13</v>
      </c>
      <c r="G1336" s="1">
        <v>2.99</v>
      </c>
      <c r="H1336" s="1">
        <v>3.05</v>
      </c>
      <c r="I1336" s="1">
        <v>0</v>
      </c>
      <c r="J1336" s="4">
        <v>41122</v>
      </c>
      <c r="K1336" s="4">
        <v>41852</v>
      </c>
      <c r="L1336">
        <f t="shared" si="20"/>
        <v>3.02</v>
      </c>
    </row>
    <row r="1337" spans="1:12" x14ac:dyDescent="0.15">
      <c r="A1337" s="1">
        <v>1336</v>
      </c>
      <c r="B1337" s="4">
        <v>41121</v>
      </c>
      <c r="C1337" s="1" t="s">
        <v>21</v>
      </c>
      <c r="D1337" s="1" t="s">
        <v>15</v>
      </c>
      <c r="E1337" s="1">
        <v>0.48730324074074072</v>
      </c>
      <c r="F1337" s="1" t="s">
        <v>13</v>
      </c>
      <c r="G1337" s="1">
        <v>3.03</v>
      </c>
      <c r="H1337" s="1">
        <v>3.09</v>
      </c>
      <c r="I1337" s="1">
        <v>0</v>
      </c>
      <c r="J1337" s="4">
        <v>41122</v>
      </c>
      <c r="K1337" s="4">
        <v>43678</v>
      </c>
      <c r="L1337">
        <f t="shared" si="20"/>
        <v>3.0599999999999996</v>
      </c>
    </row>
    <row r="1338" spans="1:12" x14ac:dyDescent="0.15">
      <c r="A1338" s="1">
        <v>1337</v>
      </c>
      <c r="B1338" s="4">
        <v>41121</v>
      </c>
      <c r="C1338" s="1" t="s">
        <v>14</v>
      </c>
      <c r="D1338" s="1" t="s">
        <v>26</v>
      </c>
      <c r="E1338" s="1">
        <v>0.67300925925925925</v>
      </c>
      <c r="F1338" s="1" t="s">
        <v>13</v>
      </c>
      <c r="G1338" s="1">
        <v>3.12</v>
      </c>
      <c r="H1338" s="1">
        <v>3.17</v>
      </c>
      <c r="I1338" s="1">
        <v>0</v>
      </c>
      <c r="J1338" s="4">
        <v>41122</v>
      </c>
      <c r="K1338" s="4">
        <v>41487</v>
      </c>
      <c r="L1338">
        <f t="shared" si="20"/>
        <v>3.145</v>
      </c>
    </row>
    <row r="1339" spans="1:12" x14ac:dyDescent="0.15">
      <c r="A1339" s="1">
        <v>1338</v>
      </c>
      <c r="B1339" s="4">
        <v>41121</v>
      </c>
      <c r="C1339" s="1" t="s">
        <v>18</v>
      </c>
      <c r="D1339" s="1" t="s">
        <v>30</v>
      </c>
      <c r="E1339" s="1">
        <v>0.67651620370370369</v>
      </c>
      <c r="F1339" s="1" t="s">
        <v>13</v>
      </c>
      <c r="G1339" s="1">
        <v>2.93</v>
      </c>
      <c r="H1339" s="1">
        <v>3.02</v>
      </c>
      <c r="I1339" s="1">
        <v>0</v>
      </c>
      <c r="J1339" s="4">
        <v>41122</v>
      </c>
      <c r="K1339" s="4">
        <v>41852</v>
      </c>
      <c r="L1339">
        <f t="shared" si="20"/>
        <v>2.9750000000000001</v>
      </c>
    </row>
    <row r="1340" spans="1:12" x14ac:dyDescent="0.15">
      <c r="A1340" s="1">
        <v>1339</v>
      </c>
      <c r="B1340" s="4">
        <v>41121</v>
      </c>
      <c r="C1340" s="1" t="s">
        <v>14</v>
      </c>
      <c r="D1340" s="1" t="s">
        <v>30</v>
      </c>
      <c r="E1340" s="1">
        <v>0.67651620370370369</v>
      </c>
      <c r="F1340" s="1" t="s">
        <v>13</v>
      </c>
      <c r="G1340" s="1">
        <v>3.12</v>
      </c>
      <c r="H1340" s="1">
        <v>3.19</v>
      </c>
      <c r="I1340" s="1">
        <v>0</v>
      </c>
      <c r="J1340" s="4">
        <v>41122</v>
      </c>
      <c r="K1340" s="4">
        <v>41487</v>
      </c>
      <c r="L1340">
        <f t="shared" si="20"/>
        <v>3.1550000000000002</v>
      </c>
    </row>
    <row r="1341" spans="1:12" x14ac:dyDescent="0.15">
      <c r="A1341" s="1">
        <v>1340</v>
      </c>
      <c r="B1341" s="4">
        <v>41121</v>
      </c>
      <c r="C1341" s="1" t="s">
        <v>20</v>
      </c>
      <c r="D1341" s="1" t="s">
        <v>30</v>
      </c>
      <c r="E1341" s="1">
        <v>0.67651620370370369</v>
      </c>
      <c r="F1341" s="1" t="s">
        <v>13</v>
      </c>
      <c r="G1341" s="1">
        <v>3.03</v>
      </c>
      <c r="H1341" s="1">
        <v>3.1</v>
      </c>
      <c r="I1341" s="1">
        <v>0</v>
      </c>
      <c r="J1341" s="4">
        <v>41122</v>
      </c>
      <c r="K1341" s="4">
        <v>44774</v>
      </c>
      <c r="L1341">
        <f t="shared" si="20"/>
        <v>3.0649999999999999</v>
      </c>
    </row>
    <row r="1342" spans="1:12" x14ac:dyDescent="0.15">
      <c r="A1342" s="1">
        <v>1341</v>
      </c>
      <c r="B1342" s="4">
        <v>41121</v>
      </c>
      <c r="C1342" s="1" t="s">
        <v>11</v>
      </c>
      <c r="D1342" s="1" t="s">
        <v>30</v>
      </c>
      <c r="E1342" s="1">
        <v>0.67651620370370369</v>
      </c>
      <c r="F1342" s="1" t="s">
        <v>13</v>
      </c>
      <c r="G1342" s="1">
        <v>2.91</v>
      </c>
      <c r="H1342" s="1">
        <v>2.97</v>
      </c>
      <c r="I1342" s="1">
        <v>0</v>
      </c>
      <c r="J1342" s="4">
        <v>41122</v>
      </c>
      <c r="K1342" s="4">
        <v>42217</v>
      </c>
      <c r="L1342">
        <f t="shared" si="20"/>
        <v>2.9400000000000004</v>
      </c>
    </row>
    <row r="1343" spans="1:12" x14ac:dyDescent="0.15">
      <c r="A1343" s="1">
        <v>1342</v>
      </c>
      <c r="B1343" s="4">
        <v>41121</v>
      </c>
      <c r="C1343" s="1" t="s">
        <v>22</v>
      </c>
      <c r="D1343" s="1" t="s">
        <v>30</v>
      </c>
      <c r="E1343" s="1">
        <v>0.67651620370370369</v>
      </c>
      <c r="F1343" s="1" t="s">
        <v>13</v>
      </c>
      <c r="G1343" s="1">
        <v>3.47</v>
      </c>
      <c r="H1343" s="1">
        <v>3.52</v>
      </c>
      <c r="I1343" s="1">
        <v>0</v>
      </c>
      <c r="J1343" s="4">
        <v>41122</v>
      </c>
      <c r="K1343" s="4">
        <v>41306</v>
      </c>
      <c r="L1343">
        <f t="shared" si="20"/>
        <v>3.4950000000000001</v>
      </c>
    </row>
    <row r="1344" spans="1:12" x14ac:dyDescent="0.15">
      <c r="A1344" s="1">
        <v>1343</v>
      </c>
      <c r="B1344" s="4">
        <v>41121</v>
      </c>
      <c r="C1344" s="1" t="s">
        <v>25</v>
      </c>
      <c r="D1344" s="1" t="s">
        <v>30</v>
      </c>
      <c r="E1344" s="1">
        <v>0.67651620370370369</v>
      </c>
      <c r="F1344" s="1" t="s">
        <v>13</v>
      </c>
      <c r="G1344" s="1">
        <v>2.91</v>
      </c>
      <c r="H1344" s="1">
        <v>2.96</v>
      </c>
      <c r="I1344" s="1">
        <v>0</v>
      </c>
      <c r="J1344" s="4">
        <v>41122</v>
      </c>
      <c r="K1344" s="4">
        <v>42948</v>
      </c>
      <c r="L1344">
        <f t="shared" si="20"/>
        <v>2.9350000000000001</v>
      </c>
    </row>
    <row r="1345" spans="1:12" x14ac:dyDescent="0.15">
      <c r="A1345" s="1">
        <v>1344</v>
      </c>
      <c r="B1345" s="4">
        <v>41121</v>
      </c>
      <c r="C1345" s="1" t="s">
        <v>16</v>
      </c>
      <c r="D1345" s="1" t="s">
        <v>30</v>
      </c>
      <c r="E1345" s="1">
        <v>0.67651620370370369</v>
      </c>
      <c r="F1345" s="1" t="s">
        <v>13</v>
      </c>
      <c r="G1345" s="1">
        <v>2.91</v>
      </c>
      <c r="H1345" s="1">
        <v>2.96</v>
      </c>
      <c r="I1345" s="1">
        <v>0</v>
      </c>
      <c r="J1345" s="4">
        <v>41122</v>
      </c>
      <c r="K1345" s="4">
        <v>42583</v>
      </c>
      <c r="L1345">
        <f t="shared" si="20"/>
        <v>2.9350000000000001</v>
      </c>
    </row>
    <row r="1346" spans="1:12" x14ac:dyDescent="0.15">
      <c r="A1346" s="1">
        <v>1345</v>
      </c>
      <c r="B1346" s="4">
        <v>41121</v>
      </c>
      <c r="C1346" s="1" t="s">
        <v>11</v>
      </c>
      <c r="D1346" s="1" t="s">
        <v>27</v>
      </c>
      <c r="E1346" s="1">
        <v>0.67740740740740746</v>
      </c>
      <c r="F1346" s="1" t="s">
        <v>13</v>
      </c>
      <c r="G1346" s="1">
        <v>2.94</v>
      </c>
      <c r="H1346" s="1">
        <v>3</v>
      </c>
      <c r="I1346" s="1">
        <v>0</v>
      </c>
      <c r="J1346" s="4">
        <v>41122</v>
      </c>
      <c r="K1346" s="4">
        <v>42217</v>
      </c>
      <c r="L1346">
        <f t="shared" si="20"/>
        <v>2.9699999999999998</v>
      </c>
    </row>
    <row r="1347" spans="1:12" x14ac:dyDescent="0.15">
      <c r="A1347" s="1">
        <v>1346</v>
      </c>
      <c r="B1347" s="4">
        <v>41121</v>
      </c>
      <c r="C1347" s="1" t="s">
        <v>18</v>
      </c>
      <c r="D1347" s="1" t="s">
        <v>27</v>
      </c>
      <c r="E1347" s="1">
        <v>0.67740740740740746</v>
      </c>
      <c r="F1347" s="1" t="s">
        <v>13</v>
      </c>
      <c r="G1347" s="1">
        <v>3</v>
      </c>
      <c r="H1347" s="1">
        <v>3.05</v>
      </c>
      <c r="I1347" s="1">
        <v>0</v>
      </c>
      <c r="J1347" s="4">
        <v>41122</v>
      </c>
      <c r="K1347" s="4">
        <v>41852</v>
      </c>
      <c r="L1347">
        <f t="shared" ref="L1347:L1410" si="21">AVERAGE(G1347:H1347)</f>
        <v>3.0249999999999999</v>
      </c>
    </row>
    <row r="1348" spans="1:12" x14ac:dyDescent="0.15">
      <c r="A1348" s="1">
        <v>1347</v>
      </c>
      <c r="B1348" s="4">
        <v>41121</v>
      </c>
      <c r="C1348" s="1" t="s">
        <v>22</v>
      </c>
      <c r="D1348" s="1" t="s">
        <v>27</v>
      </c>
      <c r="E1348" s="1">
        <v>0.67740740740740746</v>
      </c>
      <c r="F1348" s="1" t="s">
        <v>13</v>
      </c>
      <c r="G1348" s="1">
        <v>3.49</v>
      </c>
      <c r="H1348" s="1">
        <v>3.59</v>
      </c>
      <c r="I1348" s="1">
        <v>0</v>
      </c>
      <c r="J1348" s="4">
        <v>41122</v>
      </c>
      <c r="K1348" s="4">
        <v>41306</v>
      </c>
      <c r="L1348">
        <f t="shared" si="21"/>
        <v>3.54</v>
      </c>
    </row>
    <row r="1349" spans="1:12" x14ac:dyDescent="0.15">
      <c r="A1349" s="1">
        <v>1348</v>
      </c>
      <c r="B1349" s="4">
        <v>41121</v>
      </c>
      <c r="C1349" s="1" t="s">
        <v>16</v>
      </c>
      <c r="D1349" s="1" t="s">
        <v>27</v>
      </c>
      <c r="E1349" s="1">
        <v>0.67739583333333331</v>
      </c>
      <c r="F1349" s="1" t="s">
        <v>13</v>
      </c>
      <c r="G1349" s="1">
        <v>2.95</v>
      </c>
      <c r="H1349" s="1">
        <v>3</v>
      </c>
      <c r="I1349" s="1">
        <v>0</v>
      </c>
      <c r="J1349" s="4">
        <v>41122</v>
      </c>
      <c r="K1349" s="4">
        <v>42583</v>
      </c>
      <c r="L1349">
        <f t="shared" si="21"/>
        <v>2.9750000000000001</v>
      </c>
    </row>
    <row r="1350" spans="1:12" x14ac:dyDescent="0.15">
      <c r="A1350" s="1">
        <v>1349</v>
      </c>
      <c r="B1350" s="4">
        <v>41121</v>
      </c>
      <c r="C1350" s="1" t="s">
        <v>14</v>
      </c>
      <c r="D1350" s="1" t="s">
        <v>27</v>
      </c>
      <c r="E1350" s="1">
        <v>0.67738425925925927</v>
      </c>
      <c r="F1350" s="1" t="s">
        <v>13</v>
      </c>
      <c r="G1350" s="1">
        <v>3.18</v>
      </c>
      <c r="H1350" s="1">
        <v>3.24</v>
      </c>
      <c r="I1350" s="1">
        <v>0</v>
      </c>
      <c r="J1350" s="4">
        <v>41122</v>
      </c>
      <c r="K1350" s="4">
        <v>41487</v>
      </c>
      <c r="L1350">
        <f t="shared" si="21"/>
        <v>3.21</v>
      </c>
    </row>
    <row r="1351" spans="1:12" x14ac:dyDescent="0.15">
      <c r="A1351" s="1">
        <v>1350</v>
      </c>
      <c r="B1351" s="4">
        <v>41121</v>
      </c>
      <c r="C1351" s="1" t="s">
        <v>25</v>
      </c>
      <c r="D1351" s="1" t="s">
        <v>27</v>
      </c>
      <c r="E1351" s="1">
        <v>0.67738425925925927</v>
      </c>
      <c r="F1351" s="1" t="s">
        <v>13</v>
      </c>
      <c r="G1351" s="1">
        <v>2.98</v>
      </c>
      <c r="H1351" s="1">
        <v>3.03</v>
      </c>
      <c r="I1351" s="1">
        <v>0</v>
      </c>
      <c r="J1351" s="4">
        <v>41122</v>
      </c>
      <c r="K1351" s="4">
        <v>42948</v>
      </c>
      <c r="L1351">
        <f t="shared" si="21"/>
        <v>3.0049999999999999</v>
      </c>
    </row>
    <row r="1352" spans="1:12" x14ac:dyDescent="0.15">
      <c r="A1352" s="1">
        <v>1351</v>
      </c>
      <c r="B1352" s="4">
        <v>41121</v>
      </c>
      <c r="C1352" s="1" t="s">
        <v>19</v>
      </c>
      <c r="D1352" s="1" t="s">
        <v>27</v>
      </c>
      <c r="E1352" s="1">
        <v>0.67738425925925927</v>
      </c>
      <c r="F1352" s="1" t="s">
        <v>13</v>
      </c>
      <c r="G1352" s="1">
        <v>3.28</v>
      </c>
      <c r="H1352" s="1">
        <v>3.38</v>
      </c>
      <c r="I1352" s="1">
        <v>0</v>
      </c>
      <c r="J1352" s="4">
        <v>41122</v>
      </c>
      <c r="K1352" s="4">
        <v>41395</v>
      </c>
      <c r="L1352">
        <f t="shared" si="21"/>
        <v>3.33</v>
      </c>
    </row>
    <row r="1353" spans="1:12" x14ac:dyDescent="0.15">
      <c r="A1353" s="1">
        <v>1352</v>
      </c>
      <c r="B1353" s="4">
        <v>41121</v>
      </c>
      <c r="C1353" s="1" t="s">
        <v>21</v>
      </c>
      <c r="D1353" s="1" t="s">
        <v>30</v>
      </c>
      <c r="E1353" s="1">
        <v>0.67651620370370369</v>
      </c>
      <c r="F1353" s="1" t="s">
        <v>13</v>
      </c>
      <c r="G1353" s="1">
        <v>2.99</v>
      </c>
      <c r="H1353" s="1">
        <v>3.05</v>
      </c>
      <c r="I1353" s="1">
        <v>0</v>
      </c>
      <c r="J1353" s="4">
        <v>41122</v>
      </c>
      <c r="K1353" s="4">
        <v>43678</v>
      </c>
      <c r="L1353">
        <f t="shared" si="21"/>
        <v>3.02</v>
      </c>
    </row>
    <row r="1354" spans="1:12" x14ac:dyDescent="0.15">
      <c r="A1354" s="1">
        <v>1353</v>
      </c>
      <c r="B1354" s="4">
        <v>41121</v>
      </c>
      <c r="C1354" s="1" t="s">
        <v>21</v>
      </c>
      <c r="D1354" s="1" t="s">
        <v>15</v>
      </c>
      <c r="E1354" s="1">
        <v>0.67302083333333329</v>
      </c>
      <c r="F1354" s="1" t="s">
        <v>13</v>
      </c>
      <c r="G1354" s="1">
        <v>3.03</v>
      </c>
      <c r="H1354" s="1">
        <v>3.09</v>
      </c>
      <c r="I1354" s="1">
        <v>0</v>
      </c>
      <c r="J1354" s="4">
        <v>41122</v>
      </c>
      <c r="K1354" s="4">
        <v>43678</v>
      </c>
      <c r="L1354">
        <f t="shared" si="21"/>
        <v>3.0599999999999996</v>
      </c>
    </row>
    <row r="1355" spans="1:12" x14ac:dyDescent="0.15">
      <c r="A1355" s="1">
        <v>1354</v>
      </c>
      <c r="B1355" s="4">
        <v>41121</v>
      </c>
      <c r="C1355" s="1" t="s">
        <v>19</v>
      </c>
      <c r="D1355" s="1" t="s">
        <v>15</v>
      </c>
      <c r="E1355" s="1">
        <v>0.67302083333333329</v>
      </c>
      <c r="F1355" s="1" t="s">
        <v>13</v>
      </c>
      <c r="G1355" s="1">
        <v>3.28</v>
      </c>
      <c r="H1355" s="1">
        <v>3.34</v>
      </c>
      <c r="I1355" s="1">
        <v>0</v>
      </c>
      <c r="J1355" s="4">
        <v>41122</v>
      </c>
      <c r="K1355" s="4">
        <v>41395</v>
      </c>
      <c r="L1355">
        <f t="shared" si="21"/>
        <v>3.3099999999999996</v>
      </c>
    </row>
    <row r="1356" spans="1:12" x14ac:dyDescent="0.15">
      <c r="A1356" s="1">
        <v>1355</v>
      </c>
      <c r="B1356" s="4">
        <v>41121</v>
      </c>
      <c r="C1356" s="1" t="s">
        <v>20</v>
      </c>
      <c r="D1356" s="1" t="s">
        <v>15</v>
      </c>
      <c r="E1356" s="1">
        <v>0.67302083333333329</v>
      </c>
      <c r="F1356" s="1" t="s">
        <v>13</v>
      </c>
      <c r="G1356" s="1">
        <v>3.08</v>
      </c>
      <c r="H1356" s="1">
        <v>3.14</v>
      </c>
      <c r="I1356" s="1">
        <v>0</v>
      </c>
      <c r="J1356" s="4">
        <v>41122</v>
      </c>
      <c r="K1356" s="4">
        <v>44774</v>
      </c>
      <c r="L1356">
        <f t="shared" si="21"/>
        <v>3.1100000000000003</v>
      </c>
    </row>
    <row r="1357" spans="1:12" x14ac:dyDescent="0.15">
      <c r="A1357" s="1">
        <v>1356</v>
      </c>
      <c r="B1357" s="4">
        <v>41121</v>
      </c>
      <c r="C1357" s="1" t="s">
        <v>21</v>
      </c>
      <c r="D1357" s="1" t="s">
        <v>26</v>
      </c>
      <c r="E1357" s="1">
        <v>0.67302083333333329</v>
      </c>
      <c r="F1357" s="1" t="s">
        <v>13</v>
      </c>
      <c r="G1357" s="1">
        <v>2.95</v>
      </c>
      <c r="H1357" s="1">
        <v>3.02</v>
      </c>
      <c r="I1357" s="1">
        <v>0</v>
      </c>
      <c r="J1357" s="4">
        <v>41122</v>
      </c>
      <c r="K1357" s="4">
        <v>43678</v>
      </c>
      <c r="L1357">
        <f t="shared" si="21"/>
        <v>2.9850000000000003</v>
      </c>
    </row>
    <row r="1358" spans="1:12" x14ac:dyDescent="0.15">
      <c r="A1358" s="1">
        <v>1357</v>
      </c>
      <c r="B1358" s="4">
        <v>41121</v>
      </c>
      <c r="C1358" s="1" t="s">
        <v>11</v>
      </c>
      <c r="D1358" s="1" t="s">
        <v>15</v>
      </c>
      <c r="E1358" s="1">
        <v>0.67302083333333329</v>
      </c>
      <c r="F1358" s="1" t="s">
        <v>13</v>
      </c>
      <c r="G1358" s="1">
        <v>2.94</v>
      </c>
      <c r="H1358" s="1">
        <v>3</v>
      </c>
      <c r="I1358" s="1">
        <v>0</v>
      </c>
      <c r="J1358" s="4">
        <v>41122</v>
      </c>
      <c r="K1358" s="4">
        <v>42217</v>
      </c>
      <c r="L1358">
        <f t="shared" si="21"/>
        <v>2.9699999999999998</v>
      </c>
    </row>
    <row r="1359" spans="1:12" x14ac:dyDescent="0.15">
      <c r="A1359" s="1">
        <v>1358</v>
      </c>
      <c r="B1359" s="4">
        <v>41121</v>
      </c>
      <c r="C1359" s="1" t="s">
        <v>20</v>
      </c>
      <c r="D1359" s="1" t="s">
        <v>26</v>
      </c>
      <c r="E1359" s="1">
        <v>0.67302083333333329</v>
      </c>
      <c r="F1359" s="1" t="s">
        <v>13</v>
      </c>
      <c r="G1359" s="1">
        <v>2.95</v>
      </c>
      <c r="H1359" s="1">
        <v>3.02</v>
      </c>
      <c r="I1359" s="1">
        <v>0</v>
      </c>
      <c r="J1359" s="4">
        <v>41122</v>
      </c>
      <c r="K1359" s="4">
        <v>44774</v>
      </c>
      <c r="L1359">
        <f t="shared" si="21"/>
        <v>2.9850000000000003</v>
      </c>
    </row>
    <row r="1360" spans="1:12" x14ac:dyDescent="0.15">
      <c r="A1360" s="1">
        <v>1359</v>
      </c>
      <c r="B1360" s="4">
        <v>41121</v>
      </c>
      <c r="C1360" s="1" t="s">
        <v>18</v>
      </c>
      <c r="D1360" s="1" t="s">
        <v>26</v>
      </c>
      <c r="E1360" s="1">
        <v>0.67302083333333329</v>
      </c>
      <c r="F1360" s="1" t="s">
        <v>13</v>
      </c>
      <c r="G1360" s="1">
        <v>2.95</v>
      </c>
      <c r="H1360" s="1">
        <v>3.05</v>
      </c>
      <c r="I1360" s="1">
        <v>0</v>
      </c>
      <c r="J1360" s="4">
        <v>41122</v>
      </c>
      <c r="K1360" s="4">
        <v>41852</v>
      </c>
      <c r="L1360">
        <f t="shared" si="21"/>
        <v>3</v>
      </c>
    </row>
    <row r="1361" spans="1:12" x14ac:dyDescent="0.15">
      <c r="A1361" s="1">
        <v>1360</v>
      </c>
      <c r="B1361" s="4">
        <v>41121</v>
      </c>
      <c r="C1361" s="1" t="s">
        <v>11</v>
      </c>
      <c r="D1361" s="1" t="s">
        <v>26</v>
      </c>
      <c r="E1361" s="1">
        <v>0.67303240740740744</v>
      </c>
      <c r="F1361" s="1" t="s">
        <v>13</v>
      </c>
      <c r="G1361" s="1">
        <v>2.95</v>
      </c>
      <c r="H1361" s="1">
        <v>3.02</v>
      </c>
      <c r="I1361" s="1">
        <v>0</v>
      </c>
      <c r="J1361" s="4">
        <v>41122</v>
      </c>
      <c r="K1361" s="4">
        <v>42217</v>
      </c>
      <c r="L1361">
        <f t="shared" si="21"/>
        <v>2.9850000000000003</v>
      </c>
    </row>
    <row r="1362" spans="1:12" x14ac:dyDescent="0.15">
      <c r="A1362" s="1">
        <v>1361</v>
      </c>
      <c r="B1362" s="4">
        <v>41121</v>
      </c>
      <c r="C1362" s="1" t="s">
        <v>19</v>
      </c>
      <c r="D1362" s="1" t="s">
        <v>26</v>
      </c>
      <c r="E1362" s="1">
        <v>0.67303240740740744</v>
      </c>
      <c r="F1362" s="1" t="s">
        <v>13</v>
      </c>
      <c r="G1362" s="1">
        <v>3.2</v>
      </c>
      <c r="H1362" s="1">
        <v>3.28</v>
      </c>
      <c r="I1362" s="1">
        <v>0</v>
      </c>
      <c r="J1362" s="4">
        <v>41122</v>
      </c>
      <c r="K1362" s="4">
        <v>41395</v>
      </c>
      <c r="L1362">
        <f t="shared" si="21"/>
        <v>3.24</v>
      </c>
    </row>
    <row r="1363" spans="1:12" x14ac:dyDescent="0.15">
      <c r="A1363" s="1">
        <v>1362</v>
      </c>
      <c r="B1363" s="4">
        <v>41121</v>
      </c>
      <c r="C1363" s="1" t="s">
        <v>19</v>
      </c>
      <c r="D1363" s="1" t="s">
        <v>30</v>
      </c>
      <c r="E1363" s="1">
        <v>0.6764930555555555</v>
      </c>
      <c r="F1363" s="1" t="s">
        <v>13</v>
      </c>
      <c r="G1363" s="1">
        <v>3.28</v>
      </c>
      <c r="H1363" s="1">
        <v>3.31</v>
      </c>
      <c r="I1363" s="1">
        <v>0</v>
      </c>
      <c r="J1363" s="4">
        <v>41122</v>
      </c>
      <c r="K1363" s="4">
        <v>41395</v>
      </c>
      <c r="L1363">
        <f t="shared" si="21"/>
        <v>3.2949999999999999</v>
      </c>
    </row>
    <row r="1364" spans="1:12" x14ac:dyDescent="0.15">
      <c r="A1364" s="1">
        <v>1363</v>
      </c>
      <c r="B1364" s="4">
        <v>41121</v>
      </c>
      <c r="C1364" s="1" t="s">
        <v>16</v>
      </c>
      <c r="D1364" s="1" t="s">
        <v>26</v>
      </c>
      <c r="E1364" s="1">
        <v>0.67303240740740744</v>
      </c>
      <c r="F1364" s="1" t="s">
        <v>13</v>
      </c>
      <c r="G1364" s="1">
        <v>2.95</v>
      </c>
      <c r="H1364" s="1">
        <v>3.02</v>
      </c>
      <c r="I1364" s="1">
        <v>0</v>
      </c>
      <c r="J1364" s="4">
        <v>41122</v>
      </c>
      <c r="K1364" s="4">
        <v>42583</v>
      </c>
      <c r="L1364">
        <f t="shared" si="21"/>
        <v>2.9850000000000003</v>
      </c>
    </row>
    <row r="1365" spans="1:12" x14ac:dyDescent="0.15">
      <c r="A1365" s="1">
        <v>1364</v>
      </c>
      <c r="B1365" s="4">
        <v>41121</v>
      </c>
      <c r="C1365" s="1" t="s">
        <v>25</v>
      </c>
      <c r="D1365" s="1" t="s">
        <v>15</v>
      </c>
      <c r="E1365" s="1">
        <v>0.67302083333333329</v>
      </c>
      <c r="F1365" s="1" t="s">
        <v>13</v>
      </c>
      <c r="G1365" s="1">
        <v>2.96</v>
      </c>
      <c r="H1365" s="1">
        <v>3.02</v>
      </c>
      <c r="I1365" s="1">
        <v>0</v>
      </c>
      <c r="J1365" s="4">
        <v>41122</v>
      </c>
      <c r="K1365" s="4">
        <v>42948</v>
      </c>
      <c r="L1365">
        <f t="shared" si="21"/>
        <v>2.99</v>
      </c>
    </row>
    <row r="1366" spans="1:12" x14ac:dyDescent="0.15">
      <c r="A1366" s="1">
        <v>1365</v>
      </c>
      <c r="B1366" s="4">
        <v>41121</v>
      </c>
      <c r="C1366" s="1" t="s">
        <v>16</v>
      </c>
      <c r="D1366" s="1" t="s">
        <v>15</v>
      </c>
      <c r="E1366" s="1">
        <v>0.67302083333333329</v>
      </c>
      <c r="F1366" s="1" t="s">
        <v>13</v>
      </c>
      <c r="G1366" s="1">
        <v>2.93</v>
      </c>
      <c r="H1366" s="1">
        <v>2.99</v>
      </c>
      <c r="I1366" s="1">
        <v>0</v>
      </c>
      <c r="J1366" s="4">
        <v>41122</v>
      </c>
      <c r="K1366" s="4">
        <v>42583</v>
      </c>
      <c r="L1366">
        <f t="shared" si="21"/>
        <v>2.96</v>
      </c>
    </row>
    <row r="1367" spans="1:12" x14ac:dyDescent="0.15">
      <c r="A1367" s="1">
        <v>1366</v>
      </c>
      <c r="B1367" s="4">
        <v>41121</v>
      </c>
      <c r="C1367" s="1" t="s">
        <v>25</v>
      </c>
      <c r="D1367" s="1" t="s">
        <v>26</v>
      </c>
      <c r="E1367" s="1">
        <v>0.67303240740740744</v>
      </c>
      <c r="F1367" s="1" t="s">
        <v>13</v>
      </c>
      <c r="G1367" s="1">
        <v>2.95</v>
      </c>
      <c r="H1367" s="1">
        <v>3.02</v>
      </c>
      <c r="I1367" s="1">
        <v>0</v>
      </c>
      <c r="J1367" s="4">
        <v>41122</v>
      </c>
      <c r="K1367" s="4">
        <v>42948</v>
      </c>
      <c r="L1367">
        <f t="shared" si="21"/>
        <v>2.9850000000000003</v>
      </c>
    </row>
    <row r="1368" spans="1:12" x14ac:dyDescent="0.15">
      <c r="A1368" s="1">
        <v>1367</v>
      </c>
      <c r="B1368" s="4">
        <v>41120</v>
      </c>
      <c r="C1368" s="1" t="s">
        <v>11</v>
      </c>
      <c r="D1368" s="1" t="s">
        <v>27</v>
      </c>
      <c r="E1368" s="1">
        <v>0.48884259259259261</v>
      </c>
      <c r="F1368" s="1" t="s">
        <v>13</v>
      </c>
      <c r="G1368" s="1">
        <v>2.93</v>
      </c>
      <c r="H1368" s="1">
        <v>3.01</v>
      </c>
      <c r="I1368" s="1">
        <v>0</v>
      </c>
      <c r="J1368" s="4">
        <v>41121</v>
      </c>
      <c r="K1368" s="4">
        <v>42216</v>
      </c>
      <c r="L1368">
        <f t="shared" si="21"/>
        <v>2.9699999999999998</v>
      </c>
    </row>
    <row r="1369" spans="1:12" x14ac:dyDescent="0.15">
      <c r="A1369" s="1">
        <v>1368</v>
      </c>
      <c r="B1369" s="4">
        <v>41120</v>
      </c>
      <c r="C1369" s="1" t="s">
        <v>22</v>
      </c>
      <c r="D1369" s="1" t="s">
        <v>27</v>
      </c>
      <c r="E1369" s="1">
        <v>0.48884259259259261</v>
      </c>
      <c r="F1369" s="1" t="s">
        <v>13</v>
      </c>
      <c r="G1369" s="1">
        <v>3.5</v>
      </c>
      <c r="H1369" s="1">
        <v>3.6</v>
      </c>
      <c r="I1369" s="1">
        <v>0</v>
      </c>
      <c r="J1369" s="4">
        <v>41121</v>
      </c>
      <c r="K1369" s="4">
        <v>41305</v>
      </c>
      <c r="L1369">
        <f t="shared" si="21"/>
        <v>3.55</v>
      </c>
    </row>
    <row r="1370" spans="1:12" x14ac:dyDescent="0.15">
      <c r="A1370" s="1">
        <v>1369</v>
      </c>
      <c r="B1370" s="4">
        <v>41120</v>
      </c>
      <c r="C1370" s="1" t="s">
        <v>18</v>
      </c>
      <c r="D1370" s="1" t="s">
        <v>15</v>
      </c>
      <c r="E1370" s="1">
        <v>0.49211805555555554</v>
      </c>
      <c r="F1370" s="1" t="s">
        <v>13</v>
      </c>
      <c r="G1370" s="1">
        <v>2.96</v>
      </c>
      <c r="H1370" s="1">
        <v>3.02</v>
      </c>
      <c r="I1370" s="1">
        <v>0</v>
      </c>
      <c r="J1370" s="4">
        <v>41121</v>
      </c>
      <c r="K1370" s="4">
        <v>41851</v>
      </c>
      <c r="L1370">
        <f t="shared" si="21"/>
        <v>2.99</v>
      </c>
    </row>
    <row r="1371" spans="1:12" x14ac:dyDescent="0.15">
      <c r="A1371" s="1">
        <v>1370</v>
      </c>
      <c r="B1371" s="4">
        <v>41120</v>
      </c>
      <c r="C1371" s="1" t="s">
        <v>14</v>
      </c>
      <c r="D1371" s="1" t="s">
        <v>15</v>
      </c>
      <c r="E1371" s="1">
        <v>0.49211805555555554</v>
      </c>
      <c r="F1371" s="1" t="s">
        <v>13</v>
      </c>
      <c r="G1371" s="1">
        <v>3.14</v>
      </c>
      <c r="H1371" s="1">
        <v>3.2</v>
      </c>
      <c r="I1371" s="1">
        <v>0</v>
      </c>
      <c r="J1371" s="4">
        <v>41121</v>
      </c>
      <c r="K1371" s="4">
        <v>41486</v>
      </c>
      <c r="L1371">
        <f t="shared" si="21"/>
        <v>3.17</v>
      </c>
    </row>
    <row r="1372" spans="1:12" x14ac:dyDescent="0.15">
      <c r="A1372" s="1">
        <v>1371</v>
      </c>
      <c r="B1372" s="4">
        <v>41120</v>
      </c>
      <c r="C1372" s="1" t="s">
        <v>18</v>
      </c>
      <c r="D1372" s="1" t="s">
        <v>27</v>
      </c>
      <c r="E1372" s="1">
        <v>0.48883101851851851</v>
      </c>
      <c r="F1372" s="1" t="s">
        <v>13</v>
      </c>
      <c r="G1372" s="1">
        <v>2.97</v>
      </c>
      <c r="H1372" s="1">
        <v>3.05</v>
      </c>
      <c r="I1372" s="1">
        <v>0</v>
      </c>
      <c r="J1372" s="4">
        <v>41121</v>
      </c>
      <c r="K1372" s="4">
        <v>41851</v>
      </c>
      <c r="L1372">
        <f t="shared" si="21"/>
        <v>3.01</v>
      </c>
    </row>
    <row r="1373" spans="1:12" x14ac:dyDescent="0.15">
      <c r="A1373" s="1">
        <v>1372</v>
      </c>
      <c r="B1373" s="4">
        <v>41120</v>
      </c>
      <c r="C1373" s="1" t="s">
        <v>25</v>
      </c>
      <c r="D1373" s="1" t="s">
        <v>27</v>
      </c>
      <c r="E1373" s="1">
        <v>0.48880787037037038</v>
      </c>
      <c r="F1373" s="1" t="s">
        <v>13</v>
      </c>
      <c r="G1373" s="1">
        <v>2.96</v>
      </c>
      <c r="H1373" s="1">
        <v>3.03</v>
      </c>
      <c r="I1373" s="1">
        <v>0</v>
      </c>
      <c r="J1373" s="4">
        <v>41121</v>
      </c>
      <c r="K1373" s="4">
        <v>42947</v>
      </c>
      <c r="L1373">
        <f t="shared" si="21"/>
        <v>2.9950000000000001</v>
      </c>
    </row>
    <row r="1374" spans="1:12" x14ac:dyDescent="0.15">
      <c r="A1374" s="1">
        <v>1373</v>
      </c>
      <c r="B1374" s="4">
        <v>41120</v>
      </c>
      <c r="C1374" s="1" t="s">
        <v>14</v>
      </c>
      <c r="D1374" s="1" t="s">
        <v>27</v>
      </c>
      <c r="E1374" s="1">
        <v>0.48880787037037038</v>
      </c>
      <c r="F1374" s="1" t="s">
        <v>13</v>
      </c>
      <c r="G1374" s="1">
        <v>3.14</v>
      </c>
      <c r="H1374" s="1">
        <v>3.24</v>
      </c>
      <c r="I1374" s="1">
        <v>0</v>
      </c>
      <c r="J1374" s="4">
        <v>41121</v>
      </c>
      <c r="K1374" s="4">
        <v>41486</v>
      </c>
      <c r="L1374">
        <f t="shared" si="21"/>
        <v>3.1900000000000004</v>
      </c>
    </row>
    <row r="1375" spans="1:12" x14ac:dyDescent="0.15">
      <c r="A1375" s="1">
        <v>1374</v>
      </c>
      <c r="B1375" s="4">
        <v>41120</v>
      </c>
      <c r="C1375" s="1" t="s">
        <v>16</v>
      </c>
      <c r="D1375" s="1" t="s">
        <v>27</v>
      </c>
      <c r="E1375" s="1">
        <v>0.48883101851851851</v>
      </c>
      <c r="F1375" s="1" t="s">
        <v>13</v>
      </c>
      <c r="G1375" s="1">
        <v>2.93</v>
      </c>
      <c r="H1375" s="1">
        <v>3</v>
      </c>
      <c r="I1375" s="1">
        <v>0</v>
      </c>
      <c r="J1375" s="4">
        <v>41121</v>
      </c>
      <c r="K1375" s="4">
        <v>42582</v>
      </c>
      <c r="L1375">
        <f t="shared" si="21"/>
        <v>2.9649999999999999</v>
      </c>
    </row>
    <row r="1376" spans="1:12" x14ac:dyDescent="0.15">
      <c r="A1376" s="1">
        <v>1375</v>
      </c>
      <c r="B1376" s="4">
        <v>41120</v>
      </c>
      <c r="C1376" s="1" t="s">
        <v>19</v>
      </c>
      <c r="D1376" s="1" t="s">
        <v>27</v>
      </c>
      <c r="E1376" s="1">
        <v>0.48883101851851851</v>
      </c>
      <c r="F1376" s="1" t="s">
        <v>13</v>
      </c>
      <c r="G1376" s="1">
        <v>3.27</v>
      </c>
      <c r="H1376" s="1">
        <v>3.37</v>
      </c>
      <c r="I1376" s="1">
        <v>0</v>
      </c>
      <c r="J1376" s="4">
        <v>41121</v>
      </c>
      <c r="K1376" s="4">
        <v>41394</v>
      </c>
      <c r="L1376">
        <f t="shared" si="21"/>
        <v>3.3200000000000003</v>
      </c>
    </row>
    <row r="1377" spans="1:12" x14ac:dyDescent="0.15">
      <c r="A1377" s="1">
        <v>1376</v>
      </c>
      <c r="B1377" s="4">
        <v>41120</v>
      </c>
      <c r="C1377" s="1" t="s">
        <v>21</v>
      </c>
      <c r="D1377" s="1" t="s">
        <v>15</v>
      </c>
      <c r="E1377" s="1">
        <v>0.49211805555555554</v>
      </c>
      <c r="F1377" s="1" t="s">
        <v>13</v>
      </c>
      <c r="G1377" s="1">
        <v>3.02</v>
      </c>
      <c r="H1377" s="1">
        <v>3.08</v>
      </c>
      <c r="I1377" s="1">
        <v>0</v>
      </c>
      <c r="J1377" s="4">
        <v>41121</v>
      </c>
      <c r="K1377" s="4">
        <v>43677</v>
      </c>
      <c r="L1377">
        <f t="shared" si="21"/>
        <v>3.05</v>
      </c>
    </row>
    <row r="1378" spans="1:12" x14ac:dyDescent="0.15">
      <c r="A1378" s="1">
        <v>1377</v>
      </c>
      <c r="B1378" s="4">
        <v>41120</v>
      </c>
      <c r="C1378" s="1" t="s">
        <v>22</v>
      </c>
      <c r="D1378" s="1" t="s">
        <v>26</v>
      </c>
      <c r="E1378" s="1">
        <v>0.49346064814814811</v>
      </c>
      <c r="F1378" s="1" t="s">
        <v>13</v>
      </c>
      <c r="G1378" s="1">
        <v>3.45</v>
      </c>
      <c r="H1378" s="1">
        <v>3.5</v>
      </c>
      <c r="I1378" s="1">
        <v>0</v>
      </c>
      <c r="J1378" s="4">
        <v>41121</v>
      </c>
      <c r="K1378" s="4">
        <v>41305</v>
      </c>
      <c r="L1378">
        <f t="shared" si="21"/>
        <v>3.4750000000000001</v>
      </c>
    </row>
    <row r="1379" spans="1:12" x14ac:dyDescent="0.15">
      <c r="A1379" s="1">
        <v>1378</v>
      </c>
      <c r="B1379" s="4">
        <v>41120</v>
      </c>
      <c r="C1379" s="1" t="s">
        <v>11</v>
      </c>
      <c r="D1379" s="1" t="s">
        <v>15</v>
      </c>
      <c r="E1379" s="1">
        <v>0.49212962962962964</v>
      </c>
      <c r="F1379" s="1" t="s">
        <v>13</v>
      </c>
      <c r="G1379" s="1">
        <v>2.94</v>
      </c>
      <c r="H1379" s="1">
        <v>3</v>
      </c>
      <c r="I1379" s="1">
        <v>0</v>
      </c>
      <c r="J1379" s="4">
        <v>41121</v>
      </c>
      <c r="K1379" s="4">
        <v>42216</v>
      </c>
      <c r="L1379">
        <f t="shared" si="21"/>
        <v>2.9699999999999998</v>
      </c>
    </row>
    <row r="1380" spans="1:12" x14ac:dyDescent="0.15">
      <c r="A1380" s="1">
        <v>1379</v>
      </c>
      <c r="B1380" s="4">
        <v>41120</v>
      </c>
      <c r="C1380" s="1" t="s">
        <v>20</v>
      </c>
      <c r="D1380" s="1" t="s">
        <v>26</v>
      </c>
      <c r="E1380" s="1">
        <v>0.49347222222222226</v>
      </c>
      <c r="F1380" s="1" t="s">
        <v>13</v>
      </c>
      <c r="G1380" s="1">
        <v>2.95</v>
      </c>
      <c r="H1380" s="1">
        <v>3.02</v>
      </c>
      <c r="I1380" s="1">
        <v>0</v>
      </c>
      <c r="J1380" s="4">
        <v>41121</v>
      </c>
      <c r="K1380" s="4">
        <v>44773</v>
      </c>
      <c r="L1380">
        <f t="shared" si="21"/>
        <v>2.9850000000000003</v>
      </c>
    </row>
    <row r="1381" spans="1:12" x14ac:dyDescent="0.15">
      <c r="A1381" s="1">
        <v>1380</v>
      </c>
      <c r="B1381" s="4">
        <v>41120</v>
      </c>
      <c r="C1381" s="1" t="s">
        <v>14</v>
      </c>
      <c r="D1381" s="1" t="s">
        <v>26</v>
      </c>
      <c r="E1381" s="1">
        <v>0.49347222222222226</v>
      </c>
      <c r="F1381" s="1" t="s">
        <v>13</v>
      </c>
      <c r="G1381" s="1">
        <v>3.12</v>
      </c>
      <c r="H1381" s="1">
        <v>3.17</v>
      </c>
      <c r="I1381" s="1">
        <v>0</v>
      </c>
      <c r="J1381" s="4">
        <v>41121</v>
      </c>
      <c r="K1381" s="4">
        <v>41486</v>
      </c>
      <c r="L1381">
        <f t="shared" si="21"/>
        <v>3.145</v>
      </c>
    </row>
    <row r="1382" spans="1:12" x14ac:dyDescent="0.15">
      <c r="A1382" s="1">
        <v>1381</v>
      </c>
      <c r="B1382" s="4">
        <v>41120</v>
      </c>
      <c r="C1382" s="1" t="s">
        <v>16</v>
      </c>
      <c r="D1382" s="1" t="s">
        <v>15</v>
      </c>
      <c r="E1382" s="1">
        <v>0.49212962962962964</v>
      </c>
      <c r="F1382" s="1" t="s">
        <v>13</v>
      </c>
      <c r="G1382" s="1">
        <v>2.93</v>
      </c>
      <c r="H1382" s="1">
        <v>2.99</v>
      </c>
      <c r="I1382" s="1">
        <v>0</v>
      </c>
      <c r="J1382" s="4">
        <v>41121</v>
      </c>
      <c r="K1382" s="4">
        <v>42582</v>
      </c>
      <c r="L1382">
        <f t="shared" si="21"/>
        <v>2.96</v>
      </c>
    </row>
    <row r="1383" spans="1:12" x14ac:dyDescent="0.15">
      <c r="A1383" s="1">
        <v>1382</v>
      </c>
      <c r="B1383" s="4">
        <v>41120</v>
      </c>
      <c r="C1383" s="1" t="s">
        <v>20</v>
      </c>
      <c r="D1383" s="1" t="s">
        <v>15</v>
      </c>
      <c r="E1383" s="1">
        <v>0.49211805555555554</v>
      </c>
      <c r="F1383" s="1" t="s">
        <v>13</v>
      </c>
      <c r="G1383" s="1">
        <v>3.07</v>
      </c>
      <c r="H1383" s="1">
        <v>3.13</v>
      </c>
      <c r="I1383" s="1">
        <v>0</v>
      </c>
      <c r="J1383" s="4">
        <v>41121</v>
      </c>
      <c r="K1383" s="4">
        <v>44773</v>
      </c>
      <c r="L1383">
        <f t="shared" si="21"/>
        <v>3.0999999999999996</v>
      </c>
    </row>
    <row r="1384" spans="1:12" x14ac:dyDescent="0.15">
      <c r="A1384" s="1">
        <v>1383</v>
      </c>
      <c r="B1384" s="4">
        <v>41120</v>
      </c>
      <c r="C1384" s="1" t="s">
        <v>19</v>
      </c>
      <c r="D1384" s="1" t="s">
        <v>15</v>
      </c>
      <c r="E1384" s="1">
        <v>0.49211805555555554</v>
      </c>
      <c r="F1384" s="1" t="s">
        <v>13</v>
      </c>
      <c r="G1384" s="1">
        <v>3.29</v>
      </c>
      <c r="H1384" s="1">
        <v>3.35</v>
      </c>
      <c r="I1384" s="1">
        <v>0</v>
      </c>
      <c r="J1384" s="4">
        <v>41121</v>
      </c>
      <c r="K1384" s="4">
        <v>41394</v>
      </c>
      <c r="L1384">
        <f t="shared" si="21"/>
        <v>3.3200000000000003</v>
      </c>
    </row>
    <row r="1385" spans="1:12" x14ac:dyDescent="0.15">
      <c r="A1385" s="1">
        <v>1384</v>
      </c>
      <c r="B1385" s="4">
        <v>41120</v>
      </c>
      <c r="C1385" s="1" t="s">
        <v>25</v>
      </c>
      <c r="D1385" s="1" t="s">
        <v>15</v>
      </c>
      <c r="E1385" s="1">
        <v>0.49212962962962964</v>
      </c>
      <c r="F1385" s="1" t="s">
        <v>13</v>
      </c>
      <c r="G1385" s="1">
        <v>2.94</v>
      </c>
      <c r="H1385" s="1">
        <v>3</v>
      </c>
      <c r="I1385" s="1">
        <v>0</v>
      </c>
      <c r="J1385" s="4">
        <v>41121</v>
      </c>
      <c r="K1385" s="4">
        <v>42947</v>
      </c>
      <c r="L1385">
        <f t="shared" si="21"/>
        <v>2.9699999999999998</v>
      </c>
    </row>
    <row r="1386" spans="1:12" x14ac:dyDescent="0.15">
      <c r="A1386" s="1">
        <v>1385</v>
      </c>
      <c r="B1386" s="4">
        <v>41120</v>
      </c>
      <c r="C1386" s="1" t="s">
        <v>22</v>
      </c>
      <c r="D1386" s="1" t="s">
        <v>15</v>
      </c>
      <c r="E1386" s="1">
        <v>0.49211805555555554</v>
      </c>
      <c r="F1386" s="1" t="s">
        <v>13</v>
      </c>
      <c r="G1386" s="1">
        <v>3.5</v>
      </c>
      <c r="H1386" s="1">
        <v>3.56</v>
      </c>
      <c r="I1386" s="1">
        <v>0</v>
      </c>
      <c r="J1386" s="4">
        <v>41121</v>
      </c>
      <c r="K1386" s="4">
        <v>41305</v>
      </c>
      <c r="L1386">
        <f t="shared" si="21"/>
        <v>3.5300000000000002</v>
      </c>
    </row>
    <row r="1387" spans="1:12" x14ac:dyDescent="0.15">
      <c r="A1387" s="1">
        <v>1386</v>
      </c>
      <c r="B1387" s="4">
        <v>41120</v>
      </c>
      <c r="C1387" s="1" t="s">
        <v>18</v>
      </c>
      <c r="D1387" s="1" t="s">
        <v>30</v>
      </c>
      <c r="E1387" s="1">
        <v>0.48531250000000004</v>
      </c>
      <c r="F1387" s="1" t="s">
        <v>13</v>
      </c>
      <c r="G1387" s="1">
        <v>2.93</v>
      </c>
      <c r="H1387" s="1">
        <v>3.03</v>
      </c>
      <c r="I1387" s="1">
        <v>0</v>
      </c>
      <c r="J1387" s="4">
        <v>41121</v>
      </c>
      <c r="K1387" s="4">
        <v>41851</v>
      </c>
      <c r="L1387">
        <f t="shared" si="21"/>
        <v>2.98</v>
      </c>
    </row>
    <row r="1388" spans="1:12" x14ac:dyDescent="0.15">
      <c r="A1388" s="1">
        <v>1387</v>
      </c>
      <c r="B1388" s="4">
        <v>41120</v>
      </c>
      <c r="C1388" s="1" t="s">
        <v>23</v>
      </c>
      <c r="D1388" s="1" t="s">
        <v>33</v>
      </c>
      <c r="E1388" s="1">
        <v>0.38964120370370375</v>
      </c>
      <c r="F1388" s="1" t="s">
        <v>13</v>
      </c>
      <c r="G1388" s="1">
        <v>2.91</v>
      </c>
      <c r="H1388" s="1">
        <v>3.04</v>
      </c>
      <c r="I1388" s="1">
        <v>0</v>
      </c>
      <c r="J1388" s="4">
        <v>41121</v>
      </c>
      <c r="K1388" s="4">
        <v>43312</v>
      </c>
      <c r="L1388">
        <f t="shared" si="21"/>
        <v>2.9750000000000001</v>
      </c>
    </row>
    <row r="1389" spans="1:12" x14ac:dyDescent="0.15">
      <c r="A1389" s="1">
        <v>1388</v>
      </c>
      <c r="B1389" s="4">
        <v>41120</v>
      </c>
      <c r="C1389" s="1" t="s">
        <v>25</v>
      </c>
      <c r="D1389" s="1" t="s">
        <v>33</v>
      </c>
      <c r="E1389" s="1">
        <v>0.38964120370370375</v>
      </c>
      <c r="F1389" s="1" t="s">
        <v>13</v>
      </c>
      <c r="G1389" s="1">
        <v>2.93</v>
      </c>
      <c r="H1389" s="1">
        <v>2.99</v>
      </c>
      <c r="I1389" s="1">
        <v>0</v>
      </c>
      <c r="J1389" s="4">
        <v>41121</v>
      </c>
      <c r="K1389" s="4">
        <v>42947</v>
      </c>
      <c r="L1389">
        <f t="shared" si="21"/>
        <v>2.96</v>
      </c>
    </row>
    <row r="1390" spans="1:12" x14ac:dyDescent="0.15">
      <c r="A1390" s="1">
        <v>1389</v>
      </c>
      <c r="B1390" s="4">
        <v>41120</v>
      </c>
      <c r="C1390" s="1" t="s">
        <v>24</v>
      </c>
      <c r="D1390" s="1" t="s">
        <v>33</v>
      </c>
      <c r="E1390" s="1">
        <v>0.38964120370370375</v>
      </c>
      <c r="F1390" s="1" t="s">
        <v>13</v>
      </c>
      <c r="G1390" s="1">
        <v>2.93</v>
      </c>
      <c r="H1390" s="1">
        <v>3.13</v>
      </c>
      <c r="I1390" s="1">
        <v>0</v>
      </c>
      <c r="J1390" s="4">
        <v>41121</v>
      </c>
      <c r="K1390" s="4">
        <v>44043</v>
      </c>
      <c r="L1390">
        <f t="shared" si="21"/>
        <v>3.0300000000000002</v>
      </c>
    </row>
    <row r="1391" spans="1:12" x14ac:dyDescent="0.15">
      <c r="A1391" s="1">
        <v>1390</v>
      </c>
      <c r="B1391" s="4">
        <v>41120</v>
      </c>
      <c r="C1391" s="1" t="s">
        <v>21</v>
      </c>
      <c r="D1391" s="1" t="s">
        <v>33</v>
      </c>
      <c r="E1391" s="1">
        <v>0.38964120370370375</v>
      </c>
      <c r="F1391" s="1" t="s">
        <v>13</v>
      </c>
      <c r="G1391" s="1">
        <v>2.93</v>
      </c>
      <c r="H1391" s="1">
        <v>3.08</v>
      </c>
      <c r="I1391" s="1">
        <v>0</v>
      </c>
      <c r="J1391" s="4">
        <v>41121</v>
      </c>
      <c r="K1391" s="4">
        <v>43677</v>
      </c>
      <c r="L1391">
        <f t="shared" si="21"/>
        <v>3.0049999999999999</v>
      </c>
    </row>
    <row r="1392" spans="1:12" x14ac:dyDescent="0.15">
      <c r="A1392" s="1">
        <v>1391</v>
      </c>
      <c r="B1392" s="4">
        <v>41120</v>
      </c>
      <c r="C1392" s="1" t="s">
        <v>16</v>
      </c>
      <c r="D1392" s="1" t="s">
        <v>33</v>
      </c>
      <c r="E1392" s="1">
        <v>0.38964120370370375</v>
      </c>
      <c r="F1392" s="1" t="s">
        <v>13</v>
      </c>
      <c r="G1392" s="1">
        <v>2.92</v>
      </c>
      <c r="H1392" s="1">
        <v>2.98</v>
      </c>
      <c r="I1392" s="1">
        <v>0</v>
      </c>
      <c r="J1392" s="4">
        <v>41121</v>
      </c>
      <c r="K1392" s="4">
        <v>42582</v>
      </c>
      <c r="L1392">
        <f t="shared" si="21"/>
        <v>2.95</v>
      </c>
    </row>
    <row r="1393" spans="1:12" x14ac:dyDescent="0.15">
      <c r="A1393" s="1">
        <v>1392</v>
      </c>
      <c r="B1393" s="4">
        <v>41120</v>
      </c>
      <c r="C1393" s="1" t="s">
        <v>14</v>
      </c>
      <c r="D1393" s="1" t="s">
        <v>33</v>
      </c>
      <c r="E1393" s="1">
        <v>0.38964120370370375</v>
      </c>
      <c r="F1393" s="1" t="s">
        <v>13</v>
      </c>
      <c r="G1393" s="1">
        <v>3.12</v>
      </c>
      <c r="H1393" s="1">
        <v>3.18</v>
      </c>
      <c r="I1393" s="1">
        <v>0</v>
      </c>
      <c r="J1393" s="4">
        <v>41121</v>
      </c>
      <c r="K1393" s="4">
        <v>41486</v>
      </c>
      <c r="L1393">
        <f t="shared" si="21"/>
        <v>3.1500000000000004</v>
      </c>
    </row>
    <row r="1394" spans="1:12" x14ac:dyDescent="0.15">
      <c r="A1394" s="1">
        <v>1393</v>
      </c>
      <c r="B1394" s="4">
        <v>41120</v>
      </c>
      <c r="C1394" s="1" t="s">
        <v>22</v>
      </c>
      <c r="D1394" s="1" t="s">
        <v>33</v>
      </c>
      <c r="E1394" s="1">
        <v>0.38964120370370375</v>
      </c>
      <c r="F1394" s="1" t="s">
        <v>13</v>
      </c>
      <c r="G1394" s="1">
        <v>3.46</v>
      </c>
      <c r="H1394" s="1">
        <v>3.51</v>
      </c>
      <c r="I1394" s="1">
        <v>0</v>
      </c>
      <c r="J1394" s="4">
        <v>41121</v>
      </c>
      <c r="K1394" s="4">
        <v>41305</v>
      </c>
      <c r="L1394">
        <f t="shared" si="21"/>
        <v>3.4849999999999999</v>
      </c>
    </row>
    <row r="1395" spans="1:12" x14ac:dyDescent="0.15">
      <c r="A1395" s="1">
        <v>1394</v>
      </c>
      <c r="B1395" s="4">
        <v>41120</v>
      </c>
      <c r="C1395" s="1" t="s">
        <v>11</v>
      </c>
      <c r="D1395" s="1" t="s">
        <v>33</v>
      </c>
      <c r="E1395" s="1">
        <v>0.38964120370370375</v>
      </c>
      <c r="F1395" s="1" t="s">
        <v>13</v>
      </c>
      <c r="G1395" s="1">
        <v>2.92</v>
      </c>
      <c r="H1395" s="1">
        <v>2.98</v>
      </c>
      <c r="I1395" s="1">
        <v>0</v>
      </c>
      <c r="J1395" s="4">
        <v>41121</v>
      </c>
      <c r="K1395" s="4">
        <v>42216</v>
      </c>
      <c r="L1395">
        <f t="shared" si="21"/>
        <v>2.95</v>
      </c>
    </row>
    <row r="1396" spans="1:12" x14ac:dyDescent="0.15">
      <c r="A1396" s="1">
        <v>1395</v>
      </c>
      <c r="B1396" s="4">
        <v>41120</v>
      </c>
      <c r="C1396" s="1" t="s">
        <v>18</v>
      </c>
      <c r="D1396" s="1" t="s">
        <v>33</v>
      </c>
      <c r="E1396" s="1">
        <v>0.38964120370370375</v>
      </c>
      <c r="F1396" s="1" t="s">
        <v>13</v>
      </c>
      <c r="G1396" s="1">
        <v>2.94</v>
      </c>
      <c r="H1396" s="1">
        <v>3</v>
      </c>
      <c r="I1396" s="1">
        <v>0</v>
      </c>
      <c r="J1396" s="4">
        <v>41121</v>
      </c>
      <c r="K1396" s="4">
        <v>41851</v>
      </c>
      <c r="L1396">
        <f t="shared" si="21"/>
        <v>2.9699999999999998</v>
      </c>
    </row>
    <row r="1397" spans="1:12" x14ac:dyDescent="0.15">
      <c r="A1397" s="1">
        <v>1396</v>
      </c>
      <c r="B1397" s="4">
        <v>41120</v>
      </c>
      <c r="C1397" s="1" t="s">
        <v>17</v>
      </c>
      <c r="D1397" s="1" t="s">
        <v>33</v>
      </c>
      <c r="E1397" s="1">
        <v>0.38964120370370375</v>
      </c>
      <c r="F1397" s="1" t="s">
        <v>13</v>
      </c>
      <c r="G1397" s="1">
        <v>2.93</v>
      </c>
      <c r="H1397" s="1">
        <v>3.18</v>
      </c>
      <c r="I1397" s="1">
        <v>0</v>
      </c>
      <c r="J1397" s="4">
        <v>41121</v>
      </c>
      <c r="K1397" s="4">
        <v>44408</v>
      </c>
      <c r="L1397">
        <f t="shared" si="21"/>
        <v>3.0550000000000002</v>
      </c>
    </row>
    <row r="1398" spans="1:12" x14ac:dyDescent="0.15">
      <c r="A1398" s="1">
        <v>1397</v>
      </c>
      <c r="B1398" s="4">
        <v>41120</v>
      </c>
      <c r="C1398" s="1" t="s">
        <v>25</v>
      </c>
      <c r="D1398" s="1" t="s">
        <v>30</v>
      </c>
      <c r="E1398" s="1">
        <v>0.48531250000000004</v>
      </c>
      <c r="F1398" s="1" t="s">
        <v>13</v>
      </c>
      <c r="G1398" s="1">
        <v>2.91</v>
      </c>
      <c r="H1398" s="1">
        <v>3.01</v>
      </c>
      <c r="I1398" s="1">
        <v>0</v>
      </c>
      <c r="J1398" s="4">
        <v>41121</v>
      </c>
      <c r="K1398" s="4">
        <v>42947</v>
      </c>
      <c r="L1398">
        <f t="shared" si="21"/>
        <v>2.96</v>
      </c>
    </row>
    <row r="1399" spans="1:12" x14ac:dyDescent="0.15">
      <c r="A1399" s="1">
        <v>1398</v>
      </c>
      <c r="B1399" s="4">
        <v>41120</v>
      </c>
      <c r="C1399" s="1" t="s">
        <v>22</v>
      </c>
      <c r="D1399" s="1" t="s">
        <v>30</v>
      </c>
      <c r="E1399" s="1">
        <v>0.48531250000000004</v>
      </c>
      <c r="F1399" s="1" t="s">
        <v>13</v>
      </c>
      <c r="G1399" s="1">
        <v>3.47</v>
      </c>
      <c r="H1399" s="1">
        <v>3.57</v>
      </c>
      <c r="I1399" s="1">
        <v>0</v>
      </c>
      <c r="J1399" s="4">
        <v>41121</v>
      </c>
      <c r="K1399" s="4">
        <v>41305</v>
      </c>
      <c r="L1399">
        <f t="shared" si="21"/>
        <v>3.52</v>
      </c>
    </row>
    <row r="1400" spans="1:12" x14ac:dyDescent="0.15">
      <c r="A1400" s="1">
        <v>1399</v>
      </c>
      <c r="B1400" s="4">
        <v>41120</v>
      </c>
      <c r="C1400" s="1" t="s">
        <v>11</v>
      </c>
      <c r="D1400" s="1" t="s">
        <v>30</v>
      </c>
      <c r="E1400" s="1">
        <v>0.48531250000000004</v>
      </c>
      <c r="F1400" s="1" t="s">
        <v>13</v>
      </c>
      <c r="G1400" s="1">
        <v>2.91</v>
      </c>
      <c r="H1400" s="1">
        <v>3.01</v>
      </c>
      <c r="I1400" s="1">
        <v>0</v>
      </c>
      <c r="J1400" s="4">
        <v>41121</v>
      </c>
      <c r="K1400" s="4">
        <v>42216</v>
      </c>
      <c r="L1400">
        <f t="shared" si="21"/>
        <v>2.96</v>
      </c>
    </row>
    <row r="1401" spans="1:12" x14ac:dyDescent="0.15">
      <c r="A1401" s="1">
        <v>1400</v>
      </c>
      <c r="B1401" s="4">
        <v>41120</v>
      </c>
      <c r="C1401" s="1" t="s">
        <v>16</v>
      </c>
      <c r="D1401" s="1" t="s">
        <v>30</v>
      </c>
      <c r="E1401" s="1">
        <v>0.48531250000000004</v>
      </c>
      <c r="F1401" s="1" t="s">
        <v>13</v>
      </c>
      <c r="G1401" s="1">
        <v>2.91</v>
      </c>
      <c r="H1401" s="1">
        <v>3.01</v>
      </c>
      <c r="I1401" s="1">
        <v>0</v>
      </c>
      <c r="J1401" s="4">
        <v>41121</v>
      </c>
      <c r="K1401" s="4">
        <v>42582</v>
      </c>
      <c r="L1401">
        <f t="shared" si="21"/>
        <v>2.96</v>
      </c>
    </row>
    <row r="1402" spans="1:12" x14ac:dyDescent="0.15">
      <c r="A1402" s="1">
        <v>1401</v>
      </c>
      <c r="B1402" s="4">
        <v>41120</v>
      </c>
      <c r="C1402" s="1" t="s">
        <v>21</v>
      </c>
      <c r="D1402" s="1" t="s">
        <v>30</v>
      </c>
      <c r="E1402" s="1">
        <v>0.48531250000000004</v>
      </c>
      <c r="F1402" s="1" t="s">
        <v>13</v>
      </c>
      <c r="G1402" s="1">
        <v>2.99</v>
      </c>
      <c r="H1402" s="1">
        <v>3.09</v>
      </c>
      <c r="I1402" s="1">
        <v>0</v>
      </c>
      <c r="J1402" s="4">
        <v>41121</v>
      </c>
      <c r="K1402" s="4">
        <v>43677</v>
      </c>
      <c r="L1402">
        <f t="shared" si="21"/>
        <v>3.04</v>
      </c>
    </row>
    <row r="1403" spans="1:12" x14ac:dyDescent="0.15">
      <c r="A1403" s="1">
        <v>1402</v>
      </c>
      <c r="B1403" s="4">
        <v>41120</v>
      </c>
      <c r="C1403" s="1" t="s">
        <v>14</v>
      </c>
      <c r="D1403" s="1" t="s">
        <v>30</v>
      </c>
      <c r="E1403" s="1">
        <v>0.48531250000000004</v>
      </c>
      <c r="F1403" s="1" t="s">
        <v>13</v>
      </c>
      <c r="G1403" s="1">
        <v>3.12</v>
      </c>
      <c r="H1403" s="1">
        <v>3.22</v>
      </c>
      <c r="I1403" s="1">
        <v>0</v>
      </c>
      <c r="J1403" s="4">
        <v>41121</v>
      </c>
      <c r="K1403" s="4">
        <v>41486</v>
      </c>
      <c r="L1403">
        <f t="shared" si="21"/>
        <v>3.17</v>
      </c>
    </row>
    <row r="1404" spans="1:12" x14ac:dyDescent="0.15">
      <c r="A1404" s="1">
        <v>1403</v>
      </c>
      <c r="B1404" s="4">
        <v>41120</v>
      </c>
      <c r="C1404" s="1" t="s">
        <v>20</v>
      </c>
      <c r="D1404" s="1" t="s">
        <v>33</v>
      </c>
      <c r="E1404" s="1">
        <v>0.38965277777777779</v>
      </c>
      <c r="F1404" s="1" t="s">
        <v>13</v>
      </c>
      <c r="G1404" s="1">
        <v>2.93</v>
      </c>
      <c r="H1404" s="1">
        <v>3.23</v>
      </c>
      <c r="I1404" s="1">
        <v>0</v>
      </c>
      <c r="J1404" s="4">
        <v>41121</v>
      </c>
      <c r="K1404" s="4">
        <v>44773</v>
      </c>
      <c r="L1404">
        <f t="shared" si="21"/>
        <v>3.08</v>
      </c>
    </row>
    <row r="1405" spans="1:12" x14ac:dyDescent="0.15">
      <c r="A1405" s="1">
        <v>1404</v>
      </c>
      <c r="B1405" s="4">
        <v>41120</v>
      </c>
      <c r="C1405" s="1" t="s">
        <v>19</v>
      </c>
      <c r="D1405" s="1" t="s">
        <v>30</v>
      </c>
      <c r="E1405" s="1">
        <v>0.48531250000000004</v>
      </c>
      <c r="F1405" s="1" t="s">
        <v>13</v>
      </c>
      <c r="G1405" s="1">
        <v>3.28</v>
      </c>
      <c r="H1405" s="1">
        <v>3.38</v>
      </c>
      <c r="I1405" s="1">
        <v>0</v>
      </c>
      <c r="J1405" s="4">
        <v>41121</v>
      </c>
      <c r="K1405" s="4">
        <v>41394</v>
      </c>
      <c r="L1405">
        <f t="shared" si="21"/>
        <v>3.33</v>
      </c>
    </row>
    <row r="1406" spans="1:12" x14ac:dyDescent="0.15">
      <c r="A1406" s="1">
        <v>1405</v>
      </c>
      <c r="B1406" s="4">
        <v>41120</v>
      </c>
      <c r="C1406" s="1" t="s">
        <v>20</v>
      </c>
      <c r="D1406" s="1" t="s">
        <v>30</v>
      </c>
      <c r="E1406" s="1">
        <v>0.48531250000000004</v>
      </c>
      <c r="F1406" s="1" t="s">
        <v>13</v>
      </c>
      <c r="G1406" s="1">
        <v>3.03</v>
      </c>
      <c r="H1406" s="1">
        <v>3.13</v>
      </c>
      <c r="I1406" s="1">
        <v>0</v>
      </c>
      <c r="J1406" s="4">
        <v>41121</v>
      </c>
      <c r="K1406" s="4">
        <v>44773</v>
      </c>
      <c r="L1406">
        <f t="shared" si="21"/>
        <v>3.08</v>
      </c>
    </row>
    <row r="1407" spans="1:12" x14ac:dyDescent="0.15">
      <c r="A1407" s="1">
        <v>1406</v>
      </c>
      <c r="B1407" s="4">
        <v>41120</v>
      </c>
      <c r="C1407" s="1" t="s">
        <v>18</v>
      </c>
      <c r="D1407" s="1" t="s">
        <v>15</v>
      </c>
      <c r="E1407" s="1">
        <v>0.68445601851851856</v>
      </c>
      <c r="F1407" s="1" t="s">
        <v>13</v>
      </c>
      <c r="G1407" s="1">
        <v>2.95</v>
      </c>
      <c r="H1407" s="1">
        <v>3.01</v>
      </c>
      <c r="I1407" s="1">
        <v>0</v>
      </c>
      <c r="J1407" s="4">
        <v>41121</v>
      </c>
      <c r="K1407" s="4">
        <v>41851</v>
      </c>
      <c r="L1407">
        <f t="shared" si="21"/>
        <v>2.98</v>
      </c>
    </row>
    <row r="1408" spans="1:12" x14ac:dyDescent="0.15">
      <c r="A1408" s="1">
        <v>1407</v>
      </c>
      <c r="B1408" s="4">
        <v>41120</v>
      </c>
      <c r="C1408" s="1" t="s">
        <v>14</v>
      </c>
      <c r="D1408" s="1" t="s">
        <v>15</v>
      </c>
      <c r="E1408" s="1">
        <v>0.68445601851851856</v>
      </c>
      <c r="F1408" s="1" t="s">
        <v>13</v>
      </c>
      <c r="G1408" s="1">
        <v>3.14</v>
      </c>
      <c r="H1408" s="1">
        <v>3.2</v>
      </c>
      <c r="I1408" s="1">
        <v>0</v>
      </c>
      <c r="J1408" s="4">
        <v>41121</v>
      </c>
      <c r="K1408" s="4">
        <v>41486</v>
      </c>
      <c r="L1408">
        <f t="shared" si="21"/>
        <v>3.17</v>
      </c>
    </row>
    <row r="1409" spans="1:12" x14ac:dyDescent="0.15">
      <c r="A1409" s="1">
        <v>1408</v>
      </c>
      <c r="B1409" s="4">
        <v>41120</v>
      </c>
      <c r="C1409" s="1" t="s">
        <v>19</v>
      </c>
      <c r="D1409" s="1" t="s">
        <v>15</v>
      </c>
      <c r="E1409" s="1">
        <v>0.68445601851851856</v>
      </c>
      <c r="F1409" s="1" t="s">
        <v>13</v>
      </c>
      <c r="G1409" s="1">
        <v>3.28</v>
      </c>
      <c r="H1409" s="1">
        <v>3.34</v>
      </c>
      <c r="I1409" s="1">
        <v>0</v>
      </c>
      <c r="J1409" s="4">
        <v>41121</v>
      </c>
      <c r="K1409" s="4">
        <v>41394</v>
      </c>
      <c r="L1409">
        <f t="shared" si="21"/>
        <v>3.3099999999999996</v>
      </c>
    </row>
    <row r="1410" spans="1:12" x14ac:dyDescent="0.15">
      <c r="A1410" s="1">
        <v>1409</v>
      </c>
      <c r="B1410" s="4">
        <v>41120</v>
      </c>
      <c r="C1410" s="1" t="s">
        <v>21</v>
      </c>
      <c r="D1410" s="1" t="s">
        <v>15</v>
      </c>
      <c r="E1410" s="1">
        <v>0.68445601851851856</v>
      </c>
      <c r="F1410" s="1" t="s">
        <v>13</v>
      </c>
      <c r="G1410" s="1">
        <v>3</v>
      </c>
      <c r="H1410" s="1">
        <v>3.06</v>
      </c>
      <c r="I1410" s="1">
        <v>0</v>
      </c>
      <c r="J1410" s="4">
        <v>41121</v>
      </c>
      <c r="K1410" s="4">
        <v>43677</v>
      </c>
      <c r="L1410">
        <f t="shared" si="21"/>
        <v>3.0300000000000002</v>
      </c>
    </row>
    <row r="1411" spans="1:12" x14ac:dyDescent="0.15">
      <c r="A1411" s="1">
        <v>1410</v>
      </c>
      <c r="B1411" s="4">
        <v>41120</v>
      </c>
      <c r="C1411" s="1" t="s">
        <v>11</v>
      </c>
      <c r="D1411" s="1" t="s">
        <v>15</v>
      </c>
      <c r="E1411" s="1">
        <v>0.68445601851851856</v>
      </c>
      <c r="F1411" s="1" t="s">
        <v>13</v>
      </c>
      <c r="G1411" s="1">
        <v>2.92</v>
      </c>
      <c r="H1411" s="1">
        <v>2.98</v>
      </c>
      <c r="I1411" s="1">
        <v>0</v>
      </c>
      <c r="J1411" s="4">
        <v>41121</v>
      </c>
      <c r="K1411" s="4">
        <v>42216</v>
      </c>
      <c r="L1411">
        <f t="shared" ref="L1411:L1474" si="22">AVERAGE(G1411:H1411)</f>
        <v>2.95</v>
      </c>
    </row>
    <row r="1412" spans="1:12" x14ac:dyDescent="0.15">
      <c r="A1412" s="1">
        <v>1411</v>
      </c>
      <c r="B1412" s="4">
        <v>41120</v>
      </c>
      <c r="C1412" s="1" t="s">
        <v>22</v>
      </c>
      <c r="D1412" s="1" t="s">
        <v>15</v>
      </c>
      <c r="E1412" s="1">
        <v>0.68444444444444441</v>
      </c>
      <c r="F1412" s="1" t="s">
        <v>13</v>
      </c>
      <c r="G1412" s="1">
        <v>3.49</v>
      </c>
      <c r="H1412" s="1">
        <v>3.55</v>
      </c>
      <c r="I1412" s="1">
        <v>0</v>
      </c>
      <c r="J1412" s="4">
        <v>41121</v>
      </c>
      <c r="K1412" s="4">
        <v>41305</v>
      </c>
      <c r="L1412">
        <f t="shared" si="22"/>
        <v>3.52</v>
      </c>
    </row>
    <row r="1413" spans="1:12" x14ac:dyDescent="0.15">
      <c r="A1413" s="1">
        <v>1412</v>
      </c>
      <c r="B1413" s="4">
        <v>41120</v>
      </c>
      <c r="C1413" s="1" t="s">
        <v>16</v>
      </c>
      <c r="D1413" s="1" t="s">
        <v>26</v>
      </c>
      <c r="E1413" s="1">
        <v>0.67381944444444442</v>
      </c>
      <c r="F1413" s="1" t="s">
        <v>13</v>
      </c>
      <c r="G1413" s="1">
        <v>2.95</v>
      </c>
      <c r="H1413" s="1">
        <v>3.02</v>
      </c>
      <c r="I1413" s="1">
        <v>0</v>
      </c>
      <c r="J1413" s="4">
        <v>41121</v>
      </c>
      <c r="K1413" s="4">
        <v>42582</v>
      </c>
      <c r="L1413">
        <f t="shared" si="22"/>
        <v>2.9850000000000003</v>
      </c>
    </row>
    <row r="1414" spans="1:12" x14ac:dyDescent="0.15">
      <c r="A1414" s="1">
        <v>1413</v>
      </c>
      <c r="B1414" s="4">
        <v>41120</v>
      </c>
      <c r="C1414" s="1" t="s">
        <v>16</v>
      </c>
      <c r="D1414" s="1" t="s">
        <v>15</v>
      </c>
      <c r="E1414" s="1">
        <v>0.68445601851851856</v>
      </c>
      <c r="F1414" s="1" t="s">
        <v>13</v>
      </c>
      <c r="G1414" s="1">
        <v>2.91</v>
      </c>
      <c r="H1414" s="1">
        <v>2.97</v>
      </c>
      <c r="I1414" s="1">
        <v>0</v>
      </c>
      <c r="J1414" s="4">
        <v>41121</v>
      </c>
      <c r="K1414" s="4">
        <v>42582</v>
      </c>
      <c r="L1414">
        <f t="shared" si="22"/>
        <v>2.9400000000000004</v>
      </c>
    </row>
    <row r="1415" spans="1:12" x14ac:dyDescent="0.15">
      <c r="A1415" s="1">
        <v>1414</v>
      </c>
      <c r="B1415" s="4">
        <v>41120</v>
      </c>
      <c r="C1415" s="1" t="s">
        <v>25</v>
      </c>
      <c r="D1415" s="1" t="s">
        <v>15</v>
      </c>
      <c r="E1415" s="1">
        <v>0.68445601851851856</v>
      </c>
      <c r="F1415" s="1" t="s">
        <v>13</v>
      </c>
      <c r="G1415" s="1">
        <v>2.93</v>
      </c>
      <c r="H1415" s="1">
        <v>2.99</v>
      </c>
      <c r="I1415" s="1">
        <v>0</v>
      </c>
      <c r="J1415" s="4">
        <v>41121</v>
      </c>
      <c r="K1415" s="4">
        <v>42947</v>
      </c>
      <c r="L1415">
        <f t="shared" si="22"/>
        <v>2.96</v>
      </c>
    </row>
    <row r="1416" spans="1:12" x14ac:dyDescent="0.15">
      <c r="A1416" s="1">
        <v>1415</v>
      </c>
      <c r="B1416" s="4">
        <v>41120</v>
      </c>
      <c r="C1416" s="1" t="s">
        <v>20</v>
      </c>
      <c r="D1416" s="1" t="s">
        <v>15</v>
      </c>
      <c r="E1416" s="1">
        <v>0.68445601851851856</v>
      </c>
      <c r="F1416" s="1" t="s">
        <v>13</v>
      </c>
      <c r="G1416" s="1">
        <v>3.05</v>
      </c>
      <c r="H1416" s="1">
        <v>3.11</v>
      </c>
      <c r="I1416" s="1">
        <v>0</v>
      </c>
      <c r="J1416" s="4">
        <v>41121</v>
      </c>
      <c r="K1416" s="4">
        <v>44773</v>
      </c>
      <c r="L1416">
        <f t="shared" si="22"/>
        <v>3.08</v>
      </c>
    </row>
    <row r="1417" spans="1:12" x14ac:dyDescent="0.15">
      <c r="A1417" s="1">
        <v>1416</v>
      </c>
      <c r="B1417" s="4">
        <v>41120</v>
      </c>
      <c r="C1417" s="1" t="s">
        <v>18</v>
      </c>
      <c r="D1417" s="1" t="s">
        <v>26</v>
      </c>
      <c r="E1417" s="1">
        <v>0.68562499999999993</v>
      </c>
      <c r="F1417" s="1" t="s">
        <v>13</v>
      </c>
      <c r="G1417" s="1">
        <v>2.95</v>
      </c>
      <c r="H1417" s="1">
        <v>3.05</v>
      </c>
      <c r="I1417" s="1">
        <v>0</v>
      </c>
      <c r="J1417" s="4">
        <v>41121</v>
      </c>
      <c r="K1417" s="4">
        <v>41851</v>
      </c>
      <c r="L1417">
        <f t="shared" si="22"/>
        <v>3</v>
      </c>
    </row>
    <row r="1418" spans="1:12" x14ac:dyDescent="0.15">
      <c r="A1418" s="1">
        <v>1417</v>
      </c>
      <c r="B1418" s="4">
        <v>41120</v>
      </c>
      <c r="C1418" s="1" t="s">
        <v>20</v>
      </c>
      <c r="D1418" s="1" t="s">
        <v>26</v>
      </c>
      <c r="E1418" s="1">
        <v>0.68562499999999993</v>
      </c>
      <c r="F1418" s="1" t="s">
        <v>13</v>
      </c>
      <c r="G1418" s="1">
        <v>2.95</v>
      </c>
      <c r="H1418" s="1">
        <v>3.02</v>
      </c>
      <c r="I1418" s="1">
        <v>0</v>
      </c>
      <c r="J1418" s="4">
        <v>41121</v>
      </c>
      <c r="K1418" s="4">
        <v>44773</v>
      </c>
      <c r="L1418">
        <f t="shared" si="22"/>
        <v>2.9850000000000003</v>
      </c>
    </row>
    <row r="1419" spans="1:12" x14ac:dyDescent="0.15">
      <c r="A1419" s="1">
        <v>1418</v>
      </c>
      <c r="B1419" s="4">
        <v>41120</v>
      </c>
      <c r="C1419" s="1" t="s">
        <v>11</v>
      </c>
      <c r="D1419" s="1" t="s">
        <v>26</v>
      </c>
      <c r="E1419" s="1">
        <v>0.68563657407407408</v>
      </c>
      <c r="F1419" s="1" t="s">
        <v>13</v>
      </c>
      <c r="G1419" s="1">
        <v>2.95</v>
      </c>
      <c r="H1419" s="1">
        <v>3.02</v>
      </c>
      <c r="I1419" s="1">
        <v>0</v>
      </c>
      <c r="J1419" s="4">
        <v>41121</v>
      </c>
      <c r="K1419" s="4">
        <v>42216</v>
      </c>
      <c r="L1419">
        <f t="shared" si="22"/>
        <v>2.9850000000000003</v>
      </c>
    </row>
    <row r="1420" spans="1:12" x14ac:dyDescent="0.15">
      <c r="A1420" s="1">
        <v>1419</v>
      </c>
      <c r="B1420" s="4">
        <v>41120</v>
      </c>
      <c r="C1420" s="1" t="s">
        <v>21</v>
      </c>
      <c r="D1420" s="1" t="s">
        <v>26</v>
      </c>
      <c r="E1420" s="1">
        <v>0.68562499999999993</v>
      </c>
      <c r="F1420" s="1" t="s">
        <v>13</v>
      </c>
      <c r="G1420" s="1">
        <v>2.95</v>
      </c>
      <c r="H1420" s="1">
        <v>3.02</v>
      </c>
      <c r="I1420" s="1">
        <v>0</v>
      </c>
      <c r="J1420" s="4">
        <v>41121</v>
      </c>
      <c r="K1420" s="4">
        <v>43677</v>
      </c>
      <c r="L1420">
        <f t="shared" si="22"/>
        <v>2.9850000000000003</v>
      </c>
    </row>
    <row r="1421" spans="1:12" x14ac:dyDescent="0.15">
      <c r="A1421" s="1">
        <v>1420</v>
      </c>
      <c r="B1421" s="4">
        <v>41120</v>
      </c>
      <c r="C1421" s="1" t="s">
        <v>14</v>
      </c>
      <c r="D1421" s="1" t="s">
        <v>26</v>
      </c>
      <c r="E1421" s="1">
        <v>0.68562499999999993</v>
      </c>
      <c r="F1421" s="1" t="s">
        <v>13</v>
      </c>
      <c r="G1421" s="1">
        <v>3.12</v>
      </c>
      <c r="H1421" s="1">
        <v>3.17</v>
      </c>
      <c r="I1421" s="1">
        <v>0</v>
      </c>
      <c r="J1421" s="4">
        <v>41121</v>
      </c>
      <c r="K1421" s="4">
        <v>41486</v>
      </c>
      <c r="L1421">
        <f t="shared" si="22"/>
        <v>3.145</v>
      </c>
    </row>
    <row r="1422" spans="1:12" x14ac:dyDescent="0.15">
      <c r="A1422" s="1">
        <v>1421</v>
      </c>
      <c r="B1422" s="4">
        <v>41120</v>
      </c>
      <c r="C1422" s="1" t="s">
        <v>19</v>
      </c>
      <c r="D1422" s="1" t="s">
        <v>26</v>
      </c>
      <c r="E1422" s="1">
        <v>0.68562499999999993</v>
      </c>
      <c r="F1422" s="1" t="s">
        <v>13</v>
      </c>
      <c r="G1422" s="1">
        <v>3.2</v>
      </c>
      <c r="H1422" s="1">
        <v>3.28</v>
      </c>
      <c r="I1422" s="1">
        <v>0</v>
      </c>
      <c r="J1422" s="4">
        <v>41121</v>
      </c>
      <c r="K1422" s="4">
        <v>41394</v>
      </c>
      <c r="L1422">
        <f t="shared" si="22"/>
        <v>3.24</v>
      </c>
    </row>
    <row r="1423" spans="1:12" x14ac:dyDescent="0.15">
      <c r="A1423" s="1">
        <v>1422</v>
      </c>
      <c r="B1423" s="4">
        <v>41120</v>
      </c>
      <c r="C1423" s="1" t="s">
        <v>22</v>
      </c>
      <c r="D1423" s="1" t="s">
        <v>26</v>
      </c>
      <c r="E1423" s="1">
        <v>0.685613425925926</v>
      </c>
      <c r="F1423" s="1" t="s">
        <v>13</v>
      </c>
      <c r="G1423" s="1">
        <v>3.45</v>
      </c>
      <c r="H1423" s="1">
        <v>3.5</v>
      </c>
      <c r="I1423" s="1">
        <v>0</v>
      </c>
      <c r="J1423" s="4">
        <v>41121</v>
      </c>
      <c r="K1423" s="4">
        <v>41305</v>
      </c>
      <c r="L1423">
        <f t="shared" si="22"/>
        <v>3.4750000000000001</v>
      </c>
    </row>
    <row r="1424" spans="1:12" x14ac:dyDescent="0.15">
      <c r="A1424" s="1">
        <v>1423</v>
      </c>
      <c r="B1424" s="4">
        <v>41120</v>
      </c>
      <c r="C1424" s="1" t="s">
        <v>16</v>
      </c>
      <c r="D1424" s="1" t="s">
        <v>26</v>
      </c>
      <c r="E1424" s="1">
        <v>0.68562499999999993</v>
      </c>
      <c r="F1424" s="1" t="s">
        <v>13</v>
      </c>
      <c r="G1424" s="1">
        <v>2.95</v>
      </c>
      <c r="H1424" s="1">
        <v>3.02</v>
      </c>
      <c r="I1424" s="1">
        <v>0</v>
      </c>
      <c r="J1424" s="4">
        <v>41121</v>
      </c>
      <c r="K1424" s="4">
        <v>42582</v>
      </c>
      <c r="L1424">
        <f t="shared" si="22"/>
        <v>2.9850000000000003</v>
      </c>
    </row>
    <row r="1425" spans="1:12" x14ac:dyDescent="0.15">
      <c r="A1425" s="1">
        <v>1424</v>
      </c>
      <c r="B1425" s="4">
        <v>41120</v>
      </c>
      <c r="C1425" s="1" t="s">
        <v>25</v>
      </c>
      <c r="D1425" s="1" t="s">
        <v>26</v>
      </c>
      <c r="E1425" s="1">
        <v>0.68562499999999993</v>
      </c>
      <c r="F1425" s="1" t="s">
        <v>13</v>
      </c>
      <c r="G1425" s="1">
        <v>2.95</v>
      </c>
      <c r="H1425" s="1">
        <v>3.02</v>
      </c>
      <c r="I1425" s="1">
        <v>0</v>
      </c>
      <c r="J1425" s="4">
        <v>41121</v>
      </c>
      <c r="K1425" s="4">
        <v>42947</v>
      </c>
      <c r="L1425">
        <f t="shared" si="22"/>
        <v>2.9850000000000003</v>
      </c>
    </row>
    <row r="1426" spans="1:12" x14ac:dyDescent="0.15">
      <c r="A1426" s="1">
        <v>1425</v>
      </c>
      <c r="B1426" s="4">
        <v>41120</v>
      </c>
      <c r="C1426" s="1" t="s">
        <v>25</v>
      </c>
      <c r="D1426" s="1" t="s">
        <v>26</v>
      </c>
      <c r="E1426" s="1">
        <v>0.67381944444444442</v>
      </c>
      <c r="F1426" s="1" t="s">
        <v>13</v>
      </c>
      <c r="G1426" s="1">
        <v>2.95</v>
      </c>
      <c r="H1426" s="1">
        <v>3.02</v>
      </c>
      <c r="I1426" s="1">
        <v>0</v>
      </c>
      <c r="J1426" s="4">
        <v>41121</v>
      </c>
      <c r="K1426" s="4">
        <v>42947</v>
      </c>
      <c r="L1426">
        <f t="shared" si="22"/>
        <v>2.9850000000000003</v>
      </c>
    </row>
    <row r="1427" spans="1:12" x14ac:dyDescent="0.15">
      <c r="A1427" s="1">
        <v>1426</v>
      </c>
      <c r="B1427" s="4">
        <v>41120</v>
      </c>
      <c r="C1427" s="1" t="s">
        <v>25</v>
      </c>
      <c r="D1427" s="1" t="s">
        <v>27</v>
      </c>
      <c r="E1427" s="1">
        <v>0.67039351851851858</v>
      </c>
      <c r="F1427" s="1" t="s">
        <v>13</v>
      </c>
      <c r="G1427" s="1">
        <v>2.93</v>
      </c>
      <c r="H1427" s="1">
        <v>2.98</v>
      </c>
      <c r="I1427" s="1">
        <v>0</v>
      </c>
      <c r="J1427" s="4">
        <v>41121</v>
      </c>
      <c r="K1427" s="4">
        <v>42947</v>
      </c>
      <c r="L1427">
        <f t="shared" si="22"/>
        <v>2.9550000000000001</v>
      </c>
    </row>
    <row r="1428" spans="1:12" x14ac:dyDescent="0.15">
      <c r="A1428" s="1">
        <v>1427</v>
      </c>
      <c r="B1428" s="4">
        <v>41120</v>
      </c>
      <c r="C1428" s="1" t="s">
        <v>11</v>
      </c>
      <c r="D1428" s="1" t="s">
        <v>26</v>
      </c>
      <c r="E1428" s="1">
        <v>0.49351851851851852</v>
      </c>
      <c r="F1428" s="1" t="s">
        <v>13</v>
      </c>
      <c r="G1428" s="1">
        <v>2.95</v>
      </c>
      <c r="H1428" s="1">
        <v>3.02</v>
      </c>
      <c r="I1428" s="1">
        <v>0</v>
      </c>
      <c r="J1428" s="4">
        <v>41121</v>
      </c>
      <c r="K1428" s="4">
        <v>42216</v>
      </c>
      <c r="L1428">
        <f t="shared" si="22"/>
        <v>2.9850000000000003</v>
      </c>
    </row>
    <row r="1429" spans="1:12" x14ac:dyDescent="0.15">
      <c r="A1429" s="1">
        <v>1428</v>
      </c>
      <c r="B1429" s="4">
        <v>41120</v>
      </c>
      <c r="C1429" s="1" t="s">
        <v>16</v>
      </c>
      <c r="D1429" s="1" t="s">
        <v>27</v>
      </c>
      <c r="E1429" s="1">
        <v>0.67039351851851858</v>
      </c>
      <c r="F1429" s="1" t="s">
        <v>13</v>
      </c>
      <c r="G1429" s="1">
        <v>2.9</v>
      </c>
      <c r="H1429" s="1">
        <v>2.96</v>
      </c>
      <c r="I1429" s="1">
        <v>0</v>
      </c>
      <c r="J1429" s="4">
        <v>41121</v>
      </c>
      <c r="K1429" s="4">
        <v>42582</v>
      </c>
      <c r="L1429">
        <f t="shared" si="22"/>
        <v>2.9299999999999997</v>
      </c>
    </row>
    <row r="1430" spans="1:12" x14ac:dyDescent="0.15">
      <c r="A1430" s="1">
        <v>1429</v>
      </c>
      <c r="B1430" s="4">
        <v>41120</v>
      </c>
      <c r="C1430" s="1" t="s">
        <v>19</v>
      </c>
      <c r="D1430" s="1" t="s">
        <v>27</v>
      </c>
      <c r="E1430" s="1">
        <v>0.67039351851851858</v>
      </c>
      <c r="F1430" s="1" t="s">
        <v>13</v>
      </c>
      <c r="G1430" s="1">
        <v>3.25</v>
      </c>
      <c r="H1430" s="1">
        <v>3.35</v>
      </c>
      <c r="I1430" s="1">
        <v>0</v>
      </c>
      <c r="J1430" s="4">
        <v>41121</v>
      </c>
      <c r="K1430" s="4">
        <v>41394</v>
      </c>
      <c r="L1430">
        <f t="shared" si="22"/>
        <v>3.3</v>
      </c>
    </row>
    <row r="1431" spans="1:12" x14ac:dyDescent="0.15">
      <c r="A1431" s="1">
        <v>1430</v>
      </c>
      <c r="B1431" s="4">
        <v>41120</v>
      </c>
      <c r="C1431" s="1" t="s">
        <v>16</v>
      </c>
      <c r="D1431" s="1" t="s">
        <v>26</v>
      </c>
      <c r="E1431" s="1">
        <v>0.49350694444444443</v>
      </c>
      <c r="F1431" s="1" t="s">
        <v>13</v>
      </c>
      <c r="G1431" s="1">
        <v>2.95</v>
      </c>
      <c r="H1431" s="1">
        <v>3.02</v>
      </c>
      <c r="I1431" s="1">
        <v>0</v>
      </c>
      <c r="J1431" s="4">
        <v>41121</v>
      </c>
      <c r="K1431" s="4">
        <v>42582</v>
      </c>
      <c r="L1431">
        <f t="shared" si="22"/>
        <v>2.9850000000000003</v>
      </c>
    </row>
    <row r="1432" spans="1:12" x14ac:dyDescent="0.15">
      <c r="A1432" s="1">
        <v>1431</v>
      </c>
      <c r="B1432" s="4">
        <v>41120</v>
      </c>
      <c r="C1432" s="1" t="s">
        <v>21</v>
      </c>
      <c r="D1432" s="1" t="s">
        <v>26</v>
      </c>
      <c r="E1432" s="1">
        <v>0.49349537037037039</v>
      </c>
      <c r="F1432" s="1" t="s">
        <v>13</v>
      </c>
      <c r="G1432" s="1">
        <v>2.95</v>
      </c>
      <c r="H1432" s="1">
        <v>3.02</v>
      </c>
      <c r="I1432" s="1">
        <v>0</v>
      </c>
      <c r="J1432" s="4">
        <v>41121</v>
      </c>
      <c r="K1432" s="4">
        <v>43677</v>
      </c>
      <c r="L1432">
        <f t="shared" si="22"/>
        <v>2.9850000000000003</v>
      </c>
    </row>
    <row r="1433" spans="1:12" x14ac:dyDescent="0.15">
      <c r="A1433" s="1">
        <v>1432</v>
      </c>
      <c r="B1433" s="4">
        <v>41120</v>
      </c>
      <c r="C1433" s="1" t="s">
        <v>18</v>
      </c>
      <c r="D1433" s="1" t="s">
        <v>26</v>
      </c>
      <c r="E1433" s="1">
        <v>0.49347222222222226</v>
      </c>
      <c r="F1433" s="1" t="s">
        <v>13</v>
      </c>
      <c r="G1433" s="1">
        <v>2.95</v>
      </c>
      <c r="H1433" s="1">
        <v>3.05</v>
      </c>
      <c r="I1433" s="1">
        <v>0</v>
      </c>
      <c r="J1433" s="4">
        <v>41121</v>
      </c>
      <c r="K1433" s="4">
        <v>41851</v>
      </c>
      <c r="L1433">
        <f t="shared" si="22"/>
        <v>3</v>
      </c>
    </row>
    <row r="1434" spans="1:12" x14ac:dyDescent="0.15">
      <c r="A1434" s="1">
        <v>1433</v>
      </c>
      <c r="B1434" s="4">
        <v>41120</v>
      </c>
      <c r="C1434" s="1" t="s">
        <v>25</v>
      </c>
      <c r="D1434" s="1" t="s">
        <v>26</v>
      </c>
      <c r="E1434" s="1">
        <v>0.49350694444444443</v>
      </c>
      <c r="F1434" s="1" t="s">
        <v>13</v>
      </c>
      <c r="G1434" s="1">
        <v>2.95</v>
      </c>
      <c r="H1434" s="1">
        <v>3.02</v>
      </c>
      <c r="I1434" s="1">
        <v>0</v>
      </c>
      <c r="J1434" s="4">
        <v>41121</v>
      </c>
      <c r="K1434" s="4">
        <v>42947</v>
      </c>
      <c r="L1434">
        <f t="shared" si="22"/>
        <v>2.9850000000000003</v>
      </c>
    </row>
    <row r="1435" spans="1:12" x14ac:dyDescent="0.15">
      <c r="A1435" s="1">
        <v>1434</v>
      </c>
      <c r="B1435" s="4">
        <v>41120</v>
      </c>
      <c r="C1435" s="1" t="s">
        <v>19</v>
      </c>
      <c r="D1435" s="1" t="s">
        <v>26</v>
      </c>
      <c r="E1435" s="1">
        <v>0.49350694444444443</v>
      </c>
      <c r="F1435" s="1" t="s">
        <v>13</v>
      </c>
      <c r="G1435" s="1">
        <v>3.2</v>
      </c>
      <c r="H1435" s="1">
        <v>3.28</v>
      </c>
      <c r="I1435" s="1">
        <v>0</v>
      </c>
      <c r="J1435" s="4">
        <v>41121</v>
      </c>
      <c r="K1435" s="4">
        <v>41394</v>
      </c>
      <c r="L1435">
        <f t="shared" si="22"/>
        <v>3.24</v>
      </c>
    </row>
    <row r="1436" spans="1:12" x14ac:dyDescent="0.15">
      <c r="A1436" s="1">
        <v>1435</v>
      </c>
      <c r="B1436" s="4">
        <v>41120</v>
      </c>
      <c r="C1436" s="1" t="s">
        <v>18</v>
      </c>
      <c r="D1436" s="1" t="s">
        <v>27</v>
      </c>
      <c r="E1436" s="1">
        <v>0.67040509259259251</v>
      </c>
      <c r="F1436" s="1" t="s">
        <v>13</v>
      </c>
      <c r="G1436" s="1">
        <v>2.96</v>
      </c>
      <c r="H1436" s="1">
        <v>3.01</v>
      </c>
      <c r="I1436" s="1">
        <v>0</v>
      </c>
      <c r="J1436" s="4">
        <v>41121</v>
      </c>
      <c r="K1436" s="4">
        <v>41851</v>
      </c>
      <c r="L1436">
        <f t="shared" si="22"/>
        <v>2.9849999999999999</v>
      </c>
    </row>
    <row r="1437" spans="1:12" x14ac:dyDescent="0.15">
      <c r="A1437" s="1">
        <v>1436</v>
      </c>
      <c r="B1437" s="4">
        <v>41120</v>
      </c>
      <c r="C1437" s="1" t="s">
        <v>19</v>
      </c>
      <c r="D1437" s="1" t="s">
        <v>26</v>
      </c>
      <c r="E1437" s="1">
        <v>0.67380787037037038</v>
      </c>
      <c r="F1437" s="1" t="s">
        <v>13</v>
      </c>
      <c r="G1437" s="1">
        <v>3.2</v>
      </c>
      <c r="H1437" s="1">
        <v>3.28</v>
      </c>
      <c r="I1437" s="1">
        <v>0</v>
      </c>
      <c r="J1437" s="4">
        <v>41121</v>
      </c>
      <c r="K1437" s="4">
        <v>41394</v>
      </c>
      <c r="L1437">
        <f t="shared" si="22"/>
        <v>3.24</v>
      </c>
    </row>
    <row r="1438" spans="1:12" x14ac:dyDescent="0.15">
      <c r="A1438" s="1">
        <v>1437</v>
      </c>
      <c r="B1438" s="4">
        <v>41120</v>
      </c>
      <c r="C1438" s="1" t="s">
        <v>21</v>
      </c>
      <c r="D1438" s="1" t="s">
        <v>26</v>
      </c>
      <c r="E1438" s="1">
        <v>0.67380787037037038</v>
      </c>
      <c r="F1438" s="1" t="s">
        <v>13</v>
      </c>
      <c r="G1438" s="1">
        <v>2.95</v>
      </c>
      <c r="H1438" s="1">
        <v>3.02</v>
      </c>
      <c r="I1438" s="1">
        <v>0</v>
      </c>
      <c r="J1438" s="4">
        <v>41121</v>
      </c>
      <c r="K1438" s="4">
        <v>43677</v>
      </c>
      <c r="L1438">
        <f t="shared" si="22"/>
        <v>2.9850000000000003</v>
      </c>
    </row>
    <row r="1439" spans="1:12" x14ac:dyDescent="0.15">
      <c r="A1439" s="1">
        <v>1438</v>
      </c>
      <c r="B1439" s="4">
        <v>41120</v>
      </c>
      <c r="C1439" s="1" t="s">
        <v>11</v>
      </c>
      <c r="D1439" s="1" t="s">
        <v>26</v>
      </c>
      <c r="E1439" s="1">
        <v>0.67381944444444442</v>
      </c>
      <c r="F1439" s="1" t="s">
        <v>13</v>
      </c>
      <c r="G1439" s="1">
        <v>2.95</v>
      </c>
      <c r="H1439" s="1">
        <v>3.02</v>
      </c>
      <c r="I1439" s="1">
        <v>0</v>
      </c>
      <c r="J1439" s="4">
        <v>41121</v>
      </c>
      <c r="K1439" s="4">
        <v>42216</v>
      </c>
      <c r="L1439">
        <f t="shared" si="22"/>
        <v>2.9850000000000003</v>
      </c>
    </row>
    <row r="1440" spans="1:12" x14ac:dyDescent="0.15">
      <c r="A1440" s="1">
        <v>1439</v>
      </c>
      <c r="B1440" s="4">
        <v>41120</v>
      </c>
      <c r="C1440" s="1" t="s">
        <v>18</v>
      </c>
      <c r="D1440" s="1" t="s">
        <v>26</v>
      </c>
      <c r="E1440" s="1">
        <v>0.67380787037037038</v>
      </c>
      <c r="F1440" s="1" t="s">
        <v>13</v>
      </c>
      <c r="G1440" s="1">
        <v>2.95</v>
      </c>
      <c r="H1440" s="1">
        <v>3.05</v>
      </c>
      <c r="I1440" s="1">
        <v>0</v>
      </c>
      <c r="J1440" s="4">
        <v>41121</v>
      </c>
      <c r="K1440" s="4">
        <v>41851</v>
      </c>
      <c r="L1440">
        <f t="shared" si="22"/>
        <v>3</v>
      </c>
    </row>
    <row r="1441" spans="1:12" x14ac:dyDescent="0.15">
      <c r="A1441" s="1">
        <v>1440</v>
      </c>
      <c r="B1441" s="4">
        <v>41120</v>
      </c>
      <c r="C1441" s="1" t="s">
        <v>20</v>
      </c>
      <c r="D1441" s="1" t="s">
        <v>26</v>
      </c>
      <c r="E1441" s="1">
        <v>0.67379629629629623</v>
      </c>
      <c r="F1441" s="1" t="s">
        <v>13</v>
      </c>
      <c r="G1441" s="1">
        <v>2.95</v>
      </c>
      <c r="H1441" s="1">
        <v>3.02</v>
      </c>
      <c r="I1441" s="1">
        <v>0</v>
      </c>
      <c r="J1441" s="4">
        <v>41121</v>
      </c>
      <c r="K1441" s="4">
        <v>44773</v>
      </c>
      <c r="L1441">
        <f t="shared" si="22"/>
        <v>2.9850000000000003</v>
      </c>
    </row>
    <row r="1442" spans="1:12" x14ac:dyDescent="0.15">
      <c r="A1442" s="1">
        <v>1441</v>
      </c>
      <c r="B1442" s="4">
        <v>41120</v>
      </c>
      <c r="C1442" s="1" t="s">
        <v>11</v>
      </c>
      <c r="D1442" s="1" t="s">
        <v>27</v>
      </c>
      <c r="E1442" s="1">
        <v>0.67041666666666666</v>
      </c>
      <c r="F1442" s="1" t="s">
        <v>13</v>
      </c>
      <c r="G1442" s="1">
        <v>2.88</v>
      </c>
      <c r="H1442" s="1">
        <v>2.95</v>
      </c>
      <c r="I1442" s="1">
        <v>0</v>
      </c>
      <c r="J1442" s="4">
        <v>41121</v>
      </c>
      <c r="K1442" s="4">
        <v>42216</v>
      </c>
      <c r="L1442">
        <f t="shared" si="22"/>
        <v>2.915</v>
      </c>
    </row>
    <row r="1443" spans="1:12" x14ac:dyDescent="0.15">
      <c r="A1443" s="1">
        <v>1442</v>
      </c>
      <c r="B1443" s="4">
        <v>41120</v>
      </c>
      <c r="C1443" s="1" t="s">
        <v>22</v>
      </c>
      <c r="D1443" s="1" t="s">
        <v>27</v>
      </c>
      <c r="E1443" s="1">
        <v>0.67040509259259251</v>
      </c>
      <c r="F1443" s="1" t="s">
        <v>13</v>
      </c>
      <c r="G1443" s="1">
        <v>3.48</v>
      </c>
      <c r="H1443" s="1">
        <v>3.58</v>
      </c>
      <c r="I1443" s="1">
        <v>0</v>
      </c>
      <c r="J1443" s="4">
        <v>41121</v>
      </c>
      <c r="K1443" s="4">
        <v>41305</v>
      </c>
      <c r="L1443">
        <f t="shared" si="22"/>
        <v>3.5300000000000002</v>
      </c>
    </row>
    <row r="1444" spans="1:12" x14ac:dyDescent="0.15">
      <c r="A1444" s="1">
        <v>1443</v>
      </c>
      <c r="B1444" s="4">
        <v>41120</v>
      </c>
      <c r="C1444" s="1" t="s">
        <v>14</v>
      </c>
      <c r="D1444" s="1" t="s">
        <v>26</v>
      </c>
      <c r="E1444" s="1">
        <v>0.67379629629629623</v>
      </c>
      <c r="F1444" s="1" t="s">
        <v>13</v>
      </c>
      <c r="G1444" s="1">
        <v>3.12</v>
      </c>
      <c r="H1444" s="1">
        <v>3.17</v>
      </c>
      <c r="I1444" s="1">
        <v>0</v>
      </c>
      <c r="J1444" s="4">
        <v>41121</v>
      </c>
      <c r="K1444" s="4">
        <v>41486</v>
      </c>
      <c r="L1444">
        <f t="shared" si="22"/>
        <v>3.145</v>
      </c>
    </row>
    <row r="1445" spans="1:12" x14ac:dyDescent="0.15">
      <c r="A1445" s="1">
        <v>1444</v>
      </c>
      <c r="B1445" s="4">
        <v>41120</v>
      </c>
      <c r="C1445" s="1" t="s">
        <v>22</v>
      </c>
      <c r="D1445" s="1" t="s">
        <v>26</v>
      </c>
      <c r="E1445" s="1">
        <v>0.67377314814814815</v>
      </c>
      <c r="F1445" s="1" t="s">
        <v>13</v>
      </c>
      <c r="G1445" s="1">
        <v>3.45</v>
      </c>
      <c r="H1445" s="1">
        <v>3.5</v>
      </c>
      <c r="I1445" s="1">
        <v>0</v>
      </c>
      <c r="J1445" s="4">
        <v>41121</v>
      </c>
      <c r="K1445" s="4">
        <v>41305</v>
      </c>
      <c r="L1445">
        <f t="shared" si="22"/>
        <v>3.4750000000000001</v>
      </c>
    </row>
    <row r="1446" spans="1:12" x14ac:dyDescent="0.15">
      <c r="A1446" s="1">
        <v>1445</v>
      </c>
      <c r="B1446" s="4">
        <v>41117</v>
      </c>
      <c r="C1446" s="1" t="s">
        <v>20</v>
      </c>
      <c r="D1446" s="1" t="s">
        <v>15</v>
      </c>
      <c r="E1446" s="1">
        <v>0.68406250000000002</v>
      </c>
      <c r="F1446" s="1" t="s">
        <v>13</v>
      </c>
      <c r="G1446" s="1">
        <v>3.06</v>
      </c>
      <c r="H1446" s="1">
        <v>3.12</v>
      </c>
      <c r="I1446" s="1">
        <v>0</v>
      </c>
      <c r="J1446" s="4">
        <v>41118</v>
      </c>
      <c r="K1446" s="4">
        <v>44770</v>
      </c>
      <c r="L1446">
        <f t="shared" si="22"/>
        <v>3.09</v>
      </c>
    </row>
    <row r="1447" spans="1:12" x14ac:dyDescent="0.15">
      <c r="A1447" s="1">
        <v>1446</v>
      </c>
      <c r="B1447" s="4">
        <v>41117</v>
      </c>
      <c r="C1447" s="1" t="s">
        <v>25</v>
      </c>
      <c r="D1447" s="1" t="s">
        <v>30</v>
      </c>
      <c r="E1447" s="1">
        <v>0.48914351851851851</v>
      </c>
      <c r="F1447" s="1" t="s">
        <v>13</v>
      </c>
      <c r="G1447" s="1">
        <v>2.89</v>
      </c>
      <c r="H1447" s="1">
        <v>2.99</v>
      </c>
      <c r="I1447" s="1">
        <v>0</v>
      </c>
      <c r="J1447" s="4">
        <v>41118</v>
      </c>
      <c r="K1447" s="4">
        <v>42944</v>
      </c>
      <c r="L1447">
        <f t="shared" si="22"/>
        <v>2.9400000000000004</v>
      </c>
    </row>
    <row r="1448" spans="1:12" x14ac:dyDescent="0.15">
      <c r="A1448" s="1">
        <v>1447</v>
      </c>
      <c r="B1448" s="4">
        <v>41117</v>
      </c>
      <c r="C1448" s="1" t="s">
        <v>16</v>
      </c>
      <c r="D1448" s="1" t="s">
        <v>30</v>
      </c>
      <c r="E1448" s="1">
        <v>0.48914351851851851</v>
      </c>
      <c r="F1448" s="1" t="s">
        <v>13</v>
      </c>
      <c r="G1448" s="1">
        <v>2.89</v>
      </c>
      <c r="H1448" s="1">
        <v>2.99</v>
      </c>
      <c r="I1448" s="1">
        <v>0</v>
      </c>
      <c r="J1448" s="4">
        <v>41118</v>
      </c>
      <c r="K1448" s="4">
        <v>42579</v>
      </c>
      <c r="L1448">
        <f t="shared" si="22"/>
        <v>2.9400000000000004</v>
      </c>
    </row>
    <row r="1449" spans="1:12" x14ac:dyDescent="0.15">
      <c r="A1449" s="1">
        <v>1448</v>
      </c>
      <c r="B1449" s="4">
        <v>41117</v>
      </c>
      <c r="C1449" s="1" t="s">
        <v>11</v>
      </c>
      <c r="D1449" s="1" t="s">
        <v>30</v>
      </c>
      <c r="E1449" s="1">
        <v>0.48914351851851851</v>
      </c>
      <c r="F1449" s="1" t="s">
        <v>13</v>
      </c>
      <c r="G1449" s="1">
        <v>2.89</v>
      </c>
      <c r="H1449" s="1">
        <v>2.99</v>
      </c>
      <c r="I1449" s="1">
        <v>0</v>
      </c>
      <c r="J1449" s="4">
        <v>41118</v>
      </c>
      <c r="K1449" s="4">
        <v>42213</v>
      </c>
      <c r="L1449">
        <f t="shared" si="22"/>
        <v>2.9400000000000004</v>
      </c>
    </row>
    <row r="1450" spans="1:12" x14ac:dyDescent="0.15">
      <c r="A1450" s="1">
        <v>1449</v>
      </c>
      <c r="B1450" s="4">
        <v>41117</v>
      </c>
      <c r="C1450" s="1" t="s">
        <v>22</v>
      </c>
      <c r="D1450" s="1" t="s">
        <v>30</v>
      </c>
      <c r="E1450" s="1">
        <v>0.48914351851851851</v>
      </c>
      <c r="F1450" s="1" t="s">
        <v>13</v>
      </c>
      <c r="G1450" s="1">
        <v>3.45</v>
      </c>
      <c r="H1450" s="1">
        <v>3.55</v>
      </c>
      <c r="I1450" s="1">
        <v>0</v>
      </c>
      <c r="J1450" s="4">
        <v>41118</v>
      </c>
      <c r="K1450" s="4">
        <v>41302</v>
      </c>
      <c r="L1450">
        <f t="shared" si="22"/>
        <v>3.5</v>
      </c>
    </row>
    <row r="1451" spans="1:12" x14ac:dyDescent="0.15">
      <c r="A1451" s="1">
        <v>1450</v>
      </c>
      <c r="B1451" s="4">
        <v>41117</v>
      </c>
      <c r="C1451" s="1" t="s">
        <v>11</v>
      </c>
      <c r="D1451" s="1" t="s">
        <v>27</v>
      </c>
      <c r="E1451" s="1">
        <v>0.48570601851851852</v>
      </c>
      <c r="F1451" s="1" t="s">
        <v>13</v>
      </c>
      <c r="G1451" s="1">
        <v>2.91</v>
      </c>
      <c r="H1451" s="1">
        <v>3.01</v>
      </c>
      <c r="I1451" s="1">
        <v>0</v>
      </c>
      <c r="J1451" s="4">
        <v>41118</v>
      </c>
      <c r="K1451" s="4">
        <v>42213</v>
      </c>
      <c r="L1451">
        <f t="shared" si="22"/>
        <v>2.96</v>
      </c>
    </row>
    <row r="1452" spans="1:12" x14ac:dyDescent="0.15">
      <c r="A1452" s="1">
        <v>1451</v>
      </c>
      <c r="B1452" s="4">
        <v>41117</v>
      </c>
      <c r="C1452" s="1" t="s">
        <v>19</v>
      </c>
      <c r="D1452" s="1" t="s">
        <v>30</v>
      </c>
      <c r="E1452" s="1">
        <v>0.48914351851851851</v>
      </c>
      <c r="F1452" s="1" t="s">
        <v>13</v>
      </c>
      <c r="G1452" s="1">
        <v>3.26</v>
      </c>
      <c r="H1452" s="1">
        <v>3.36</v>
      </c>
      <c r="I1452" s="1">
        <v>0</v>
      </c>
      <c r="J1452" s="4">
        <v>41118</v>
      </c>
      <c r="K1452" s="4">
        <v>41392</v>
      </c>
      <c r="L1452">
        <f t="shared" si="22"/>
        <v>3.3099999999999996</v>
      </c>
    </row>
    <row r="1453" spans="1:12" x14ac:dyDescent="0.15">
      <c r="A1453" s="1">
        <v>1452</v>
      </c>
      <c r="B1453" s="4">
        <v>41117</v>
      </c>
      <c r="C1453" s="1" t="s">
        <v>21</v>
      </c>
      <c r="D1453" s="1" t="s">
        <v>30</v>
      </c>
      <c r="E1453" s="1">
        <v>0.48914351851851851</v>
      </c>
      <c r="F1453" s="1" t="s">
        <v>13</v>
      </c>
      <c r="G1453" s="1">
        <v>2.97</v>
      </c>
      <c r="H1453" s="1">
        <v>3.07</v>
      </c>
      <c r="I1453" s="1">
        <v>0</v>
      </c>
      <c r="J1453" s="4">
        <v>41118</v>
      </c>
      <c r="K1453" s="4">
        <v>43674</v>
      </c>
      <c r="L1453">
        <f t="shared" si="22"/>
        <v>3.02</v>
      </c>
    </row>
    <row r="1454" spans="1:12" x14ac:dyDescent="0.15">
      <c r="A1454" s="1">
        <v>1453</v>
      </c>
      <c r="B1454" s="4">
        <v>41117</v>
      </c>
      <c r="C1454" s="1" t="s">
        <v>14</v>
      </c>
      <c r="D1454" s="1" t="s">
        <v>15</v>
      </c>
      <c r="E1454" s="1">
        <v>0.49115740740740743</v>
      </c>
      <c r="F1454" s="1" t="s">
        <v>13</v>
      </c>
      <c r="G1454" s="1">
        <v>3.13</v>
      </c>
      <c r="H1454" s="1">
        <v>3.19</v>
      </c>
      <c r="I1454" s="1">
        <v>0</v>
      </c>
      <c r="J1454" s="4">
        <v>41118</v>
      </c>
      <c r="K1454" s="4">
        <v>41483</v>
      </c>
      <c r="L1454">
        <f t="shared" si="22"/>
        <v>3.16</v>
      </c>
    </row>
    <row r="1455" spans="1:12" x14ac:dyDescent="0.15">
      <c r="A1455" s="1">
        <v>1454</v>
      </c>
      <c r="B1455" s="4">
        <v>41117</v>
      </c>
      <c r="C1455" s="1" t="s">
        <v>18</v>
      </c>
      <c r="D1455" s="1" t="s">
        <v>15</v>
      </c>
      <c r="E1455" s="1">
        <v>0.49115740740740743</v>
      </c>
      <c r="F1455" s="1" t="s">
        <v>13</v>
      </c>
      <c r="G1455" s="1">
        <v>2.93</v>
      </c>
      <c r="H1455" s="1">
        <v>2.99</v>
      </c>
      <c r="I1455" s="1">
        <v>0</v>
      </c>
      <c r="J1455" s="4">
        <v>41118</v>
      </c>
      <c r="K1455" s="4">
        <v>41848</v>
      </c>
      <c r="L1455">
        <f t="shared" si="22"/>
        <v>2.96</v>
      </c>
    </row>
    <row r="1456" spans="1:12" x14ac:dyDescent="0.15">
      <c r="A1456" s="1">
        <v>1455</v>
      </c>
      <c r="B1456" s="4">
        <v>41117</v>
      </c>
      <c r="C1456" s="1" t="s">
        <v>21</v>
      </c>
      <c r="D1456" s="1" t="s">
        <v>15</v>
      </c>
      <c r="E1456" s="1">
        <v>0.49115740740740743</v>
      </c>
      <c r="F1456" s="1" t="s">
        <v>13</v>
      </c>
      <c r="G1456" s="1">
        <v>3.02</v>
      </c>
      <c r="H1456" s="1">
        <v>3.08</v>
      </c>
      <c r="I1456" s="1">
        <v>0</v>
      </c>
      <c r="J1456" s="4">
        <v>41118</v>
      </c>
      <c r="K1456" s="4">
        <v>43674</v>
      </c>
      <c r="L1456">
        <f t="shared" si="22"/>
        <v>3.05</v>
      </c>
    </row>
    <row r="1457" spans="1:12" x14ac:dyDescent="0.15">
      <c r="A1457" s="1">
        <v>1456</v>
      </c>
      <c r="B1457" s="4">
        <v>41117</v>
      </c>
      <c r="C1457" s="1" t="s">
        <v>22</v>
      </c>
      <c r="D1457" s="1" t="s">
        <v>15</v>
      </c>
      <c r="E1457" s="1">
        <v>0.49114583333333334</v>
      </c>
      <c r="F1457" s="1" t="s">
        <v>13</v>
      </c>
      <c r="G1457" s="1">
        <v>3.49</v>
      </c>
      <c r="H1457" s="1">
        <v>3.55</v>
      </c>
      <c r="I1457" s="1">
        <v>0</v>
      </c>
      <c r="J1457" s="4">
        <v>41118</v>
      </c>
      <c r="K1457" s="4">
        <v>41302</v>
      </c>
      <c r="L1457">
        <f t="shared" si="22"/>
        <v>3.52</v>
      </c>
    </row>
    <row r="1458" spans="1:12" x14ac:dyDescent="0.15">
      <c r="A1458" s="1">
        <v>1457</v>
      </c>
      <c r="B1458" s="4">
        <v>41117</v>
      </c>
      <c r="C1458" s="1" t="s">
        <v>18</v>
      </c>
      <c r="D1458" s="1" t="s">
        <v>30</v>
      </c>
      <c r="E1458" s="1">
        <v>0.48914351851851851</v>
      </c>
      <c r="F1458" s="1" t="s">
        <v>13</v>
      </c>
      <c r="G1458" s="1">
        <v>2.91</v>
      </c>
      <c r="H1458" s="1">
        <v>3.01</v>
      </c>
      <c r="I1458" s="1">
        <v>0</v>
      </c>
      <c r="J1458" s="4">
        <v>41118</v>
      </c>
      <c r="K1458" s="4">
        <v>41848</v>
      </c>
      <c r="L1458">
        <f t="shared" si="22"/>
        <v>2.96</v>
      </c>
    </row>
    <row r="1459" spans="1:12" x14ac:dyDescent="0.15">
      <c r="A1459" s="1">
        <v>1458</v>
      </c>
      <c r="B1459" s="4">
        <v>41117</v>
      </c>
      <c r="C1459" s="1" t="s">
        <v>14</v>
      </c>
      <c r="D1459" s="1" t="s">
        <v>30</v>
      </c>
      <c r="E1459" s="1">
        <v>0.48914351851851851</v>
      </c>
      <c r="F1459" s="1" t="s">
        <v>13</v>
      </c>
      <c r="G1459" s="1">
        <v>3.1</v>
      </c>
      <c r="H1459" s="1">
        <v>3.2</v>
      </c>
      <c r="I1459" s="1">
        <v>0</v>
      </c>
      <c r="J1459" s="4">
        <v>41118</v>
      </c>
      <c r="K1459" s="4">
        <v>41483</v>
      </c>
      <c r="L1459">
        <f t="shared" si="22"/>
        <v>3.1500000000000004</v>
      </c>
    </row>
    <row r="1460" spans="1:12" x14ac:dyDescent="0.15">
      <c r="A1460" s="1">
        <v>1459</v>
      </c>
      <c r="B1460" s="4">
        <v>41117</v>
      </c>
      <c r="C1460" s="1" t="s">
        <v>20</v>
      </c>
      <c r="D1460" s="1" t="s">
        <v>30</v>
      </c>
      <c r="E1460" s="1">
        <v>0.48914351851851851</v>
      </c>
      <c r="F1460" s="1" t="s">
        <v>13</v>
      </c>
      <c r="G1460" s="1">
        <v>3.01</v>
      </c>
      <c r="H1460" s="1">
        <v>3.11</v>
      </c>
      <c r="I1460" s="1">
        <v>0</v>
      </c>
      <c r="J1460" s="4">
        <v>41118</v>
      </c>
      <c r="K1460" s="4">
        <v>44770</v>
      </c>
      <c r="L1460">
        <f t="shared" si="22"/>
        <v>3.0599999999999996</v>
      </c>
    </row>
    <row r="1461" spans="1:12" x14ac:dyDescent="0.15">
      <c r="A1461" s="1">
        <v>1460</v>
      </c>
      <c r="B1461" s="4">
        <v>41117</v>
      </c>
      <c r="C1461" s="1" t="s">
        <v>22</v>
      </c>
      <c r="D1461" s="1" t="s">
        <v>27</v>
      </c>
      <c r="E1461" s="1">
        <v>0.48568287037037039</v>
      </c>
      <c r="F1461" s="1" t="s">
        <v>13</v>
      </c>
      <c r="G1461" s="1">
        <v>3.47</v>
      </c>
      <c r="H1461" s="1">
        <v>3.56</v>
      </c>
      <c r="I1461" s="1">
        <v>0</v>
      </c>
      <c r="J1461" s="4">
        <v>41118</v>
      </c>
      <c r="K1461" s="4">
        <v>41302</v>
      </c>
      <c r="L1461">
        <f t="shared" si="22"/>
        <v>3.5150000000000001</v>
      </c>
    </row>
    <row r="1462" spans="1:12" x14ac:dyDescent="0.15">
      <c r="A1462" s="1">
        <v>1461</v>
      </c>
      <c r="B1462" s="4">
        <v>41117</v>
      </c>
      <c r="C1462" s="1" t="s">
        <v>14</v>
      </c>
      <c r="D1462" s="1" t="s">
        <v>26</v>
      </c>
      <c r="E1462" s="1">
        <v>0.48282407407407407</v>
      </c>
      <c r="F1462" s="1" t="s">
        <v>13</v>
      </c>
      <c r="G1462" s="1">
        <v>3.1</v>
      </c>
      <c r="H1462" s="1">
        <v>3.15</v>
      </c>
      <c r="I1462" s="1">
        <v>0</v>
      </c>
      <c r="J1462" s="4">
        <v>41118</v>
      </c>
      <c r="K1462" s="4">
        <v>41483</v>
      </c>
      <c r="L1462">
        <f t="shared" si="22"/>
        <v>3.125</v>
      </c>
    </row>
    <row r="1463" spans="1:12" x14ac:dyDescent="0.15">
      <c r="A1463" s="1">
        <v>1462</v>
      </c>
      <c r="B1463" s="4">
        <v>41117</v>
      </c>
      <c r="C1463" s="1" t="s">
        <v>20</v>
      </c>
      <c r="D1463" s="1" t="s">
        <v>26</v>
      </c>
      <c r="E1463" s="1">
        <v>0.48282407407407407</v>
      </c>
      <c r="F1463" s="1" t="s">
        <v>13</v>
      </c>
      <c r="G1463" s="1">
        <v>2.9</v>
      </c>
      <c r="H1463" s="1">
        <v>3</v>
      </c>
      <c r="I1463" s="1">
        <v>0</v>
      </c>
      <c r="J1463" s="4">
        <v>41118</v>
      </c>
      <c r="K1463" s="4">
        <v>44770</v>
      </c>
      <c r="L1463">
        <f t="shared" si="22"/>
        <v>2.95</v>
      </c>
    </row>
    <row r="1464" spans="1:12" x14ac:dyDescent="0.15">
      <c r="A1464" s="1">
        <v>1463</v>
      </c>
      <c r="B1464" s="4">
        <v>41117</v>
      </c>
      <c r="C1464" s="1" t="s">
        <v>25</v>
      </c>
      <c r="D1464" s="1" t="s">
        <v>26</v>
      </c>
      <c r="E1464" s="1">
        <v>0.48283564814814817</v>
      </c>
      <c r="F1464" s="1" t="s">
        <v>13</v>
      </c>
      <c r="G1464" s="1">
        <v>2.9</v>
      </c>
      <c r="H1464" s="1">
        <v>3</v>
      </c>
      <c r="I1464" s="1">
        <v>0</v>
      </c>
      <c r="J1464" s="4">
        <v>41118</v>
      </c>
      <c r="K1464" s="4">
        <v>42944</v>
      </c>
      <c r="L1464">
        <f t="shared" si="22"/>
        <v>2.95</v>
      </c>
    </row>
    <row r="1465" spans="1:12" x14ac:dyDescent="0.15">
      <c r="A1465" s="1">
        <v>1464</v>
      </c>
      <c r="B1465" s="4">
        <v>41117</v>
      </c>
      <c r="C1465" s="1" t="s">
        <v>22</v>
      </c>
      <c r="D1465" s="1" t="s">
        <v>26</v>
      </c>
      <c r="E1465" s="1">
        <v>0.48282407407407407</v>
      </c>
      <c r="F1465" s="1" t="s">
        <v>13</v>
      </c>
      <c r="G1465" s="1">
        <v>3.45</v>
      </c>
      <c r="H1465" s="1">
        <v>3.5</v>
      </c>
      <c r="I1465" s="1">
        <v>0</v>
      </c>
      <c r="J1465" s="4">
        <v>41118</v>
      </c>
      <c r="K1465" s="4">
        <v>41302</v>
      </c>
      <c r="L1465">
        <f t="shared" si="22"/>
        <v>3.4750000000000001</v>
      </c>
    </row>
    <row r="1466" spans="1:12" x14ac:dyDescent="0.15">
      <c r="A1466" s="1">
        <v>1465</v>
      </c>
      <c r="B1466" s="4">
        <v>41117</v>
      </c>
      <c r="C1466" s="1" t="s">
        <v>18</v>
      </c>
      <c r="D1466" s="1" t="s">
        <v>26</v>
      </c>
      <c r="E1466" s="1">
        <v>0.48282407407407407</v>
      </c>
      <c r="F1466" s="1" t="s">
        <v>13</v>
      </c>
      <c r="G1466" s="1">
        <v>2.93</v>
      </c>
      <c r="H1466" s="1">
        <v>3.02</v>
      </c>
      <c r="I1466" s="1">
        <v>0</v>
      </c>
      <c r="J1466" s="4">
        <v>41118</v>
      </c>
      <c r="K1466" s="4">
        <v>41848</v>
      </c>
      <c r="L1466">
        <f t="shared" si="22"/>
        <v>2.9750000000000001</v>
      </c>
    </row>
    <row r="1467" spans="1:12" x14ac:dyDescent="0.15">
      <c r="A1467" s="1">
        <v>1466</v>
      </c>
      <c r="B1467" s="4">
        <v>41117</v>
      </c>
      <c r="C1467" s="1" t="s">
        <v>21</v>
      </c>
      <c r="D1467" s="1" t="s">
        <v>26</v>
      </c>
      <c r="E1467" s="1">
        <v>0.48282407407407407</v>
      </c>
      <c r="F1467" s="1" t="s">
        <v>13</v>
      </c>
      <c r="G1467" s="1">
        <v>2.9</v>
      </c>
      <c r="H1467" s="1">
        <v>3</v>
      </c>
      <c r="I1467" s="1">
        <v>0</v>
      </c>
      <c r="J1467" s="4">
        <v>41118</v>
      </c>
      <c r="K1467" s="4">
        <v>43674</v>
      </c>
      <c r="L1467">
        <f t="shared" si="22"/>
        <v>2.95</v>
      </c>
    </row>
    <row r="1468" spans="1:12" x14ac:dyDescent="0.15">
      <c r="A1468" s="1">
        <v>1467</v>
      </c>
      <c r="B1468" s="4">
        <v>41117</v>
      </c>
      <c r="C1468" s="1" t="s">
        <v>19</v>
      </c>
      <c r="D1468" s="1" t="s">
        <v>26</v>
      </c>
      <c r="E1468" s="1">
        <v>0.48282407407407407</v>
      </c>
      <c r="F1468" s="1" t="s">
        <v>13</v>
      </c>
      <c r="G1468" s="1">
        <v>3.2</v>
      </c>
      <c r="H1468" s="1">
        <v>3.28</v>
      </c>
      <c r="I1468" s="1">
        <v>0</v>
      </c>
      <c r="J1468" s="4">
        <v>41118</v>
      </c>
      <c r="K1468" s="4">
        <v>41392</v>
      </c>
      <c r="L1468">
        <f t="shared" si="22"/>
        <v>3.24</v>
      </c>
    </row>
    <row r="1469" spans="1:12" x14ac:dyDescent="0.15">
      <c r="A1469" s="1">
        <v>1468</v>
      </c>
      <c r="B1469" s="4">
        <v>41117</v>
      </c>
      <c r="C1469" s="1" t="s">
        <v>25</v>
      </c>
      <c r="D1469" s="1" t="s">
        <v>27</v>
      </c>
      <c r="E1469" s="1">
        <v>0.4856712962962963</v>
      </c>
      <c r="F1469" s="1" t="s">
        <v>13</v>
      </c>
      <c r="G1469" s="1">
        <v>2.91</v>
      </c>
      <c r="H1469" s="1">
        <v>3.01</v>
      </c>
      <c r="I1469" s="1">
        <v>0</v>
      </c>
      <c r="J1469" s="4">
        <v>41118</v>
      </c>
      <c r="K1469" s="4">
        <v>42944</v>
      </c>
      <c r="L1469">
        <f t="shared" si="22"/>
        <v>2.96</v>
      </c>
    </row>
    <row r="1470" spans="1:12" x14ac:dyDescent="0.15">
      <c r="A1470" s="1">
        <v>1469</v>
      </c>
      <c r="B1470" s="4">
        <v>41117</v>
      </c>
      <c r="C1470" s="1" t="s">
        <v>19</v>
      </c>
      <c r="D1470" s="1" t="s">
        <v>27</v>
      </c>
      <c r="E1470" s="1">
        <v>0.4856712962962963</v>
      </c>
      <c r="F1470" s="1" t="s">
        <v>13</v>
      </c>
      <c r="G1470" s="1">
        <v>3.27</v>
      </c>
      <c r="H1470" s="1">
        <v>3.33</v>
      </c>
      <c r="I1470" s="1">
        <v>0</v>
      </c>
      <c r="J1470" s="4">
        <v>41118</v>
      </c>
      <c r="K1470" s="4">
        <v>41392</v>
      </c>
      <c r="L1470">
        <f t="shared" si="22"/>
        <v>3.3</v>
      </c>
    </row>
    <row r="1471" spans="1:12" x14ac:dyDescent="0.15">
      <c r="A1471" s="1">
        <v>1470</v>
      </c>
      <c r="B1471" s="4">
        <v>41117</v>
      </c>
      <c r="C1471" s="1" t="s">
        <v>18</v>
      </c>
      <c r="D1471" s="1" t="s">
        <v>27</v>
      </c>
      <c r="E1471" s="1">
        <v>0.48568287037037039</v>
      </c>
      <c r="F1471" s="1" t="s">
        <v>13</v>
      </c>
      <c r="G1471" s="1">
        <v>2.93</v>
      </c>
      <c r="H1471" s="1">
        <v>3.02</v>
      </c>
      <c r="I1471" s="1">
        <v>0</v>
      </c>
      <c r="J1471" s="4">
        <v>41118</v>
      </c>
      <c r="K1471" s="4">
        <v>41848</v>
      </c>
      <c r="L1471">
        <f t="shared" si="22"/>
        <v>2.9750000000000001</v>
      </c>
    </row>
    <row r="1472" spans="1:12" x14ac:dyDescent="0.15">
      <c r="A1472" s="1">
        <v>1471</v>
      </c>
      <c r="B1472" s="4">
        <v>41117</v>
      </c>
      <c r="C1472" s="1" t="s">
        <v>14</v>
      </c>
      <c r="D1472" s="1" t="s">
        <v>27</v>
      </c>
      <c r="E1472" s="1">
        <v>0.4856712962962963</v>
      </c>
      <c r="F1472" s="1" t="s">
        <v>13</v>
      </c>
      <c r="G1472" s="1">
        <v>3.12</v>
      </c>
      <c r="H1472" s="1">
        <v>3.19</v>
      </c>
      <c r="I1472" s="1">
        <v>0</v>
      </c>
      <c r="J1472" s="4">
        <v>41118</v>
      </c>
      <c r="K1472" s="4">
        <v>41483</v>
      </c>
      <c r="L1472">
        <f t="shared" si="22"/>
        <v>3.1550000000000002</v>
      </c>
    </row>
    <row r="1473" spans="1:12" x14ac:dyDescent="0.15">
      <c r="A1473" s="1">
        <v>1472</v>
      </c>
      <c r="B1473" s="4">
        <v>41117</v>
      </c>
      <c r="C1473" s="1" t="s">
        <v>16</v>
      </c>
      <c r="D1473" s="1" t="s">
        <v>26</v>
      </c>
      <c r="E1473" s="1">
        <v>0.48283564814814817</v>
      </c>
      <c r="F1473" s="1" t="s">
        <v>13</v>
      </c>
      <c r="G1473" s="1">
        <v>2.9</v>
      </c>
      <c r="H1473" s="1">
        <v>3</v>
      </c>
      <c r="I1473" s="1">
        <v>0</v>
      </c>
      <c r="J1473" s="4">
        <v>41118</v>
      </c>
      <c r="K1473" s="4">
        <v>42579</v>
      </c>
      <c r="L1473">
        <f t="shared" si="22"/>
        <v>2.95</v>
      </c>
    </row>
    <row r="1474" spans="1:12" x14ac:dyDescent="0.15">
      <c r="A1474" s="1">
        <v>1473</v>
      </c>
      <c r="B1474" s="4">
        <v>41117</v>
      </c>
      <c r="C1474" s="1" t="s">
        <v>11</v>
      </c>
      <c r="D1474" s="1" t="s">
        <v>26</v>
      </c>
      <c r="E1474" s="1">
        <v>0.48283564814814817</v>
      </c>
      <c r="F1474" s="1" t="s">
        <v>13</v>
      </c>
      <c r="G1474" s="1">
        <v>2.9</v>
      </c>
      <c r="H1474" s="1">
        <v>3</v>
      </c>
      <c r="I1474" s="1">
        <v>0</v>
      </c>
      <c r="J1474" s="4">
        <v>41118</v>
      </c>
      <c r="K1474" s="4">
        <v>42213</v>
      </c>
      <c r="L1474">
        <f t="shared" si="22"/>
        <v>2.95</v>
      </c>
    </row>
    <row r="1475" spans="1:12" x14ac:dyDescent="0.15">
      <c r="A1475" s="1">
        <v>1474</v>
      </c>
      <c r="B1475" s="4">
        <v>41117</v>
      </c>
      <c r="C1475" s="1" t="s">
        <v>16</v>
      </c>
      <c r="D1475" s="1" t="s">
        <v>27</v>
      </c>
      <c r="E1475" s="1">
        <v>0.4856712962962963</v>
      </c>
      <c r="F1475" s="1" t="s">
        <v>13</v>
      </c>
      <c r="G1475" s="1">
        <v>2.94</v>
      </c>
      <c r="H1475" s="1">
        <v>2.99</v>
      </c>
      <c r="I1475" s="1">
        <v>0</v>
      </c>
      <c r="J1475" s="4">
        <v>41118</v>
      </c>
      <c r="K1475" s="4">
        <v>42579</v>
      </c>
      <c r="L1475">
        <f t="shared" ref="L1475:L1538" si="23">AVERAGE(G1475:H1475)</f>
        <v>2.9649999999999999</v>
      </c>
    </row>
    <row r="1476" spans="1:12" x14ac:dyDescent="0.15">
      <c r="A1476" s="1">
        <v>1475</v>
      </c>
      <c r="B1476" s="4">
        <v>41117</v>
      </c>
      <c r="C1476" s="1" t="s">
        <v>22</v>
      </c>
      <c r="D1476" s="1" t="s">
        <v>27</v>
      </c>
      <c r="E1476" s="1">
        <v>0.6759722222222222</v>
      </c>
      <c r="F1476" s="1" t="s">
        <v>13</v>
      </c>
      <c r="G1476" s="1">
        <v>3.53</v>
      </c>
      <c r="H1476" s="1">
        <v>3.63</v>
      </c>
      <c r="I1476" s="1">
        <v>0</v>
      </c>
      <c r="J1476" s="4">
        <v>41118</v>
      </c>
      <c r="K1476" s="4">
        <v>41302</v>
      </c>
      <c r="L1476">
        <f t="shared" si="23"/>
        <v>3.58</v>
      </c>
    </row>
    <row r="1477" spans="1:12" x14ac:dyDescent="0.15">
      <c r="A1477" s="1">
        <v>1476</v>
      </c>
      <c r="B1477" s="4">
        <v>41117</v>
      </c>
      <c r="C1477" s="1" t="s">
        <v>11</v>
      </c>
      <c r="D1477" s="1" t="s">
        <v>27</v>
      </c>
      <c r="E1477" s="1">
        <v>0.6759722222222222</v>
      </c>
      <c r="F1477" s="1" t="s">
        <v>13</v>
      </c>
      <c r="G1477" s="1">
        <v>2.93</v>
      </c>
      <c r="H1477" s="1">
        <v>2.98</v>
      </c>
      <c r="I1477" s="1">
        <v>0</v>
      </c>
      <c r="J1477" s="4">
        <v>41118</v>
      </c>
      <c r="K1477" s="4">
        <v>42213</v>
      </c>
      <c r="L1477">
        <f t="shared" si="23"/>
        <v>2.9550000000000001</v>
      </c>
    </row>
    <row r="1478" spans="1:12" x14ac:dyDescent="0.15">
      <c r="A1478" s="1">
        <v>1477</v>
      </c>
      <c r="B1478" s="4">
        <v>41117</v>
      </c>
      <c r="C1478" s="1" t="s">
        <v>22</v>
      </c>
      <c r="D1478" s="1" t="s">
        <v>15</v>
      </c>
      <c r="E1478" s="1">
        <v>0.68405092592592587</v>
      </c>
      <c r="F1478" s="1" t="s">
        <v>13</v>
      </c>
      <c r="G1478" s="1">
        <v>3.49</v>
      </c>
      <c r="H1478" s="1">
        <v>3.55</v>
      </c>
      <c r="I1478" s="1">
        <v>0</v>
      </c>
      <c r="J1478" s="4">
        <v>41118</v>
      </c>
      <c r="K1478" s="4">
        <v>41302</v>
      </c>
      <c r="L1478">
        <f t="shared" si="23"/>
        <v>3.52</v>
      </c>
    </row>
    <row r="1479" spans="1:12" x14ac:dyDescent="0.15">
      <c r="A1479" s="1">
        <v>1478</v>
      </c>
      <c r="B1479" s="4">
        <v>41117</v>
      </c>
      <c r="C1479" s="1" t="s">
        <v>18</v>
      </c>
      <c r="D1479" s="1" t="s">
        <v>27</v>
      </c>
      <c r="E1479" s="1">
        <v>0.67596064814814805</v>
      </c>
      <c r="F1479" s="1" t="s">
        <v>13</v>
      </c>
      <c r="G1479" s="1">
        <v>2.98</v>
      </c>
      <c r="H1479" s="1">
        <v>3.03</v>
      </c>
      <c r="I1479" s="1">
        <v>0</v>
      </c>
      <c r="J1479" s="4">
        <v>41118</v>
      </c>
      <c r="K1479" s="4">
        <v>41848</v>
      </c>
      <c r="L1479">
        <f t="shared" si="23"/>
        <v>3.0049999999999999</v>
      </c>
    </row>
    <row r="1480" spans="1:12" x14ac:dyDescent="0.15">
      <c r="A1480" s="1">
        <v>1479</v>
      </c>
      <c r="B1480" s="4">
        <v>41117</v>
      </c>
      <c r="C1480" s="1" t="s">
        <v>19</v>
      </c>
      <c r="D1480" s="1" t="s">
        <v>27</v>
      </c>
      <c r="E1480" s="1">
        <v>0.67592592592592593</v>
      </c>
      <c r="F1480" s="1" t="s">
        <v>13</v>
      </c>
      <c r="G1480" s="1">
        <v>3.28</v>
      </c>
      <c r="H1480" s="1">
        <v>3.35</v>
      </c>
      <c r="I1480" s="1">
        <v>0</v>
      </c>
      <c r="J1480" s="4">
        <v>41118</v>
      </c>
      <c r="K1480" s="4">
        <v>41392</v>
      </c>
      <c r="L1480">
        <f t="shared" si="23"/>
        <v>3.3149999999999999</v>
      </c>
    </row>
    <row r="1481" spans="1:12" x14ac:dyDescent="0.15">
      <c r="A1481" s="1">
        <v>1480</v>
      </c>
      <c r="B1481" s="4">
        <v>41117</v>
      </c>
      <c r="C1481" s="1" t="s">
        <v>16</v>
      </c>
      <c r="D1481" s="1" t="s">
        <v>27</v>
      </c>
      <c r="E1481" s="1">
        <v>0.67592592592592593</v>
      </c>
      <c r="F1481" s="1" t="s">
        <v>13</v>
      </c>
      <c r="G1481" s="1">
        <v>2.89</v>
      </c>
      <c r="H1481" s="1">
        <v>2.99</v>
      </c>
      <c r="I1481" s="1">
        <v>0</v>
      </c>
      <c r="J1481" s="4">
        <v>41118</v>
      </c>
      <c r="K1481" s="4">
        <v>42579</v>
      </c>
      <c r="L1481">
        <f t="shared" si="23"/>
        <v>2.9400000000000004</v>
      </c>
    </row>
    <row r="1482" spans="1:12" x14ac:dyDescent="0.15">
      <c r="A1482" s="1">
        <v>1481</v>
      </c>
      <c r="B1482" s="4">
        <v>41117</v>
      </c>
      <c r="C1482" s="1" t="s">
        <v>14</v>
      </c>
      <c r="D1482" s="1" t="s">
        <v>27</v>
      </c>
      <c r="E1482" s="1">
        <v>0.67592592592592593</v>
      </c>
      <c r="F1482" s="1" t="s">
        <v>13</v>
      </c>
      <c r="G1482" s="1">
        <v>3.14</v>
      </c>
      <c r="H1482" s="1">
        <v>3.24</v>
      </c>
      <c r="I1482" s="1">
        <v>0</v>
      </c>
      <c r="J1482" s="4">
        <v>41118</v>
      </c>
      <c r="K1482" s="4">
        <v>41483</v>
      </c>
      <c r="L1482">
        <f t="shared" si="23"/>
        <v>3.1900000000000004</v>
      </c>
    </row>
    <row r="1483" spans="1:12" x14ac:dyDescent="0.15">
      <c r="A1483" s="1">
        <v>1482</v>
      </c>
      <c r="B1483" s="4">
        <v>41117</v>
      </c>
      <c r="C1483" s="1" t="s">
        <v>18</v>
      </c>
      <c r="D1483" s="1" t="s">
        <v>15</v>
      </c>
      <c r="E1483" s="1">
        <v>0.68406250000000002</v>
      </c>
      <c r="F1483" s="1" t="s">
        <v>13</v>
      </c>
      <c r="G1483" s="1">
        <v>2.93</v>
      </c>
      <c r="H1483" s="1">
        <v>2.99</v>
      </c>
      <c r="I1483" s="1">
        <v>0</v>
      </c>
      <c r="J1483" s="4">
        <v>41118</v>
      </c>
      <c r="K1483" s="4">
        <v>41848</v>
      </c>
      <c r="L1483">
        <f t="shared" si="23"/>
        <v>2.96</v>
      </c>
    </row>
    <row r="1484" spans="1:12" x14ac:dyDescent="0.15">
      <c r="A1484" s="1">
        <v>1483</v>
      </c>
      <c r="B1484" s="4">
        <v>41117</v>
      </c>
      <c r="C1484" s="1" t="s">
        <v>21</v>
      </c>
      <c r="D1484" s="1" t="s">
        <v>15</v>
      </c>
      <c r="E1484" s="1">
        <v>0.68406250000000002</v>
      </c>
      <c r="F1484" s="1" t="s">
        <v>13</v>
      </c>
      <c r="G1484" s="1">
        <v>3.02</v>
      </c>
      <c r="H1484" s="1">
        <v>3.08</v>
      </c>
      <c r="I1484" s="1">
        <v>0</v>
      </c>
      <c r="J1484" s="4">
        <v>41118</v>
      </c>
      <c r="K1484" s="4">
        <v>43674</v>
      </c>
      <c r="L1484">
        <f t="shared" si="23"/>
        <v>3.05</v>
      </c>
    </row>
    <row r="1485" spans="1:12" x14ac:dyDescent="0.15">
      <c r="A1485" s="1">
        <v>1484</v>
      </c>
      <c r="B1485" s="4">
        <v>41117</v>
      </c>
      <c r="C1485" s="1" t="s">
        <v>19</v>
      </c>
      <c r="D1485" s="1" t="s">
        <v>15</v>
      </c>
      <c r="E1485" s="1">
        <v>0.68406250000000002</v>
      </c>
      <c r="F1485" s="1" t="s">
        <v>13</v>
      </c>
      <c r="G1485" s="1">
        <v>3.27</v>
      </c>
      <c r="H1485" s="1">
        <v>3.33</v>
      </c>
      <c r="I1485" s="1">
        <v>0</v>
      </c>
      <c r="J1485" s="4">
        <v>41118</v>
      </c>
      <c r="K1485" s="4">
        <v>41392</v>
      </c>
      <c r="L1485">
        <f t="shared" si="23"/>
        <v>3.3</v>
      </c>
    </row>
    <row r="1486" spans="1:12" x14ac:dyDescent="0.15">
      <c r="A1486" s="1">
        <v>1485</v>
      </c>
      <c r="B1486" s="4">
        <v>41117</v>
      </c>
      <c r="C1486" s="1" t="s">
        <v>14</v>
      </c>
      <c r="D1486" s="1" t="s">
        <v>15</v>
      </c>
      <c r="E1486" s="1">
        <v>0.68406250000000002</v>
      </c>
      <c r="F1486" s="1" t="s">
        <v>13</v>
      </c>
      <c r="G1486" s="1">
        <v>3.13</v>
      </c>
      <c r="H1486" s="1">
        <v>3.19</v>
      </c>
      <c r="I1486" s="1">
        <v>0</v>
      </c>
      <c r="J1486" s="4">
        <v>41118</v>
      </c>
      <c r="K1486" s="4">
        <v>41483</v>
      </c>
      <c r="L1486">
        <f t="shared" si="23"/>
        <v>3.16</v>
      </c>
    </row>
    <row r="1487" spans="1:12" x14ac:dyDescent="0.15">
      <c r="A1487" s="1">
        <v>1486</v>
      </c>
      <c r="B1487" s="4">
        <v>41117</v>
      </c>
      <c r="C1487" s="1" t="s">
        <v>25</v>
      </c>
      <c r="D1487" s="1" t="s">
        <v>15</v>
      </c>
      <c r="E1487" s="1">
        <v>0.68406250000000002</v>
      </c>
      <c r="F1487" s="1" t="s">
        <v>13</v>
      </c>
      <c r="G1487" s="1">
        <v>2.92</v>
      </c>
      <c r="H1487" s="1">
        <v>2.98</v>
      </c>
      <c r="I1487" s="1">
        <v>0</v>
      </c>
      <c r="J1487" s="4">
        <v>41118</v>
      </c>
      <c r="K1487" s="4">
        <v>42944</v>
      </c>
      <c r="L1487">
        <f t="shared" si="23"/>
        <v>2.95</v>
      </c>
    </row>
    <row r="1488" spans="1:12" x14ac:dyDescent="0.15">
      <c r="A1488" s="1">
        <v>1487</v>
      </c>
      <c r="B1488" s="4">
        <v>41117</v>
      </c>
      <c r="C1488" s="1" t="s">
        <v>16</v>
      </c>
      <c r="D1488" s="1" t="s">
        <v>15</v>
      </c>
      <c r="E1488" s="1">
        <v>0.68406250000000002</v>
      </c>
      <c r="F1488" s="1" t="s">
        <v>13</v>
      </c>
      <c r="G1488" s="1">
        <v>2.91</v>
      </c>
      <c r="H1488" s="1">
        <v>2.97</v>
      </c>
      <c r="I1488" s="1">
        <v>0</v>
      </c>
      <c r="J1488" s="4">
        <v>41118</v>
      </c>
      <c r="K1488" s="4">
        <v>42579</v>
      </c>
      <c r="L1488">
        <f t="shared" si="23"/>
        <v>2.9400000000000004</v>
      </c>
    </row>
    <row r="1489" spans="1:12" x14ac:dyDescent="0.15">
      <c r="A1489" s="1">
        <v>1488</v>
      </c>
      <c r="B1489" s="4">
        <v>41117</v>
      </c>
      <c r="C1489" s="1" t="s">
        <v>11</v>
      </c>
      <c r="D1489" s="1" t="s">
        <v>15</v>
      </c>
      <c r="E1489" s="1">
        <v>0.68406250000000002</v>
      </c>
      <c r="F1489" s="1" t="s">
        <v>13</v>
      </c>
      <c r="G1489" s="1">
        <v>2.93</v>
      </c>
      <c r="H1489" s="1">
        <v>2.99</v>
      </c>
      <c r="I1489" s="1">
        <v>0</v>
      </c>
      <c r="J1489" s="4">
        <v>41118</v>
      </c>
      <c r="K1489" s="4">
        <v>42213</v>
      </c>
      <c r="L1489">
        <f t="shared" si="23"/>
        <v>2.96</v>
      </c>
    </row>
    <row r="1490" spans="1:12" x14ac:dyDescent="0.15">
      <c r="A1490" s="1">
        <v>1489</v>
      </c>
      <c r="B1490" s="4">
        <v>41117</v>
      </c>
      <c r="C1490" s="1" t="s">
        <v>25</v>
      </c>
      <c r="D1490" s="1" t="s">
        <v>27</v>
      </c>
      <c r="E1490" s="1">
        <v>0.67592592592592593</v>
      </c>
      <c r="F1490" s="1" t="s">
        <v>13</v>
      </c>
      <c r="G1490" s="1">
        <v>2.94</v>
      </c>
      <c r="H1490" s="1">
        <v>2.99</v>
      </c>
      <c r="I1490" s="1">
        <v>0</v>
      </c>
      <c r="J1490" s="4">
        <v>41118</v>
      </c>
      <c r="K1490" s="4">
        <v>42944</v>
      </c>
      <c r="L1490">
        <f t="shared" si="23"/>
        <v>2.9649999999999999</v>
      </c>
    </row>
    <row r="1491" spans="1:12" x14ac:dyDescent="0.15">
      <c r="A1491" s="1">
        <v>1490</v>
      </c>
      <c r="B1491" s="4">
        <v>41117</v>
      </c>
      <c r="C1491" s="1" t="s">
        <v>11</v>
      </c>
      <c r="D1491" s="1" t="s">
        <v>15</v>
      </c>
      <c r="E1491" s="1">
        <v>0.49118055555555556</v>
      </c>
      <c r="F1491" s="1" t="s">
        <v>13</v>
      </c>
      <c r="G1491" s="1">
        <v>2.93</v>
      </c>
      <c r="H1491" s="1">
        <v>2.99</v>
      </c>
      <c r="I1491" s="1">
        <v>0</v>
      </c>
      <c r="J1491" s="4">
        <v>41118</v>
      </c>
      <c r="K1491" s="4">
        <v>42213</v>
      </c>
      <c r="L1491">
        <f t="shared" si="23"/>
        <v>2.96</v>
      </c>
    </row>
    <row r="1492" spans="1:12" x14ac:dyDescent="0.15">
      <c r="A1492" s="1">
        <v>1491</v>
      </c>
      <c r="B1492" s="4">
        <v>41117</v>
      </c>
      <c r="C1492" s="1" t="s">
        <v>22</v>
      </c>
      <c r="D1492" s="1" t="s">
        <v>26</v>
      </c>
      <c r="E1492" s="1">
        <v>0.67240740740740745</v>
      </c>
      <c r="F1492" s="1" t="s">
        <v>13</v>
      </c>
      <c r="G1492" s="1">
        <v>3.45</v>
      </c>
      <c r="H1492" s="1">
        <v>3.5</v>
      </c>
      <c r="I1492" s="1">
        <v>0</v>
      </c>
      <c r="J1492" s="4">
        <v>41118</v>
      </c>
      <c r="K1492" s="4">
        <v>41302</v>
      </c>
      <c r="L1492">
        <f t="shared" si="23"/>
        <v>3.4750000000000001</v>
      </c>
    </row>
    <row r="1493" spans="1:12" x14ac:dyDescent="0.15">
      <c r="A1493" s="1">
        <v>1492</v>
      </c>
      <c r="B1493" s="4">
        <v>41117</v>
      </c>
      <c r="C1493" s="1" t="s">
        <v>19</v>
      </c>
      <c r="D1493" s="1" t="s">
        <v>26</v>
      </c>
      <c r="E1493" s="1">
        <v>0.67241898148148149</v>
      </c>
      <c r="F1493" s="1" t="s">
        <v>13</v>
      </c>
      <c r="G1493" s="1">
        <v>3.2</v>
      </c>
      <c r="H1493" s="1">
        <v>3.28</v>
      </c>
      <c r="I1493" s="1">
        <v>0</v>
      </c>
      <c r="J1493" s="4">
        <v>41118</v>
      </c>
      <c r="K1493" s="4">
        <v>41392</v>
      </c>
      <c r="L1493">
        <f t="shared" si="23"/>
        <v>3.24</v>
      </c>
    </row>
    <row r="1494" spans="1:12" x14ac:dyDescent="0.15">
      <c r="A1494" s="1">
        <v>1493</v>
      </c>
      <c r="B1494" s="4">
        <v>41117</v>
      </c>
      <c r="C1494" s="1" t="s">
        <v>16</v>
      </c>
      <c r="D1494" s="1" t="s">
        <v>15</v>
      </c>
      <c r="E1494" s="1">
        <v>0.49116898148148147</v>
      </c>
      <c r="F1494" s="1" t="s">
        <v>13</v>
      </c>
      <c r="G1494" s="1">
        <v>2.91</v>
      </c>
      <c r="H1494" s="1">
        <v>2.97</v>
      </c>
      <c r="I1494" s="1">
        <v>0</v>
      </c>
      <c r="J1494" s="4">
        <v>41118</v>
      </c>
      <c r="K1494" s="4">
        <v>42579</v>
      </c>
      <c r="L1494">
        <f t="shared" si="23"/>
        <v>2.9400000000000004</v>
      </c>
    </row>
    <row r="1495" spans="1:12" x14ac:dyDescent="0.15">
      <c r="A1495" s="1">
        <v>1494</v>
      </c>
      <c r="B1495" s="4">
        <v>41117</v>
      </c>
      <c r="C1495" s="1" t="s">
        <v>19</v>
      </c>
      <c r="D1495" s="1" t="s">
        <v>15</v>
      </c>
      <c r="E1495" s="1">
        <v>0.49116898148148147</v>
      </c>
      <c r="F1495" s="1" t="s">
        <v>13</v>
      </c>
      <c r="G1495" s="1">
        <v>3.27</v>
      </c>
      <c r="H1495" s="1">
        <v>3.33</v>
      </c>
      <c r="I1495" s="1">
        <v>0</v>
      </c>
      <c r="J1495" s="4">
        <v>41118</v>
      </c>
      <c r="K1495" s="4">
        <v>41392</v>
      </c>
      <c r="L1495">
        <f t="shared" si="23"/>
        <v>3.3</v>
      </c>
    </row>
    <row r="1496" spans="1:12" x14ac:dyDescent="0.15">
      <c r="A1496" s="1">
        <v>1495</v>
      </c>
      <c r="B1496" s="4">
        <v>41117</v>
      </c>
      <c r="C1496" s="1" t="s">
        <v>20</v>
      </c>
      <c r="D1496" s="1" t="s">
        <v>15</v>
      </c>
      <c r="E1496" s="1">
        <v>0.49116898148148147</v>
      </c>
      <c r="F1496" s="1" t="s">
        <v>13</v>
      </c>
      <c r="G1496" s="1">
        <v>3.06</v>
      </c>
      <c r="H1496" s="1">
        <v>3.12</v>
      </c>
      <c r="I1496" s="1">
        <v>0</v>
      </c>
      <c r="J1496" s="4">
        <v>41118</v>
      </c>
      <c r="K1496" s="4">
        <v>44770</v>
      </c>
      <c r="L1496">
        <f t="shared" si="23"/>
        <v>3.09</v>
      </c>
    </row>
    <row r="1497" spans="1:12" x14ac:dyDescent="0.15">
      <c r="A1497" s="1">
        <v>1496</v>
      </c>
      <c r="B1497" s="4">
        <v>41117</v>
      </c>
      <c r="C1497" s="1" t="s">
        <v>25</v>
      </c>
      <c r="D1497" s="1" t="s">
        <v>15</v>
      </c>
      <c r="E1497" s="1">
        <v>0.49116898148148147</v>
      </c>
      <c r="F1497" s="1" t="s">
        <v>13</v>
      </c>
      <c r="G1497" s="1">
        <v>2.92</v>
      </c>
      <c r="H1497" s="1">
        <v>2.98</v>
      </c>
      <c r="I1497" s="1">
        <v>0</v>
      </c>
      <c r="J1497" s="4">
        <v>41118</v>
      </c>
      <c r="K1497" s="4">
        <v>42944</v>
      </c>
      <c r="L1497">
        <f t="shared" si="23"/>
        <v>2.95</v>
      </c>
    </row>
    <row r="1498" spans="1:12" x14ac:dyDescent="0.15">
      <c r="A1498" s="1">
        <v>1497</v>
      </c>
      <c r="B1498" s="4">
        <v>41117</v>
      </c>
      <c r="C1498" s="1" t="s">
        <v>18</v>
      </c>
      <c r="D1498" s="1" t="s">
        <v>26</v>
      </c>
      <c r="E1498" s="1">
        <v>0.67241898148148149</v>
      </c>
      <c r="F1498" s="1" t="s">
        <v>13</v>
      </c>
      <c r="G1498" s="1">
        <v>2.93</v>
      </c>
      <c r="H1498" s="1">
        <v>3.02</v>
      </c>
      <c r="I1498" s="1">
        <v>0</v>
      </c>
      <c r="J1498" s="4">
        <v>41118</v>
      </c>
      <c r="K1498" s="4">
        <v>41848</v>
      </c>
      <c r="L1498">
        <f t="shared" si="23"/>
        <v>2.9750000000000001</v>
      </c>
    </row>
    <row r="1499" spans="1:12" x14ac:dyDescent="0.15">
      <c r="A1499" s="1">
        <v>1498</v>
      </c>
      <c r="B1499" s="4">
        <v>41117</v>
      </c>
      <c r="C1499" s="1" t="s">
        <v>21</v>
      </c>
      <c r="D1499" s="1" t="s">
        <v>26</v>
      </c>
      <c r="E1499" s="1">
        <v>0.67241898148148149</v>
      </c>
      <c r="F1499" s="1" t="s">
        <v>13</v>
      </c>
      <c r="G1499" s="1">
        <v>2.9</v>
      </c>
      <c r="H1499" s="1">
        <v>3</v>
      </c>
      <c r="I1499" s="1">
        <v>0</v>
      </c>
      <c r="J1499" s="4">
        <v>41118</v>
      </c>
      <c r="K1499" s="4">
        <v>43674</v>
      </c>
      <c r="L1499">
        <f t="shared" si="23"/>
        <v>2.95</v>
      </c>
    </row>
    <row r="1500" spans="1:12" x14ac:dyDescent="0.15">
      <c r="A1500" s="1">
        <v>1499</v>
      </c>
      <c r="B1500" s="4">
        <v>41117</v>
      </c>
      <c r="C1500" s="1" t="s">
        <v>11</v>
      </c>
      <c r="D1500" s="1" t="s">
        <v>26</v>
      </c>
      <c r="E1500" s="1">
        <v>0.67243055555555553</v>
      </c>
      <c r="F1500" s="1" t="s">
        <v>13</v>
      </c>
      <c r="G1500" s="1">
        <v>2.9</v>
      </c>
      <c r="H1500" s="1">
        <v>3</v>
      </c>
      <c r="I1500" s="1">
        <v>0</v>
      </c>
      <c r="J1500" s="4">
        <v>41118</v>
      </c>
      <c r="K1500" s="4">
        <v>42213</v>
      </c>
      <c r="L1500">
        <f t="shared" si="23"/>
        <v>2.95</v>
      </c>
    </row>
    <row r="1501" spans="1:12" x14ac:dyDescent="0.15">
      <c r="A1501" s="1">
        <v>1500</v>
      </c>
      <c r="B1501" s="4">
        <v>41117</v>
      </c>
      <c r="C1501" s="1" t="s">
        <v>20</v>
      </c>
      <c r="D1501" s="1" t="s">
        <v>26</v>
      </c>
      <c r="E1501" s="1">
        <v>0.67241898148148149</v>
      </c>
      <c r="F1501" s="1" t="s">
        <v>13</v>
      </c>
      <c r="G1501" s="1">
        <v>2.9</v>
      </c>
      <c r="H1501" s="1">
        <v>3</v>
      </c>
      <c r="I1501" s="1">
        <v>0</v>
      </c>
      <c r="J1501" s="4">
        <v>41118</v>
      </c>
      <c r="K1501" s="4">
        <v>44770</v>
      </c>
      <c r="L1501">
        <f t="shared" si="23"/>
        <v>2.95</v>
      </c>
    </row>
    <row r="1502" spans="1:12" x14ac:dyDescent="0.15">
      <c r="A1502" s="1">
        <v>1501</v>
      </c>
      <c r="B1502" s="4">
        <v>41117</v>
      </c>
      <c r="C1502" s="1" t="s">
        <v>25</v>
      </c>
      <c r="D1502" s="1" t="s">
        <v>26</v>
      </c>
      <c r="E1502" s="1">
        <v>0.67241898148148149</v>
      </c>
      <c r="F1502" s="1" t="s">
        <v>13</v>
      </c>
      <c r="G1502" s="1">
        <v>2.9</v>
      </c>
      <c r="H1502" s="1">
        <v>3</v>
      </c>
      <c r="I1502" s="1">
        <v>0</v>
      </c>
      <c r="J1502" s="4">
        <v>41118</v>
      </c>
      <c r="K1502" s="4">
        <v>42944</v>
      </c>
      <c r="L1502">
        <f t="shared" si="23"/>
        <v>2.95</v>
      </c>
    </row>
    <row r="1503" spans="1:12" x14ac:dyDescent="0.15">
      <c r="A1503" s="1">
        <v>1502</v>
      </c>
      <c r="B1503" s="4">
        <v>41117</v>
      </c>
      <c r="C1503" s="1" t="s">
        <v>16</v>
      </c>
      <c r="D1503" s="1" t="s">
        <v>26</v>
      </c>
      <c r="E1503" s="1">
        <v>0.67241898148148149</v>
      </c>
      <c r="F1503" s="1" t="s">
        <v>13</v>
      </c>
      <c r="G1503" s="1">
        <v>2.9</v>
      </c>
      <c r="H1503" s="1">
        <v>3</v>
      </c>
      <c r="I1503" s="1">
        <v>0</v>
      </c>
      <c r="J1503" s="4">
        <v>41118</v>
      </c>
      <c r="K1503" s="4">
        <v>42579</v>
      </c>
      <c r="L1503">
        <f t="shared" si="23"/>
        <v>2.95</v>
      </c>
    </row>
    <row r="1504" spans="1:12" x14ac:dyDescent="0.15">
      <c r="A1504" s="1">
        <v>1503</v>
      </c>
      <c r="B1504" s="4">
        <v>41117</v>
      </c>
      <c r="C1504" s="1" t="s">
        <v>14</v>
      </c>
      <c r="D1504" s="1" t="s">
        <v>26</v>
      </c>
      <c r="E1504" s="1">
        <v>0.67241898148148149</v>
      </c>
      <c r="F1504" s="1" t="s">
        <v>13</v>
      </c>
      <c r="G1504" s="1">
        <v>3.1</v>
      </c>
      <c r="H1504" s="1">
        <v>3.15</v>
      </c>
      <c r="I1504" s="1">
        <v>0</v>
      </c>
      <c r="J1504" s="4">
        <v>41118</v>
      </c>
      <c r="K1504" s="4">
        <v>41483</v>
      </c>
      <c r="L1504">
        <f t="shared" si="23"/>
        <v>3.125</v>
      </c>
    </row>
    <row r="1505" spans="1:12" x14ac:dyDescent="0.15">
      <c r="A1505" s="1">
        <v>1504</v>
      </c>
      <c r="B1505" s="4">
        <v>41116</v>
      </c>
      <c r="C1505" s="1" t="s">
        <v>16</v>
      </c>
      <c r="D1505" s="1" t="s">
        <v>27</v>
      </c>
      <c r="E1505" s="1">
        <v>0.48626157407407411</v>
      </c>
      <c r="F1505" s="1" t="s">
        <v>13</v>
      </c>
      <c r="G1505" s="1">
        <v>2.89</v>
      </c>
      <c r="H1505" s="1">
        <v>2.96</v>
      </c>
      <c r="I1505" s="1">
        <v>0</v>
      </c>
      <c r="J1505" s="4">
        <v>41117</v>
      </c>
      <c r="K1505" s="4">
        <v>42578</v>
      </c>
      <c r="L1505">
        <f t="shared" si="23"/>
        <v>2.9249999999999998</v>
      </c>
    </row>
    <row r="1506" spans="1:12" x14ac:dyDescent="0.15">
      <c r="A1506" s="1">
        <v>1505</v>
      </c>
      <c r="B1506" s="4">
        <v>41116</v>
      </c>
      <c r="C1506" s="1" t="s">
        <v>19</v>
      </c>
      <c r="D1506" s="1" t="s">
        <v>27</v>
      </c>
      <c r="E1506" s="1">
        <v>0.48626157407407411</v>
      </c>
      <c r="F1506" s="1" t="s">
        <v>13</v>
      </c>
      <c r="G1506" s="1">
        <v>3.25</v>
      </c>
      <c r="H1506" s="1">
        <v>3.32</v>
      </c>
      <c r="I1506" s="1">
        <v>0</v>
      </c>
      <c r="J1506" s="4">
        <v>41117</v>
      </c>
      <c r="K1506" s="4">
        <v>41391</v>
      </c>
      <c r="L1506">
        <f t="shared" si="23"/>
        <v>3.2850000000000001</v>
      </c>
    </row>
    <row r="1507" spans="1:12" x14ac:dyDescent="0.15">
      <c r="A1507" s="1">
        <v>1506</v>
      </c>
      <c r="B1507" s="4">
        <v>41116</v>
      </c>
      <c r="C1507" s="1" t="s">
        <v>14</v>
      </c>
      <c r="D1507" s="1" t="s">
        <v>15</v>
      </c>
      <c r="E1507" s="1">
        <v>0.48795138888888889</v>
      </c>
      <c r="F1507" s="1" t="s">
        <v>13</v>
      </c>
      <c r="G1507" s="1">
        <v>3.11</v>
      </c>
      <c r="H1507" s="1">
        <v>3.17</v>
      </c>
      <c r="I1507" s="1">
        <v>0</v>
      </c>
      <c r="J1507" s="4">
        <v>41117</v>
      </c>
      <c r="K1507" s="4">
        <v>41482</v>
      </c>
      <c r="L1507">
        <f t="shared" si="23"/>
        <v>3.1399999999999997</v>
      </c>
    </row>
    <row r="1508" spans="1:12" x14ac:dyDescent="0.15">
      <c r="A1508" s="1">
        <v>1507</v>
      </c>
      <c r="B1508" s="4">
        <v>41116</v>
      </c>
      <c r="C1508" s="1" t="s">
        <v>22</v>
      </c>
      <c r="D1508" s="1" t="s">
        <v>15</v>
      </c>
      <c r="E1508" s="1">
        <v>0.48795138888888889</v>
      </c>
      <c r="F1508" s="1" t="s">
        <v>13</v>
      </c>
      <c r="G1508" s="1">
        <v>3.47</v>
      </c>
      <c r="H1508" s="1">
        <v>3.51</v>
      </c>
      <c r="I1508" s="1">
        <v>0</v>
      </c>
      <c r="J1508" s="4">
        <v>41117</v>
      </c>
      <c r="K1508" s="4">
        <v>41301</v>
      </c>
      <c r="L1508">
        <f t="shared" si="23"/>
        <v>3.49</v>
      </c>
    </row>
    <row r="1509" spans="1:12" x14ac:dyDescent="0.15">
      <c r="A1509" s="1">
        <v>1508</v>
      </c>
      <c r="B1509" s="4">
        <v>41116</v>
      </c>
      <c r="C1509" s="1" t="s">
        <v>25</v>
      </c>
      <c r="D1509" s="1" t="s">
        <v>27</v>
      </c>
      <c r="E1509" s="1">
        <v>0.48626157407407411</v>
      </c>
      <c r="F1509" s="1" t="s">
        <v>13</v>
      </c>
      <c r="G1509" s="1">
        <v>2.93</v>
      </c>
      <c r="H1509" s="1">
        <v>3</v>
      </c>
      <c r="I1509" s="1">
        <v>0</v>
      </c>
      <c r="J1509" s="4">
        <v>41117</v>
      </c>
      <c r="K1509" s="4">
        <v>42943</v>
      </c>
      <c r="L1509">
        <f t="shared" si="23"/>
        <v>2.9649999999999999</v>
      </c>
    </row>
    <row r="1510" spans="1:12" x14ac:dyDescent="0.15">
      <c r="A1510" s="1">
        <v>1509</v>
      </c>
      <c r="B1510" s="4">
        <v>41116</v>
      </c>
      <c r="C1510" s="1" t="s">
        <v>22</v>
      </c>
      <c r="D1510" s="1" t="s">
        <v>27</v>
      </c>
      <c r="E1510" s="1">
        <v>0.48626157407407411</v>
      </c>
      <c r="F1510" s="1" t="s">
        <v>13</v>
      </c>
      <c r="G1510" s="1">
        <v>3.45</v>
      </c>
      <c r="H1510" s="1">
        <v>3.55</v>
      </c>
      <c r="I1510" s="1">
        <v>0</v>
      </c>
      <c r="J1510" s="4">
        <v>41117</v>
      </c>
      <c r="K1510" s="4">
        <v>41301</v>
      </c>
      <c r="L1510">
        <f t="shared" si="23"/>
        <v>3.5</v>
      </c>
    </row>
    <row r="1511" spans="1:12" x14ac:dyDescent="0.15">
      <c r="A1511" s="1">
        <v>1510</v>
      </c>
      <c r="B1511" s="4">
        <v>41116</v>
      </c>
      <c r="C1511" s="1" t="s">
        <v>18</v>
      </c>
      <c r="D1511" s="1" t="s">
        <v>27</v>
      </c>
      <c r="E1511" s="1">
        <v>0.48626157407407411</v>
      </c>
      <c r="F1511" s="1" t="s">
        <v>13</v>
      </c>
      <c r="G1511" s="1">
        <v>2.89</v>
      </c>
      <c r="H1511" s="1">
        <v>2.99</v>
      </c>
      <c r="I1511" s="1">
        <v>0</v>
      </c>
      <c r="J1511" s="4">
        <v>41117</v>
      </c>
      <c r="K1511" s="4">
        <v>41847</v>
      </c>
      <c r="L1511">
        <f t="shared" si="23"/>
        <v>2.9400000000000004</v>
      </c>
    </row>
    <row r="1512" spans="1:12" x14ac:dyDescent="0.15">
      <c r="A1512" s="1">
        <v>1511</v>
      </c>
      <c r="B1512" s="4">
        <v>41116</v>
      </c>
      <c r="C1512" s="1" t="s">
        <v>14</v>
      </c>
      <c r="D1512" s="1" t="s">
        <v>27</v>
      </c>
      <c r="E1512" s="1">
        <v>0.48626157407407411</v>
      </c>
      <c r="F1512" s="1" t="s">
        <v>13</v>
      </c>
      <c r="G1512" s="1">
        <v>3.09</v>
      </c>
      <c r="H1512" s="1">
        <v>3.19</v>
      </c>
      <c r="I1512" s="1">
        <v>0</v>
      </c>
      <c r="J1512" s="4">
        <v>41117</v>
      </c>
      <c r="K1512" s="4">
        <v>41482</v>
      </c>
      <c r="L1512">
        <f t="shared" si="23"/>
        <v>3.1399999999999997</v>
      </c>
    </row>
    <row r="1513" spans="1:12" x14ac:dyDescent="0.15">
      <c r="A1513" s="1">
        <v>1512</v>
      </c>
      <c r="B1513" s="4">
        <v>41116</v>
      </c>
      <c r="C1513" s="1" t="s">
        <v>11</v>
      </c>
      <c r="D1513" s="1" t="s">
        <v>27</v>
      </c>
      <c r="E1513" s="1">
        <v>0.48626157407407411</v>
      </c>
      <c r="F1513" s="1" t="s">
        <v>13</v>
      </c>
      <c r="G1513" s="1">
        <v>2.87</v>
      </c>
      <c r="H1513" s="1">
        <v>2.97</v>
      </c>
      <c r="I1513" s="1">
        <v>0</v>
      </c>
      <c r="J1513" s="4">
        <v>41117</v>
      </c>
      <c r="K1513" s="4">
        <v>42212</v>
      </c>
      <c r="L1513">
        <f t="shared" si="23"/>
        <v>2.92</v>
      </c>
    </row>
    <row r="1514" spans="1:12" x14ac:dyDescent="0.15">
      <c r="A1514" s="1">
        <v>1513</v>
      </c>
      <c r="B1514" s="4">
        <v>41116</v>
      </c>
      <c r="C1514" s="1" t="s">
        <v>25</v>
      </c>
      <c r="D1514" s="1" t="s">
        <v>15</v>
      </c>
      <c r="E1514" s="1">
        <v>0.48797453703703703</v>
      </c>
      <c r="F1514" s="1" t="s">
        <v>13</v>
      </c>
      <c r="G1514" s="1">
        <v>2.92</v>
      </c>
      <c r="H1514" s="1">
        <v>2.98</v>
      </c>
      <c r="I1514" s="1">
        <v>0</v>
      </c>
      <c r="J1514" s="4">
        <v>41117</v>
      </c>
      <c r="K1514" s="4">
        <v>42943</v>
      </c>
      <c r="L1514">
        <f t="shared" si="23"/>
        <v>2.95</v>
      </c>
    </row>
    <row r="1515" spans="1:12" x14ac:dyDescent="0.15">
      <c r="A1515" s="1">
        <v>1514</v>
      </c>
      <c r="B1515" s="4">
        <v>41116</v>
      </c>
      <c r="C1515" s="1" t="s">
        <v>14</v>
      </c>
      <c r="D1515" s="1" t="s">
        <v>27</v>
      </c>
      <c r="E1515" s="1">
        <v>0.67570601851851853</v>
      </c>
      <c r="F1515" s="1" t="s">
        <v>13</v>
      </c>
      <c r="G1515" s="1">
        <v>3.09</v>
      </c>
      <c r="H1515" s="1">
        <v>3.19</v>
      </c>
      <c r="I1515" s="1">
        <v>0</v>
      </c>
      <c r="J1515" s="4">
        <v>41117</v>
      </c>
      <c r="K1515" s="4">
        <v>41482</v>
      </c>
      <c r="L1515">
        <f t="shared" si="23"/>
        <v>3.1399999999999997</v>
      </c>
    </row>
    <row r="1516" spans="1:12" x14ac:dyDescent="0.15">
      <c r="A1516" s="1">
        <v>1515</v>
      </c>
      <c r="B1516" s="4">
        <v>41116</v>
      </c>
      <c r="C1516" s="1" t="s">
        <v>20</v>
      </c>
      <c r="D1516" s="1" t="s">
        <v>15</v>
      </c>
      <c r="E1516" s="1">
        <v>0.48797453703703703</v>
      </c>
      <c r="F1516" s="1" t="s">
        <v>13</v>
      </c>
      <c r="G1516" s="1">
        <v>3.04</v>
      </c>
      <c r="H1516" s="1">
        <v>3.1</v>
      </c>
      <c r="I1516" s="1">
        <v>0</v>
      </c>
      <c r="J1516" s="4">
        <v>41117</v>
      </c>
      <c r="K1516" s="4">
        <v>44769</v>
      </c>
      <c r="L1516">
        <f t="shared" si="23"/>
        <v>3.0700000000000003</v>
      </c>
    </row>
    <row r="1517" spans="1:12" x14ac:dyDescent="0.15">
      <c r="A1517" s="1">
        <v>1516</v>
      </c>
      <c r="B1517" s="4">
        <v>41116</v>
      </c>
      <c r="C1517" s="1" t="s">
        <v>16</v>
      </c>
      <c r="D1517" s="1" t="s">
        <v>27</v>
      </c>
      <c r="E1517" s="1">
        <v>0.67571759259259256</v>
      </c>
      <c r="F1517" s="1" t="s">
        <v>13</v>
      </c>
      <c r="G1517" s="1">
        <v>2.86</v>
      </c>
      <c r="H1517" s="1">
        <v>2.96</v>
      </c>
      <c r="I1517" s="1">
        <v>0</v>
      </c>
      <c r="J1517" s="4">
        <v>41117</v>
      </c>
      <c r="K1517" s="4">
        <v>42578</v>
      </c>
      <c r="L1517">
        <f t="shared" si="23"/>
        <v>2.91</v>
      </c>
    </row>
    <row r="1518" spans="1:12" x14ac:dyDescent="0.15">
      <c r="A1518" s="1">
        <v>1517</v>
      </c>
      <c r="B1518" s="4">
        <v>41116</v>
      </c>
      <c r="C1518" s="1" t="s">
        <v>25</v>
      </c>
      <c r="D1518" s="1" t="s">
        <v>27</v>
      </c>
      <c r="E1518" s="1">
        <v>0.67570601851851853</v>
      </c>
      <c r="F1518" s="1" t="s">
        <v>13</v>
      </c>
      <c r="G1518" s="1">
        <v>2.9</v>
      </c>
      <c r="H1518" s="1">
        <v>3</v>
      </c>
      <c r="I1518" s="1">
        <v>0</v>
      </c>
      <c r="J1518" s="4">
        <v>41117</v>
      </c>
      <c r="K1518" s="4">
        <v>42943</v>
      </c>
      <c r="L1518">
        <f t="shared" si="23"/>
        <v>2.95</v>
      </c>
    </row>
    <row r="1519" spans="1:12" x14ac:dyDescent="0.15">
      <c r="A1519" s="1">
        <v>1518</v>
      </c>
      <c r="B1519" s="4">
        <v>41116</v>
      </c>
      <c r="C1519" s="1" t="s">
        <v>19</v>
      </c>
      <c r="D1519" s="1" t="s">
        <v>15</v>
      </c>
      <c r="E1519" s="1">
        <v>0.48797453703703703</v>
      </c>
      <c r="F1519" s="1" t="s">
        <v>13</v>
      </c>
      <c r="G1519" s="1">
        <v>3.27</v>
      </c>
      <c r="H1519" s="1">
        <v>3.33</v>
      </c>
      <c r="I1519" s="1">
        <v>0</v>
      </c>
      <c r="J1519" s="4">
        <v>41117</v>
      </c>
      <c r="K1519" s="4">
        <v>41391</v>
      </c>
      <c r="L1519">
        <f t="shared" si="23"/>
        <v>3.3</v>
      </c>
    </row>
    <row r="1520" spans="1:12" x14ac:dyDescent="0.15">
      <c r="A1520" s="1">
        <v>1519</v>
      </c>
      <c r="B1520" s="4">
        <v>41116</v>
      </c>
      <c r="C1520" s="1" t="s">
        <v>11</v>
      </c>
      <c r="D1520" s="1" t="s">
        <v>15</v>
      </c>
      <c r="E1520" s="1">
        <v>0.48797453703703703</v>
      </c>
      <c r="F1520" s="1" t="s">
        <v>13</v>
      </c>
      <c r="G1520" s="1">
        <v>2.91</v>
      </c>
      <c r="H1520" s="1">
        <v>2.97</v>
      </c>
      <c r="I1520" s="1">
        <v>0</v>
      </c>
      <c r="J1520" s="4">
        <v>41117</v>
      </c>
      <c r="K1520" s="4">
        <v>42212</v>
      </c>
      <c r="L1520">
        <f t="shared" si="23"/>
        <v>2.9400000000000004</v>
      </c>
    </row>
    <row r="1521" spans="1:12" x14ac:dyDescent="0.15">
      <c r="A1521" s="1">
        <v>1520</v>
      </c>
      <c r="B1521" s="4">
        <v>41116</v>
      </c>
      <c r="C1521" s="1" t="s">
        <v>16</v>
      </c>
      <c r="D1521" s="1" t="s">
        <v>15</v>
      </c>
      <c r="E1521" s="1">
        <v>0.48797453703703703</v>
      </c>
      <c r="F1521" s="1" t="s">
        <v>13</v>
      </c>
      <c r="G1521" s="1">
        <v>2.91</v>
      </c>
      <c r="H1521" s="1">
        <v>2.97</v>
      </c>
      <c r="I1521" s="1">
        <v>0</v>
      </c>
      <c r="J1521" s="4">
        <v>41117</v>
      </c>
      <c r="K1521" s="4">
        <v>42578</v>
      </c>
      <c r="L1521">
        <f t="shared" si="23"/>
        <v>2.9400000000000004</v>
      </c>
    </row>
    <row r="1522" spans="1:12" x14ac:dyDescent="0.15">
      <c r="A1522" s="1">
        <v>1521</v>
      </c>
      <c r="B1522" s="4">
        <v>41116</v>
      </c>
      <c r="C1522" s="1" t="s">
        <v>21</v>
      </c>
      <c r="D1522" s="1" t="s">
        <v>15</v>
      </c>
      <c r="E1522" s="1">
        <v>0.48797453703703703</v>
      </c>
      <c r="F1522" s="1" t="s">
        <v>13</v>
      </c>
      <c r="G1522" s="1">
        <v>2.99</v>
      </c>
      <c r="H1522" s="1">
        <v>3.03</v>
      </c>
      <c r="I1522" s="1">
        <v>0</v>
      </c>
      <c r="J1522" s="4">
        <v>41117</v>
      </c>
      <c r="K1522" s="4">
        <v>43673</v>
      </c>
      <c r="L1522">
        <f t="shared" si="23"/>
        <v>3.01</v>
      </c>
    </row>
    <row r="1523" spans="1:12" x14ac:dyDescent="0.15">
      <c r="A1523" s="1">
        <v>1522</v>
      </c>
      <c r="B1523" s="4">
        <v>41116</v>
      </c>
      <c r="C1523" s="1" t="s">
        <v>18</v>
      </c>
      <c r="D1523" s="1" t="s">
        <v>15</v>
      </c>
      <c r="E1523" s="1">
        <v>0.48797453703703703</v>
      </c>
      <c r="F1523" s="1" t="s">
        <v>13</v>
      </c>
      <c r="G1523" s="1">
        <v>2.93</v>
      </c>
      <c r="H1523" s="1">
        <v>2.99</v>
      </c>
      <c r="I1523" s="1">
        <v>0</v>
      </c>
      <c r="J1523" s="4">
        <v>41117</v>
      </c>
      <c r="K1523" s="4">
        <v>41847</v>
      </c>
      <c r="L1523">
        <f t="shared" si="23"/>
        <v>2.96</v>
      </c>
    </row>
    <row r="1524" spans="1:12" x14ac:dyDescent="0.15">
      <c r="A1524" s="1">
        <v>1523</v>
      </c>
      <c r="B1524" s="4">
        <v>41116</v>
      </c>
      <c r="C1524" s="1" t="s">
        <v>11</v>
      </c>
      <c r="D1524" s="1" t="s">
        <v>26</v>
      </c>
      <c r="E1524" s="1">
        <v>0.48319444444444443</v>
      </c>
      <c r="F1524" s="1" t="s">
        <v>13</v>
      </c>
      <c r="G1524" s="1">
        <v>2.9</v>
      </c>
      <c r="H1524" s="1">
        <v>3</v>
      </c>
      <c r="I1524" s="1">
        <v>0</v>
      </c>
      <c r="J1524" s="4">
        <v>41117</v>
      </c>
      <c r="K1524" s="4">
        <v>42212</v>
      </c>
      <c r="L1524">
        <f t="shared" si="23"/>
        <v>2.95</v>
      </c>
    </row>
    <row r="1525" spans="1:12" x14ac:dyDescent="0.15">
      <c r="A1525" s="1">
        <v>1524</v>
      </c>
      <c r="B1525" s="4">
        <v>41116</v>
      </c>
      <c r="C1525" s="1" t="s">
        <v>16</v>
      </c>
      <c r="D1525" s="1" t="s">
        <v>33</v>
      </c>
      <c r="E1525" s="1">
        <v>0.4004050925925926</v>
      </c>
      <c r="F1525" s="1" t="s">
        <v>13</v>
      </c>
      <c r="G1525" s="1">
        <v>2.92</v>
      </c>
      <c r="H1525" s="1">
        <v>2.98</v>
      </c>
      <c r="I1525" s="1">
        <v>0</v>
      </c>
      <c r="J1525" s="4">
        <v>41117</v>
      </c>
      <c r="K1525" s="4">
        <v>42578</v>
      </c>
      <c r="L1525">
        <f t="shared" si="23"/>
        <v>2.95</v>
      </c>
    </row>
    <row r="1526" spans="1:12" x14ac:dyDescent="0.15">
      <c r="A1526" s="1">
        <v>1525</v>
      </c>
      <c r="B1526" s="4">
        <v>41116</v>
      </c>
      <c r="C1526" s="1" t="s">
        <v>11</v>
      </c>
      <c r="D1526" s="1" t="s">
        <v>33</v>
      </c>
      <c r="E1526" s="1">
        <v>0.4004050925925926</v>
      </c>
      <c r="F1526" s="1" t="s">
        <v>13</v>
      </c>
      <c r="G1526" s="1">
        <v>2.92</v>
      </c>
      <c r="H1526" s="1">
        <v>2.98</v>
      </c>
      <c r="I1526" s="1">
        <v>0</v>
      </c>
      <c r="J1526" s="4">
        <v>41117</v>
      </c>
      <c r="K1526" s="4">
        <v>42212</v>
      </c>
      <c r="L1526">
        <f t="shared" si="23"/>
        <v>2.95</v>
      </c>
    </row>
    <row r="1527" spans="1:12" x14ac:dyDescent="0.15">
      <c r="A1527" s="1">
        <v>1526</v>
      </c>
      <c r="B1527" s="4">
        <v>41116</v>
      </c>
      <c r="C1527" s="1" t="s">
        <v>23</v>
      </c>
      <c r="D1527" s="1" t="s">
        <v>33</v>
      </c>
      <c r="E1527" s="1">
        <v>0.4004050925925926</v>
      </c>
      <c r="F1527" s="1" t="s">
        <v>13</v>
      </c>
      <c r="G1527" s="1">
        <v>2.91</v>
      </c>
      <c r="H1527" s="1">
        <v>3.04</v>
      </c>
      <c r="I1527" s="1">
        <v>0</v>
      </c>
      <c r="J1527" s="4">
        <v>41117</v>
      </c>
      <c r="K1527" s="4">
        <v>43308</v>
      </c>
      <c r="L1527">
        <f t="shared" si="23"/>
        <v>2.9750000000000001</v>
      </c>
    </row>
    <row r="1528" spans="1:12" x14ac:dyDescent="0.15">
      <c r="A1528" s="1">
        <v>1527</v>
      </c>
      <c r="B1528" s="4">
        <v>41116</v>
      </c>
      <c r="C1528" s="1" t="s">
        <v>25</v>
      </c>
      <c r="D1528" s="1" t="s">
        <v>33</v>
      </c>
      <c r="E1528" s="1">
        <v>0.4004050925925926</v>
      </c>
      <c r="F1528" s="1" t="s">
        <v>13</v>
      </c>
      <c r="G1528" s="1">
        <v>2.93</v>
      </c>
      <c r="H1528" s="1">
        <v>2.99</v>
      </c>
      <c r="I1528" s="1">
        <v>0</v>
      </c>
      <c r="J1528" s="4">
        <v>41117</v>
      </c>
      <c r="K1528" s="4">
        <v>42943</v>
      </c>
      <c r="L1528">
        <f t="shared" si="23"/>
        <v>2.96</v>
      </c>
    </row>
    <row r="1529" spans="1:12" x14ac:dyDescent="0.15">
      <c r="A1529" s="1">
        <v>1528</v>
      </c>
      <c r="B1529" s="4">
        <v>41116</v>
      </c>
      <c r="C1529" s="1" t="s">
        <v>18</v>
      </c>
      <c r="D1529" s="1" t="s">
        <v>33</v>
      </c>
      <c r="E1529" s="1">
        <v>0.4004050925925926</v>
      </c>
      <c r="F1529" s="1" t="s">
        <v>13</v>
      </c>
      <c r="G1529" s="1">
        <v>2.94</v>
      </c>
      <c r="H1529" s="1">
        <v>3</v>
      </c>
      <c r="I1529" s="1">
        <v>0</v>
      </c>
      <c r="J1529" s="4">
        <v>41117</v>
      </c>
      <c r="K1529" s="4">
        <v>41847</v>
      </c>
      <c r="L1529">
        <f t="shared" si="23"/>
        <v>2.9699999999999998</v>
      </c>
    </row>
    <row r="1530" spans="1:12" x14ac:dyDescent="0.15">
      <c r="A1530" s="1">
        <v>1529</v>
      </c>
      <c r="B1530" s="4">
        <v>41116</v>
      </c>
      <c r="C1530" s="1" t="s">
        <v>17</v>
      </c>
      <c r="D1530" s="1" t="s">
        <v>33</v>
      </c>
      <c r="E1530" s="1">
        <v>0.4004050925925926</v>
      </c>
      <c r="F1530" s="1" t="s">
        <v>13</v>
      </c>
      <c r="G1530" s="1">
        <v>2.93</v>
      </c>
      <c r="H1530" s="1">
        <v>3.18</v>
      </c>
      <c r="I1530" s="1">
        <v>0</v>
      </c>
      <c r="J1530" s="4">
        <v>41117</v>
      </c>
      <c r="K1530" s="4">
        <v>44404</v>
      </c>
      <c r="L1530">
        <f t="shared" si="23"/>
        <v>3.0550000000000002</v>
      </c>
    </row>
    <row r="1531" spans="1:12" x14ac:dyDescent="0.15">
      <c r="A1531" s="1">
        <v>1530</v>
      </c>
      <c r="B1531" s="4">
        <v>41116</v>
      </c>
      <c r="C1531" s="1" t="s">
        <v>22</v>
      </c>
      <c r="D1531" s="1" t="s">
        <v>33</v>
      </c>
      <c r="E1531" s="1">
        <v>0.40039351851851851</v>
      </c>
      <c r="F1531" s="1" t="s">
        <v>13</v>
      </c>
      <c r="G1531" s="1">
        <v>3.47</v>
      </c>
      <c r="H1531" s="1">
        <v>3.52</v>
      </c>
      <c r="I1531" s="1">
        <v>0</v>
      </c>
      <c r="J1531" s="4">
        <v>41117</v>
      </c>
      <c r="K1531" s="4">
        <v>41301</v>
      </c>
      <c r="L1531">
        <f t="shared" si="23"/>
        <v>3.4950000000000001</v>
      </c>
    </row>
    <row r="1532" spans="1:12" x14ac:dyDescent="0.15">
      <c r="A1532" s="1">
        <v>1531</v>
      </c>
      <c r="B1532" s="4">
        <v>41116</v>
      </c>
      <c r="C1532" s="1" t="s">
        <v>14</v>
      </c>
      <c r="D1532" s="1" t="s">
        <v>33</v>
      </c>
      <c r="E1532" s="1">
        <v>0.4004050925925926</v>
      </c>
      <c r="F1532" s="1" t="s">
        <v>13</v>
      </c>
      <c r="G1532" s="1">
        <v>3.12</v>
      </c>
      <c r="H1532" s="1">
        <v>3.18</v>
      </c>
      <c r="I1532" s="1">
        <v>0</v>
      </c>
      <c r="J1532" s="4">
        <v>41117</v>
      </c>
      <c r="K1532" s="4">
        <v>41482</v>
      </c>
      <c r="L1532">
        <f t="shared" si="23"/>
        <v>3.1500000000000004</v>
      </c>
    </row>
    <row r="1533" spans="1:12" x14ac:dyDescent="0.15">
      <c r="A1533" s="1">
        <v>1532</v>
      </c>
      <c r="B1533" s="4">
        <v>41116</v>
      </c>
      <c r="C1533" s="1" t="s">
        <v>20</v>
      </c>
      <c r="D1533" s="1" t="s">
        <v>33</v>
      </c>
      <c r="E1533" s="1">
        <v>0.4004050925925926</v>
      </c>
      <c r="F1533" s="1" t="s">
        <v>13</v>
      </c>
      <c r="G1533" s="1">
        <v>2.93</v>
      </c>
      <c r="H1533" s="1">
        <v>3.23</v>
      </c>
      <c r="I1533" s="1">
        <v>0</v>
      </c>
      <c r="J1533" s="4">
        <v>41117</v>
      </c>
      <c r="K1533" s="4">
        <v>44769</v>
      </c>
      <c r="L1533">
        <f t="shared" si="23"/>
        <v>3.08</v>
      </c>
    </row>
    <row r="1534" spans="1:12" x14ac:dyDescent="0.15">
      <c r="A1534" s="1">
        <v>1533</v>
      </c>
      <c r="B1534" s="4">
        <v>41116</v>
      </c>
      <c r="C1534" s="1" t="s">
        <v>21</v>
      </c>
      <c r="D1534" s="1" t="s">
        <v>33</v>
      </c>
      <c r="E1534" s="1">
        <v>0.4004050925925926</v>
      </c>
      <c r="F1534" s="1" t="s">
        <v>13</v>
      </c>
      <c r="G1534" s="1">
        <v>2.93</v>
      </c>
      <c r="H1534" s="1">
        <v>3.08</v>
      </c>
      <c r="I1534" s="1">
        <v>0</v>
      </c>
      <c r="J1534" s="4">
        <v>41117</v>
      </c>
      <c r="K1534" s="4">
        <v>43673</v>
      </c>
      <c r="L1534">
        <f t="shared" si="23"/>
        <v>3.0049999999999999</v>
      </c>
    </row>
    <row r="1535" spans="1:12" x14ac:dyDescent="0.15">
      <c r="A1535" s="1">
        <v>1534</v>
      </c>
      <c r="B1535" s="4">
        <v>41116</v>
      </c>
      <c r="C1535" s="1" t="s">
        <v>21</v>
      </c>
      <c r="D1535" s="1" t="s">
        <v>26</v>
      </c>
      <c r="E1535" s="1">
        <v>0.48317129629629635</v>
      </c>
      <c r="F1535" s="1" t="s">
        <v>13</v>
      </c>
      <c r="G1535" s="1">
        <v>2.9</v>
      </c>
      <c r="H1535" s="1">
        <v>3</v>
      </c>
      <c r="I1535" s="1">
        <v>0</v>
      </c>
      <c r="J1535" s="4">
        <v>41117</v>
      </c>
      <c r="K1535" s="4">
        <v>43673</v>
      </c>
      <c r="L1535">
        <f t="shared" si="23"/>
        <v>2.95</v>
      </c>
    </row>
    <row r="1536" spans="1:12" x14ac:dyDescent="0.15">
      <c r="A1536" s="1">
        <v>1535</v>
      </c>
      <c r="B1536" s="4">
        <v>41116</v>
      </c>
      <c r="C1536" s="1" t="s">
        <v>19</v>
      </c>
      <c r="D1536" s="1" t="s">
        <v>26</v>
      </c>
      <c r="E1536" s="1">
        <v>0.48317129629629635</v>
      </c>
      <c r="F1536" s="1" t="s">
        <v>13</v>
      </c>
      <c r="G1536" s="1">
        <v>3.2</v>
      </c>
      <c r="H1536" s="1">
        <v>3.28</v>
      </c>
      <c r="I1536" s="1">
        <v>0</v>
      </c>
      <c r="J1536" s="4">
        <v>41117</v>
      </c>
      <c r="K1536" s="4">
        <v>41391</v>
      </c>
      <c r="L1536">
        <f t="shared" si="23"/>
        <v>3.24</v>
      </c>
    </row>
    <row r="1537" spans="1:12" x14ac:dyDescent="0.15">
      <c r="A1537" s="1">
        <v>1536</v>
      </c>
      <c r="B1537" s="4">
        <v>41116</v>
      </c>
      <c r="C1537" s="1" t="s">
        <v>16</v>
      </c>
      <c r="D1537" s="1" t="s">
        <v>26</v>
      </c>
      <c r="E1537" s="1">
        <v>0.48318287037037039</v>
      </c>
      <c r="F1537" s="1" t="s">
        <v>13</v>
      </c>
      <c r="G1537" s="1">
        <v>2.9</v>
      </c>
      <c r="H1537" s="1">
        <v>3</v>
      </c>
      <c r="I1537" s="1">
        <v>0</v>
      </c>
      <c r="J1537" s="4">
        <v>41117</v>
      </c>
      <c r="K1537" s="4">
        <v>42578</v>
      </c>
      <c r="L1537">
        <f t="shared" si="23"/>
        <v>2.95</v>
      </c>
    </row>
    <row r="1538" spans="1:12" x14ac:dyDescent="0.15">
      <c r="A1538" s="1">
        <v>1537</v>
      </c>
      <c r="B1538" s="4">
        <v>41116</v>
      </c>
      <c r="C1538" s="1" t="s">
        <v>25</v>
      </c>
      <c r="D1538" s="1" t="s">
        <v>26</v>
      </c>
      <c r="E1538" s="1">
        <v>0.48318287037037039</v>
      </c>
      <c r="F1538" s="1" t="s">
        <v>13</v>
      </c>
      <c r="G1538" s="1">
        <v>2.9</v>
      </c>
      <c r="H1538" s="1">
        <v>3</v>
      </c>
      <c r="I1538" s="1">
        <v>0</v>
      </c>
      <c r="J1538" s="4">
        <v>41117</v>
      </c>
      <c r="K1538" s="4">
        <v>42943</v>
      </c>
      <c r="L1538">
        <f t="shared" si="23"/>
        <v>2.95</v>
      </c>
    </row>
    <row r="1539" spans="1:12" x14ac:dyDescent="0.15">
      <c r="A1539" s="1">
        <v>1538</v>
      </c>
      <c r="B1539" s="4">
        <v>41116</v>
      </c>
      <c r="C1539" s="1" t="s">
        <v>18</v>
      </c>
      <c r="D1539" s="1" t="s">
        <v>26</v>
      </c>
      <c r="E1539" s="1">
        <v>0.48314814814814816</v>
      </c>
      <c r="F1539" s="1" t="s">
        <v>13</v>
      </c>
      <c r="G1539" s="1">
        <v>2.93</v>
      </c>
      <c r="H1539" s="1">
        <v>3.02</v>
      </c>
      <c r="I1539" s="1">
        <v>0</v>
      </c>
      <c r="J1539" s="4">
        <v>41117</v>
      </c>
      <c r="K1539" s="4">
        <v>41847</v>
      </c>
      <c r="L1539">
        <f t="shared" ref="L1539:L1602" si="24">AVERAGE(G1539:H1539)</f>
        <v>2.9750000000000001</v>
      </c>
    </row>
    <row r="1540" spans="1:12" x14ac:dyDescent="0.15">
      <c r="A1540" s="1">
        <v>1539</v>
      </c>
      <c r="B1540" s="4">
        <v>41116</v>
      </c>
      <c r="C1540" s="1" t="s">
        <v>22</v>
      </c>
      <c r="D1540" s="1" t="s">
        <v>26</v>
      </c>
      <c r="E1540" s="1">
        <v>0.48313657407407407</v>
      </c>
      <c r="F1540" s="1" t="s">
        <v>13</v>
      </c>
      <c r="G1540" s="1">
        <v>3.45</v>
      </c>
      <c r="H1540" s="1">
        <v>3.5</v>
      </c>
      <c r="I1540" s="1">
        <v>0</v>
      </c>
      <c r="J1540" s="4">
        <v>41117</v>
      </c>
      <c r="K1540" s="4">
        <v>41301</v>
      </c>
      <c r="L1540">
        <f t="shared" si="24"/>
        <v>3.4750000000000001</v>
      </c>
    </row>
    <row r="1541" spans="1:12" x14ac:dyDescent="0.15">
      <c r="A1541" s="1">
        <v>1540</v>
      </c>
      <c r="B1541" s="4">
        <v>41116</v>
      </c>
      <c r="C1541" s="1" t="s">
        <v>24</v>
      </c>
      <c r="D1541" s="1" t="s">
        <v>33</v>
      </c>
      <c r="E1541" s="1">
        <v>0.4004050925925926</v>
      </c>
      <c r="F1541" s="1" t="s">
        <v>13</v>
      </c>
      <c r="G1541" s="1">
        <v>2.93</v>
      </c>
      <c r="H1541" s="1">
        <v>3.13</v>
      </c>
      <c r="I1541" s="1">
        <v>0</v>
      </c>
      <c r="J1541" s="4">
        <v>41117</v>
      </c>
      <c r="K1541" s="4">
        <v>44039</v>
      </c>
      <c r="L1541">
        <f t="shared" si="24"/>
        <v>3.0300000000000002</v>
      </c>
    </row>
    <row r="1542" spans="1:12" x14ac:dyDescent="0.15">
      <c r="A1542" s="1">
        <v>1541</v>
      </c>
      <c r="B1542" s="4">
        <v>41116</v>
      </c>
      <c r="C1542" s="1" t="s">
        <v>20</v>
      </c>
      <c r="D1542" s="1" t="s">
        <v>26</v>
      </c>
      <c r="E1542" s="1">
        <v>0.48314814814814816</v>
      </c>
      <c r="F1542" s="1" t="s">
        <v>13</v>
      </c>
      <c r="G1542" s="1">
        <v>2.9</v>
      </c>
      <c r="H1542" s="1">
        <v>3</v>
      </c>
      <c r="I1542" s="1">
        <v>0</v>
      </c>
      <c r="J1542" s="4">
        <v>41117</v>
      </c>
      <c r="K1542" s="4">
        <v>44769</v>
      </c>
      <c r="L1542">
        <f t="shared" si="24"/>
        <v>2.95</v>
      </c>
    </row>
    <row r="1543" spans="1:12" x14ac:dyDescent="0.15">
      <c r="A1543" s="1">
        <v>1542</v>
      </c>
      <c r="B1543" s="4">
        <v>41116</v>
      </c>
      <c r="C1543" s="1" t="s">
        <v>14</v>
      </c>
      <c r="D1543" s="1" t="s">
        <v>26</v>
      </c>
      <c r="E1543" s="1">
        <v>0.48313657407407407</v>
      </c>
      <c r="F1543" s="1" t="s">
        <v>13</v>
      </c>
      <c r="G1543" s="1">
        <v>3.1</v>
      </c>
      <c r="H1543" s="1">
        <v>3.15</v>
      </c>
      <c r="I1543" s="1">
        <v>0</v>
      </c>
      <c r="J1543" s="4">
        <v>41117</v>
      </c>
      <c r="K1543" s="4">
        <v>41482</v>
      </c>
      <c r="L1543">
        <f t="shared" si="24"/>
        <v>3.125</v>
      </c>
    </row>
    <row r="1544" spans="1:12" x14ac:dyDescent="0.15">
      <c r="A1544" s="1">
        <v>1543</v>
      </c>
      <c r="B1544" s="4">
        <v>41116</v>
      </c>
      <c r="C1544" s="1" t="s">
        <v>19</v>
      </c>
      <c r="D1544" s="1" t="s">
        <v>27</v>
      </c>
      <c r="E1544" s="1">
        <v>0.67571759259259256</v>
      </c>
      <c r="F1544" s="1" t="s">
        <v>13</v>
      </c>
      <c r="G1544" s="1">
        <v>3.23</v>
      </c>
      <c r="H1544" s="1">
        <v>3.33</v>
      </c>
      <c r="I1544" s="1">
        <v>0</v>
      </c>
      <c r="J1544" s="4">
        <v>41117</v>
      </c>
      <c r="K1544" s="4">
        <v>41391</v>
      </c>
      <c r="L1544">
        <f t="shared" si="24"/>
        <v>3.2800000000000002</v>
      </c>
    </row>
    <row r="1545" spans="1:12" x14ac:dyDescent="0.15">
      <c r="A1545" s="1">
        <v>1544</v>
      </c>
      <c r="B1545" s="4">
        <v>41116</v>
      </c>
      <c r="C1545" s="1" t="s">
        <v>11</v>
      </c>
      <c r="D1545" s="1" t="s">
        <v>30</v>
      </c>
      <c r="E1545" s="1">
        <v>0.68201388888888881</v>
      </c>
      <c r="F1545" s="1" t="s">
        <v>13</v>
      </c>
      <c r="G1545" s="1">
        <v>2.87</v>
      </c>
      <c r="H1545" s="1">
        <v>2.97</v>
      </c>
      <c r="I1545" s="1">
        <v>0</v>
      </c>
      <c r="J1545" s="4">
        <v>41117</v>
      </c>
      <c r="K1545" s="4">
        <v>42212</v>
      </c>
      <c r="L1545">
        <f t="shared" si="24"/>
        <v>2.92</v>
      </c>
    </row>
    <row r="1546" spans="1:12" x14ac:dyDescent="0.15">
      <c r="A1546" s="1">
        <v>1545</v>
      </c>
      <c r="B1546" s="4">
        <v>41116</v>
      </c>
      <c r="C1546" s="1" t="s">
        <v>16</v>
      </c>
      <c r="D1546" s="1" t="s">
        <v>30</v>
      </c>
      <c r="E1546" s="1">
        <v>0.68200231481481488</v>
      </c>
      <c r="F1546" s="1" t="s">
        <v>13</v>
      </c>
      <c r="G1546" s="1">
        <v>2.87</v>
      </c>
      <c r="H1546" s="1">
        <v>2.97</v>
      </c>
      <c r="I1546" s="1">
        <v>0</v>
      </c>
      <c r="J1546" s="4">
        <v>41117</v>
      </c>
      <c r="K1546" s="4">
        <v>42578</v>
      </c>
      <c r="L1546">
        <f t="shared" si="24"/>
        <v>2.92</v>
      </c>
    </row>
    <row r="1547" spans="1:12" x14ac:dyDescent="0.15">
      <c r="A1547" s="1">
        <v>1546</v>
      </c>
      <c r="B1547" s="4">
        <v>41116</v>
      </c>
      <c r="C1547" s="1" t="s">
        <v>14</v>
      </c>
      <c r="D1547" s="1" t="s">
        <v>30</v>
      </c>
      <c r="E1547" s="1">
        <v>0.68201388888888881</v>
      </c>
      <c r="F1547" s="1" t="s">
        <v>13</v>
      </c>
      <c r="G1547" s="1">
        <v>3.09</v>
      </c>
      <c r="H1547" s="1">
        <v>3.19</v>
      </c>
      <c r="I1547" s="1">
        <v>0</v>
      </c>
      <c r="J1547" s="4">
        <v>41117</v>
      </c>
      <c r="K1547" s="4">
        <v>41482</v>
      </c>
      <c r="L1547">
        <f t="shared" si="24"/>
        <v>3.1399999999999997</v>
      </c>
    </row>
    <row r="1548" spans="1:12" x14ac:dyDescent="0.15">
      <c r="A1548" s="1">
        <v>1547</v>
      </c>
      <c r="B1548" s="4">
        <v>41116</v>
      </c>
      <c r="C1548" s="1" t="s">
        <v>18</v>
      </c>
      <c r="D1548" s="1" t="s">
        <v>30</v>
      </c>
      <c r="E1548" s="1">
        <v>0.68201388888888881</v>
      </c>
      <c r="F1548" s="1" t="s">
        <v>13</v>
      </c>
      <c r="G1548" s="1">
        <v>2.89</v>
      </c>
      <c r="H1548" s="1">
        <v>2.99</v>
      </c>
      <c r="I1548" s="1">
        <v>0</v>
      </c>
      <c r="J1548" s="4">
        <v>41117</v>
      </c>
      <c r="K1548" s="4">
        <v>41847</v>
      </c>
      <c r="L1548">
        <f t="shared" si="24"/>
        <v>2.9400000000000004</v>
      </c>
    </row>
    <row r="1549" spans="1:12" x14ac:dyDescent="0.15">
      <c r="A1549" s="1">
        <v>1548</v>
      </c>
      <c r="B1549" s="4">
        <v>41116</v>
      </c>
      <c r="C1549" s="1" t="s">
        <v>25</v>
      </c>
      <c r="D1549" s="1" t="s">
        <v>30</v>
      </c>
      <c r="E1549" s="1">
        <v>0.68200231481481488</v>
      </c>
      <c r="F1549" s="1" t="s">
        <v>13</v>
      </c>
      <c r="G1549" s="1">
        <v>2.87</v>
      </c>
      <c r="H1549" s="1">
        <v>2.97</v>
      </c>
      <c r="I1549" s="1">
        <v>0</v>
      </c>
      <c r="J1549" s="4">
        <v>41117</v>
      </c>
      <c r="K1549" s="4">
        <v>42943</v>
      </c>
      <c r="L1549">
        <f t="shared" si="24"/>
        <v>2.92</v>
      </c>
    </row>
    <row r="1550" spans="1:12" x14ac:dyDescent="0.15">
      <c r="A1550" s="1">
        <v>1549</v>
      </c>
      <c r="B1550" s="4">
        <v>41116</v>
      </c>
      <c r="C1550" s="1" t="s">
        <v>19</v>
      </c>
      <c r="D1550" s="1" t="s">
        <v>30</v>
      </c>
      <c r="E1550" s="1">
        <v>0.68200231481481488</v>
      </c>
      <c r="F1550" s="1" t="s">
        <v>13</v>
      </c>
      <c r="G1550" s="1">
        <v>3.25</v>
      </c>
      <c r="H1550" s="1">
        <v>3.35</v>
      </c>
      <c r="I1550" s="1">
        <v>0</v>
      </c>
      <c r="J1550" s="4">
        <v>41117</v>
      </c>
      <c r="K1550" s="4">
        <v>41391</v>
      </c>
      <c r="L1550">
        <f t="shared" si="24"/>
        <v>3.3</v>
      </c>
    </row>
    <row r="1551" spans="1:12" x14ac:dyDescent="0.15">
      <c r="A1551" s="1">
        <v>1550</v>
      </c>
      <c r="B1551" s="4">
        <v>41116</v>
      </c>
      <c r="C1551" s="1" t="s">
        <v>11</v>
      </c>
      <c r="D1551" s="1" t="s">
        <v>26</v>
      </c>
      <c r="E1551" s="1">
        <v>0.67831018518518515</v>
      </c>
      <c r="F1551" s="1" t="s">
        <v>13</v>
      </c>
      <c r="G1551" s="1">
        <v>2.9</v>
      </c>
      <c r="H1551" s="1">
        <v>3</v>
      </c>
      <c r="I1551" s="1">
        <v>0</v>
      </c>
      <c r="J1551" s="4">
        <v>41117</v>
      </c>
      <c r="K1551" s="4">
        <v>42212</v>
      </c>
      <c r="L1551">
        <f t="shared" si="24"/>
        <v>2.95</v>
      </c>
    </row>
    <row r="1552" spans="1:12" x14ac:dyDescent="0.15">
      <c r="A1552" s="1">
        <v>1551</v>
      </c>
      <c r="B1552" s="4">
        <v>41116</v>
      </c>
      <c r="C1552" s="1" t="s">
        <v>22</v>
      </c>
      <c r="D1552" s="1" t="s">
        <v>30</v>
      </c>
      <c r="E1552" s="1">
        <v>0.68200231481481488</v>
      </c>
      <c r="F1552" s="1" t="s">
        <v>13</v>
      </c>
      <c r="G1552" s="1">
        <v>3.45</v>
      </c>
      <c r="H1552" s="1">
        <v>3.55</v>
      </c>
      <c r="I1552" s="1">
        <v>0</v>
      </c>
      <c r="J1552" s="4">
        <v>41117</v>
      </c>
      <c r="K1552" s="4">
        <v>41301</v>
      </c>
      <c r="L1552">
        <f t="shared" si="24"/>
        <v>3.5</v>
      </c>
    </row>
    <row r="1553" spans="1:12" x14ac:dyDescent="0.15">
      <c r="A1553" s="1">
        <v>1552</v>
      </c>
      <c r="B1553" s="4">
        <v>41116</v>
      </c>
      <c r="C1553" s="1" t="s">
        <v>21</v>
      </c>
      <c r="D1553" s="1" t="s">
        <v>30</v>
      </c>
      <c r="E1553" s="1">
        <v>0.68200231481481488</v>
      </c>
      <c r="F1553" s="1" t="s">
        <v>13</v>
      </c>
      <c r="G1553" s="1">
        <v>2.97</v>
      </c>
      <c r="H1553" s="1">
        <v>3.07</v>
      </c>
      <c r="I1553" s="1">
        <v>0</v>
      </c>
      <c r="J1553" s="4">
        <v>41117</v>
      </c>
      <c r="K1553" s="4">
        <v>43673</v>
      </c>
      <c r="L1553">
        <f t="shared" si="24"/>
        <v>3.02</v>
      </c>
    </row>
    <row r="1554" spans="1:12" x14ac:dyDescent="0.15">
      <c r="A1554" s="1">
        <v>1553</v>
      </c>
      <c r="B1554" s="4">
        <v>41116</v>
      </c>
      <c r="C1554" s="1" t="s">
        <v>20</v>
      </c>
      <c r="D1554" s="1" t="s">
        <v>30</v>
      </c>
      <c r="E1554" s="1">
        <v>0.68201388888888881</v>
      </c>
      <c r="F1554" s="1" t="s">
        <v>13</v>
      </c>
      <c r="G1554" s="1">
        <v>3.01</v>
      </c>
      <c r="H1554" s="1">
        <v>3.11</v>
      </c>
      <c r="I1554" s="1">
        <v>0</v>
      </c>
      <c r="J1554" s="4">
        <v>41117</v>
      </c>
      <c r="K1554" s="4">
        <v>44769</v>
      </c>
      <c r="L1554">
        <f t="shared" si="24"/>
        <v>3.0599999999999996</v>
      </c>
    </row>
    <row r="1555" spans="1:12" x14ac:dyDescent="0.15">
      <c r="A1555" s="1">
        <v>1554</v>
      </c>
      <c r="B1555" s="4">
        <v>41116</v>
      </c>
      <c r="C1555" s="1" t="s">
        <v>21</v>
      </c>
      <c r="D1555" s="1" t="s">
        <v>15</v>
      </c>
      <c r="E1555" s="1">
        <v>0.68297453703703714</v>
      </c>
      <c r="F1555" s="1" t="s">
        <v>13</v>
      </c>
      <c r="G1555" s="1">
        <v>2.99</v>
      </c>
      <c r="H1555" s="1">
        <v>3.03</v>
      </c>
      <c r="I1555" s="1">
        <v>0</v>
      </c>
      <c r="J1555" s="4">
        <v>41117</v>
      </c>
      <c r="K1555" s="4">
        <v>43673</v>
      </c>
      <c r="L1555">
        <f t="shared" si="24"/>
        <v>3.01</v>
      </c>
    </row>
    <row r="1556" spans="1:12" x14ac:dyDescent="0.15">
      <c r="A1556" s="1">
        <v>1555</v>
      </c>
      <c r="B1556" s="4">
        <v>41116</v>
      </c>
      <c r="C1556" s="1" t="s">
        <v>11</v>
      </c>
      <c r="D1556" s="1" t="s">
        <v>15</v>
      </c>
      <c r="E1556" s="1">
        <v>0.68297453703703714</v>
      </c>
      <c r="F1556" s="1" t="s">
        <v>13</v>
      </c>
      <c r="G1556" s="1">
        <v>2.91</v>
      </c>
      <c r="H1556" s="1">
        <v>2.97</v>
      </c>
      <c r="I1556" s="1">
        <v>0</v>
      </c>
      <c r="J1556" s="4">
        <v>41117</v>
      </c>
      <c r="K1556" s="4">
        <v>42212</v>
      </c>
      <c r="L1556">
        <f t="shared" si="24"/>
        <v>2.9400000000000004</v>
      </c>
    </row>
    <row r="1557" spans="1:12" x14ac:dyDescent="0.15">
      <c r="A1557" s="1">
        <v>1556</v>
      </c>
      <c r="B1557" s="4">
        <v>41116</v>
      </c>
      <c r="C1557" s="1" t="s">
        <v>20</v>
      </c>
      <c r="D1557" s="1" t="s">
        <v>15</v>
      </c>
      <c r="E1557" s="1">
        <v>0.68297453703703714</v>
      </c>
      <c r="F1557" s="1" t="s">
        <v>13</v>
      </c>
      <c r="G1557" s="1">
        <v>3.04</v>
      </c>
      <c r="H1557" s="1">
        <v>3.1</v>
      </c>
      <c r="I1557" s="1">
        <v>0</v>
      </c>
      <c r="J1557" s="4">
        <v>41117</v>
      </c>
      <c r="K1557" s="4">
        <v>44769</v>
      </c>
      <c r="L1557">
        <f t="shared" si="24"/>
        <v>3.0700000000000003</v>
      </c>
    </row>
    <row r="1558" spans="1:12" x14ac:dyDescent="0.15">
      <c r="A1558" s="1">
        <v>1557</v>
      </c>
      <c r="B1558" s="4">
        <v>41116</v>
      </c>
      <c r="C1558" s="1" t="s">
        <v>19</v>
      </c>
      <c r="D1558" s="1" t="s">
        <v>15</v>
      </c>
      <c r="E1558" s="1">
        <v>0.68297453703703714</v>
      </c>
      <c r="F1558" s="1" t="s">
        <v>13</v>
      </c>
      <c r="G1558" s="1">
        <v>3.27</v>
      </c>
      <c r="H1558" s="1">
        <v>3.33</v>
      </c>
      <c r="I1558" s="1">
        <v>0</v>
      </c>
      <c r="J1558" s="4">
        <v>41117</v>
      </c>
      <c r="K1558" s="4">
        <v>41391</v>
      </c>
      <c r="L1558">
        <f t="shared" si="24"/>
        <v>3.3</v>
      </c>
    </row>
    <row r="1559" spans="1:12" x14ac:dyDescent="0.15">
      <c r="A1559" s="1">
        <v>1558</v>
      </c>
      <c r="B1559" s="4">
        <v>41116</v>
      </c>
      <c r="C1559" s="1" t="s">
        <v>16</v>
      </c>
      <c r="D1559" s="1" t="s">
        <v>15</v>
      </c>
      <c r="E1559" s="1">
        <v>0.68297453703703714</v>
      </c>
      <c r="F1559" s="1" t="s">
        <v>13</v>
      </c>
      <c r="G1559" s="1">
        <v>2.91</v>
      </c>
      <c r="H1559" s="1">
        <v>2.97</v>
      </c>
      <c r="I1559" s="1">
        <v>0</v>
      </c>
      <c r="J1559" s="4">
        <v>41117</v>
      </c>
      <c r="K1559" s="4">
        <v>42578</v>
      </c>
      <c r="L1559">
        <f t="shared" si="24"/>
        <v>2.9400000000000004</v>
      </c>
    </row>
    <row r="1560" spans="1:12" x14ac:dyDescent="0.15">
      <c r="A1560" s="1">
        <v>1559</v>
      </c>
      <c r="B1560" s="4">
        <v>41116</v>
      </c>
      <c r="C1560" s="1" t="s">
        <v>14</v>
      </c>
      <c r="D1560" s="1" t="s">
        <v>15</v>
      </c>
      <c r="E1560" s="1">
        <v>0.68295138888888884</v>
      </c>
      <c r="F1560" s="1" t="s">
        <v>13</v>
      </c>
      <c r="G1560" s="1">
        <v>3.11</v>
      </c>
      <c r="H1560" s="1">
        <v>3.17</v>
      </c>
      <c r="I1560" s="1">
        <v>0</v>
      </c>
      <c r="J1560" s="4">
        <v>41117</v>
      </c>
      <c r="K1560" s="4">
        <v>41482</v>
      </c>
      <c r="L1560">
        <f t="shared" si="24"/>
        <v>3.1399999999999997</v>
      </c>
    </row>
    <row r="1561" spans="1:12" x14ac:dyDescent="0.15">
      <c r="A1561" s="1">
        <v>1560</v>
      </c>
      <c r="B1561" s="4">
        <v>41116</v>
      </c>
      <c r="C1561" s="1" t="s">
        <v>22</v>
      </c>
      <c r="D1561" s="1" t="s">
        <v>15</v>
      </c>
      <c r="E1561" s="1">
        <v>0.68295138888888884</v>
      </c>
      <c r="F1561" s="1" t="s">
        <v>13</v>
      </c>
      <c r="G1561" s="1">
        <v>3.47</v>
      </c>
      <c r="H1561" s="1">
        <v>3.51</v>
      </c>
      <c r="I1561" s="1">
        <v>0</v>
      </c>
      <c r="J1561" s="4">
        <v>41117</v>
      </c>
      <c r="K1561" s="4">
        <v>41301</v>
      </c>
      <c r="L1561">
        <f t="shared" si="24"/>
        <v>3.49</v>
      </c>
    </row>
    <row r="1562" spans="1:12" x14ac:dyDescent="0.15">
      <c r="A1562" s="1">
        <v>1561</v>
      </c>
      <c r="B1562" s="4">
        <v>41116</v>
      </c>
      <c r="C1562" s="1" t="s">
        <v>25</v>
      </c>
      <c r="D1562" s="1" t="s">
        <v>15</v>
      </c>
      <c r="E1562" s="1">
        <v>0.68297453703703714</v>
      </c>
      <c r="F1562" s="1" t="s">
        <v>13</v>
      </c>
      <c r="G1562" s="1">
        <v>2.92</v>
      </c>
      <c r="H1562" s="1">
        <v>2.98</v>
      </c>
      <c r="I1562" s="1">
        <v>0</v>
      </c>
      <c r="J1562" s="4">
        <v>41117</v>
      </c>
      <c r="K1562" s="4">
        <v>42943</v>
      </c>
      <c r="L1562">
        <f t="shared" si="24"/>
        <v>2.95</v>
      </c>
    </row>
    <row r="1563" spans="1:12" x14ac:dyDescent="0.15">
      <c r="A1563" s="1">
        <v>1562</v>
      </c>
      <c r="B1563" s="4">
        <v>41116</v>
      </c>
      <c r="C1563" s="1" t="s">
        <v>18</v>
      </c>
      <c r="D1563" s="1" t="s">
        <v>15</v>
      </c>
      <c r="E1563" s="1">
        <v>0.68296296296296299</v>
      </c>
      <c r="F1563" s="1" t="s">
        <v>13</v>
      </c>
      <c r="G1563" s="1">
        <v>2.93</v>
      </c>
      <c r="H1563" s="1">
        <v>2.99</v>
      </c>
      <c r="I1563" s="1">
        <v>0</v>
      </c>
      <c r="J1563" s="4">
        <v>41117</v>
      </c>
      <c r="K1563" s="4">
        <v>41847</v>
      </c>
      <c r="L1563">
        <f t="shared" si="24"/>
        <v>2.96</v>
      </c>
    </row>
    <row r="1564" spans="1:12" x14ac:dyDescent="0.15">
      <c r="A1564" s="1">
        <v>1563</v>
      </c>
      <c r="B1564" s="4">
        <v>41116</v>
      </c>
      <c r="C1564" s="1" t="s">
        <v>16</v>
      </c>
      <c r="D1564" s="1" t="s">
        <v>26</v>
      </c>
      <c r="E1564" s="1">
        <v>0.67831018518518515</v>
      </c>
      <c r="F1564" s="1" t="s">
        <v>13</v>
      </c>
      <c r="G1564" s="1">
        <v>2.9</v>
      </c>
      <c r="H1564" s="1">
        <v>3</v>
      </c>
      <c r="I1564" s="1">
        <v>0</v>
      </c>
      <c r="J1564" s="4">
        <v>41117</v>
      </c>
      <c r="K1564" s="4">
        <v>42578</v>
      </c>
      <c r="L1564">
        <f t="shared" si="24"/>
        <v>2.95</v>
      </c>
    </row>
    <row r="1565" spans="1:12" x14ac:dyDescent="0.15">
      <c r="A1565" s="1">
        <v>1564</v>
      </c>
      <c r="B1565" s="4">
        <v>41116</v>
      </c>
      <c r="C1565" s="1" t="s">
        <v>22</v>
      </c>
      <c r="D1565" s="1" t="s">
        <v>26</v>
      </c>
      <c r="E1565" s="1">
        <v>0.67711805555555549</v>
      </c>
      <c r="F1565" s="1" t="s">
        <v>13</v>
      </c>
      <c r="G1565" s="1">
        <v>3.45</v>
      </c>
      <c r="H1565" s="1">
        <v>3.5</v>
      </c>
      <c r="I1565" s="1">
        <v>0</v>
      </c>
      <c r="J1565" s="4">
        <v>41117</v>
      </c>
      <c r="K1565" s="4">
        <v>41301</v>
      </c>
      <c r="L1565">
        <f t="shared" si="24"/>
        <v>3.4750000000000001</v>
      </c>
    </row>
    <row r="1566" spans="1:12" x14ac:dyDescent="0.15">
      <c r="A1566" s="1">
        <v>1565</v>
      </c>
      <c r="B1566" s="4">
        <v>41116</v>
      </c>
      <c r="C1566" s="1" t="s">
        <v>21</v>
      </c>
      <c r="D1566" s="1" t="s">
        <v>26</v>
      </c>
      <c r="E1566" s="1">
        <v>0.67711805555555549</v>
      </c>
      <c r="F1566" s="1" t="s">
        <v>13</v>
      </c>
      <c r="G1566" s="1">
        <v>2.9</v>
      </c>
      <c r="H1566" s="1">
        <v>3</v>
      </c>
      <c r="I1566" s="1">
        <v>0</v>
      </c>
      <c r="J1566" s="4">
        <v>41117</v>
      </c>
      <c r="K1566" s="4">
        <v>43673</v>
      </c>
      <c r="L1566">
        <f t="shared" si="24"/>
        <v>2.95</v>
      </c>
    </row>
    <row r="1567" spans="1:12" x14ac:dyDescent="0.15">
      <c r="A1567" s="1">
        <v>1566</v>
      </c>
      <c r="B1567" s="4">
        <v>41116</v>
      </c>
      <c r="C1567" s="1" t="s">
        <v>19</v>
      </c>
      <c r="D1567" s="1" t="s">
        <v>26</v>
      </c>
      <c r="E1567" s="1">
        <v>0.67712962962962964</v>
      </c>
      <c r="F1567" s="1" t="s">
        <v>13</v>
      </c>
      <c r="G1567" s="1">
        <v>3.2</v>
      </c>
      <c r="H1567" s="1">
        <v>3.28</v>
      </c>
      <c r="I1567" s="1">
        <v>0</v>
      </c>
      <c r="J1567" s="4">
        <v>41117</v>
      </c>
      <c r="K1567" s="4">
        <v>41391</v>
      </c>
      <c r="L1567">
        <f t="shared" si="24"/>
        <v>3.24</v>
      </c>
    </row>
    <row r="1568" spans="1:12" x14ac:dyDescent="0.15">
      <c r="A1568" s="1">
        <v>1567</v>
      </c>
      <c r="B1568" s="4">
        <v>41116</v>
      </c>
      <c r="C1568" s="1" t="s">
        <v>14</v>
      </c>
      <c r="D1568" s="1" t="s">
        <v>26</v>
      </c>
      <c r="E1568" s="1">
        <v>0.67711805555555549</v>
      </c>
      <c r="F1568" s="1" t="s">
        <v>13</v>
      </c>
      <c r="G1568" s="1">
        <v>3.1</v>
      </c>
      <c r="H1568" s="1">
        <v>3.15</v>
      </c>
      <c r="I1568" s="1">
        <v>0</v>
      </c>
      <c r="J1568" s="4">
        <v>41117</v>
      </c>
      <c r="K1568" s="4">
        <v>41482</v>
      </c>
      <c r="L1568">
        <f t="shared" si="24"/>
        <v>3.125</v>
      </c>
    </row>
    <row r="1569" spans="1:12" x14ac:dyDescent="0.15">
      <c r="A1569" s="1">
        <v>1568</v>
      </c>
      <c r="B1569" s="4">
        <v>41116</v>
      </c>
      <c r="C1569" s="1" t="s">
        <v>18</v>
      </c>
      <c r="D1569" s="1" t="s">
        <v>26</v>
      </c>
      <c r="E1569" s="1">
        <v>0.67711805555555549</v>
      </c>
      <c r="F1569" s="1" t="s">
        <v>13</v>
      </c>
      <c r="G1569" s="1">
        <v>2.93</v>
      </c>
      <c r="H1569" s="1">
        <v>3.02</v>
      </c>
      <c r="I1569" s="1">
        <v>0</v>
      </c>
      <c r="J1569" s="4">
        <v>41117</v>
      </c>
      <c r="K1569" s="4">
        <v>41847</v>
      </c>
      <c r="L1569">
        <f t="shared" si="24"/>
        <v>2.9750000000000001</v>
      </c>
    </row>
    <row r="1570" spans="1:12" x14ac:dyDescent="0.15">
      <c r="A1570" s="1">
        <v>1569</v>
      </c>
      <c r="B1570" s="4">
        <v>41116</v>
      </c>
      <c r="C1570" s="1" t="s">
        <v>18</v>
      </c>
      <c r="D1570" s="1" t="s">
        <v>27</v>
      </c>
      <c r="E1570" s="1">
        <v>0.67574074074074064</v>
      </c>
      <c r="F1570" s="1" t="s">
        <v>13</v>
      </c>
      <c r="G1570" s="1">
        <v>2.91</v>
      </c>
      <c r="H1570" s="1">
        <v>2.99</v>
      </c>
      <c r="I1570" s="1">
        <v>0</v>
      </c>
      <c r="J1570" s="4">
        <v>41117</v>
      </c>
      <c r="K1570" s="4">
        <v>41847</v>
      </c>
      <c r="L1570">
        <f t="shared" si="24"/>
        <v>2.95</v>
      </c>
    </row>
    <row r="1571" spans="1:12" x14ac:dyDescent="0.15">
      <c r="A1571" s="1">
        <v>1570</v>
      </c>
      <c r="B1571" s="4">
        <v>41116</v>
      </c>
      <c r="C1571" s="1" t="s">
        <v>11</v>
      </c>
      <c r="D1571" s="1" t="s">
        <v>27</v>
      </c>
      <c r="E1571" s="1">
        <v>0.67574074074074064</v>
      </c>
      <c r="F1571" s="1" t="s">
        <v>13</v>
      </c>
      <c r="G1571" s="1">
        <v>2.89</v>
      </c>
      <c r="H1571" s="1">
        <v>2.99</v>
      </c>
      <c r="I1571" s="1">
        <v>0</v>
      </c>
      <c r="J1571" s="4">
        <v>41117</v>
      </c>
      <c r="K1571" s="4">
        <v>42212</v>
      </c>
      <c r="L1571">
        <f t="shared" si="24"/>
        <v>2.9400000000000004</v>
      </c>
    </row>
    <row r="1572" spans="1:12" x14ac:dyDescent="0.15">
      <c r="A1572" s="1">
        <v>1571</v>
      </c>
      <c r="B1572" s="4">
        <v>41116</v>
      </c>
      <c r="C1572" s="1" t="s">
        <v>20</v>
      </c>
      <c r="D1572" s="1" t="s">
        <v>26</v>
      </c>
      <c r="E1572" s="1">
        <v>0.67711805555555549</v>
      </c>
      <c r="F1572" s="1" t="s">
        <v>13</v>
      </c>
      <c r="G1572" s="1">
        <v>2.9</v>
      </c>
      <c r="H1572" s="1">
        <v>3</v>
      </c>
      <c r="I1572" s="1">
        <v>0</v>
      </c>
      <c r="J1572" s="4">
        <v>41117</v>
      </c>
      <c r="K1572" s="4">
        <v>44769</v>
      </c>
      <c r="L1572">
        <f t="shared" si="24"/>
        <v>2.95</v>
      </c>
    </row>
    <row r="1573" spans="1:12" x14ac:dyDescent="0.15">
      <c r="A1573" s="1">
        <v>1572</v>
      </c>
      <c r="B1573" s="4">
        <v>41116</v>
      </c>
      <c r="C1573" s="1" t="s">
        <v>22</v>
      </c>
      <c r="D1573" s="1" t="s">
        <v>27</v>
      </c>
      <c r="E1573" s="1">
        <v>0.67574074074074064</v>
      </c>
      <c r="F1573" s="1" t="s">
        <v>13</v>
      </c>
      <c r="G1573" s="1">
        <v>3.46</v>
      </c>
      <c r="H1573" s="1">
        <v>3.56</v>
      </c>
      <c r="I1573" s="1">
        <v>0</v>
      </c>
      <c r="J1573" s="4">
        <v>41117</v>
      </c>
      <c r="K1573" s="4">
        <v>41301</v>
      </c>
      <c r="L1573">
        <f t="shared" si="24"/>
        <v>3.51</v>
      </c>
    </row>
    <row r="1574" spans="1:12" x14ac:dyDescent="0.15">
      <c r="A1574" s="1">
        <v>1573</v>
      </c>
      <c r="B1574" s="4">
        <v>41116</v>
      </c>
      <c r="C1574" s="1" t="s">
        <v>25</v>
      </c>
      <c r="D1574" s="1" t="s">
        <v>26</v>
      </c>
      <c r="E1574" s="1">
        <v>0.67714120370370379</v>
      </c>
      <c r="F1574" s="1" t="s">
        <v>13</v>
      </c>
      <c r="G1574" s="1">
        <v>2.9</v>
      </c>
      <c r="H1574" s="1">
        <v>3</v>
      </c>
      <c r="I1574" s="1">
        <v>0</v>
      </c>
      <c r="J1574" s="4">
        <v>41117</v>
      </c>
      <c r="K1574" s="4">
        <v>42943</v>
      </c>
      <c r="L1574">
        <f t="shared" si="24"/>
        <v>2.95</v>
      </c>
    </row>
    <row r="1575" spans="1:12" x14ac:dyDescent="0.15">
      <c r="A1575" s="1">
        <v>1574</v>
      </c>
      <c r="B1575" s="4">
        <v>41116</v>
      </c>
      <c r="C1575" s="1" t="s">
        <v>20</v>
      </c>
      <c r="D1575" s="1" t="s">
        <v>26</v>
      </c>
      <c r="E1575" s="1">
        <v>0.67829861111111101</v>
      </c>
      <c r="F1575" s="1" t="s">
        <v>13</v>
      </c>
      <c r="G1575" s="1">
        <v>2.9</v>
      </c>
      <c r="H1575" s="1">
        <v>3</v>
      </c>
      <c r="I1575" s="1">
        <v>0</v>
      </c>
      <c r="J1575" s="4">
        <v>41117</v>
      </c>
      <c r="K1575" s="4">
        <v>44769</v>
      </c>
      <c r="L1575">
        <f t="shared" si="24"/>
        <v>2.95</v>
      </c>
    </row>
    <row r="1576" spans="1:12" x14ac:dyDescent="0.15">
      <c r="A1576" s="1">
        <v>1575</v>
      </c>
      <c r="B1576" s="4">
        <v>41116</v>
      </c>
      <c r="C1576" s="1" t="s">
        <v>14</v>
      </c>
      <c r="D1576" s="1" t="s">
        <v>26</v>
      </c>
      <c r="E1576" s="1">
        <v>0.67829861111111101</v>
      </c>
      <c r="F1576" s="1" t="s">
        <v>13</v>
      </c>
      <c r="G1576" s="1">
        <v>3.1</v>
      </c>
      <c r="H1576" s="1">
        <v>3.15</v>
      </c>
      <c r="I1576" s="1">
        <v>0</v>
      </c>
      <c r="J1576" s="4">
        <v>41117</v>
      </c>
      <c r="K1576" s="4">
        <v>41482</v>
      </c>
      <c r="L1576">
        <f t="shared" si="24"/>
        <v>3.125</v>
      </c>
    </row>
    <row r="1577" spans="1:12" x14ac:dyDescent="0.15">
      <c r="A1577" s="1">
        <v>1576</v>
      </c>
      <c r="B1577" s="4">
        <v>41116</v>
      </c>
      <c r="C1577" s="1" t="s">
        <v>25</v>
      </c>
      <c r="D1577" s="1" t="s">
        <v>26</v>
      </c>
      <c r="E1577" s="1">
        <v>0.67831018518518515</v>
      </c>
      <c r="F1577" s="1" t="s">
        <v>13</v>
      </c>
      <c r="G1577" s="1">
        <v>2.9</v>
      </c>
      <c r="H1577" s="1">
        <v>3</v>
      </c>
      <c r="I1577" s="1">
        <v>0</v>
      </c>
      <c r="J1577" s="4">
        <v>41117</v>
      </c>
      <c r="K1577" s="4">
        <v>42943</v>
      </c>
      <c r="L1577">
        <f t="shared" si="24"/>
        <v>2.95</v>
      </c>
    </row>
    <row r="1578" spans="1:12" x14ac:dyDescent="0.15">
      <c r="A1578" s="1">
        <v>1577</v>
      </c>
      <c r="B1578" s="4">
        <v>41116</v>
      </c>
      <c r="C1578" s="1" t="s">
        <v>18</v>
      </c>
      <c r="D1578" s="1" t="s">
        <v>26</v>
      </c>
      <c r="E1578" s="1">
        <v>0.67829861111111101</v>
      </c>
      <c r="F1578" s="1" t="s">
        <v>13</v>
      </c>
      <c r="G1578" s="1">
        <v>2.93</v>
      </c>
      <c r="H1578" s="1">
        <v>3.02</v>
      </c>
      <c r="I1578" s="1">
        <v>0</v>
      </c>
      <c r="J1578" s="4">
        <v>41117</v>
      </c>
      <c r="K1578" s="4">
        <v>41847</v>
      </c>
      <c r="L1578">
        <f t="shared" si="24"/>
        <v>2.9750000000000001</v>
      </c>
    </row>
    <row r="1579" spans="1:12" x14ac:dyDescent="0.15">
      <c r="A1579" s="1">
        <v>1578</v>
      </c>
      <c r="B1579" s="4">
        <v>41116</v>
      </c>
      <c r="C1579" s="1" t="s">
        <v>19</v>
      </c>
      <c r="D1579" s="1" t="s">
        <v>26</v>
      </c>
      <c r="E1579" s="1">
        <v>0.67829861111111101</v>
      </c>
      <c r="F1579" s="1" t="s">
        <v>13</v>
      </c>
      <c r="G1579" s="1">
        <v>3.2</v>
      </c>
      <c r="H1579" s="1">
        <v>3.28</v>
      </c>
      <c r="I1579" s="1">
        <v>0</v>
      </c>
      <c r="J1579" s="4">
        <v>41117</v>
      </c>
      <c r="K1579" s="4">
        <v>41391</v>
      </c>
      <c r="L1579">
        <f t="shared" si="24"/>
        <v>3.24</v>
      </c>
    </row>
    <row r="1580" spans="1:12" x14ac:dyDescent="0.15">
      <c r="A1580" s="1">
        <v>1579</v>
      </c>
      <c r="B1580" s="4">
        <v>41116</v>
      </c>
      <c r="C1580" s="1" t="s">
        <v>11</v>
      </c>
      <c r="D1580" s="1" t="s">
        <v>26</v>
      </c>
      <c r="E1580" s="1">
        <v>0.67714120370370379</v>
      </c>
      <c r="F1580" s="1" t="s">
        <v>13</v>
      </c>
      <c r="G1580" s="1">
        <v>2.9</v>
      </c>
      <c r="H1580" s="1">
        <v>3</v>
      </c>
      <c r="I1580" s="1">
        <v>0</v>
      </c>
      <c r="J1580" s="4">
        <v>41117</v>
      </c>
      <c r="K1580" s="4">
        <v>42212</v>
      </c>
      <c r="L1580">
        <f t="shared" si="24"/>
        <v>2.95</v>
      </c>
    </row>
    <row r="1581" spans="1:12" x14ac:dyDescent="0.15">
      <c r="A1581" s="1">
        <v>1580</v>
      </c>
      <c r="B1581" s="4">
        <v>41116</v>
      </c>
      <c r="C1581" s="1" t="s">
        <v>16</v>
      </c>
      <c r="D1581" s="1" t="s">
        <v>26</v>
      </c>
      <c r="E1581" s="1">
        <v>0.67714120370370379</v>
      </c>
      <c r="F1581" s="1" t="s">
        <v>13</v>
      </c>
      <c r="G1581" s="1">
        <v>2.9</v>
      </c>
      <c r="H1581" s="1">
        <v>3</v>
      </c>
      <c r="I1581" s="1">
        <v>0</v>
      </c>
      <c r="J1581" s="4">
        <v>41117</v>
      </c>
      <c r="K1581" s="4">
        <v>42578</v>
      </c>
      <c r="L1581">
        <f t="shared" si="24"/>
        <v>2.95</v>
      </c>
    </row>
    <row r="1582" spans="1:12" x14ac:dyDescent="0.15">
      <c r="A1582" s="1">
        <v>1581</v>
      </c>
      <c r="B1582" s="4">
        <v>41116</v>
      </c>
      <c r="C1582" s="1" t="s">
        <v>21</v>
      </c>
      <c r="D1582" s="1" t="s">
        <v>26</v>
      </c>
      <c r="E1582" s="1">
        <v>0.67829861111111101</v>
      </c>
      <c r="F1582" s="1" t="s">
        <v>13</v>
      </c>
      <c r="G1582" s="1">
        <v>2.9</v>
      </c>
      <c r="H1582" s="1">
        <v>3</v>
      </c>
      <c r="I1582" s="1">
        <v>0</v>
      </c>
      <c r="J1582" s="4">
        <v>41117</v>
      </c>
      <c r="K1582" s="4">
        <v>43673</v>
      </c>
      <c r="L1582">
        <f t="shared" si="24"/>
        <v>2.95</v>
      </c>
    </row>
    <row r="1583" spans="1:12" x14ac:dyDescent="0.15">
      <c r="A1583" s="1">
        <v>1582</v>
      </c>
      <c r="B1583" s="4">
        <v>41116</v>
      </c>
      <c r="C1583" s="1" t="s">
        <v>22</v>
      </c>
      <c r="D1583" s="1" t="s">
        <v>26</v>
      </c>
      <c r="E1583" s="1">
        <v>0.67828703703703708</v>
      </c>
      <c r="F1583" s="1" t="s">
        <v>13</v>
      </c>
      <c r="G1583" s="1">
        <v>3.45</v>
      </c>
      <c r="H1583" s="1">
        <v>3.5</v>
      </c>
      <c r="I1583" s="1">
        <v>0</v>
      </c>
      <c r="J1583" s="4">
        <v>41117</v>
      </c>
      <c r="K1583" s="4">
        <v>41301</v>
      </c>
      <c r="L1583">
        <f t="shared" si="24"/>
        <v>3.4750000000000001</v>
      </c>
    </row>
    <row r="1584" spans="1:12" x14ac:dyDescent="0.15">
      <c r="A1584" s="1">
        <v>1583</v>
      </c>
      <c r="B1584" s="4">
        <v>41115</v>
      </c>
      <c r="C1584" s="1" t="s">
        <v>25</v>
      </c>
      <c r="D1584" s="1" t="s">
        <v>27</v>
      </c>
      <c r="E1584" s="1">
        <v>0.49006944444444445</v>
      </c>
      <c r="F1584" s="1" t="s">
        <v>13</v>
      </c>
      <c r="G1584" s="1">
        <v>2.89</v>
      </c>
      <c r="H1584" s="1">
        <v>2.99</v>
      </c>
      <c r="I1584" s="1">
        <v>0</v>
      </c>
      <c r="J1584" s="4">
        <v>41116</v>
      </c>
      <c r="K1584" s="4">
        <v>42942</v>
      </c>
      <c r="L1584">
        <f t="shared" si="24"/>
        <v>2.9400000000000004</v>
      </c>
    </row>
    <row r="1585" spans="1:12" x14ac:dyDescent="0.15">
      <c r="A1585" s="1">
        <v>1584</v>
      </c>
      <c r="B1585" s="4">
        <v>41115</v>
      </c>
      <c r="C1585" s="1" t="s">
        <v>14</v>
      </c>
      <c r="D1585" s="1" t="s">
        <v>27</v>
      </c>
      <c r="E1585" s="1">
        <v>0.49006944444444445</v>
      </c>
      <c r="F1585" s="1" t="s">
        <v>13</v>
      </c>
      <c r="G1585" s="1">
        <v>3.1</v>
      </c>
      <c r="H1585" s="1">
        <v>3.16</v>
      </c>
      <c r="I1585" s="1">
        <v>0</v>
      </c>
      <c r="J1585" s="4">
        <v>41116</v>
      </c>
      <c r="K1585" s="4">
        <v>41481</v>
      </c>
      <c r="L1585">
        <f t="shared" si="24"/>
        <v>3.13</v>
      </c>
    </row>
    <row r="1586" spans="1:12" x14ac:dyDescent="0.15">
      <c r="A1586" s="1">
        <v>1585</v>
      </c>
      <c r="B1586" s="4">
        <v>41115</v>
      </c>
      <c r="C1586" s="1" t="s">
        <v>19</v>
      </c>
      <c r="D1586" s="1" t="s">
        <v>27</v>
      </c>
      <c r="E1586" s="1">
        <v>0.49006944444444445</v>
      </c>
      <c r="F1586" s="1" t="s">
        <v>13</v>
      </c>
      <c r="G1586" s="1">
        <v>3.21</v>
      </c>
      <c r="H1586" s="1">
        <v>3.31</v>
      </c>
      <c r="I1586" s="1">
        <v>0</v>
      </c>
      <c r="J1586" s="4">
        <v>41116</v>
      </c>
      <c r="K1586" s="4">
        <v>41390</v>
      </c>
      <c r="L1586">
        <f t="shared" si="24"/>
        <v>3.26</v>
      </c>
    </row>
    <row r="1587" spans="1:12" x14ac:dyDescent="0.15">
      <c r="A1587" s="1">
        <v>1586</v>
      </c>
      <c r="B1587" s="4">
        <v>41115</v>
      </c>
      <c r="C1587" s="1" t="s">
        <v>18</v>
      </c>
      <c r="D1587" s="1" t="s">
        <v>27</v>
      </c>
      <c r="E1587" s="1">
        <v>0.49009259259259258</v>
      </c>
      <c r="F1587" s="1" t="s">
        <v>13</v>
      </c>
      <c r="G1587" s="1">
        <v>2.89</v>
      </c>
      <c r="H1587" s="1">
        <v>2.99</v>
      </c>
      <c r="I1587" s="1">
        <v>0</v>
      </c>
      <c r="J1587" s="4">
        <v>41116</v>
      </c>
      <c r="K1587" s="4">
        <v>41846</v>
      </c>
      <c r="L1587">
        <f t="shared" si="24"/>
        <v>2.9400000000000004</v>
      </c>
    </row>
    <row r="1588" spans="1:12" x14ac:dyDescent="0.15">
      <c r="A1588" s="1">
        <v>1587</v>
      </c>
      <c r="B1588" s="4">
        <v>41115</v>
      </c>
      <c r="C1588" s="1" t="s">
        <v>16</v>
      </c>
      <c r="D1588" s="1" t="s">
        <v>27</v>
      </c>
      <c r="E1588" s="1">
        <v>0.49009259259259258</v>
      </c>
      <c r="F1588" s="1" t="s">
        <v>13</v>
      </c>
      <c r="G1588" s="1">
        <v>2.9</v>
      </c>
      <c r="H1588" s="1">
        <v>2.96</v>
      </c>
      <c r="I1588" s="1">
        <v>0</v>
      </c>
      <c r="J1588" s="4">
        <v>41116</v>
      </c>
      <c r="K1588" s="4">
        <v>42577</v>
      </c>
      <c r="L1588">
        <f t="shared" si="24"/>
        <v>2.9299999999999997</v>
      </c>
    </row>
    <row r="1589" spans="1:12" x14ac:dyDescent="0.15">
      <c r="A1589" s="1">
        <v>1588</v>
      </c>
      <c r="B1589" s="4">
        <v>41115</v>
      </c>
      <c r="C1589" s="1" t="s">
        <v>20</v>
      </c>
      <c r="D1589" s="1" t="s">
        <v>26</v>
      </c>
      <c r="E1589" s="1">
        <v>0.48251157407407402</v>
      </c>
      <c r="F1589" s="1" t="s">
        <v>13</v>
      </c>
      <c r="G1589" s="1">
        <v>2.9</v>
      </c>
      <c r="H1589" s="1">
        <v>3</v>
      </c>
      <c r="I1589" s="1">
        <v>0</v>
      </c>
      <c r="J1589" s="4">
        <v>41116</v>
      </c>
      <c r="K1589" s="4">
        <v>44768</v>
      </c>
      <c r="L1589">
        <f t="shared" si="24"/>
        <v>2.95</v>
      </c>
    </row>
    <row r="1590" spans="1:12" x14ac:dyDescent="0.15">
      <c r="A1590" s="1">
        <v>1589</v>
      </c>
      <c r="B1590" s="4">
        <v>41115</v>
      </c>
      <c r="C1590" s="1" t="s">
        <v>14</v>
      </c>
      <c r="D1590" s="1" t="s">
        <v>26</v>
      </c>
      <c r="E1590" s="1">
        <v>0.48251157407407402</v>
      </c>
      <c r="F1590" s="1" t="s">
        <v>13</v>
      </c>
      <c r="G1590" s="1">
        <v>3.1</v>
      </c>
      <c r="H1590" s="1">
        <v>3.15</v>
      </c>
      <c r="I1590" s="1">
        <v>0</v>
      </c>
      <c r="J1590" s="4">
        <v>41116</v>
      </c>
      <c r="K1590" s="4">
        <v>41481</v>
      </c>
      <c r="L1590">
        <f t="shared" si="24"/>
        <v>3.125</v>
      </c>
    </row>
    <row r="1591" spans="1:12" x14ac:dyDescent="0.15">
      <c r="A1591" s="1">
        <v>1590</v>
      </c>
      <c r="B1591" s="4">
        <v>41115</v>
      </c>
      <c r="C1591" s="1" t="s">
        <v>18</v>
      </c>
      <c r="D1591" s="1" t="s">
        <v>26</v>
      </c>
      <c r="E1591" s="1">
        <v>0.48251157407407402</v>
      </c>
      <c r="F1591" s="1" t="s">
        <v>13</v>
      </c>
      <c r="G1591" s="1">
        <v>2.93</v>
      </c>
      <c r="H1591" s="1">
        <v>3.02</v>
      </c>
      <c r="I1591" s="1">
        <v>0</v>
      </c>
      <c r="J1591" s="4">
        <v>41116</v>
      </c>
      <c r="K1591" s="4">
        <v>41846</v>
      </c>
      <c r="L1591">
        <f t="shared" si="24"/>
        <v>2.9750000000000001</v>
      </c>
    </row>
    <row r="1592" spans="1:12" x14ac:dyDescent="0.15">
      <c r="A1592" s="1">
        <v>1591</v>
      </c>
      <c r="B1592" s="4">
        <v>41115</v>
      </c>
      <c r="C1592" s="1" t="s">
        <v>11</v>
      </c>
      <c r="D1592" s="1" t="s">
        <v>26</v>
      </c>
      <c r="E1592" s="1">
        <v>0.48252314814814817</v>
      </c>
      <c r="F1592" s="1" t="s">
        <v>13</v>
      </c>
      <c r="G1592" s="1">
        <v>2.9</v>
      </c>
      <c r="H1592" s="1">
        <v>3</v>
      </c>
      <c r="I1592" s="1">
        <v>0</v>
      </c>
      <c r="J1592" s="4">
        <v>41116</v>
      </c>
      <c r="K1592" s="4">
        <v>42211</v>
      </c>
      <c r="L1592">
        <f t="shared" si="24"/>
        <v>2.95</v>
      </c>
    </row>
    <row r="1593" spans="1:12" x14ac:dyDescent="0.15">
      <c r="A1593" s="1">
        <v>1592</v>
      </c>
      <c r="B1593" s="4">
        <v>41115</v>
      </c>
      <c r="C1593" s="1" t="s">
        <v>16</v>
      </c>
      <c r="D1593" s="1" t="s">
        <v>26</v>
      </c>
      <c r="E1593" s="1">
        <v>0.48252314814814817</v>
      </c>
      <c r="F1593" s="1" t="s">
        <v>13</v>
      </c>
      <c r="G1593" s="1">
        <v>2.9</v>
      </c>
      <c r="H1593" s="1">
        <v>3</v>
      </c>
      <c r="I1593" s="1">
        <v>0</v>
      </c>
      <c r="J1593" s="4">
        <v>41116</v>
      </c>
      <c r="K1593" s="4">
        <v>42577</v>
      </c>
      <c r="L1593">
        <f t="shared" si="24"/>
        <v>2.95</v>
      </c>
    </row>
    <row r="1594" spans="1:12" x14ac:dyDescent="0.15">
      <c r="A1594" s="1">
        <v>1593</v>
      </c>
      <c r="B1594" s="4">
        <v>41115</v>
      </c>
      <c r="C1594" s="1" t="s">
        <v>22</v>
      </c>
      <c r="D1594" s="1" t="s">
        <v>27</v>
      </c>
      <c r="E1594" s="1">
        <v>0.49010416666666662</v>
      </c>
      <c r="F1594" s="1" t="s">
        <v>13</v>
      </c>
      <c r="G1594" s="1">
        <v>3.48</v>
      </c>
      <c r="H1594" s="1">
        <v>3.53</v>
      </c>
      <c r="I1594" s="1">
        <v>0</v>
      </c>
      <c r="J1594" s="4">
        <v>41116</v>
      </c>
      <c r="K1594" s="4">
        <v>41300</v>
      </c>
      <c r="L1594">
        <f t="shared" si="24"/>
        <v>3.5049999999999999</v>
      </c>
    </row>
    <row r="1595" spans="1:12" x14ac:dyDescent="0.15">
      <c r="A1595" s="1">
        <v>1594</v>
      </c>
      <c r="B1595" s="4">
        <v>41115</v>
      </c>
      <c r="C1595" s="1" t="s">
        <v>20</v>
      </c>
      <c r="D1595" s="1" t="s">
        <v>15</v>
      </c>
      <c r="E1595" s="1">
        <v>0.49599537037037034</v>
      </c>
      <c r="F1595" s="1" t="s">
        <v>13</v>
      </c>
      <c r="G1595" s="1">
        <v>3.03</v>
      </c>
      <c r="H1595" s="1">
        <v>3.09</v>
      </c>
      <c r="I1595" s="1">
        <v>0</v>
      </c>
      <c r="J1595" s="4">
        <v>41116</v>
      </c>
      <c r="K1595" s="4">
        <v>44768</v>
      </c>
      <c r="L1595">
        <f t="shared" si="24"/>
        <v>3.0599999999999996</v>
      </c>
    </row>
    <row r="1596" spans="1:12" x14ac:dyDescent="0.15">
      <c r="A1596" s="1">
        <v>1595</v>
      </c>
      <c r="B1596" s="4">
        <v>41115</v>
      </c>
      <c r="C1596" s="1" t="s">
        <v>21</v>
      </c>
      <c r="D1596" s="1" t="s">
        <v>15</v>
      </c>
      <c r="E1596" s="1">
        <v>0.4959837962962963</v>
      </c>
      <c r="F1596" s="1" t="s">
        <v>13</v>
      </c>
      <c r="G1596" s="1">
        <v>2.99</v>
      </c>
      <c r="H1596" s="1">
        <v>3.05</v>
      </c>
      <c r="I1596" s="1">
        <v>0</v>
      </c>
      <c r="J1596" s="4">
        <v>41116</v>
      </c>
      <c r="K1596" s="4">
        <v>43672</v>
      </c>
      <c r="L1596">
        <f t="shared" si="24"/>
        <v>3.02</v>
      </c>
    </row>
    <row r="1597" spans="1:12" x14ac:dyDescent="0.15">
      <c r="A1597" s="1">
        <v>1596</v>
      </c>
      <c r="B1597" s="4">
        <v>41115</v>
      </c>
      <c r="C1597" s="1" t="s">
        <v>25</v>
      </c>
      <c r="D1597" s="1" t="s">
        <v>15</v>
      </c>
      <c r="E1597" s="1">
        <v>0.49599537037037034</v>
      </c>
      <c r="F1597" s="1" t="s">
        <v>13</v>
      </c>
      <c r="G1597" s="1">
        <v>2.91</v>
      </c>
      <c r="H1597" s="1">
        <v>2.97</v>
      </c>
      <c r="I1597" s="1">
        <v>0</v>
      </c>
      <c r="J1597" s="4">
        <v>41116</v>
      </c>
      <c r="K1597" s="4">
        <v>42942</v>
      </c>
      <c r="L1597">
        <f t="shared" si="24"/>
        <v>2.9400000000000004</v>
      </c>
    </row>
    <row r="1598" spans="1:12" x14ac:dyDescent="0.15">
      <c r="A1598" s="1">
        <v>1597</v>
      </c>
      <c r="B1598" s="4">
        <v>41115</v>
      </c>
      <c r="C1598" s="1" t="s">
        <v>11</v>
      </c>
      <c r="D1598" s="1" t="s">
        <v>15</v>
      </c>
      <c r="E1598" s="1">
        <v>0.49599537037037034</v>
      </c>
      <c r="F1598" s="1" t="s">
        <v>13</v>
      </c>
      <c r="G1598" s="1">
        <v>2.9</v>
      </c>
      <c r="H1598" s="1">
        <v>2.96</v>
      </c>
      <c r="I1598" s="1">
        <v>0</v>
      </c>
      <c r="J1598" s="4">
        <v>41116</v>
      </c>
      <c r="K1598" s="4">
        <v>42211</v>
      </c>
      <c r="L1598">
        <f t="shared" si="24"/>
        <v>2.9299999999999997</v>
      </c>
    </row>
    <row r="1599" spans="1:12" x14ac:dyDescent="0.15">
      <c r="A1599" s="1">
        <v>1598</v>
      </c>
      <c r="B1599" s="4">
        <v>41115</v>
      </c>
      <c r="C1599" s="1" t="s">
        <v>16</v>
      </c>
      <c r="D1599" s="1" t="s">
        <v>15</v>
      </c>
      <c r="E1599" s="1">
        <v>0.49599537037037034</v>
      </c>
      <c r="F1599" s="1" t="s">
        <v>13</v>
      </c>
      <c r="G1599" s="1">
        <v>2.9</v>
      </c>
      <c r="H1599" s="1">
        <v>2.96</v>
      </c>
      <c r="I1599" s="1">
        <v>0</v>
      </c>
      <c r="J1599" s="4">
        <v>41116</v>
      </c>
      <c r="K1599" s="4">
        <v>42577</v>
      </c>
      <c r="L1599">
        <f t="shared" si="24"/>
        <v>2.9299999999999997</v>
      </c>
    </row>
    <row r="1600" spans="1:12" x14ac:dyDescent="0.15">
      <c r="A1600" s="1">
        <v>1599</v>
      </c>
      <c r="B1600" s="4">
        <v>41115</v>
      </c>
      <c r="C1600" s="1" t="s">
        <v>19</v>
      </c>
      <c r="D1600" s="1" t="s">
        <v>15</v>
      </c>
      <c r="E1600" s="1">
        <v>0.4959837962962963</v>
      </c>
      <c r="F1600" s="1" t="s">
        <v>13</v>
      </c>
      <c r="G1600" s="1">
        <v>3.26</v>
      </c>
      <c r="H1600" s="1">
        <v>3.32</v>
      </c>
      <c r="I1600" s="1">
        <v>0</v>
      </c>
      <c r="J1600" s="4">
        <v>41116</v>
      </c>
      <c r="K1600" s="4">
        <v>41390</v>
      </c>
      <c r="L1600">
        <f t="shared" si="24"/>
        <v>3.29</v>
      </c>
    </row>
    <row r="1601" spans="1:12" x14ac:dyDescent="0.15">
      <c r="A1601" s="1">
        <v>1600</v>
      </c>
      <c r="B1601" s="4">
        <v>41115</v>
      </c>
      <c r="C1601" s="1" t="s">
        <v>11</v>
      </c>
      <c r="D1601" s="1" t="s">
        <v>27</v>
      </c>
      <c r="E1601" s="1">
        <v>0.49010416666666662</v>
      </c>
      <c r="F1601" s="1" t="s">
        <v>13</v>
      </c>
      <c r="G1601" s="1">
        <v>2.89</v>
      </c>
      <c r="H1601" s="1">
        <v>2.99</v>
      </c>
      <c r="I1601" s="1">
        <v>0</v>
      </c>
      <c r="J1601" s="4">
        <v>41116</v>
      </c>
      <c r="K1601" s="4">
        <v>42211</v>
      </c>
      <c r="L1601">
        <f t="shared" si="24"/>
        <v>2.9400000000000004</v>
      </c>
    </row>
    <row r="1602" spans="1:12" x14ac:dyDescent="0.15">
      <c r="A1602" s="1">
        <v>1601</v>
      </c>
      <c r="B1602" s="4">
        <v>41115</v>
      </c>
      <c r="C1602" s="1" t="s">
        <v>22</v>
      </c>
      <c r="D1602" s="1" t="s">
        <v>15</v>
      </c>
      <c r="E1602" s="1">
        <v>0.4959837962962963</v>
      </c>
      <c r="F1602" s="1" t="s">
        <v>13</v>
      </c>
      <c r="G1602" s="1">
        <v>3.47</v>
      </c>
      <c r="H1602" s="1">
        <v>3.53</v>
      </c>
      <c r="I1602" s="1">
        <v>0</v>
      </c>
      <c r="J1602" s="4">
        <v>41116</v>
      </c>
      <c r="K1602" s="4">
        <v>41300</v>
      </c>
      <c r="L1602">
        <f t="shared" si="24"/>
        <v>3.5</v>
      </c>
    </row>
    <row r="1603" spans="1:12" x14ac:dyDescent="0.15">
      <c r="A1603" s="1">
        <v>1602</v>
      </c>
      <c r="B1603" s="4">
        <v>41115</v>
      </c>
      <c r="C1603" s="1" t="s">
        <v>18</v>
      </c>
      <c r="D1603" s="1" t="s">
        <v>15</v>
      </c>
      <c r="E1603" s="1">
        <v>0.4959837962962963</v>
      </c>
      <c r="F1603" s="1" t="s">
        <v>13</v>
      </c>
      <c r="G1603" s="1">
        <v>2.92</v>
      </c>
      <c r="H1603" s="1">
        <v>2.98</v>
      </c>
      <c r="I1603" s="1">
        <v>0</v>
      </c>
      <c r="J1603" s="4">
        <v>41116</v>
      </c>
      <c r="K1603" s="4">
        <v>41846</v>
      </c>
      <c r="L1603">
        <f t="shared" ref="L1603:L1666" si="25">AVERAGE(G1603:H1603)</f>
        <v>2.95</v>
      </c>
    </row>
    <row r="1604" spans="1:12" x14ac:dyDescent="0.15">
      <c r="A1604" s="1">
        <v>1603</v>
      </c>
      <c r="B1604" s="4">
        <v>41115</v>
      </c>
      <c r="C1604" s="1" t="s">
        <v>14</v>
      </c>
      <c r="D1604" s="1" t="s">
        <v>15</v>
      </c>
      <c r="E1604" s="1">
        <v>0.4959837962962963</v>
      </c>
      <c r="F1604" s="1" t="s">
        <v>13</v>
      </c>
      <c r="G1604" s="1">
        <v>3.14</v>
      </c>
      <c r="H1604" s="1">
        <v>3.2</v>
      </c>
      <c r="I1604" s="1">
        <v>0</v>
      </c>
      <c r="J1604" s="4">
        <v>41116</v>
      </c>
      <c r="K1604" s="4">
        <v>41481</v>
      </c>
      <c r="L1604">
        <f t="shared" si="25"/>
        <v>3.17</v>
      </c>
    </row>
    <row r="1605" spans="1:12" x14ac:dyDescent="0.15">
      <c r="A1605" s="1">
        <v>1604</v>
      </c>
      <c r="B1605" s="4">
        <v>41115</v>
      </c>
      <c r="C1605" s="1" t="s">
        <v>22</v>
      </c>
      <c r="D1605" s="1" t="s">
        <v>26</v>
      </c>
      <c r="E1605" s="1">
        <v>0.48251157407407402</v>
      </c>
      <c r="F1605" s="1" t="s">
        <v>13</v>
      </c>
      <c r="G1605" s="1">
        <v>3.45</v>
      </c>
      <c r="H1605" s="1">
        <v>3.5</v>
      </c>
      <c r="I1605" s="1">
        <v>0</v>
      </c>
      <c r="J1605" s="4">
        <v>41116</v>
      </c>
      <c r="K1605" s="4">
        <v>41300</v>
      </c>
      <c r="L1605">
        <f t="shared" si="25"/>
        <v>3.4750000000000001</v>
      </c>
    </row>
    <row r="1606" spans="1:12" x14ac:dyDescent="0.15">
      <c r="A1606" s="1">
        <v>1605</v>
      </c>
      <c r="B1606" s="4">
        <v>41115</v>
      </c>
      <c r="C1606" s="1" t="s">
        <v>16</v>
      </c>
      <c r="D1606" s="1" t="s">
        <v>34</v>
      </c>
      <c r="E1606" s="1">
        <v>0.45655092592592594</v>
      </c>
      <c r="F1606" s="1" t="s">
        <v>13</v>
      </c>
      <c r="G1606" s="1">
        <v>2.86</v>
      </c>
      <c r="H1606" s="1">
        <v>2.96</v>
      </c>
      <c r="I1606" s="1">
        <v>0</v>
      </c>
      <c r="J1606" s="4">
        <v>41116</v>
      </c>
      <c r="K1606" s="4">
        <v>42577</v>
      </c>
      <c r="L1606">
        <f t="shared" si="25"/>
        <v>2.91</v>
      </c>
    </row>
    <row r="1607" spans="1:12" x14ac:dyDescent="0.15">
      <c r="A1607" s="1">
        <v>1606</v>
      </c>
      <c r="B1607" s="4">
        <v>41115</v>
      </c>
      <c r="C1607" s="1" t="s">
        <v>11</v>
      </c>
      <c r="D1607" s="1" t="s">
        <v>34</v>
      </c>
      <c r="E1607" s="1">
        <v>0.45655092592592594</v>
      </c>
      <c r="F1607" s="1" t="s">
        <v>13</v>
      </c>
      <c r="G1607" s="1">
        <v>2.88</v>
      </c>
      <c r="H1607" s="1">
        <v>2.98</v>
      </c>
      <c r="I1607" s="1">
        <v>0</v>
      </c>
      <c r="J1607" s="4">
        <v>41116</v>
      </c>
      <c r="K1607" s="4">
        <v>42211</v>
      </c>
      <c r="L1607">
        <f t="shared" si="25"/>
        <v>2.9299999999999997</v>
      </c>
    </row>
    <row r="1608" spans="1:12" x14ac:dyDescent="0.15">
      <c r="A1608" s="1">
        <v>1607</v>
      </c>
      <c r="B1608" s="4">
        <v>41115</v>
      </c>
      <c r="C1608" s="1" t="s">
        <v>25</v>
      </c>
      <c r="D1608" s="1" t="s">
        <v>34</v>
      </c>
      <c r="E1608" s="1">
        <v>0.45655092592592594</v>
      </c>
      <c r="F1608" s="1" t="s">
        <v>13</v>
      </c>
      <c r="G1608" s="1">
        <v>2.88</v>
      </c>
      <c r="H1608" s="1">
        <v>2.98</v>
      </c>
      <c r="I1608" s="1">
        <v>0</v>
      </c>
      <c r="J1608" s="4">
        <v>41116</v>
      </c>
      <c r="K1608" s="4">
        <v>42942</v>
      </c>
      <c r="L1608">
        <f t="shared" si="25"/>
        <v>2.9299999999999997</v>
      </c>
    </row>
    <row r="1609" spans="1:12" x14ac:dyDescent="0.15">
      <c r="A1609" s="1">
        <v>1608</v>
      </c>
      <c r="B1609" s="4">
        <v>41115</v>
      </c>
      <c r="C1609" s="1" t="s">
        <v>14</v>
      </c>
      <c r="D1609" s="1" t="s">
        <v>35</v>
      </c>
      <c r="E1609" s="1">
        <v>0.47501157407407407</v>
      </c>
      <c r="F1609" s="1" t="s">
        <v>13</v>
      </c>
      <c r="G1609" s="1">
        <v>3.15</v>
      </c>
      <c r="H1609" s="1">
        <v>3.2</v>
      </c>
      <c r="I1609" s="1">
        <v>0</v>
      </c>
      <c r="J1609" s="4">
        <v>41116</v>
      </c>
      <c r="K1609" s="4">
        <v>41481</v>
      </c>
      <c r="L1609">
        <f t="shared" si="25"/>
        <v>3.1749999999999998</v>
      </c>
    </row>
    <row r="1610" spans="1:12" x14ac:dyDescent="0.15">
      <c r="A1610" s="1">
        <v>1609</v>
      </c>
      <c r="B1610" s="4">
        <v>41115</v>
      </c>
      <c r="C1610" s="1" t="s">
        <v>21</v>
      </c>
      <c r="D1610" s="1" t="s">
        <v>34</v>
      </c>
      <c r="E1610" s="1">
        <v>0.45655092592592594</v>
      </c>
      <c r="F1610" s="1" t="s">
        <v>13</v>
      </c>
      <c r="G1610" s="1">
        <v>2.97</v>
      </c>
      <c r="H1610" s="1">
        <v>3.07</v>
      </c>
      <c r="I1610" s="1">
        <v>0</v>
      </c>
      <c r="J1610" s="4">
        <v>41116</v>
      </c>
      <c r="K1610" s="4">
        <v>43672</v>
      </c>
      <c r="L1610">
        <f t="shared" si="25"/>
        <v>3.02</v>
      </c>
    </row>
    <row r="1611" spans="1:12" x14ac:dyDescent="0.15">
      <c r="A1611" s="1">
        <v>1610</v>
      </c>
      <c r="B1611" s="4">
        <v>41115</v>
      </c>
      <c r="C1611" s="1" t="s">
        <v>22</v>
      </c>
      <c r="D1611" s="1" t="s">
        <v>34</v>
      </c>
      <c r="E1611" s="1">
        <v>0.45655092592592594</v>
      </c>
      <c r="F1611" s="1" t="s">
        <v>13</v>
      </c>
      <c r="G1611" s="1">
        <v>3.43</v>
      </c>
      <c r="H1611" s="1">
        <v>3.55</v>
      </c>
      <c r="I1611" s="1">
        <v>0</v>
      </c>
      <c r="J1611" s="4">
        <v>41116</v>
      </c>
      <c r="K1611" s="4">
        <v>41300</v>
      </c>
      <c r="L1611">
        <f t="shared" si="25"/>
        <v>3.49</v>
      </c>
    </row>
    <row r="1612" spans="1:12" x14ac:dyDescent="0.15">
      <c r="A1612" s="1">
        <v>1611</v>
      </c>
      <c r="B1612" s="4">
        <v>41115</v>
      </c>
      <c r="C1612" s="1" t="s">
        <v>20</v>
      </c>
      <c r="D1612" s="1" t="s">
        <v>34</v>
      </c>
      <c r="E1612" s="1">
        <v>0.45655092592592594</v>
      </c>
      <c r="F1612" s="1" t="s">
        <v>13</v>
      </c>
      <c r="G1612" s="1">
        <v>3.01</v>
      </c>
      <c r="H1612" s="1">
        <v>3.11</v>
      </c>
      <c r="I1612" s="1">
        <v>0</v>
      </c>
      <c r="J1612" s="4">
        <v>41116</v>
      </c>
      <c r="K1612" s="4">
        <v>44768</v>
      </c>
      <c r="L1612">
        <f t="shared" si="25"/>
        <v>3.0599999999999996</v>
      </c>
    </row>
    <row r="1613" spans="1:12" x14ac:dyDescent="0.15">
      <c r="A1613" s="1">
        <v>1612</v>
      </c>
      <c r="B1613" s="4">
        <v>41115</v>
      </c>
      <c r="C1613" s="1" t="s">
        <v>19</v>
      </c>
      <c r="D1613" s="1" t="s">
        <v>34</v>
      </c>
      <c r="E1613" s="1">
        <v>0.45655092592592594</v>
      </c>
      <c r="F1613" s="1" t="s">
        <v>13</v>
      </c>
      <c r="G1613" s="1">
        <v>3.19</v>
      </c>
      <c r="H1613" s="1">
        <v>3.31</v>
      </c>
      <c r="I1613" s="1">
        <v>0</v>
      </c>
      <c r="J1613" s="4">
        <v>41116</v>
      </c>
      <c r="K1613" s="4">
        <v>41390</v>
      </c>
      <c r="L1613">
        <f t="shared" si="25"/>
        <v>3.25</v>
      </c>
    </row>
    <row r="1614" spans="1:12" x14ac:dyDescent="0.15">
      <c r="A1614" s="1">
        <v>1613</v>
      </c>
      <c r="B1614" s="4">
        <v>41115</v>
      </c>
      <c r="C1614" s="1" t="s">
        <v>18</v>
      </c>
      <c r="D1614" s="1" t="s">
        <v>34</v>
      </c>
      <c r="E1614" s="1">
        <v>0.45655092592592594</v>
      </c>
      <c r="F1614" s="1" t="s">
        <v>13</v>
      </c>
      <c r="G1614" s="1">
        <v>2.89</v>
      </c>
      <c r="H1614" s="1">
        <v>2.99</v>
      </c>
      <c r="I1614" s="1">
        <v>0</v>
      </c>
      <c r="J1614" s="4">
        <v>41116</v>
      </c>
      <c r="K1614" s="4">
        <v>41846</v>
      </c>
      <c r="L1614">
        <f t="shared" si="25"/>
        <v>2.9400000000000004</v>
      </c>
    </row>
    <row r="1615" spans="1:12" x14ac:dyDescent="0.15">
      <c r="A1615" s="1">
        <v>1614</v>
      </c>
      <c r="B1615" s="4">
        <v>41115</v>
      </c>
      <c r="C1615" s="1" t="s">
        <v>14</v>
      </c>
      <c r="D1615" s="1" t="s">
        <v>34</v>
      </c>
      <c r="E1615" s="1">
        <v>0.45655092592592594</v>
      </c>
      <c r="F1615" s="1" t="s">
        <v>13</v>
      </c>
      <c r="G1615" s="1">
        <v>3.05</v>
      </c>
      <c r="H1615" s="1">
        <v>3.17</v>
      </c>
      <c r="I1615" s="1">
        <v>0</v>
      </c>
      <c r="J1615" s="4">
        <v>41116</v>
      </c>
      <c r="K1615" s="4">
        <v>41481</v>
      </c>
      <c r="L1615">
        <f t="shared" si="25"/>
        <v>3.11</v>
      </c>
    </row>
    <row r="1616" spans="1:12" x14ac:dyDescent="0.15">
      <c r="A1616" s="1">
        <v>1615</v>
      </c>
      <c r="B1616" s="4">
        <v>41115</v>
      </c>
      <c r="C1616" s="1" t="s">
        <v>18</v>
      </c>
      <c r="D1616" s="1" t="s">
        <v>35</v>
      </c>
      <c r="E1616" s="1">
        <v>0.47501157407407407</v>
      </c>
      <c r="F1616" s="1" t="s">
        <v>13</v>
      </c>
      <c r="G1616" s="1">
        <v>3</v>
      </c>
      <c r="H1616" s="1">
        <v>3.05</v>
      </c>
      <c r="I1616" s="1">
        <v>0</v>
      </c>
      <c r="J1616" s="4">
        <v>41116</v>
      </c>
      <c r="K1616" s="4">
        <v>41846</v>
      </c>
      <c r="L1616">
        <f t="shared" si="25"/>
        <v>3.0249999999999999</v>
      </c>
    </row>
    <row r="1617" spans="1:12" x14ac:dyDescent="0.15">
      <c r="A1617" s="1">
        <v>1616</v>
      </c>
      <c r="B1617" s="4">
        <v>41115</v>
      </c>
      <c r="C1617" s="1" t="s">
        <v>19</v>
      </c>
      <c r="D1617" s="1" t="s">
        <v>35</v>
      </c>
      <c r="E1617" s="1">
        <v>0.47501157407407407</v>
      </c>
      <c r="F1617" s="1" t="s">
        <v>13</v>
      </c>
      <c r="G1617" s="1">
        <v>3.3</v>
      </c>
      <c r="H1617" s="1">
        <v>3.35</v>
      </c>
      <c r="I1617" s="1">
        <v>0</v>
      </c>
      <c r="J1617" s="4">
        <v>41116</v>
      </c>
      <c r="K1617" s="4">
        <v>41390</v>
      </c>
      <c r="L1617">
        <f t="shared" si="25"/>
        <v>3.3250000000000002</v>
      </c>
    </row>
    <row r="1618" spans="1:12" x14ac:dyDescent="0.15">
      <c r="A1618" s="1">
        <v>1617</v>
      </c>
      <c r="B1618" s="4">
        <v>41115</v>
      </c>
      <c r="C1618" s="1" t="s">
        <v>22</v>
      </c>
      <c r="D1618" s="1" t="s">
        <v>35</v>
      </c>
      <c r="E1618" s="1">
        <v>0.47501157407407407</v>
      </c>
      <c r="F1618" s="1" t="s">
        <v>13</v>
      </c>
      <c r="G1618" s="1">
        <v>3.5</v>
      </c>
      <c r="H1618" s="1">
        <v>3.55</v>
      </c>
      <c r="I1618" s="1">
        <v>0</v>
      </c>
      <c r="J1618" s="4">
        <v>41116</v>
      </c>
      <c r="K1618" s="4">
        <v>41300</v>
      </c>
      <c r="L1618">
        <f t="shared" si="25"/>
        <v>3.5249999999999999</v>
      </c>
    </row>
    <row r="1619" spans="1:12" x14ac:dyDescent="0.15">
      <c r="A1619" s="1">
        <v>1618</v>
      </c>
      <c r="B1619" s="4">
        <v>41115</v>
      </c>
      <c r="C1619" s="1" t="s">
        <v>21</v>
      </c>
      <c r="D1619" s="1" t="s">
        <v>26</v>
      </c>
      <c r="E1619" s="1">
        <v>0.48251157407407402</v>
      </c>
      <c r="F1619" s="1" t="s">
        <v>13</v>
      </c>
      <c r="G1619" s="1">
        <v>2.9</v>
      </c>
      <c r="H1619" s="1">
        <v>3</v>
      </c>
      <c r="I1619" s="1">
        <v>0</v>
      </c>
      <c r="J1619" s="4">
        <v>41116</v>
      </c>
      <c r="K1619" s="4">
        <v>43672</v>
      </c>
      <c r="L1619">
        <f t="shared" si="25"/>
        <v>2.95</v>
      </c>
    </row>
    <row r="1620" spans="1:12" x14ac:dyDescent="0.15">
      <c r="A1620" s="1">
        <v>1619</v>
      </c>
      <c r="B1620" s="4">
        <v>41115</v>
      </c>
      <c r="C1620" s="1" t="s">
        <v>25</v>
      </c>
      <c r="D1620" s="1" t="s">
        <v>26</v>
      </c>
      <c r="E1620" s="1">
        <v>0.48251157407407402</v>
      </c>
      <c r="F1620" s="1" t="s">
        <v>13</v>
      </c>
      <c r="G1620" s="1">
        <v>2.9</v>
      </c>
      <c r="H1620" s="1">
        <v>3</v>
      </c>
      <c r="I1620" s="1">
        <v>0</v>
      </c>
      <c r="J1620" s="4">
        <v>41116</v>
      </c>
      <c r="K1620" s="4">
        <v>42942</v>
      </c>
      <c r="L1620">
        <f t="shared" si="25"/>
        <v>2.95</v>
      </c>
    </row>
    <row r="1621" spans="1:12" x14ac:dyDescent="0.15">
      <c r="A1621" s="1">
        <v>1620</v>
      </c>
      <c r="B1621" s="4">
        <v>41115</v>
      </c>
      <c r="C1621" s="1" t="s">
        <v>19</v>
      </c>
      <c r="D1621" s="1" t="s">
        <v>26</v>
      </c>
      <c r="E1621" s="1">
        <v>0.48251157407407402</v>
      </c>
      <c r="F1621" s="1" t="s">
        <v>13</v>
      </c>
      <c r="G1621" s="1">
        <v>3.2</v>
      </c>
      <c r="H1621" s="1">
        <v>3.28</v>
      </c>
      <c r="I1621" s="1">
        <v>0</v>
      </c>
      <c r="J1621" s="4">
        <v>41116</v>
      </c>
      <c r="K1621" s="4">
        <v>41390</v>
      </c>
      <c r="L1621">
        <f t="shared" si="25"/>
        <v>3.24</v>
      </c>
    </row>
    <row r="1622" spans="1:12" x14ac:dyDescent="0.15">
      <c r="A1622" s="1">
        <v>1621</v>
      </c>
      <c r="B1622" s="4">
        <v>41115</v>
      </c>
      <c r="C1622" s="1" t="s">
        <v>16</v>
      </c>
      <c r="D1622" s="1" t="s">
        <v>35</v>
      </c>
      <c r="E1622" s="1">
        <v>0.47501157407407407</v>
      </c>
      <c r="F1622" s="1" t="s">
        <v>13</v>
      </c>
      <c r="G1622" s="1">
        <v>2.95</v>
      </c>
      <c r="H1622" s="1">
        <v>3</v>
      </c>
      <c r="I1622" s="1">
        <v>0</v>
      </c>
      <c r="J1622" s="4">
        <v>41116</v>
      </c>
      <c r="K1622" s="4">
        <v>42577</v>
      </c>
      <c r="L1622">
        <f t="shared" si="25"/>
        <v>2.9750000000000001</v>
      </c>
    </row>
    <row r="1623" spans="1:12" x14ac:dyDescent="0.15">
      <c r="A1623" s="1">
        <v>1622</v>
      </c>
      <c r="B1623" s="4">
        <v>41115</v>
      </c>
      <c r="C1623" s="1" t="s">
        <v>11</v>
      </c>
      <c r="D1623" s="1" t="s">
        <v>35</v>
      </c>
      <c r="E1623" s="1">
        <v>0.47501157407407407</v>
      </c>
      <c r="F1623" s="1" t="s">
        <v>13</v>
      </c>
      <c r="G1623" s="1">
        <v>2.95</v>
      </c>
      <c r="H1623" s="1">
        <v>3</v>
      </c>
      <c r="I1623" s="1">
        <v>0</v>
      </c>
      <c r="J1623" s="4">
        <v>41116</v>
      </c>
      <c r="K1623" s="4">
        <v>42211</v>
      </c>
      <c r="L1623">
        <f t="shared" si="25"/>
        <v>2.9750000000000001</v>
      </c>
    </row>
    <row r="1624" spans="1:12" x14ac:dyDescent="0.15">
      <c r="A1624" s="1">
        <v>1623</v>
      </c>
      <c r="B1624" s="4">
        <v>41115</v>
      </c>
      <c r="C1624" s="1" t="s">
        <v>25</v>
      </c>
      <c r="D1624" s="1" t="s">
        <v>35</v>
      </c>
      <c r="E1624" s="1">
        <v>0.47501157407407407</v>
      </c>
      <c r="F1624" s="1" t="s">
        <v>13</v>
      </c>
      <c r="G1624" s="1">
        <v>2.95</v>
      </c>
      <c r="H1624" s="1">
        <v>3</v>
      </c>
      <c r="I1624" s="1">
        <v>0</v>
      </c>
      <c r="J1624" s="4">
        <v>41116</v>
      </c>
      <c r="K1624" s="4">
        <v>42942</v>
      </c>
      <c r="L1624">
        <f t="shared" si="25"/>
        <v>2.9750000000000001</v>
      </c>
    </row>
    <row r="1625" spans="1:12" x14ac:dyDescent="0.15">
      <c r="A1625" s="1">
        <v>1624</v>
      </c>
      <c r="B1625" s="4">
        <v>41115</v>
      </c>
      <c r="C1625" s="1" t="s">
        <v>20</v>
      </c>
      <c r="D1625" s="1" t="s">
        <v>35</v>
      </c>
      <c r="E1625" s="1">
        <v>0.47501157407407407</v>
      </c>
      <c r="F1625" s="1" t="s">
        <v>13</v>
      </c>
      <c r="G1625" s="1">
        <v>3.1</v>
      </c>
      <c r="H1625" s="1">
        <v>3.15</v>
      </c>
      <c r="I1625" s="1">
        <v>0</v>
      </c>
      <c r="J1625" s="4">
        <v>41116</v>
      </c>
      <c r="K1625" s="4">
        <v>44768</v>
      </c>
      <c r="L1625">
        <f t="shared" si="25"/>
        <v>3.125</v>
      </c>
    </row>
    <row r="1626" spans="1:12" x14ac:dyDescent="0.15">
      <c r="A1626" s="1">
        <v>1625</v>
      </c>
      <c r="B1626" s="4">
        <v>41115</v>
      </c>
      <c r="C1626" s="1" t="s">
        <v>21</v>
      </c>
      <c r="D1626" s="1" t="s">
        <v>35</v>
      </c>
      <c r="E1626" s="1">
        <v>0.47501157407407407</v>
      </c>
      <c r="F1626" s="1" t="s">
        <v>13</v>
      </c>
      <c r="G1626" s="1">
        <v>3.05</v>
      </c>
      <c r="H1626" s="1">
        <v>3.1</v>
      </c>
      <c r="I1626" s="1">
        <v>0</v>
      </c>
      <c r="J1626" s="4">
        <v>41116</v>
      </c>
      <c r="K1626" s="4">
        <v>43672</v>
      </c>
      <c r="L1626">
        <f t="shared" si="25"/>
        <v>3.0750000000000002</v>
      </c>
    </row>
    <row r="1627" spans="1:12" x14ac:dyDescent="0.15">
      <c r="A1627" s="1">
        <v>1626</v>
      </c>
      <c r="B1627" s="4">
        <v>41115</v>
      </c>
      <c r="C1627" s="1" t="s">
        <v>20</v>
      </c>
      <c r="D1627" s="1" t="s">
        <v>26</v>
      </c>
      <c r="E1627" s="1">
        <v>0.6787037037037037</v>
      </c>
      <c r="F1627" s="1" t="s">
        <v>13</v>
      </c>
      <c r="G1627" s="1">
        <v>2.9</v>
      </c>
      <c r="H1627" s="1">
        <v>3</v>
      </c>
      <c r="I1627" s="1">
        <v>0</v>
      </c>
      <c r="J1627" s="4">
        <v>41116</v>
      </c>
      <c r="K1627" s="4">
        <v>44768</v>
      </c>
      <c r="L1627">
        <f t="shared" si="25"/>
        <v>2.95</v>
      </c>
    </row>
    <row r="1628" spans="1:12" x14ac:dyDescent="0.15">
      <c r="A1628" s="1">
        <v>1627</v>
      </c>
      <c r="B1628" s="4">
        <v>41115</v>
      </c>
      <c r="C1628" s="1" t="s">
        <v>14</v>
      </c>
      <c r="D1628" s="1" t="s">
        <v>26</v>
      </c>
      <c r="E1628" s="1">
        <v>0.6787037037037037</v>
      </c>
      <c r="F1628" s="1" t="s">
        <v>13</v>
      </c>
      <c r="G1628" s="1">
        <v>3.1</v>
      </c>
      <c r="H1628" s="1">
        <v>3.15</v>
      </c>
      <c r="I1628" s="1">
        <v>0</v>
      </c>
      <c r="J1628" s="4">
        <v>41116</v>
      </c>
      <c r="K1628" s="4">
        <v>41481</v>
      </c>
      <c r="L1628">
        <f t="shared" si="25"/>
        <v>3.125</v>
      </c>
    </row>
    <row r="1629" spans="1:12" x14ac:dyDescent="0.15">
      <c r="A1629" s="1">
        <v>1628</v>
      </c>
      <c r="B1629" s="4">
        <v>41115</v>
      </c>
      <c r="C1629" s="1" t="s">
        <v>18</v>
      </c>
      <c r="D1629" s="1" t="s">
        <v>26</v>
      </c>
      <c r="E1629" s="1">
        <v>0.6787037037037037</v>
      </c>
      <c r="F1629" s="1" t="s">
        <v>13</v>
      </c>
      <c r="G1629" s="1">
        <v>2.93</v>
      </c>
      <c r="H1629" s="1">
        <v>3.02</v>
      </c>
      <c r="I1629" s="1">
        <v>0</v>
      </c>
      <c r="J1629" s="4">
        <v>41116</v>
      </c>
      <c r="K1629" s="4">
        <v>41846</v>
      </c>
      <c r="L1629">
        <f t="shared" si="25"/>
        <v>2.9750000000000001</v>
      </c>
    </row>
    <row r="1630" spans="1:12" x14ac:dyDescent="0.15">
      <c r="A1630" s="1">
        <v>1629</v>
      </c>
      <c r="B1630" s="4">
        <v>41115</v>
      </c>
      <c r="C1630" s="1" t="s">
        <v>11</v>
      </c>
      <c r="D1630" s="1" t="s">
        <v>26</v>
      </c>
      <c r="E1630" s="1">
        <v>0.67871527777777774</v>
      </c>
      <c r="F1630" s="1" t="s">
        <v>13</v>
      </c>
      <c r="G1630" s="1">
        <v>2.9</v>
      </c>
      <c r="H1630" s="1">
        <v>3</v>
      </c>
      <c r="I1630" s="1">
        <v>0</v>
      </c>
      <c r="J1630" s="4">
        <v>41116</v>
      </c>
      <c r="K1630" s="4">
        <v>42211</v>
      </c>
      <c r="L1630">
        <f t="shared" si="25"/>
        <v>2.95</v>
      </c>
    </row>
    <row r="1631" spans="1:12" x14ac:dyDescent="0.15">
      <c r="A1631" s="1">
        <v>1630</v>
      </c>
      <c r="B1631" s="4">
        <v>41115</v>
      </c>
      <c r="C1631" s="1" t="s">
        <v>16</v>
      </c>
      <c r="D1631" s="1" t="s">
        <v>26</v>
      </c>
      <c r="E1631" s="1">
        <v>0.67871527777777774</v>
      </c>
      <c r="F1631" s="1" t="s">
        <v>13</v>
      </c>
      <c r="G1631" s="1">
        <v>2.9</v>
      </c>
      <c r="H1631" s="1">
        <v>3</v>
      </c>
      <c r="I1631" s="1">
        <v>0</v>
      </c>
      <c r="J1631" s="4">
        <v>41116</v>
      </c>
      <c r="K1631" s="4">
        <v>42577</v>
      </c>
      <c r="L1631">
        <f t="shared" si="25"/>
        <v>2.95</v>
      </c>
    </row>
    <row r="1632" spans="1:12" x14ac:dyDescent="0.15">
      <c r="A1632" s="1">
        <v>1631</v>
      </c>
      <c r="B1632" s="4">
        <v>41115</v>
      </c>
      <c r="C1632" s="1" t="s">
        <v>11</v>
      </c>
      <c r="D1632" s="1" t="s">
        <v>27</v>
      </c>
      <c r="E1632" s="1">
        <v>0.67666666666666664</v>
      </c>
      <c r="F1632" s="1" t="s">
        <v>13</v>
      </c>
      <c r="G1632" s="1">
        <v>2.9</v>
      </c>
      <c r="H1632" s="1">
        <v>2.95</v>
      </c>
      <c r="I1632" s="1">
        <v>0</v>
      </c>
      <c r="J1632" s="4">
        <v>41116</v>
      </c>
      <c r="K1632" s="4">
        <v>42211</v>
      </c>
      <c r="L1632">
        <f t="shared" si="25"/>
        <v>2.9249999999999998</v>
      </c>
    </row>
    <row r="1633" spans="1:12" x14ac:dyDescent="0.15">
      <c r="A1633" s="1">
        <v>1632</v>
      </c>
      <c r="B1633" s="4">
        <v>41115</v>
      </c>
      <c r="C1633" s="1" t="s">
        <v>22</v>
      </c>
      <c r="D1633" s="1" t="s">
        <v>27</v>
      </c>
      <c r="E1633" s="1">
        <v>0.67666666666666664</v>
      </c>
      <c r="F1633" s="1" t="s">
        <v>13</v>
      </c>
      <c r="G1633" s="1">
        <v>3.47</v>
      </c>
      <c r="H1633" s="1">
        <v>3.52</v>
      </c>
      <c r="I1633" s="1">
        <v>0</v>
      </c>
      <c r="J1633" s="4">
        <v>41116</v>
      </c>
      <c r="K1633" s="4">
        <v>41300</v>
      </c>
      <c r="L1633">
        <f t="shared" si="25"/>
        <v>3.4950000000000001</v>
      </c>
    </row>
    <row r="1634" spans="1:12" x14ac:dyDescent="0.15">
      <c r="A1634" s="1">
        <v>1633</v>
      </c>
      <c r="B1634" s="4">
        <v>41115</v>
      </c>
      <c r="C1634" s="1" t="s">
        <v>18</v>
      </c>
      <c r="D1634" s="1" t="s">
        <v>27</v>
      </c>
      <c r="E1634" s="1">
        <v>0.67666666666666664</v>
      </c>
      <c r="F1634" s="1" t="s">
        <v>13</v>
      </c>
      <c r="G1634" s="1">
        <v>2.91</v>
      </c>
      <c r="H1634" s="1">
        <v>2.96</v>
      </c>
      <c r="I1634" s="1">
        <v>0</v>
      </c>
      <c r="J1634" s="4">
        <v>41116</v>
      </c>
      <c r="K1634" s="4">
        <v>41846</v>
      </c>
      <c r="L1634">
        <f t="shared" si="25"/>
        <v>2.9350000000000001</v>
      </c>
    </row>
    <row r="1635" spans="1:12" x14ac:dyDescent="0.15">
      <c r="A1635" s="1">
        <v>1634</v>
      </c>
      <c r="B1635" s="4">
        <v>41115</v>
      </c>
      <c r="C1635" s="1" t="s">
        <v>21</v>
      </c>
      <c r="D1635" s="1" t="s">
        <v>26</v>
      </c>
      <c r="E1635" s="1">
        <v>0.6787037037037037</v>
      </c>
      <c r="F1635" s="1" t="s">
        <v>13</v>
      </c>
      <c r="G1635" s="1">
        <v>2.9</v>
      </c>
      <c r="H1635" s="1">
        <v>3</v>
      </c>
      <c r="I1635" s="1">
        <v>0</v>
      </c>
      <c r="J1635" s="4">
        <v>41116</v>
      </c>
      <c r="K1635" s="4">
        <v>43672</v>
      </c>
      <c r="L1635">
        <f t="shared" si="25"/>
        <v>2.95</v>
      </c>
    </row>
    <row r="1636" spans="1:12" x14ac:dyDescent="0.15">
      <c r="A1636" s="1">
        <v>1635</v>
      </c>
      <c r="B1636" s="4">
        <v>41115</v>
      </c>
      <c r="C1636" s="1" t="s">
        <v>22</v>
      </c>
      <c r="D1636" s="1" t="s">
        <v>26</v>
      </c>
      <c r="E1636" s="1">
        <v>0.67869212962962966</v>
      </c>
      <c r="F1636" s="1" t="s">
        <v>13</v>
      </c>
      <c r="G1636" s="1">
        <v>3.45</v>
      </c>
      <c r="H1636" s="1">
        <v>3.5</v>
      </c>
      <c r="I1636" s="1">
        <v>0</v>
      </c>
      <c r="J1636" s="4">
        <v>41116</v>
      </c>
      <c r="K1636" s="4">
        <v>41300</v>
      </c>
      <c r="L1636">
        <f t="shared" si="25"/>
        <v>3.4750000000000001</v>
      </c>
    </row>
    <row r="1637" spans="1:12" x14ac:dyDescent="0.15">
      <c r="A1637" s="1">
        <v>1636</v>
      </c>
      <c r="B1637" s="4">
        <v>41115</v>
      </c>
      <c r="C1637" s="1" t="s">
        <v>19</v>
      </c>
      <c r="D1637" s="1" t="s">
        <v>26</v>
      </c>
      <c r="E1637" s="1">
        <v>0.67871527777777774</v>
      </c>
      <c r="F1637" s="1" t="s">
        <v>13</v>
      </c>
      <c r="G1637" s="1">
        <v>3.2</v>
      </c>
      <c r="H1637" s="1">
        <v>3.28</v>
      </c>
      <c r="I1637" s="1">
        <v>0</v>
      </c>
      <c r="J1637" s="4">
        <v>41116</v>
      </c>
      <c r="K1637" s="4">
        <v>41390</v>
      </c>
      <c r="L1637">
        <f t="shared" si="25"/>
        <v>3.24</v>
      </c>
    </row>
    <row r="1638" spans="1:12" x14ac:dyDescent="0.15">
      <c r="A1638" s="1">
        <v>1637</v>
      </c>
      <c r="B1638" s="4">
        <v>41115</v>
      </c>
      <c r="C1638" s="1" t="s">
        <v>11</v>
      </c>
      <c r="D1638" s="1" t="s">
        <v>15</v>
      </c>
      <c r="E1638" s="1">
        <v>0.68497685185185186</v>
      </c>
      <c r="F1638" s="1" t="s">
        <v>13</v>
      </c>
      <c r="G1638" s="1">
        <v>2.89</v>
      </c>
      <c r="H1638" s="1">
        <v>2.95</v>
      </c>
      <c r="I1638" s="1">
        <v>0</v>
      </c>
      <c r="J1638" s="4">
        <v>41116</v>
      </c>
      <c r="K1638" s="4">
        <v>42211</v>
      </c>
      <c r="L1638">
        <f t="shared" si="25"/>
        <v>2.92</v>
      </c>
    </row>
    <row r="1639" spans="1:12" x14ac:dyDescent="0.15">
      <c r="A1639" s="1">
        <v>1638</v>
      </c>
      <c r="B1639" s="4">
        <v>41115</v>
      </c>
      <c r="C1639" s="1" t="s">
        <v>16</v>
      </c>
      <c r="D1639" s="1" t="s">
        <v>15</v>
      </c>
      <c r="E1639" s="1">
        <v>0.68497685185185186</v>
      </c>
      <c r="F1639" s="1" t="s">
        <v>13</v>
      </c>
      <c r="G1639" s="1">
        <v>2.89</v>
      </c>
      <c r="H1639" s="1">
        <v>2.95</v>
      </c>
      <c r="I1639" s="1">
        <v>0</v>
      </c>
      <c r="J1639" s="4">
        <v>41116</v>
      </c>
      <c r="K1639" s="4">
        <v>42577</v>
      </c>
      <c r="L1639">
        <f t="shared" si="25"/>
        <v>2.92</v>
      </c>
    </row>
    <row r="1640" spans="1:12" x14ac:dyDescent="0.15">
      <c r="A1640" s="1">
        <v>1639</v>
      </c>
      <c r="B1640" s="4">
        <v>41115</v>
      </c>
      <c r="C1640" s="1" t="s">
        <v>14</v>
      </c>
      <c r="D1640" s="1" t="s">
        <v>15</v>
      </c>
      <c r="E1640" s="1">
        <v>0.68497685185185186</v>
      </c>
      <c r="F1640" s="1" t="s">
        <v>13</v>
      </c>
      <c r="G1640" s="1">
        <v>3.09</v>
      </c>
      <c r="H1640" s="1">
        <v>3.15</v>
      </c>
      <c r="I1640" s="1">
        <v>0</v>
      </c>
      <c r="J1640" s="4">
        <v>41116</v>
      </c>
      <c r="K1640" s="4">
        <v>41481</v>
      </c>
      <c r="L1640">
        <f t="shared" si="25"/>
        <v>3.12</v>
      </c>
    </row>
    <row r="1641" spans="1:12" x14ac:dyDescent="0.15">
      <c r="A1641" s="1">
        <v>1640</v>
      </c>
      <c r="B1641" s="4">
        <v>41115</v>
      </c>
      <c r="C1641" s="1" t="s">
        <v>21</v>
      </c>
      <c r="D1641" s="1" t="s">
        <v>15</v>
      </c>
      <c r="E1641" s="1">
        <v>0.68497685185185186</v>
      </c>
      <c r="F1641" s="1" t="s">
        <v>13</v>
      </c>
      <c r="G1641" s="1">
        <v>2.98</v>
      </c>
      <c r="H1641" s="1">
        <v>3.04</v>
      </c>
      <c r="I1641" s="1">
        <v>0</v>
      </c>
      <c r="J1641" s="4">
        <v>41116</v>
      </c>
      <c r="K1641" s="4">
        <v>43672</v>
      </c>
      <c r="L1641">
        <f t="shared" si="25"/>
        <v>3.01</v>
      </c>
    </row>
    <row r="1642" spans="1:12" x14ac:dyDescent="0.15">
      <c r="A1642" s="1">
        <v>1641</v>
      </c>
      <c r="B1642" s="4">
        <v>41115</v>
      </c>
      <c r="C1642" s="1" t="s">
        <v>18</v>
      </c>
      <c r="D1642" s="1" t="s">
        <v>15</v>
      </c>
      <c r="E1642" s="1">
        <v>0.68497685185185186</v>
      </c>
      <c r="F1642" s="1" t="s">
        <v>13</v>
      </c>
      <c r="G1642" s="1">
        <v>2.9</v>
      </c>
      <c r="H1642" s="1">
        <v>2.96</v>
      </c>
      <c r="I1642" s="1">
        <v>0</v>
      </c>
      <c r="J1642" s="4">
        <v>41116</v>
      </c>
      <c r="K1642" s="4">
        <v>41846</v>
      </c>
      <c r="L1642">
        <f t="shared" si="25"/>
        <v>2.9299999999999997</v>
      </c>
    </row>
    <row r="1643" spans="1:12" x14ac:dyDescent="0.15">
      <c r="A1643" s="1">
        <v>1642</v>
      </c>
      <c r="B1643" s="4">
        <v>41115</v>
      </c>
      <c r="C1643" s="1" t="s">
        <v>22</v>
      </c>
      <c r="D1643" s="1" t="s">
        <v>15</v>
      </c>
      <c r="E1643" s="1">
        <v>0.68495370370370379</v>
      </c>
      <c r="F1643" s="1" t="s">
        <v>13</v>
      </c>
      <c r="G1643" s="1">
        <v>3.45</v>
      </c>
      <c r="H1643" s="1">
        <v>3.51</v>
      </c>
      <c r="I1643" s="1">
        <v>0</v>
      </c>
      <c r="J1643" s="4">
        <v>41116</v>
      </c>
      <c r="K1643" s="4">
        <v>41300</v>
      </c>
      <c r="L1643">
        <f t="shared" si="25"/>
        <v>3.48</v>
      </c>
    </row>
    <row r="1644" spans="1:12" x14ac:dyDescent="0.15">
      <c r="A1644" s="1">
        <v>1643</v>
      </c>
      <c r="B1644" s="4">
        <v>41115</v>
      </c>
      <c r="C1644" s="1" t="s">
        <v>25</v>
      </c>
      <c r="D1644" s="1" t="s">
        <v>26</v>
      </c>
      <c r="E1644" s="1">
        <v>0.67871527777777774</v>
      </c>
      <c r="F1644" s="1" t="s">
        <v>13</v>
      </c>
      <c r="G1644" s="1">
        <v>2.9</v>
      </c>
      <c r="H1644" s="1">
        <v>3</v>
      </c>
      <c r="I1644" s="1">
        <v>0</v>
      </c>
      <c r="J1644" s="4">
        <v>41116</v>
      </c>
      <c r="K1644" s="4">
        <v>42942</v>
      </c>
      <c r="L1644">
        <f t="shared" si="25"/>
        <v>2.95</v>
      </c>
    </row>
    <row r="1645" spans="1:12" x14ac:dyDescent="0.15">
      <c r="A1645" s="1">
        <v>1644</v>
      </c>
      <c r="B1645" s="4">
        <v>41115</v>
      </c>
      <c r="C1645" s="1" t="s">
        <v>19</v>
      </c>
      <c r="D1645" s="1" t="s">
        <v>15</v>
      </c>
      <c r="E1645" s="1">
        <v>0.68497685185185186</v>
      </c>
      <c r="F1645" s="1" t="s">
        <v>13</v>
      </c>
      <c r="G1645" s="1">
        <v>3.23</v>
      </c>
      <c r="H1645" s="1">
        <v>3.29</v>
      </c>
      <c r="I1645" s="1">
        <v>0</v>
      </c>
      <c r="J1645" s="4">
        <v>41116</v>
      </c>
      <c r="K1645" s="4">
        <v>41390</v>
      </c>
      <c r="L1645">
        <f t="shared" si="25"/>
        <v>3.26</v>
      </c>
    </row>
    <row r="1646" spans="1:12" x14ac:dyDescent="0.15">
      <c r="A1646" s="1">
        <v>1645</v>
      </c>
      <c r="B1646" s="4">
        <v>41115</v>
      </c>
      <c r="C1646" s="1" t="s">
        <v>25</v>
      </c>
      <c r="D1646" s="1" t="s">
        <v>15</v>
      </c>
      <c r="E1646" s="1">
        <v>0.68497685185185186</v>
      </c>
      <c r="F1646" s="1" t="s">
        <v>13</v>
      </c>
      <c r="G1646" s="1">
        <v>2.89</v>
      </c>
      <c r="H1646" s="1">
        <v>2.95</v>
      </c>
      <c r="I1646" s="1">
        <v>0</v>
      </c>
      <c r="J1646" s="4">
        <v>41116</v>
      </c>
      <c r="K1646" s="4">
        <v>42942</v>
      </c>
      <c r="L1646">
        <f t="shared" si="25"/>
        <v>2.92</v>
      </c>
    </row>
    <row r="1647" spans="1:12" x14ac:dyDescent="0.15">
      <c r="A1647" s="1">
        <v>1646</v>
      </c>
      <c r="B1647" s="4">
        <v>41115</v>
      </c>
      <c r="C1647" s="1" t="s">
        <v>20</v>
      </c>
      <c r="D1647" s="1" t="s">
        <v>15</v>
      </c>
      <c r="E1647" s="1">
        <v>0.68497685185185186</v>
      </c>
      <c r="F1647" s="1" t="s">
        <v>13</v>
      </c>
      <c r="G1647" s="1">
        <v>3.02</v>
      </c>
      <c r="H1647" s="1">
        <v>3.08</v>
      </c>
      <c r="I1647" s="1">
        <v>0</v>
      </c>
      <c r="J1647" s="4">
        <v>41116</v>
      </c>
      <c r="K1647" s="4">
        <v>44768</v>
      </c>
      <c r="L1647">
        <f t="shared" si="25"/>
        <v>3.05</v>
      </c>
    </row>
    <row r="1648" spans="1:12" x14ac:dyDescent="0.15">
      <c r="A1648" s="1">
        <v>1647</v>
      </c>
      <c r="B1648" s="4">
        <v>41115</v>
      </c>
      <c r="C1648" s="1" t="s">
        <v>16</v>
      </c>
      <c r="D1648" s="1" t="s">
        <v>27</v>
      </c>
      <c r="E1648" s="1">
        <v>0.6766550925925926</v>
      </c>
      <c r="F1648" s="1" t="s">
        <v>13</v>
      </c>
      <c r="G1648" s="1">
        <v>2.88</v>
      </c>
      <c r="H1648" s="1">
        <v>2.93</v>
      </c>
      <c r="I1648" s="1">
        <v>0</v>
      </c>
      <c r="J1648" s="4">
        <v>41116</v>
      </c>
      <c r="K1648" s="4">
        <v>42577</v>
      </c>
      <c r="L1648">
        <f t="shared" si="25"/>
        <v>2.9050000000000002</v>
      </c>
    </row>
    <row r="1649" spans="1:12" x14ac:dyDescent="0.15">
      <c r="A1649" s="1">
        <v>1648</v>
      </c>
      <c r="B1649" s="4">
        <v>41115</v>
      </c>
      <c r="C1649" s="1" t="s">
        <v>18</v>
      </c>
      <c r="D1649" s="1" t="s">
        <v>30</v>
      </c>
      <c r="E1649" s="1">
        <v>0.49886574074074069</v>
      </c>
      <c r="F1649" s="1" t="s">
        <v>13</v>
      </c>
      <c r="G1649" s="1">
        <v>2.88</v>
      </c>
      <c r="H1649" s="1">
        <v>2.98</v>
      </c>
      <c r="I1649" s="1">
        <v>0</v>
      </c>
      <c r="J1649" s="4">
        <v>41116</v>
      </c>
      <c r="K1649" s="4">
        <v>41846</v>
      </c>
      <c r="L1649">
        <f t="shared" si="25"/>
        <v>2.9299999999999997</v>
      </c>
    </row>
    <row r="1650" spans="1:12" x14ac:dyDescent="0.15">
      <c r="A1650" s="1">
        <v>1649</v>
      </c>
      <c r="B1650" s="4">
        <v>41115</v>
      </c>
      <c r="C1650" s="1" t="s">
        <v>11</v>
      </c>
      <c r="D1650" s="1" t="s">
        <v>30</v>
      </c>
      <c r="E1650" s="1">
        <v>0.49885416666666665</v>
      </c>
      <c r="F1650" s="1" t="s">
        <v>13</v>
      </c>
      <c r="G1650" s="1">
        <v>2.87</v>
      </c>
      <c r="H1650" s="1">
        <v>2.97</v>
      </c>
      <c r="I1650" s="1">
        <v>0</v>
      </c>
      <c r="J1650" s="4">
        <v>41116</v>
      </c>
      <c r="K1650" s="4">
        <v>42211</v>
      </c>
      <c r="L1650">
        <f t="shared" si="25"/>
        <v>2.92</v>
      </c>
    </row>
    <row r="1651" spans="1:12" x14ac:dyDescent="0.15">
      <c r="A1651" s="1">
        <v>1650</v>
      </c>
      <c r="B1651" s="4">
        <v>41115</v>
      </c>
      <c r="C1651" s="1" t="s">
        <v>14</v>
      </c>
      <c r="D1651" s="1" t="s">
        <v>30</v>
      </c>
      <c r="E1651" s="1">
        <v>0.49886574074074069</v>
      </c>
      <c r="F1651" s="1" t="s">
        <v>13</v>
      </c>
      <c r="G1651" s="1">
        <v>3.1</v>
      </c>
      <c r="H1651" s="1">
        <v>3.2</v>
      </c>
      <c r="I1651" s="1">
        <v>0</v>
      </c>
      <c r="J1651" s="4">
        <v>41116</v>
      </c>
      <c r="K1651" s="4">
        <v>41481</v>
      </c>
      <c r="L1651">
        <f t="shared" si="25"/>
        <v>3.1500000000000004</v>
      </c>
    </row>
    <row r="1652" spans="1:12" x14ac:dyDescent="0.15">
      <c r="A1652" s="1">
        <v>1651</v>
      </c>
      <c r="B1652" s="4">
        <v>41115</v>
      </c>
      <c r="C1652" s="1" t="s">
        <v>19</v>
      </c>
      <c r="D1652" s="1" t="s">
        <v>30</v>
      </c>
      <c r="E1652" s="1">
        <v>0.67354166666666659</v>
      </c>
      <c r="F1652" s="1" t="s">
        <v>13</v>
      </c>
      <c r="G1652" s="1">
        <v>3.24</v>
      </c>
      <c r="H1652" s="1">
        <v>3.34</v>
      </c>
      <c r="I1652" s="1">
        <v>0</v>
      </c>
      <c r="J1652" s="4">
        <v>41116</v>
      </c>
      <c r="K1652" s="4">
        <v>41390</v>
      </c>
      <c r="L1652">
        <f t="shared" si="25"/>
        <v>3.29</v>
      </c>
    </row>
    <row r="1653" spans="1:12" x14ac:dyDescent="0.15">
      <c r="A1653" s="1">
        <v>1652</v>
      </c>
      <c r="B1653" s="4">
        <v>41115</v>
      </c>
      <c r="C1653" s="1" t="s">
        <v>20</v>
      </c>
      <c r="D1653" s="1" t="s">
        <v>30</v>
      </c>
      <c r="E1653" s="1">
        <v>0.49886574074074069</v>
      </c>
      <c r="F1653" s="1" t="s">
        <v>13</v>
      </c>
      <c r="G1653" s="1">
        <v>3.01</v>
      </c>
      <c r="H1653" s="1">
        <v>3.11</v>
      </c>
      <c r="I1653" s="1">
        <v>0</v>
      </c>
      <c r="J1653" s="4">
        <v>41116</v>
      </c>
      <c r="K1653" s="4">
        <v>44768</v>
      </c>
      <c r="L1653">
        <f t="shared" si="25"/>
        <v>3.0599999999999996</v>
      </c>
    </row>
    <row r="1654" spans="1:12" x14ac:dyDescent="0.15">
      <c r="A1654" s="1">
        <v>1653</v>
      </c>
      <c r="B1654" s="4">
        <v>41115</v>
      </c>
      <c r="C1654" s="1" t="s">
        <v>21</v>
      </c>
      <c r="D1654" s="1" t="s">
        <v>30</v>
      </c>
      <c r="E1654" s="1">
        <v>0.49885416666666665</v>
      </c>
      <c r="F1654" s="1" t="s">
        <v>13</v>
      </c>
      <c r="G1654" s="1">
        <v>2.97</v>
      </c>
      <c r="H1654" s="1">
        <v>3.07</v>
      </c>
      <c r="I1654" s="1">
        <v>0</v>
      </c>
      <c r="J1654" s="4">
        <v>41116</v>
      </c>
      <c r="K1654" s="4">
        <v>43672</v>
      </c>
      <c r="L1654">
        <f t="shared" si="25"/>
        <v>3.02</v>
      </c>
    </row>
    <row r="1655" spans="1:12" x14ac:dyDescent="0.15">
      <c r="A1655" s="1">
        <v>1654</v>
      </c>
      <c r="B1655" s="4">
        <v>41115</v>
      </c>
      <c r="C1655" s="1" t="s">
        <v>19</v>
      </c>
      <c r="D1655" s="1" t="s">
        <v>30</v>
      </c>
      <c r="E1655" s="1">
        <v>0.49885416666666665</v>
      </c>
      <c r="F1655" s="1" t="s">
        <v>13</v>
      </c>
      <c r="G1655" s="1">
        <v>3.24</v>
      </c>
      <c r="H1655" s="1">
        <v>3.34</v>
      </c>
      <c r="I1655" s="1">
        <v>0</v>
      </c>
      <c r="J1655" s="4">
        <v>41116</v>
      </c>
      <c r="K1655" s="4">
        <v>41390</v>
      </c>
      <c r="L1655">
        <f t="shared" si="25"/>
        <v>3.29</v>
      </c>
    </row>
    <row r="1656" spans="1:12" x14ac:dyDescent="0.15">
      <c r="A1656" s="1">
        <v>1655</v>
      </c>
      <c r="B1656" s="4">
        <v>41115</v>
      </c>
      <c r="C1656" s="1" t="s">
        <v>22</v>
      </c>
      <c r="D1656" s="1" t="s">
        <v>30</v>
      </c>
      <c r="E1656" s="1">
        <v>0.49885416666666665</v>
      </c>
      <c r="F1656" s="1" t="s">
        <v>13</v>
      </c>
      <c r="G1656" s="1">
        <v>3.45</v>
      </c>
      <c r="H1656" s="1">
        <v>3.55</v>
      </c>
      <c r="I1656" s="1">
        <v>0</v>
      </c>
      <c r="J1656" s="4">
        <v>41116</v>
      </c>
      <c r="K1656" s="4">
        <v>41300</v>
      </c>
      <c r="L1656">
        <f t="shared" si="25"/>
        <v>3.5</v>
      </c>
    </row>
    <row r="1657" spans="1:12" x14ac:dyDescent="0.15">
      <c r="A1657" s="1">
        <v>1656</v>
      </c>
      <c r="B1657" s="4">
        <v>41115</v>
      </c>
      <c r="C1657" s="1" t="s">
        <v>16</v>
      </c>
      <c r="D1657" s="1" t="s">
        <v>30</v>
      </c>
      <c r="E1657" s="1">
        <v>0.49885416666666665</v>
      </c>
      <c r="F1657" s="1" t="s">
        <v>13</v>
      </c>
      <c r="G1657" s="1">
        <v>2.87</v>
      </c>
      <c r="H1657" s="1">
        <v>2.97</v>
      </c>
      <c r="I1657" s="1">
        <v>0</v>
      </c>
      <c r="J1657" s="4">
        <v>41116</v>
      </c>
      <c r="K1657" s="4">
        <v>42577</v>
      </c>
      <c r="L1657">
        <f t="shared" si="25"/>
        <v>2.92</v>
      </c>
    </row>
    <row r="1658" spans="1:12" x14ac:dyDescent="0.15">
      <c r="A1658" s="1">
        <v>1657</v>
      </c>
      <c r="B1658" s="4">
        <v>41115</v>
      </c>
      <c r="C1658" s="1" t="s">
        <v>25</v>
      </c>
      <c r="D1658" s="1" t="s">
        <v>30</v>
      </c>
      <c r="E1658" s="1">
        <v>0.49885416666666665</v>
      </c>
      <c r="F1658" s="1" t="s">
        <v>13</v>
      </c>
      <c r="G1658" s="1">
        <v>2.87</v>
      </c>
      <c r="H1658" s="1">
        <v>2.97</v>
      </c>
      <c r="I1658" s="1">
        <v>0</v>
      </c>
      <c r="J1658" s="4">
        <v>41116</v>
      </c>
      <c r="K1658" s="4">
        <v>42942</v>
      </c>
      <c r="L1658">
        <f t="shared" si="25"/>
        <v>2.92</v>
      </c>
    </row>
    <row r="1659" spans="1:12" x14ac:dyDescent="0.15">
      <c r="A1659" s="1">
        <v>1658</v>
      </c>
      <c r="B1659" s="4">
        <v>41115</v>
      </c>
      <c r="C1659" s="1" t="s">
        <v>21</v>
      </c>
      <c r="D1659" s="1" t="s">
        <v>30</v>
      </c>
      <c r="E1659" s="1">
        <v>0.67354166666666659</v>
      </c>
      <c r="F1659" s="1" t="s">
        <v>13</v>
      </c>
      <c r="G1659" s="1">
        <v>2.97</v>
      </c>
      <c r="H1659" s="1">
        <v>3.07</v>
      </c>
      <c r="I1659" s="1">
        <v>0</v>
      </c>
      <c r="J1659" s="4">
        <v>41116</v>
      </c>
      <c r="K1659" s="4">
        <v>43672</v>
      </c>
      <c r="L1659">
        <f t="shared" si="25"/>
        <v>3.02</v>
      </c>
    </row>
    <row r="1660" spans="1:12" x14ac:dyDescent="0.15">
      <c r="A1660" s="1">
        <v>1659</v>
      </c>
      <c r="B1660" s="4">
        <v>41115</v>
      </c>
      <c r="C1660" s="1" t="s">
        <v>20</v>
      </c>
      <c r="D1660" s="1" t="s">
        <v>30</v>
      </c>
      <c r="E1660" s="1">
        <v>0.67356481481481489</v>
      </c>
      <c r="F1660" s="1" t="s">
        <v>13</v>
      </c>
      <c r="G1660" s="1">
        <v>3.01</v>
      </c>
      <c r="H1660" s="1">
        <v>3.11</v>
      </c>
      <c r="I1660" s="1">
        <v>0</v>
      </c>
      <c r="J1660" s="4">
        <v>41116</v>
      </c>
      <c r="K1660" s="4">
        <v>44768</v>
      </c>
      <c r="L1660">
        <f t="shared" si="25"/>
        <v>3.0599999999999996</v>
      </c>
    </row>
    <row r="1661" spans="1:12" x14ac:dyDescent="0.15">
      <c r="A1661" s="1">
        <v>1660</v>
      </c>
      <c r="B1661" s="4">
        <v>41115</v>
      </c>
      <c r="C1661" s="1" t="s">
        <v>14</v>
      </c>
      <c r="D1661" s="1" t="s">
        <v>30</v>
      </c>
      <c r="E1661" s="1">
        <v>0.67356481481481489</v>
      </c>
      <c r="F1661" s="1" t="s">
        <v>13</v>
      </c>
      <c r="G1661" s="1">
        <v>3.09</v>
      </c>
      <c r="H1661" s="1">
        <v>3.19</v>
      </c>
      <c r="I1661" s="1">
        <v>0</v>
      </c>
      <c r="J1661" s="4">
        <v>41116</v>
      </c>
      <c r="K1661" s="4">
        <v>41481</v>
      </c>
      <c r="L1661">
        <f t="shared" si="25"/>
        <v>3.1399999999999997</v>
      </c>
    </row>
    <row r="1662" spans="1:12" x14ac:dyDescent="0.15">
      <c r="A1662" s="1">
        <v>1661</v>
      </c>
      <c r="B1662" s="4">
        <v>41115</v>
      </c>
      <c r="C1662" s="1" t="s">
        <v>14</v>
      </c>
      <c r="D1662" s="1" t="s">
        <v>27</v>
      </c>
      <c r="E1662" s="1">
        <v>0.6766550925925926</v>
      </c>
      <c r="F1662" s="1" t="s">
        <v>13</v>
      </c>
      <c r="G1662" s="1">
        <v>3.1</v>
      </c>
      <c r="H1662" s="1">
        <v>3.15</v>
      </c>
      <c r="I1662" s="1">
        <v>0</v>
      </c>
      <c r="J1662" s="4">
        <v>41116</v>
      </c>
      <c r="K1662" s="4">
        <v>41481</v>
      </c>
      <c r="L1662">
        <f t="shared" si="25"/>
        <v>3.125</v>
      </c>
    </row>
    <row r="1663" spans="1:12" x14ac:dyDescent="0.15">
      <c r="A1663" s="1">
        <v>1662</v>
      </c>
      <c r="B1663" s="4">
        <v>41115</v>
      </c>
      <c r="C1663" s="1" t="s">
        <v>19</v>
      </c>
      <c r="D1663" s="1" t="s">
        <v>27</v>
      </c>
      <c r="E1663" s="1">
        <v>0.6766550925925926</v>
      </c>
      <c r="F1663" s="1" t="s">
        <v>13</v>
      </c>
      <c r="G1663" s="1">
        <v>3.25</v>
      </c>
      <c r="H1663" s="1">
        <v>3.35</v>
      </c>
      <c r="I1663" s="1">
        <v>0</v>
      </c>
      <c r="J1663" s="4">
        <v>41116</v>
      </c>
      <c r="K1663" s="4">
        <v>41390</v>
      </c>
      <c r="L1663">
        <f t="shared" si="25"/>
        <v>3.3</v>
      </c>
    </row>
    <row r="1664" spans="1:12" x14ac:dyDescent="0.15">
      <c r="A1664" s="1">
        <v>1663</v>
      </c>
      <c r="B1664" s="4">
        <v>41115</v>
      </c>
      <c r="C1664" s="1" t="s">
        <v>25</v>
      </c>
      <c r="D1664" s="1" t="s">
        <v>27</v>
      </c>
      <c r="E1664" s="1">
        <v>0.6766550925925926</v>
      </c>
      <c r="F1664" s="1" t="s">
        <v>13</v>
      </c>
      <c r="G1664" s="1">
        <v>2.91</v>
      </c>
      <c r="H1664" s="1">
        <v>2.96</v>
      </c>
      <c r="I1664" s="1">
        <v>0</v>
      </c>
      <c r="J1664" s="4">
        <v>41116</v>
      </c>
      <c r="K1664" s="4">
        <v>42942</v>
      </c>
      <c r="L1664">
        <f t="shared" si="25"/>
        <v>2.9350000000000001</v>
      </c>
    </row>
    <row r="1665" spans="1:12" x14ac:dyDescent="0.15">
      <c r="A1665" s="1">
        <v>1664</v>
      </c>
      <c r="B1665" s="4">
        <v>41115</v>
      </c>
      <c r="C1665" s="1" t="s">
        <v>25</v>
      </c>
      <c r="D1665" s="1" t="s">
        <v>30</v>
      </c>
      <c r="E1665" s="1">
        <v>0.67356481481481489</v>
      </c>
      <c r="F1665" s="1" t="s">
        <v>13</v>
      </c>
      <c r="G1665" s="1">
        <v>2.87</v>
      </c>
      <c r="H1665" s="1">
        <v>2.97</v>
      </c>
      <c r="I1665" s="1">
        <v>0</v>
      </c>
      <c r="J1665" s="4">
        <v>41116</v>
      </c>
      <c r="K1665" s="4">
        <v>42942</v>
      </c>
      <c r="L1665">
        <f t="shared" si="25"/>
        <v>2.92</v>
      </c>
    </row>
    <row r="1666" spans="1:12" x14ac:dyDescent="0.15">
      <c r="A1666" s="1">
        <v>1665</v>
      </c>
      <c r="B1666" s="4">
        <v>41115</v>
      </c>
      <c r="C1666" s="1" t="s">
        <v>22</v>
      </c>
      <c r="D1666" s="1" t="s">
        <v>30</v>
      </c>
      <c r="E1666" s="1">
        <v>0.67356481481481489</v>
      </c>
      <c r="F1666" s="1" t="s">
        <v>13</v>
      </c>
      <c r="G1666" s="1">
        <v>3.45</v>
      </c>
      <c r="H1666" s="1">
        <v>3.55</v>
      </c>
      <c r="I1666" s="1">
        <v>0</v>
      </c>
      <c r="J1666" s="4">
        <v>41116</v>
      </c>
      <c r="K1666" s="4">
        <v>41300</v>
      </c>
      <c r="L1666">
        <f t="shared" si="25"/>
        <v>3.5</v>
      </c>
    </row>
    <row r="1667" spans="1:12" x14ac:dyDescent="0.15">
      <c r="A1667" s="1">
        <v>1666</v>
      </c>
      <c r="B1667" s="4">
        <v>41115</v>
      </c>
      <c r="C1667" s="1" t="s">
        <v>16</v>
      </c>
      <c r="D1667" s="1" t="s">
        <v>30</v>
      </c>
      <c r="E1667" s="1">
        <v>0.67356481481481489</v>
      </c>
      <c r="F1667" s="1" t="s">
        <v>13</v>
      </c>
      <c r="G1667" s="1">
        <v>2.87</v>
      </c>
      <c r="H1667" s="1">
        <v>2.97</v>
      </c>
      <c r="I1667" s="1">
        <v>0</v>
      </c>
      <c r="J1667" s="4">
        <v>41116</v>
      </c>
      <c r="K1667" s="4">
        <v>42577</v>
      </c>
      <c r="L1667">
        <f t="shared" ref="L1667:L1730" si="26">AVERAGE(G1667:H1667)</f>
        <v>2.92</v>
      </c>
    </row>
    <row r="1668" spans="1:12" x14ac:dyDescent="0.15">
      <c r="A1668" s="1">
        <v>1667</v>
      </c>
      <c r="B1668" s="4">
        <v>41115</v>
      </c>
      <c r="C1668" s="1" t="s">
        <v>18</v>
      </c>
      <c r="D1668" s="1" t="s">
        <v>30</v>
      </c>
      <c r="E1668" s="1">
        <v>0.67356481481481489</v>
      </c>
      <c r="F1668" s="1" t="s">
        <v>13</v>
      </c>
      <c r="G1668" s="1">
        <v>2.89</v>
      </c>
      <c r="H1668" s="1">
        <v>2.99</v>
      </c>
      <c r="I1668" s="1">
        <v>0</v>
      </c>
      <c r="J1668" s="4">
        <v>41116</v>
      </c>
      <c r="K1668" s="4">
        <v>41846</v>
      </c>
      <c r="L1668">
        <f t="shared" si="26"/>
        <v>2.9400000000000004</v>
      </c>
    </row>
    <row r="1669" spans="1:12" x14ac:dyDescent="0.15">
      <c r="A1669" s="1">
        <v>1668</v>
      </c>
      <c r="B1669" s="4">
        <v>41115</v>
      </c>
      <c r="C1669" s="1" t="s">
        <v>11</v>
      </c>
      <c r="D1669" s="1" t="s">
        <v>30</v>
      </c>
      <c r="E1669" s="1">
        <v>0.67356481481481489</v>
      </c>
      <c r="F1669" s="1" t="s">
        <v>13</v>
      </c>
      <c r="G1669" s="1">
        <v>2.87</v>
      </c>
      <c r="H1669" s="1">
        <v>2.97</v>
      </c>
      <c r="I1669" s="1">
        <v>0</v>
      </c>
      <c r="J1669" s="4">
        <v>41116</v>
      </c>
      <c r="K1669" s="4">
        <v>42211</v>
      </c>
      <c r="L1669">
        <f t="shared" si="26"/>
        <v>2.92</v>
      </c>
    </row>
    <row r="1670" spans="1:12" x14ac:dyDescent="0.15">
      <c r="A1670" s="1">
        <v>1669</v>
      </c>
      <c r="B1670" s="4">
        <v>41114</v>
      </c>
      <c r="C1670" s="1" t="s">
        <v>25</v>
      </c>
      <c r="D1670" s="1" t="s">
        <v>30</v>
      </c>
      <c r="E1670" s="1">
        <v>0.48840277777777774</v>
      </c>
      <c r="F1670" s="1" t="s">
        <v>13</v>
      </c>
      <c r="G1670" s="1">
        <v>2.93</v>
      </c>
      <c r="H1670" s="1">
        <v>3.03</v>
      </c>
      <c r="I1670" s="1">
        <v>0</v>
      </c>
      <c r="J1670" s="4">
        <v>41115</v>
      </c>
      <c r="K1670" s="4">
        <v>42941</v>
      </c>
      <c r="L1670">
        <f t="shared" si="26"/>
        <v>2.98</v>
      </c>
    </row>
    <row r="1671" spans="1:12" x14ac:dyDescent="0.15">
      <c r="A1671" s="1">
        <v>1670</v>
      </c>
      <c r="B1671" s="4">
        <v>41114</v>
      </c>
      <c r="C1671" s="1" t="s">
        <v>16</v>
      </c>
      <c r="D1671" s="1" t="s">
        <v>30</v>
      </c>
      <c r="E1671" s="1">
        <v>0.48840277777777774</v>
      </c>
      <c r="F1671" s="1" t="s">
        <v>13</v>
      </c>
      <c r="G1671" s="1">
        <v>2.93</v>
      </c>
      <c r="H1671" s="1">
        <v>3.03</v>
      </c>
      <c r="I1671" s="1">
        <v>0</v>
      </c>
      <c r="J1671" s="4">
        <v>41115</v>
      </c>
      <c r="K1671" s="4">
        <v>42576</v>
      </c>
      <c r="L1671">
        <f t="shared" si="26"/>
        <v>2.98</v>
      </c>
    </row>
    <row r="1672" spans="1:12" x14ac:dyDescent="0.15">
      <c r="A1672" s="1">
        <v>1671</v>
      </c>
      <c r="B1672" s="4">
        <v>41114</v>
      </c>
      <c r="C1672" s="1" t="s">
        <v>11</v>
      </c>
      <c r="D1672" s="1" t="s">
        <v>30</v>
      </c>
      <c r="E1672" s="1">
        <v>0.48841435185185184</v>
      </c>
      <c r="F1672" s="1" t="s">
        <v>13</v>
      </c>
      <c r="G1672" s="1">
        <v>2.93</v>
      </c>
      <c r="H1672" s="1">
        <v>3.03</v>
      </c>
      <c r="I1672" s="1">
        <v>0</v>
      </c>
      <c r="J1672" s="4">
        <v>41115</v>
      </c>
      <c r="K1672" s="4">
        <v>42210</v>
      </c>
      <c r="L1672">
        <f t="shared" si="26"/>
        <v>2.98</v>
      </c>
    </row>
    <row r="1673" spans="1:12" x14ac:dyDescent="0.15">
      <c r="A1673" s="1">
        <v>1672</v>
      </c>
      <c r="B1673" s="4">
        <v>41114</v>
      </c>
      <c r="C1673" s="1" t="s">
        <v>22</v>
      </c>
      <c r="D1673" s="1" t="s">
        <v>30</v>
      </c>
      <c r="E1673" s="1">
        <v>0.48840277777777774</v>
      </c>
      <c r="F1673" s="1" t="s">
        <v>13</v>
      </c>
      <c r="G1673" s="1">
        <v>3.47</v>
      </c>
      <c r="H1673" s="1">
        <v>3.57</v>
      </c>
      <c r="I1673" s="1">
        <v>0</v>
      </c>
      <c r="J1673" s="4">
        <v>41115</v>
      </c>
      <c r="K1673" s="4">
        <v>41299</v>
      </c>
      <c r="L1673">
        <f t="shared" si="26"/>
        <v>3.52</v>
      </c>
    </row>
    <row r="1674" spans="1:12" x14ac:dyDescent="0.15">
      <c r="A1674" s="1">
        <v>1673</v>
      </c>
      <c r="B1674" s="4">
        <v>41114</v>
      </c>
      <c r="C1674" s="1" t="s">
        <v>11</v>
      </c>
      <c r="D1674" s="1" t="s">
        <v>15</v>
      </c>
      <c r="E1674" s="1">
        <v>0.48694444444444446</v>
      </c>
      <c r="F1674" s="1" t="s">
        <v>13</v>
      </c>
      <c r="G1674" s="1">
        <v>2.94</v>
      </c>
      <c r="H1674" s="1">
        <v>3</v>
      </c>
      <c r="I1674" s="1">
        <v>0</v>
      </c>
      <c r="J1674" s="4">
        <v>41115</v>
      </c>
      <c r="K1674" s="4">
        <v>42210</v>
      </c>
      <c r="L1674">
        <f t="shared" si="26"/>
        <v>2.9699999999999998</v>
      </c>
    </row>
    <row r="1675" spans="1:12" x14ac:dyDescent="0.15">
      <c r="A1675" s="1">
        <v>1674</v>
      </c>
      <c r="B1675" s="4">
        <v>41114</v>
      </c>
      <c r="C1675" s="1" t="s">
        <v>19</v>
      </c>
      <c r="D1675" s="1" t="s">
        <v>30</v>
      </c>
      <c r="E1675" s="1">
        <v>0.48840277777777774</v>
      </c>
      <c r="F1675" s="1" t="s">
        <v>13</v>
      </c>
      <c r="G1675" s="1">
        <v>3.25</v>
      </c>
      <c r="H1675" s="1">
        <v>3.35</v>
      </c>
      <c r="I1675" s="1">
        <v>0</v>
      </c>
      <c r="J1675" s="4">
        <v>41115</v>
      </c>
      <c r="K1675" s="4">
        <v>41389</v>
      </c>
      <c r="L1675">
        <f t="shared" si="26"/>
        <v>3.3</v>
      </c>
    </row>
    <row r="1676" spans="1:12" x14ac:dyDescent="0.15">
      <c r="A1676" s="1">
        <v>1675</v>
      </c>
      <c r="B1676" s="4">
        <v>41114</v>
      </c>
      <c r="C1676" s="1" t="s">
        <v>21</v>
      </c>
      <c r="D1676" s="1" t="s">
        <v>30</v>
      </c>
      <c r="E1676" s="1">
        <v>0.48840277777777774</v>
      </c>
      <c r="F1676" s="1" t="s">
        <v>13</v>
      </c>
      <c r="G1676" s="1">
        <v>2.99</v>
      </c>
      <c r="H1676" s="1">
        <v>3.09</v>
      </c>
      <c r="I1676" s="1">
        <v>0</v>
      </c>
      <c r="J1676" s="4">
        <v>41115</v>
      </c>
      <c r="K1676" s="4">
        <v>43671</v>
      </c>
      <c r="L1676">
        <f t="shared" si="26"/>
        <v>3.04</v>
      </c>
    </row>
    <row r="1677" spans="1:12" x14ac:dyDescent="0.15">
      <c r="A1677" s="1">
        <v>1676</v>
      </c>
      <c r="B1677" s="4">
        <v>41114</v>
      </c>
      <c r="C1677" s="1" t="s">
        <v>21</v>
      </c>
      <c r="D1677" s="1" t="s">
        <v>26</v>
      </c>
      <c r="E1677" s="1">
        <v>0.49327546296296299</v>
      </c>
      <c r="F1677" s="1" t="s">
        <v>13</v>
      </c>
      <c r="G1677" s="1">
        <v>2.9</v>
      </c>
      <c r="H1677" s="1">
        <v>3</v>
      </c>
      <c r="I1677" s="1">
        <v>0</v>
      </c>
      <c r="J1677" s="4">
        <v>41115</v>
      </c>
      <c r="K1677" s="4">
        <v>43671</v>
      </c>
      <c r="L1677">
        <f t="shared" si="26"/>
        <v>2.95</v>
      </c>
    </row>
    <row r="1678" spans="1:12" x14ac:dyDescent="0.15">
      <c r="A1678" s="1">
        <v>1677</v>
      </c>
      <c r="B1678" s="4">
        <v>41114</v>
      </c>
      <c r="C1678" s="1" t="s">
        <v>19</v>
      </c>
      <c r="D1678" s="1" t="s">
        <v>26</v>
      </c>
      <c r="E1678" s="1">
        <v>0.49327546296296299</v>
      </c>
      <c r="F1678" s="1" t="s">
        <v>13</v>
      </c>
      <c r="G1678" s="1">
        <v>3.2</v>
      </c>
      <c r="H1678" s="1">
        <v>3.28</v>
      </c>
      <c r="I1678" s="1">
        <v>0</v>
      </c>
      <c r="J1678" s="4">
        <v>41115</v>
      </c>
      <c r="K1678" s="4">
        <v>41389</v>
      </c>
      <c r="L1678">
        <f t="shared" si="26"/>
        <v>3.24</v>
      </c>
    </row>
    <row r="1679" spans="1:12" x14ac:dyDescent="0.15">
      <c r="A1679" s="1">
        <v>1678</v>
      </c>
      <c r="B1679" s="4">
        <v>41114</v>
      </c>
      <c r="C1679" s="1" t="s">
        <v>14</v>
      </c>
      <c r="D1679" s="1" t="s">
        <v>26</v>
      </c>
      <c r="E1679" s="1">
        <v>0.49327546296296299</v>
      </c>
      <c r="F1679" s="1" t="s">
        <v>13</v>
      </c>
      <c r="G1679" s="1">
        <v>3.1</v>
      </c>
      <c r="H1679" s="1">
        <v>3.15</v>
      </c>
      <c r="I1679" s="1">
        <v>0</v>
      </c>
      <c r="J1679" s="4">
        <v>41115</v>
      </c>
      <c r="K1679" s="4">
        <v>41480</v>
      </c>
      <c r="L1679">
        <f t="shared" si="26"/>
        <v>3.125</v>
      </c>
    </row>
    <row r="1680" spans="1:12" x14ac:dyDescent="0.15">
      <c r="A1680" s="1">
        <v>1679</v>
      </c>
      <c r="B1680" s="4">
        <v>41114</v>
      </c>
      <c r="C1680" s="1" t="s">
        <v>22</v>
      </c>
      <c r="D1680" s="1" t="s">
        <v>26</v>
      </c>
      <c r="E1680" s="1">
        <v>0.49325231481481485</v>
      </c>
      <c r="F1680" s="1" t="s">
        <v>13</v>
      </c>
      <c r="G1680" s="1">
        <v>3.45</v>
      </c>
      <c r="H1680" s="1">
        <v>3.5</v>
      </c>
      <c r="I1680" s="1">
        <v>0</v>
      </c>
      <c r="J1680" s="4">
        <v>41115</v>
      </c>
      <c r="K1680" s="4">
        <v>41299</v>
      </c>
      <c r="L1680">
        <f t="shared" si="26"/>
        <v>3.4750000000000001</v>
      </c>
    </row>
    <row r="1681" spans="1:12" x14ac:dyDescent="0.15">
      <c r="A1681" s="1">
        <v>1680</v>
      </c>
      <c r="B1681" s="4">
        <v>41114</v>
      </c>
      <c r="C1681" s="1" t="s">
        <v>18</v>
      </c>
      <c r="D1681" s="1" t="s">
        <v>30</v>
      </c>
      <c r="E1681" s="1">
        <v>0.48841435185185184</v>
      </c>
      <c r="F1681" s="1" t="s">
        <v>13</v>
      </c>
      <c r="G1681" s="1">
        <v>2.94</v>
      </c>
      <c r="H1681" s="1">
        <v>3.04</v>
      </c>
      <c r="I1681" s="1">
        <v>0</v>
      </c>
      <c r="J1681" s="4">
        <v>41115</v>
      </c>
      <c r="K1681" s="4">
        <v>41845</v>
      </c>
      <c r="L1681">
        <f t="shared" si="26"/>
        <v>2.99</v>
      </c>
    </row>
    <row r="1682" spans="1:12" x14ac:dyDescent="0.15">
      <c r="A1682" s="1">
        <v>1681</v>
      </c>
      <c r="B1682" s="4">
        <v>41114</v>
      </c>
      <c r="C1682" s="1" t="s">
        <v>14</v>
      </c>
      <c r="D1682" s="1" t="s">
        <v>30</v>
      </c>
      <c r="E1682" s="1">
        <v>0.48841435185185184</v>
      </c>
      <c r="F1682" s="1" t="s">
        <v>13</v>
      </c>
      <c r="G1682" s="1">
        <v>3.13</v>
      </c>
      <c r="H1682" s="1">
        <v>3.23</v>
      </c>
      <c r="I1682" s="1">
        <v>0</v>
      </c>
      <c r="J1682" s="4">
        <v>41115</v>
      </c>
      <c r="K1682" s="4">
        <v>41480</v>
      </c>
      <c r="L1682">
        <f t="shared" si="26"/>
        <v>3.1799999999999997</v>
      </c>
    </row>
    <row r="1683" spans="1:12" x14ac:dyDescent="0.15">
      <c r="A1683" s="1">
        <v>1682</v>
      </c>
      <c r="B1683" s="4">
        <v>41114</v>
      </c>
      <c r="C1683" s="1" t="s">
        <v>20</v>
      </c>
      <c r="D1683" s="1" t="s">
        <v>30</v>
      </c>
      <c r="E1683" s="1">
        <v>0.48841435185185184</v>
      </c>
      <c r="F1683" s="1" t="s">
        <v>13</v>
      </c>
      <c r="G1683" s="1">
        <v>3.04</v>
      </c>
      <c r="H1683" s="1">
        <v>3.14</v>
      </c>
      <c r="I1683" s="1">
        <v>0</v>
      </c>
      <c r="J1683" s="4">
        <v>41115</v>
      </c>
      <c r="K1683" s="4">
        <v>44767</v>
      </c>
      <c r="L1683">
        <f t="shared" si="26"/>
        <v>3.09</v>
      </c>
    </row>
    <row r="1684" spans="1:12" x14ac:dyDescent="0.15">
      <c r="A1684" s="1">
        <v>1683</v>
      </c>
      <c r="B1684" s="4">
        <v>41114</v>
      </c>
      <c r="C1684" s="1" t="s">
        <v>16</v>
      </c>
      <c r="D1684" s="1" t="s">
        <v>15</v>
      </c>
      <c r="E1684" s="1">
        <v>0.48694444444444446</v>
      </c>
      <c r="F1684" s="1" t="s">
        <v>13</v>
      </c>
      <c r="G1684" s="1">
        <v>2.94</v>
      </c>
      <c r="H1684" s="1">
        <v>3</v>
      </c>
      <c r="I1684" s="1">
        <v>0</v>
      </c>
      <c r="J1684" s="4">
        <v>41115</v>
      </c>
      <c r="K1684" s="4">
        <v>42576</v>
      </c>
      <c r="L1684">
        <f t="shared" si="26"/>
        <v>2.9699999999999998</v>
      </c>
    </row>
    <row r="1685" spans="1:12" x14ac:dyDescent="0.15">
      <c r="A1685" s="1">
        <v>1684</v>
      </c>
      <c r="B1685" s="4">
        <v>41114</v>
      </c>
      <c r="C1685" s="1" t="s">
        <v>18</v>
      </c>
      <c r="D1685" s="1" t="s">
        <v>27</v>
      </c>
      <c r="E1685" s="1">
        <v>0.48582175925925924</v>
      </c>
      <c r="F1685" s="1" t="s">
        <v>13</v>
      </c>
      <c r="G1685" s="1">
        <v>2.97</v>
      </c>
      <c r="H1685" s="1">
        <v>3.02</v>
      </c>
      <c r="I1685" s="1">
        <v>0</v>
      </c>
      <c r="J1685" s="4">
        <v>41115</v>
      </c>
      <c r="K1685" s="4">
        <v>41845</v>
      </c>
      <c r="L1685">
        <f t="shared" si="26"/>
        <v>2.9950000000000001</v>
      </c>
    </row>
    <row r="1686" spans="1:12" x14ac:dyDescent="0.15">
      <c r="A1686" s="1">
        <v>1685</v>
      </c>
      <c r="B1686" s="4">
        <v>41114</v>
      </c>
      <c r="C1686" s="1" t="s">
        <v>22</v>
      </c>
      <c r="D1686" s="1" t="s">
        <v>27</v>
      </c>
      <c r="E1686" s="1">
        <v>0.48582175925925924</v>
      </c>
      <c r="F1686" s="1" t="s">
        <v>13</v>
      </c>
      <c r="G1686" s="1">
        <v>3.47</v>
      </c>
      <c r="H1686" s="1">
        <v>3.57</v>
      </c>
      <c r="I1686" s="1">
        <v>0</v>
      </c>
      <c r="J1686" s="4">
        <v>41115</v>
      </c>
      <c r="K1686" s="4">
        <v>41299</v>
      </c>
      <c r="L1686">
        <f t="shared" si="26"/>
        <v>3.52</v>
      </c>
    </row>
    <row r="1687" spans="1:12" x14ac:dyDescent="0.15">
      <c r="A1687" s="1">
        <v>1686</v>
      </c>
      <c r="B1687" s="4">
        <v>41114</v>
      </c>
      <c r="C1687" s="1" t="s">
        <v>11</v>
      </c>
      <c r="D1687" s="1" t="s">
        <v>27</v>
      </c>
      <c r="E1687" s="1">
        <v>0.48582175925925924</v>
      </c>
      <c r="F1687" s="1" t="s">
        <v>13</v>
      </c>
      <c r="G1687" s="1">
        <v>2.93</v>
      </c>
      <c r="H1687" s="1">
        <v>3.03</v>
      </c>
      <c r="I1687" s="1">
        <v>0</v>
      </c>
      <c r="J1687" s="4">
        <v>41115</v>
      </c>
      <c r="K1687" s="4">
        <v>42210</v>
      </c>
      <c r="L1687">
        <f t="shared" si="26"/>
        <v>2.98</v>
      </c>
    </row>
    <row r="1688" spans="1:12" x14ac:dyDescent="0.15">
      <c r="A1688" s="1">
        <v>1687</v>
      </c>
      <c r="B1688" s="4">
        <v>41114</v>
      </c>
      <c r="C1688" s="1" t="s">
        <v>25</v>
      </c>
      <c r="D1688" s="1" t="s">
        <v>27</v>
      </c>
      <c r="E1688" s="1">
        <v>0.48581018518518521</v>
      </c>
      <c r="F1688" s="1" t="s">
        <v>13</v>
      </c>
      <c r="G1688" s="1">
        <v>2.96</v>
      </c>
      <c r="H1688" s="1">
        <v>3.01</v>
      </c>
      <c r="I1688" s="1">
        <v>0</v>
      </c>
      <c r="J1688" s="4">
        <v>41115</v>
      </c>
      <c r="K1688" s="4">
        <v>42941</v>
      </c>
      <c r="L1688">
        <f t="shared" si="26"/>
        <v>2.9849999999999999</v>
      </c>
    </row>
    <row r="1689" spans="1:12" x14ac:dyDescent="0.15">
      <c r="A1689" s="1">
        <v>1688</v>
      </c>
      <c r="B1689" s="4">
        <v>41114</v>
      </c>
      <c r="C1689" s="1" t="s">
        <v>19</v>
      </c>
      <c r="D1689" s="1" t="s">
        <v>27</v>
      </c>
      <c r="E1689" s="1">
        <v>0.48581018518518521</v>
      </c>
      <c r="F1689" s="1" t="s">
        <v>13</v>
      </c>
      <c r="G1689" s="1">
        <v>3.29</v>
      </c>
      <c r="H1689" s="1">
        <v>3.37</v>
      </c>
      <c r="I1689" s="1">
        <v>0</v>
      </c>
      <c r="J1689" s="4">
        <v>41115</v>
      </c>
      <c r="K1689" s="4">
        <v>41389</v>
      </c>
      <c r="L1689">
        <f t="shared" si="26"/>
        <v>3.33</v>
      </c>
    </row>
    <row r="1690" spans="1:12" x14ac:dyDescent="0.15">
      <c r="A1690" s="1">
        <v>1689</v>
      </c>
      <c r="B1690" s="4">
        <v>41114</v>
      </c>
      <c r="C1690" s="1" t="s">
        <v>16</v>
      </c>
      <c r="D1690" s="1" t="s">
        <v>27</v>
      </c>
      <c r="E1690" s="1">
        <v>0.48581018518518521</v>
      </c>
      <c r="F1690" s="1" t="s">
        <v>13</v>
      </c>
      <c r="G1690" s="1">
        <v>2.93</v>
      </c>
      <c r="H1690" s="1">
        <v>3.03</v>
      </c>
      <c r="I1690" s="1">
        <v>0</v>
      </c>
      <c r="J1690" s="4">
        <v>41115</v>
      </c>
      <c r="K1690" s="4">
        <v>42576</v>
      </c>
      <c r="L1690">
        <f t="shared" si="26"/>
        <v>2.98</v>
      </c>
    </row>
    <row r="1691" spans="1:12" x14ac:dyDescent="0.15">
      <c r="A1691" s="1">
        <v>1690</v>
      </c>
      <c r="B1691" s="4">
        <v>41114</v>
      </c>
      <c r="C1691" s="1" t="s">
        <v>14</v>
      </c>
      <c r="D1691" s="1" t="s">
        <v>27</v>
      </c>
      <c r="E1691" s="1">
        <v>0.48581018518518521</v>
      </c>
      <c r="F1691" s="1" t="s">
        <v>13</v>
      </c>
      <c r="G1691" s="1">
        <v>3.16</v>
      </c>
      <c r="H1691" s="1">
        <v>3.25</v>
      </c>
      <c r="I1691" s="1">
        <v>0</v>
      </c>
      <c r="J1691" s="4">
        <v>41115</v>
      </c>
      <c r="K1691" s="4">
        <v>41480</v>
      </c>
      <c r="L1691">
        <f t="shared" si="26"/>
        <v>3.2050000000000001</v>
      </c>
    </row>
    <row r="1692" spans="1:12" x14ac:dyDescent="0.15">
      <c r="A1692" s="1">
        <v>1691</v>
      </c>
      <c r="B1692" s="4">
        <v>41114</v>
      </c>
      <c r="C1692" s="1" t="s">
        <v>20</v>
      </c>
      <c r="D1692" s="1" t="s">
        <v>15</v>
      </c>
      <c r="E1692" s="1">
        <v>0.48693287037037036</v>
      </c>
      <c r="F1692" s="1" t="s">
        <v>13</v>
      </c>
      <c r="G1692" s="1">
        <v>3.07</v>
      </c>
      <c r="H1692" s="1">
        <v>3.13</v>
      </c>
      <c r="I1692" s="1">
        <v>0</v>
      </c>
      <c r="J1692" s="4">
        <v>41115</v>
      </c>
      <c r="K1692" s="4">
        <v>44767</v>
      </c>
      <c r="L1692">
        <f t="shared" si="26"/>
        <v>3.0999999999999996</v>
      </c>
    </row>
    <row r="1693" spans="1:12" x14ac:dyDescent="0.15">
      <c r="A1693" s="1">
        <v>1692</v>
      </c>
      <c r="B1693" s="4">
        <v>41114</v>
      </c>
      <c r="C1693" s="1" t="s">
        <v>22</v>
      </c>
      <c r="D1693" s="1" t="s">
        <v>15</v>
      </c>
      <c r="E1693" s="1">
        <v>0.48693287037037036</v>
      </c>
      <c r="F1693" s="1" t="s">
        <v>13</v>
      </c>
      <c r="G1693" s="1">
        <v>3.47</v>
      </c>
      <c r="H1693" s="1">
        <v>3.53</v>
      </c>
      <c r="I1693" s="1">
        <v>0</v>
      </c>
      <c r="J1693" s="4">
        <v>41115</v>
      </c>
      <c r="K1693" s="4">
        <v>41299</v>
      </c>
      <c r="L1693">
        <f t="shared" si="26"/>
        <v>3.5</v>
      </c>
    </row>
    <row r="1694" spans="1:12" x14ac:dyDescent="0.15">
      <c r="A1694" s="1">
        <v>1693</v>
      </c>
      <c r="B1694" s="4">
        <v>41114</v>
      </c>
      <c r="C1694" s="1" t="s">
        <v>25</v>
      </c>
      <c r="D1694" s="1" t="s">
        <v>15</v>
      </c>
      <c r="E1694" s="1">
        <v>0.48694444444444446</v>
      </c>
      <c r="F1694" s="1" t="s">
        <v>13</v>
      </c>
      <c r="G1694" s="1">
        <v>2.85</v>
      </c>
      <c r="H1694" s="1">
        <v>2.91</v>
      </c>
      <c r="I1694" s="1">
        <v>0</v>
      </c>
      <c r="J1694" s="4">
        <v>41115</v>
      </c>
      <c r="K1694" s="4">
        <v>42941</v>
      </c>
      <c r="L1694">
        <f t="shared" si="26"/>
        <v>2.88</v>
      </c>
    </row>
    <row r="1695" spans="1:12" x14ac:dyDescent="0.15">
      <c r="A1695" s="1">
        <v>1694</v>
      </c>
      <c r="B1695" s="4">
        <v>41114</v>
      </c>
      <c r="C1695" s="1" t="s">
        <v>19</v>
      </c>
      <c r="D1695" s="1" t="s">
        <v>15</v>
      </c>
      <c r="E1695" s="1">
        <v>0.48693287037037036</v>
      </c>
      <c r="F1695" s="1" t="s">
        <v>13</v>
      </c>
      <c r="G1695" s="1">
        <v>3.26</v>
      </c>
      <c r="H1695" s="1">
        <v>3.32</v>
      </c>
      <c r="I1695" s="1">
        <v>0</v>
      </c>
      <c r="J1695" s="4">
        <v>41115</v>
      </c>
      <c r="K1695" s="4">
        <v>41389</v>
      </c>
      <c r="L1695">
        <f t="shared" si="26"/>
        <v>3.29</v>
      </c>
    </row>
    <row r="1696" spans="1:12" x14ac:dyDescent="0.15">
      <c r="A1696" s="1">
        <v>1695</v>
      </c>
      <c r="B1696" s="4">
        <v>41114</v>
      </c>
      <c r="C1696" s="1" t="s">
        <v>14</v>
      </c>
      <c r="D1696" s="1" t="s">
        <v>15</v>
      </c>
      <c r="E1696" s="1">
        <v>0.48693287037037036</v>
      </c>
      <c r="F1696" s="1" t="s">
        <v>13</v>
      </c>
      <c r="G1696" s="1">
        <v>3.14</v>
      </c>
      <c r="H1696" s="1">
        <v>3.2</v>
      </c>
      <c r="I1696" s="1">
        <v>0</v>
      </c>
      <c r="J1696" s="4">
        <v>41115</v>
      </c>
      <c r="K1696" s="4">
        <v>41480</v>
      </c>
      <c r="L1696">
        <f t="shared" si="26"/>
        <v>3.17</v>
      </c>
    </row>
    <row r="1697" spans="1:12" x14ac:dyDescent="0.15">
      <c r="A1697" s="1">
        <v>1696</v>
      </c>
      <c r="B1697" s="4">
        <v>41114</v>
      </c>
      <c r="C1697" s="1" t="s">
        <v>18</v>
      </c>
      <c r="D1697" s="1" t="s">
        <v>15</v>
      </c>
      <c r="E1697" s="1">
        <v>0.48693287037037036</v>
      </c>
      <c r="F1697" s="1" t="s">
        <v>13</v>
      </c>
      <c r="G1697" s="1">
        <v>2.96</v>
      </c>
      <c r="H1697" s="1">
        <v>3.02</v>
      </c>
      <c r="I1697" s="1">
        <v>0</v>
      </c>
      <c r="J1697" s="4">
        <v>41115</v>
      </c>
      <c r="K1697" s="4">
        <v>41845</v>
      </c>
      <c r="L1697">
        <f t="shared" si="26"/>
        <v>2.99</v>
      </c>
    </row>
    <row r="1698" spans="1:12" x14ac:dyDescent="0.15">
      <c r="A1698" s="1">
        <v>1697</v>
      </c>
      <c r="B1698" s="4">
        <v>41114</v>
      </c>
      <c r="C1698" s="1" t="s">
        <v>21</v>
      </c>
      <c r="D1698" s="1" t="s">
        <v>15</v>
      </c>
      <c r="E1698" s="1">
        <v>0.48693287037037036</v>
      </c>
      <c r="F1698" s="1" t="s">
        <v>13</v>
      </c>
      <c r="G1698" s="1">
        <v>3.02</v>
      </c>
      <c r="H1698" s="1">
        <v>3.08</v>
      </c>
      <c r="I1698" s="1">
        <v>0</v>
      </c>
      <c r="J1698" s="4">
        <v>41115</v>
      </c>
      <c r="K1698" s="4">
        <v>43671</v>
      </c>
      <c r="L1698">
        <f t="shared" si="26"/>
        <v>3.05</v>
      </c>
    </row>
    <row r="1699" spans="1:12" x14ac:dyDescent="0.15">
      <c r="A1699" s="1">
        <v>1698</v>
      </c>
      <c r="B1699" s="4">
        <v>41114</v>
      </c>
      <c r="C1699" s="1" t="s">
        <v>20</v>
      </c>
      <c r="D1699" s="1" t="s">
        <v>26</v>
      </c>
      <c r="E1699" s="1">
        <v>0.49327546296296299</v>
      </c>
      <c r="F1699" s="1" t="s">
        <v>13</v>
      </c>
      <c r="G1699" s="1">
        <v>2.9</v>
      </c>
      <c r="H1699" s="1">
        <v>3</v>
      </c>
      <c r="I1699" s="1">
        <v>0</v>
      </c>
      <c r="J1699" s="4">
        <v>41115</v>
      </c>
      <c r="K1699" s="4">
        <v>44767</v>
      </c>
      <c r="L1699">
        <f t="shared" si="26"/>
        <v>2.95</v>
      </c>
    </row>
    <row r="1700" spans="1:12" x14ac:dyDescent="0.15">
      <c r="A1700" s="1">
        <v>1699</v>
      </c>
      <c r="B1700" s="4">
        <v>41114</v>
      </c>
      <c r="C1700" s="1" t="s">
        <v>11</v>
      </c>
      <c r="D1700" s="1" t="s">
        <v>27</v>
      </c>
      <c r="E1700" s="1">
        <v>0.68175925925925929</v>
      </c>
      <c r="F1700" s="1" t="s">
        <v>13</v>
      </c>
      <c r="G1700" s="1">
        <v>2.83</v>
      </c>
      <c r="H1700" s="1">
        <v>2.93</v>
      </c>
      <c r="I1700" s="1">
        <v>0</v>
      </c>
      <c r="J1700" s="4">
        <v>41115</v>
      </c>
      <c r="K1700" s="4">
        <v>42210</v>
      </c>
      <c r="L1700">
        <f t="shared" si="26"/>
        <v>2.88</v>
      </c>
    </row>
    <row r="1701" spans="1:12" x14ac:dyDescent="0.15">
      <c r="A1701" s="1">
        <v>1700</v>
      </c>
      <c r="B1701" s="4">
        <v>41114</v>
      </c>
      <c r="C1701" s="1" t="s">
        <v>14</v>
      </c>
      <c r="D1701" s="1" t="s">
        <v>15</v>
      </c>
      <c r="E1701" s="1">
        <v>0.68261574074074083</v>
      </c>
      <c r="F1701" s="1" t="s">
        <v>13</v>
      </c>
      <c r="G1701" s="1">
        <v>3.14</v>
      </c>
      <c r="H1701" s="1">
        <v>3.2</v>
      </c>
      <c r="I1701" s="1">
        <v>0</v>
      </c>
      <c r="J1701" s="4">
        <v>41115</v>
      </c>
      <c r="K1701" s="4">
        <v>41480</v>
      </c>
      <c r="L1701">
        <f t="shared" si="26"/>
        <v>3.17</v>
      </c>
    </row>
    <row r="1702" spans="1:12" x14ac:dyDescent="0.15">
      <c r="A1702" s="1">
        <v>1701</v>
      </c>
      <c r="B1702" s="4">
        <v>41114</v>
      </c>
      <c r="C1702" s="1" t="s">
        <v>18</v>
      </c>
      <c r="D1702" s="1" t="s">
        <v>15</v>
      </c>
      <c r="E1702" s="1">
        <v>0.68261574074074083</v>
      </c>
      <c r="F1702" s="1" t="s">
        <v>13</v>
      </c>
      <c r="G1702" s="1">
        <v>2.92</v>
      </c>
      <c r="H1702" s="1">
        <v>2.98</v>
      </c>
      <c r="I1702" s="1">
        <v>0</v>
      </c>
      <c r="J1702" s="4">
        <v>41115</v>
      </c>
      <c r="K1702" s="4">
        <v>41845</v>
      </c>
      <c r="L1702">
        <f t="shared" si="26"/>
        <v>2.95</v>
      </c>
    </row>
    <row r="1703" spans="1:12" x14ac:dyDescent="0.15">
      <c r="A1703" s="1">
        <v>1702</v>
      </c>
      <c r="B1703" s="4">
        <v>41114</v>
      </c>
      <c r="C1703" s="1" t="s">
        <v>16</v>
      </c>
      <c r="D1703" s="1" t="s">
        <v>27</v>
      </c>
      <c r="E1703" s="1">
        <v>0.68174768518518514</v>
      </c>
      <c r="F1703" s="1" t="s">
        <v>13</v>
      </c>
      <c r="G1703" s="1">
        <v>2.87</v>
      </c>
      <c r="H1703" s="1">
        <v>2.93</v>
      </c>
      <c r="I1703" s="1">
        <v>0</v>
      </c>
      <c r="J1703" s="4">
        <v>41115</v>
      </c>
      <c r="K1703" s="4">
        <v>42576</v>
      </c>
      <c r="L1703">
        <f t="shared" si="26"/>
        <v>2.9000000000000004</v>
      </c>
    </row>
    <row r="1704" spans="1:12" x14ac:dyDescent="0.15">
      <c r="A1704" s="1">
        <v>1703</v>
      </c>
      <c r="B1704" s="4">
        <v>41114</v>
      </c>
      <c r="C1704" s="1" t="s">
        <v>19</v>
      </c>
      <c r="D1704" s="1" t="s">
        <v>27</v>
      </c>
      <c r="E1704" s="1">
        <v>0.68173611111111121</v>
      </c>
      <c r="F1704" s="1" t="s">
        <v>13</v>
      </c>
      <c r="G1704" s="1">
        <v>3.23</v>
      </c>
      <c r="H1704" s="1">
        <v>3.3</v>
      </c>
      <c r="I1704" s="1">
        <v>0</v>
      </c>
      <c r="J1704" s="4">
        <v>41115</v>
      </c>
      <c r="K1704" s="4">
        <v>41389</v>
      </c>
      <c r="L1704">
        <f t="shared" si="26"/>
        <v>3.2649999999999997</v>
      </c>
    </row>
    <row r="1705" spans="1:12" x14ac:dyDescent="0.15">
      <c r="A1705" s="1">
        <v>1704</v>
      </c>
      <c r="B1705" s="4">
        <v>41114</v>
      </c>
      <c r="C1705" s="1" t="s">
        <v>18</v>
      </c>
      <c r="D1705" s="1" t="s">
        <v>27</v>
      </c>
      <c r="E1705" s="1">
        <v>0.68174768518518514</v>
      </c>
      <c r="F1705" s="1" t="s">
        <v>13</v>
      </c>
      <c r="G1705" s="1">
        <v>2.91</v>
      </c>
      <c r="H1705" s="1">
        <v>2.96</v>
      </c>
      <c r="I1705" s="1">
        <v>0</v>
      </c>
      <c r="J1705" s="4">
        <v>41115</v>
      </c>
      <c r="K1705" s="4">
        <v>41845</v>
      </c>
      <c r="L1705">
        <f t="shared" si="26"/>
        <v>2.9350000000000001</v>
      </c>
    </row>
    <row r="1706" spans="1:12" x14ac:dyDescent="0.15">
      <c r="A1706" s="1">
        <v>1705</v>
      </c>
      <c r="B1706" s="4">
        <v>41114</v>
      </c>
      <c r="C1706" s="1" t="s">
        <v>22</v>
      </c>
      <c r="D1706" s="1" t="s">
        <v>27</v>
      </c>
      <c r="E1706" s="1">
        <v>0.68174768518518514</v>
      </c>
      <c r="F1706" s="1" t="s">
        <v>13</v>
      </c>
      <c r="G1706" s="1">
        <v>3.48</v>
      </c>
      <c r="H1706" s="1">
        <v>3.53</v>
      </c>
      <c r="I1706" s="1">
        <v>0</v>
      </c>
      <c r="J1706" s="4">
        <v>41115</v>
      </c>
      <c r="K1706" s="4">
        <v>41299</v>
      </c>
      <c r="L1706">
        <f t="shared" si="26"/>
        <v>3.5049999999999999</v>
      </c>
    </row>
    <row r="1707" spans="1:12" x14ac:dyDescent="0.15">
      <c r="A1707" s="1">
        <v>1706</v>
      </c>
      <c r="B1707" s="4">
        <v>41114</v>
      </c>
      <c r="C1707" s="1" t="s">
        <v>25</v>
      </c>
      <c r="D1707" s="1" t="s">
        <v>15</v>
      </c>
      <c r="E1707" s="1">
        <v>0.68262731481481476</v>
      </c>
      <c r="F1707" s="1" t="s">
        <v>13</v>
      </c>
      <c r="G1707" s="1">
        <v>2.91</v>
      </c>
      <c r="H1707" s="1">
        <v>2.97</v>
      </c>
      <c r="I1707" s="1">
        <v>0</v>
      </c>
      <c r="J1707" s="4">
        <v>41115</v>
      </c>
      <c r="K1707" s="4">
        <v>42941</v>
      </c>
      <c r="L1707">
        <f t="shared" si="26"/>
        <v>2.9400000000000004</v>
      </c>
    </row>
    <row r="1708" spans="1:12" x14ac:dyDescent="0.15">
      <c r="A1708" s="1">
        <v>1707</v>
      </c>
      <c r="B1708" s="4">
        <v>41114</v>
      </c>
      <c r="C1708" s="1" t="s">
        <v>16</v>
      </c>
      <c r="D1708" s="1" t="s">
        <v>15</v>
      </c>
      <c r="E1708" s="1">
        <v>0.68262731481481476</v>
      </c>
      <c r="F1708" s="1" t="s">
        <v>13</v>
      </c>
      <c r="G1708" s="1">
        <v>2.9</v>
      </c>
      <c r="H1708" s="1">
        <v>2.96</v>
      </c>
      <c r="I1708" s="1">
        <v>0</v>
      </c>
      <c r="J1708" s="4">
        <v>41115</v>
      </c>
      <c r="K1708" s="4">
        <v>42576</v>
      </c>
      <c r="L1708">
        <f t="shared" si="26"/>
        <v>2.9299999999999997</v>
      </c>
    </row>
    <row r="1709" spans="1:12" x14ac:dyDescent="0.15">
      <c r="A1709" s="1">
        <v>1708</v>
      </c>
      <c r="B1709" s="4">
        <v>41114</v>
      </c>
      <c r="C1709" s="1" t="s">
        <v>11</v>
      </c>
      <c r="D1709" s="1" t="s">
        <v>15</v>
      </c>
      <c r="E1709" s="1">
        <v>0.68262731481481476</v>
      </c>
      <c r="F1709" s="1" t="s">
        <v>13</v>
      </c>
      <c r="G1709" s="1">
        <v>2.9</v>
      </c>
      <c r="H1709" s="1">
        <v>2.96</v>
      </c>
      <c r="I1709" s="1">
        <v>0</v>
      </c>
      <c r="J1709" s="4">
        <v>41115</v>
      </c>
      <c r="K1709" s="4">
        <v>42210</v>
      </c>
      <c r="L1709">
        <f t="shared" si="26"/>
        <v>2.9299999999999997</v>
      </c>
    </row>
    <row r="1710" spans="1:12" x14ac:dyDescent="0.15">
      <c r="A1710" s="1">
        <v>1709</v>
      </c>
      <c r="B1710" s="4">
        <v>41114</v>
      </c>
      <c r="C1710" s="1" t="s">
        <v>22</v>
      </c>
      <c r="D1710" s="1" t="s">
        <v>15</v>
      </c>
      <c r="E1710" s="1">
        <v>0.68261574074074083</v>
      </c>
      <c r="F1710" s="1" t="s">
        <v>13</v>
      </c>
      <c r="G1710" s="1">
        <v>3.47</v>
      </c>
      <c r="H1710" s="1">
        <v>3.53</v>
      </c>
      <c r="I1710" s="1">
        <v>0</v>
      </c>
      <c r="J1710" s="4">
        <v>41115</v>
      </c>
      <c r="K1710" s="4">
        <v>41299</v>
      </c>
      <c r="L1710">
        <f t="shared" si="26"/>
        <v>3.5</v>
      </c>
    </row>
    <row r="1711" spans="1:12" x14ac:dyDescent="0.15">
      <c r="A1711" s="1">
        <v>1710</v>
      </c>
      <c r="B1711" s="4">
        <v>41114</v>
      </c>
      <c r="C1711" s="1" t="s">
        <v>21</v>
      </c>
      <c r="D1711" s="1" t="s">
        <v>15</v>
      </c>
      <c r="E1711" s="1">
        <v>0.68261574074074083</v>
      </c>
      <c r="F1711" s="1" t="s">
        <v>13</v>
      </c>
      <c r="G1711" s="1">
        <v>2.99</v>
      </c>
      <c r="H1711" s="1">
        <v>3.05</v>
      </c>
      <c r="I1711" s="1">
        <v>0</v>
      </c>
      <c r="J1711" s="4">
        <v>41115</v>
      </c>
      <c r="K1711" s="4">
        <v>43671</v>
      </c>
      <c r="L1711">
        <f t="shared" si="26"/>
        <v>3.02</v>
      </c>
    </row>
    <row r="1712" spans="1:12" x14ac:dyDescent="0.15">
      <c r="A1712" s="1">
        <v>1711</v>
      </c>
      <c r="B1712" s="4">
        <v>41114</v>
      </c>
      <c r="C1712" s="1" t="s">
        <v>19</v>
      </c>
      <c r="D1712" s="1" t="s">
        <v>15</v>
      </c>
      <c r="E1712" s="1">
        <v>0.68261574074074083</v>
      </c>
      <c r="F1712" s="1" t="s">
        <v>13</v>
      </c>
      <c r="G1712" s="1">
        <v>3.26</v>
      </c>
      <c r="H1712" s="1">
        <v>3.32</v>
      </c>
      <c r="I1712" s="1">
        <v>0</v>
      </c>
      <c r="J1712" s="4">
        <v>41115</v>
      </c>
      <c r="K1712" s="4">
        <v>41389</v>
      </c>
      <c r="L1712">
        <f t="shared" si="26"/>
        <v>3.29</v>
      </c>
    </row>
    <row r="1713" spans="1:12" x14ac:dyDescent="0.15">
      <c r="A1713" s="1">
        <v>1712</v>
      </c>
      <c r="B1713" s="4">
        <v>41114</v>
      </c>
      <c r="C1713" s="1" t="s">
        <v>20</v>
      </c>
      <c r="D1713" s="1" t="s">
        <v>15</v>
      </c>
      <c r="E1713" s="1">
        <v>0.68261574074074083</v>
      </c>
      <c r="F1713" s="1" t="s">
        <v>13</v>
      </c>
      <c r="G1713" s="1">
        <v>3.03</v>
      </c>
      <c r="H1713" s="1">
        <v>3.09</v>
      </c>
      <c r="I1713" s="1">
        <v>0</v>
      </c>
      <c r="J1713" s="4">
        <v>41115</v>
      </c>
      <c r="K1713" s="4">
        <v>44767</v>
      </c>
      <c r="L1713">
        <f t="shared" si="26"/>
        <v>3.0599999999999996</v>
      </c>
    </row>
    <row r="1714" spans="1:12" x14ac:dyDescent="0.15">
      <c r="A1714" s="1">
        <v>1713</v>
      </c>
      <c r="B1714" s="4">
        <v>41114</v>
      </c>
      <c r="C1714" s="1" t="s">
        <v>25</v>
      </c>
      <c r="D1714" s="1" t="s">
        <v>27</v>
      </c>
      <c r="E1714" s="1">
        <v>0.68173611111111121</v>
      </c>
      <c r="F1714" s="1" t="s">
        <v>13</v>
      </c>
      <c r="G1714" s="1">
        <v>2.87</v>
      </c>
      <c r="H1714" s="1">
        <v>2.92</v>
      </c>
      <c r="I1714" s="1">
        <v>0</v>
      </c>
      <c r="J1714" s="4">
        <v>41115</v>
      </c>
      <c r="K1714" s="4">
        <v>42941</v>
      </c>
      <c r="L1714">
        <f t="shared" si="26"/>
        <v>2.895</v>
      </c>
    </row>
    <row r="1715" spans="1:12" x14ac:dyDescent="0.15">
      <c r="A1715" s="1">
        <v>1714</v>
      </c>
      <c r="B1715" s="4">
        <v>41114</v>
      </c>
      <c r="C1715" s="1" t="s">
        <v>19</v>
      </c>
      <c r="D1715" s="1" t="s">
        <v>30</v>
      </c>
      <c r="E1715" s="1">
        <v>0.67835648148148142</v>
      </c>
      <c r="F1715" s="1" t="s">
        <v>13</v>
      </c>
      <c r="G1715" s="1">
        <v>3.24</v>
      </c>
      <c r="H1715" s="1">
        <v>3.34</v>
      </c>
      <c r="I1715" s="1">
        <v>0</v>
      </c>
      <c r="J1715" s="4">
        <v>41115</v>
      </c>
      <c r="K1715" s="4">
        <v>41389</v>
      </c>
      <c r="L1715">
        <f t="shared" si="26"/>
        <v>3.29</v>
      </c>
    </row>
    <row r="1716" spans="1:12" x14ac:dyDescent="0.15">
      <c r="A1716" s="1">
        <v>1715</v>
      </c>
      <c r="B1716" s="4">
        <v>41114</v>
      </c>
      <c r="C1716" s="1" t="s">
        <v>21</v>
      </c>
      <c r="D1716" s="1" t="s">
        <v>30</v>
      </c>
      <c r="E1716" s="1">
        <v>0.67835648148148142</v>
      </c>
      <c r="F1716" s="1" t="s">
        <v>13</v>
      </c>
      <c r="G1716" s="1">
        <v>2.97</v>
      </c>
      <c r="H1716" s="1">
        <v>3.07</v>
      </c>
      <c r="I1716" s="1">
        <v>0</v>
      </c>
      <c r="J1716" s="4">
        <v>41115</v>
      </c>
      <c r="K1716" s="4">
        <v>43671</v>
      </c>
      <c r="L1716">
        <f t="shared" si="26"/>
        <v>3.02</v>
      </c>
    </row>
    <row r="1717" spans="1:12" x14ac:dyDescent="0.15">
      <c r="A1717" s="1">
        <v>1716</v>
      </c>
      <c r="B1717" s="4">
        <v>41114</v>
      </c>
      <c r="C1717" s="1" t="s">
        <v>22</v>
      </c>
      <c r="D1717" s="1" t="s">
        <v>30</v>
      </c>
      <c r="E1717" s="1">
        <v>0.67835648148148142</v>
      </c>
      <c r="F1717" s="1" t="s">
        <v>13</v>
      </c>
      <c r="G1717" s="1">
        <v>3.45</v>
      </c>
      <c r="H1717" s="1">
        <v>3.55</v>
      </c>
      <c r="I1717" s="1">
        <v>0</v>
      </c>
      <c r="J1717" s="4">
        <v>41115</v>
      </c>
      <c r="K1717" s="4">
        <v>41299</v>
      </c>
      <c r="L1717">
        <f t="shared" si="26"/>
        <v>3.5</v>
      </c>
    </row>
    <row r="1718" spans="1:12" x14ac:dyDescent="0.15">
      <c r="A1718" s="1">
        <v>1717</v>
      </c>
      <c r="B1718" s="4">
        <v>41114</v>
      </c>
      <c r="C1718" s="1" t="s">
        <v>11</v>
      </c>
      <c r="D1718" s="1" t="s">
        <v>26</v>
      </c>
      <c r="E1718" s="1">
        <v>0.49329861111111112</v>
      </c>
      <c r="F1718" s="1" t="s">
        <v>13</v>
      </c>
      <c r="G1718" s="1">
        <v>2.9</v>
      </c>
      <c r="H1718" s="1">
        <v>3</v>
      </c>
      <c r="I1718" s="1">
        <v>0</v>
      </c>
      <c r="J1718" s="4">
        <v>41115</v>
      </c>
      <c r="K1718" s="4">
        <v>42210</v>
      </c>
      <c r="L1718">
        <f t="shared" si="26"/>
        <v>2.95</v>
      </c>
    </row>
    <row r="1719" spans="1:12" x14ac:dyDescent="0.15">
      <c r="A1719" s="1">
        <v>1718</v>
      </c>
      <c r="B1719" s="4">
        <v>41114</v>
      </c>
      <c r="C1719" s="1" t="s">
        <v>18</v>
      </c>
      <c r="D1719" s="1" t="s">
        <v>26</v>
      </c>
      <c r="E1719" s="1">
        <v>0.49327546296296299</v>
      </c>
      <c r="F1719" s="1" t="s">
        <v>13</v>
      </c>
      <c r="G1719" s="1">
        <v>2.93</v>
      </c>
      <c r="H1719" s="1">
        <v>3.02</v>
      </c>
      <c r="I1719" s="1">
        <v>0</v>
      </c>
      <c r="J1719" s="4">
        <v>41115</v>
      </c>
      <c r="K1719" s="4">
        <v>41845</v>
      </c>
      <c r="L1719">
        <f t="shared" si="26"/>
        <v>2.9750000000000001</v>
      </c>
    </row>
    <row r="1720" spans="1:12" x14ac:dyDescent="0.15">
      <c r="A1720" s="1">
        <v>1719</v>
      </c>
      <c r="B1720" s="4">
        <v>41114</v>
      </c>
      <c r="C1720" s="1" t="s">
        <v>25</v>
      </c>
      <c r="D1720" s="1" t="s">
        <v>26</v>
      </c>
      <c r="E1720" s="1">
        <v>0.49328703703703702</v>
      </c>
      <c r="F1720" s="1" t="s">
        <v>13</v>
      </c>
      <c r="G1720" s="1">
        <v>2.9</v>
      </c>
      <c r="H1720" s="1">
        <v>3</v>
      </c>
      <c r="I1720" s="1">
        <v>0</v>
      </c>
      <c r="J1720" s="4">
        <v>41115</v>
      </c>
      <c r="K1720" s="4">
        <v>42941</v>
      </c>
      <c r="L1720">
        <f t="shared" si="26"/>
        <v>2.95</v>
      </c>
    </row>
    <row r="1721" spans="1:12" x14ac:dyDescent="0.15">
      <c r="A1721" s="1">
        <v>1720</v>
      </c>
      <c r="B1721" s="4">
        <v>41114</v>
      </c>
      <c r="C1721" s="1" t="s">
        <v>16</v>
      </c>
      <c r="D1721" s="1" t="s">
        <v>26</v>
      </c>
      <c r="E1721" s="1">
        <v>0.49328703703703702</v>
      </c>
      <c r="F1721" s="1" t="s">
        <v>13</v>
      </c>
      <c r="G1721" s="1">
        <v>2.9</v>
      </c>
      <c r="H1721" s="1">
        <v>3</v>
      </c>
      <c r="I1721" s="1">
        <v>0</v>
      </c>
      <c r="J1721" s="4">
        <v>41115</v>
      </c>
      <c r="K1721" s="4">
        <v>42576</v>
      </c>
      <c r="L1721">
        <f t="shared" si="26"/>
        <v>2.95</v>
      </c>
    </row>
    <row r="1722" spans="1:12" x14ac:dyDescent="0.15">
      <c r="A1722" s="1">
        <v>1721</v>
      </c>
      <c r="B1722" s="4">
        <v>41114</v>
      </c>
      <c r="C1722" s="1" t="s">
        <v>14</v>
      </c>
      <c r="D1722" s="1" t="s">
        <v>30</v>
      </c>
      <c r="E1722" s="1">
        <v>0.67836805555555557</v>
      </c>
      <c r="F1722" s="1" t="s">
        <v>13</v>
      </c>
      <c r="G1722" s="1">
        <v>3.1</v>
      </c>
      <c r="H1722" s="1">
        <v>3.2</v>
      </c>
      <c r="I1722" s="1">
        <v>0</v>
      </c>
      <c r="J1722" s="4">
        <v>41115</v>
      </c>
      <c r="K1722" s="4">
        <v>41480</v>
      </c>
      <c r="L1722">
        <f t="shared" si="26"/>
        <v>3.1500000000000004</v>
      </c>
    </row>
    <row r="1723" spans="1:12" x14ac:dyDescent="0.15">
      <c r="A1723" s="1">
        <v>1722</v>
      </c>
      <c r="B1723" s="4">
        <v>41114</v>
      </c>
      <c r="C1723" s="1" t="s">
        <v>20</v>
      </c>
      <c r="D1723" s="1" t="s">
        <v>30</v>
      </c>
      <c r="E1723" s="1">
        <v>0.67836805555555557</v>
      </c>
      <c r="F1723" s="1" t="s">
        <v>13</v>
      </c>
      <c r="G1723" s="1">
        <v>3.01</v>
      </c>
      <c r="H1723" s="1">
        <v>3.11</v>
      </c>
      <c r="I1723" s="1">
        <v>0</v>
      </c>
      <c r="J1723" s="4">
        <v>41115</v>
      </c>
      <c r="K1723" s="4">
        <v>44767</v>
      </c>
      <c r="L1723">
        <f t="shared" si="26"/>
        <v>3.0599999999999996</v>
      </c>
    </row>
    <row r="1724" spans="1:12" x14ac:dyDescent="0.15">
      <c r="A1724" s="1">
        <v>1723</v>
      </c>
      <c r="B1724" s="4">
        <v>41114</v>
      </c>
      <c r="C1724" s="1" t="s">
        <v>14</v>
      </c>
      <c r="D1724" s="1" t="s">
        <v>27</v>
      </c>
      <c r="E1724" s="1">
        <v>0.68173611111111121</v>
      </c>
      <c r="F1724" s="1" t="s">
        <v>13</v>
      </c>
      <c r="G1724" s="1">
        <v>2.91</v>
      </c>
      <c r="H1724" s="1">
        <v>2.96</v>
      </c>
      <c r="I1724" s="1">
        <v>0</v>
      </c>
      <c r="J1724" s="4">
        <v>41115</v>
      </c>
      <c r="K1724" s="4">
        <v>41480</v>
      </c>
      <c r="L1724">
        <f t="shared" si="26"/>
        <v>2.9350000000000001</v>
      </c>
    </row>
    <row r="1725" spans="1:12" x14ac:dyDescent="0.15">
      <c r="A1725" s="1">
        <v>1724</v>
      </c>
      <c r="B1725" s="4">
        <v>41114</v>
      </c>
      <c r="C1725" s="1" t="s">
        <v>18</v>
      </c>
      <c r="D1725" s="1" t="s">
        <v>30</v>
      </c>
      <c r="E1725" s="1">
        <v>0.67836805555555557</v>
      </c>
      <c r="F1725" s="1" t="s">
        <v>13</v>
      </c>
      <c r="G1725" s="1">
        <v>2.88</v>
      </c>
      <c r="H1725" s="1">
        <v>2.98</v>
      </c>
      <c r="I1725" s="1">
        <v>0</v>
      </c>
      <c r="J1725" s="4">
        <v>41115</v>
      </c>
      <c r="K1725" s="4">
        <v>41845</v>
      </c>
      <c r="L1725">
        <f t="shared" si="26"/>
        <v>2.9299999999999997</v>
      </c>
    </row>
    <row r="1726" spans="1:12" x14ac:dyDescent="0.15">
      <c r="A1726" s="1">
        <v>1725</v>
      </c>
      <c r="B1726" s="4">
        <v>41114</v>
      </c>
      <c r="C1726" s="1" t="s">
        <v>25</v>
      </c>
      <c r="D1726" s="1" t="s">
        <v>30</v>
      </c>
      <c r="E1726" s="1">
        <v>0.67836805555555557</v>
      </c>
      <c r="F1726" s="1" t="s">
        <v>13</v>
      </c>
      <c r="G1726" s="1">
        <v>2.87</v>
      </c>
      <c r="H1726" s="1">
        <v>2.97</v>
      </c>
      <c r="I1726" s="1">
        <v>0</v>
      </c>
      <c r="J1726" s="4">
        <v>41115</v>
      </c>
      <c r="K1726" s="4">
        <v>42941</v>
      </c>
      <c r="L1726">
        <f t="shared" si="26"/>
        <v>2.92</v>
      </c>
    </row>
    <row r="1727" spans="1:12" x14ac:dyDescent="0.15">
      <c r="A1727" s="1">
        <v>1726</v>
      </c>
      <c r="B1727" s="4">
        <v>41114</v>
      </c>
      <c r="C1727" s="1" t="s">
        <v>16</v>
      </c>
      <c r="D1727" s="1" t="s">
        <v>30</v>
      </c>
      <c r="E1727" s="1">
        <v>0.67836805555555557</v>
      </c>
      <c r="F1727" s="1" t="s">
        <v>13</v>
      </c>
      <c r="G1727" s="1">
        <v>2.87</v>
      </c>
      <c r="H1727" s="1">
        <v>2.97</v>
      </c>
      <c r="I1727" s="1">
        <v>0</v>
      </c>
      <c r="J1727" s="4">
        <v>41115</v>
      </c>
      <c r="K1727" s="4">
        <v>42576</v>
      </c>
      <c r="L1727">
        <f t="shared" si="26"/>
        <v>2.92</v>
      </c>
    </row>
    <row r="1728" spans="1:12" x14ac:dyDescent="0.15">
      <c r="A1728" s="1">
        <v>1727</v>
      </c>
      <c r="B1728" s="4">
        <v>41114</v>
      </c>
      <c r="C1728" s="1" t="s">
        <v>11</v>
      </c>
      <c r="D1728" s="1" t="s">
        <v>30</v>
      </c>
      <c r="E1728" s="1">
        <v>0.67836805555555557</v>
      </c>
      <c r="F1728" s="1" t="s">
        <v>13</v>
      </c>
      <c r="G1728" s="1">
        <v>2.87</v>
      </c>
      <c r="H1728" s="1">
        <v>2.97</v>
      </c>
      <c r="I1728" s="1">
        <v>0</v>
      </c>
      <c r="J1728" s="4">
        <v>41115</v>
      </c>
      <c r="K1728" s="4">
        <v>42210</v>
      </c>
      <c r="L1728">
        <f t="shared" si="26"/>
        <v>2.92</v>
      </c>
    </row>
    <row r="1729" spans="1:12" x14ac:dyDescent="0.15">
      <c r="A1729" s="1">
        <v>1728</v>
      </c>
      <c r="B1729" s="4">
        <v>41113</v>
      </c>
      <c r="C1729" s="1" t="s">
        <v>25</v>
      </c>
      <c r="D1729" s="1" t="s">
        <v>26</v>
      </c>
      <c r="E1729" s="1">
        <v>0.48937499999999995</v>
      </c>
      <c r="F1729" s="1" t="s">
        <v>13</v>
      </c>
      <c r="G1729" s="1">
        <v>2.9</v>
      </c>
      <c r="H1729" s="1">
        <v>3</v>
      </c>
      <c r="I1729" s="1">
        <v>0</v>
      </c>
      <c r="J1729" s="4">
        <v>41114</v>
      </c>
      <c r="K1729" s="4">
        <v>42940</v>
      </c>
      <c r="L1729">
        <f t="shared" si="26"/>
        <v>2.95</v>
      </c>
    </row>
    <row r="1730" spans="1:12" x14ac:dyDescent="0.15">
      <c r="A1730" s="1">
        <v>1729</v>
      </c>
      <c r="B1730" s="4">
        <v>41113</v>
      </c>
      <c r="C1730" s="1" t="s">
        <v>18</v>
      </c>
      <c r="D1730" s="1" t="s">
        <v>26</v>
      </c>
      <c r="E1730" s="1">
        <v>0.48936342592592591</v>
      </c>
      <c r="F1730" s="1" t="s">
        <v>13</v>
      </c>
      <c r="G1730" s="1">
        <v>2.93</v>
      </c>
      <c r="H1730" s="1">
        <v>3.02</v>
      </c>
      <c r="I1730" s="1">
        <v>0</v>
      </c>
      <c r="J1730" s="4">
        <v>41114</v>
      </c>
      <c r="K1730" s="4">
        <v>41844</v>
      </c>
      <c r="L1730">
        <f t="shared" si="26"/>
        <v>2.9750000000000001</v>
      </c>
    </row>
    <row r="1731" spans="1:12" x14ac:dyDescent="0.15">
      <c r="A1731" s="1">
        <v>1730</v>
      </c>
      <c r="B1731" s="4">
        <v>41113</v>
      </c>
      <c r="C1731" s="1" t="s">
        <v>11</v>
      </c>
      <c r="D1731" s="1" t="s">
        <v>26</v>
      </c>
      <c r="E1731" s="1">
        <v>0.48937499999999995</v>
      </c>
      <c r="F1731" s="1" t="s">
        <v>13</v>
      </c>
      <c r="G1731" s="1">
        <v>2.9</v>
      </c>
      <c r="H1731" s="1">
        <v>3</v>
      </c>
      <c r="I1731" s="1">
        <v>0</v>
      </c>
      <c r="J1731" s="4">
        <v>41114</v>
      </c>
      <c r="K1731" s="4">
        <v>42209</v>
      </c>
      <c r="L1731">
        <f t="shared" ref="L1731:L1794" si="27">AVERAGE(G1731:H1731)</f>
        <v>2.95</v>
      </c>
    </row>
    <row r="1732" spans="1:12" x14ac:dyDescent="0.15">
      <c r="A1732" s="1">
        <v>1731</v>
      </c>
      <c r="B1732" s="4">
        <v>41113</v>
      </c>
      <c r="C1732" s="1" t="s">
        <v>16</v>
      </c>
      <c r="D1732" s="1" t="s">
        <v>26</v>
      </c>
      <c r="E1732" s="1">
        <v>0.48937499999999995</v>
      </c>
      <c r="F1732" s="1" t="s">
        <v>13</v>
      </c>
      <c r="G1732" s="1">
        <v>2.9</v>
      </c>
      <c r="H1732" s="1">
        <v>3</v>
      </c>
      <c r="I1732" s="1">
        <v>0</v>
      </c>
      <c r="J1732" s="4">
        <v>41114</v>
      </c>
      <c r="K1732" s="4">
        <v>42575</v>
      </c>
      <c r="L1732">
        <f t="shared" si="27"/>
        <v>2.95</v>
      </c>
    </row>
    <row r="1733" spans="1:12" x14ac:dyDescent="0.15">
      <c r="A1733" s="1">
        <v>1732</v>
      </c>
      <c r="B1733" s="4">
        <v>41113</v>
      </c>
      <c r="C1733" s="1" t="s">
        <v>19</v>
      </c>
      <c r="D1733" s="1" t="s">
        <v>26</v>
      </c>
      <c r="E1733" s="1">
        <v>0.48936342592592591</v>
      </c>
      <c r="F1733" s="1" t="s">
        <v>13</v>
      </c>
      <c r="G1733" s="1">
        <v>3.2</v>
      </c>
      <c r="H1733" s="1">
        <v>3.28</v>
      </c>
      <c r="I1733" s="1">
        <v>0</v>
      </c>
      <c r="J1733" s="4">
        <v>41114</v>
      </c>
      <c r="K1733" s="4">
        <v>41388</v>
      </c>
      <c r="L1733">
        <f t="shared" si="27"/>
        <v>3.24</v>
      </c>
    </row>
    <row r="1734" spans="1:12" x14ac:dyDescent="0.15">
      <c r="A1734" s="1">
        <v>1733</v>
      </c>
      <c r="B1734" s="4">
        <v>41113</v>
      </c>
      <c r="C1734" s="1" t="s">
        <v>21</v>
      </c>
      <c r="D1734" s="1" t="s">
        <v>26</v>
      </c>
      <c r="E1734" s="1">
        <v>0.48936342592592591</v>
      </c>
      <c r="F1734" s="1" t="s">
        <v>13</v>
      </c>
      <c r="G1734" s="1">
        <v>2.9</v>
      </c>
      <c r="H1734" s="1">
        <v>3</v>
      </c>
      <c r="I1734" s="1">
        <v>0</v>
      </c>
      <c r="J1734" s="4">
        <v>41114</v>
      </c>
      <c r="K1734" s="4">
        <v>43670</v>
      </c>
      <c r="L1734">
        <f t="shared" si="27"/>
        <v>2.95</v>
      </c>
    </row>
    <row r="1735" spans="1:12" x14ac:dyDescent="0.15">
      <c r="A1735" s="1">
        <v>1734</v>
      </c>
      <c r="B1735" s="4">
        <v>41113</v>
      </c>
      <c r="C1735" s="1" t="s">
        <v>20</v>
      </c>
      <c r="D1735" s="1" t="s">
        <v>26</v>
      </c>
      <c r="E1735" s="1">
        <v>0.48936342592592591</v>
      </c>
      <c r="F1735" s="1" t="s">
        <v>13</v>
      </c>
      <c r="G1735" s="1">
        <v>2.9</v>
      </c>
      <c r="H1735" s="1">
        <v>3</v>
      </c>
      <c r="I1735" s="1">
        <v>0</v>
      </c>
      <c r="J1735" s="4">
        <v>41114</v>
      </c>
      <c r="K1735" s="4">
        <v>44766</v>
      </c>
      <c r="L1735">
        <f t="shared" si="27"/>
        <v>2.95</v>
      </c>
    </row>
    <row r="1736" spans="1:12" x14ac:dyDescent="0.15">
      <c r="A1736" s="1">
        <v>1735</v>
      </c>
      <c r="B1736" s="4">
        <v>41113</v>
      </c>
      <c r="C1736" s="1" t="s">
        <v>14</v>
      </c>
      <c r="D1736" s="1" t="s">
        <v>26</v>
      </c>
      <c r="E1736" s="1">
        <v>0.48936342592592591</v>
      </c>
      <c r="F1736" s="1" t="s">
        <v>13</v>
      </c>
      <c r="G1736" s="1">
        <v>3.1</v>
      </c>
      <c r="H1736" s="1">
        <v>3.15</v>
      </c>
      <c r="I1736" s="1">
        <v>0</v>
      </c>
      <c r="J1736" s="4">
        <v>41114</v>
      </c>
      <c r="K1736" s="4">
        <v>41479</v>
      </c>
      <c r="L1736">
        <f t="shared" si="27"/>
        <v>3.125</v>
      </c>
    </row>
    <row r="1737" spans="1:12" x14ac:dyDescent="0.15">
      <c r="A1737" s="1">
        <v>1736</v>
      </c>
      <c r="B1737" s="4">
        <v>41113</v>
      </c>
      <c r="C1737" s="1" t="s">
        <v>22</v>
      </c>
      <c r="D1737" s="1" t="s">
        <v>15</v>
      </c>
      <c r="E1737" s="1">
        <v>0.4904398148148148</v>
      </c>
      <c r="F1737" s="1" t="s">
        <v>13</v>
      </c>
      <c r="G1737" s="1">
        <v>3.49</v>
      </c>
      <c r="H1737" s="1">
        <v>3.55</v>
      </c>
      <c r="I1737" s="1">
        <v>0</v>
      </c>
      <c r="J1737" s="4">
        <v>41114</v>
      </c>
      <c r="K1737" s="4">
        <v>41298</v>
      </c>
      <c r="L1737">
        <f t="shared" si="27"/>
        <v>3.52</v>
      </c>
    </row>
    <row r="1738" spans="1:12" x14ac:dyDescent="0.15">
      <c r="A1738" s="1">
        <v>1737</v>
      </c>
      <c r="B1738" s="4">
        <v>41113</v>
      </c>
      <c r="C1738" s="1" t="s">
        <v>25</v>
      </c>
      <c r="D1738" s="1" t="s">
        <v>15</v>
      </c>
      <c r="E1738" s="1">
        <v>0.49046296296296293</v>
      </c>
      <c r="F1738" s="1" t="s">
        <v>13</v>
      </c>
      <c r="G1738" s="1">
        <v>2.95</v>
      </c>
      <c r="H1738" s="1">
        <v>3</v>
      </c>
      <c r="I1738" s="1">
        <v>0</v>
      </c>
      <c r="J1738" s="4">
        <v>41114</v>
      </c>
      <c r="K1738" s="4">
        <v>42940</v>
      </c>
      <c r="L1738">
        <f t="shared" si="27"/>
        <v>2.9750000000000001</v>
      </c>
    </row>
    <row r="1739" spans="1:12" x14ac:dyDescent="0.15">
      <c r="A1739" s="1">
        <v>1738</v>
      </c>
      <c r="B1739" s="4">
        <v>41113</v>
      </c>
      <c r="C1739" s="1" t="s">
        <v>20</v>
      </c>
      <c r="D1739" s="1" t="s">
        <v>15</v>
      </c>
      <c r="E1739" s="1">
        <v>0.49046296296296293</v>
      </c>
      <c r="F1739" s="1" t="s">
        <v>13</v>
      </c>
      <c r="G1739" s="1">
        <v>3.07</v>
      </c>
      <c r="H1739" s="1">
        <v>3.13</v>
      </c>
      <c r="I1739" s="1">
        <v>0</v>
      </c>
      <c r="J1739" s="4">
        <v>41114</v>
      </c>
      <c r="K1739" s="4">
        <v>44766</v>
      </c>
      <c r="L1739">
        <f t="shared" si="27"/>
        <v>3.0999999999999996</v>
      </c>
    </row>
    <row r="1740" spans="1:12" x14ac:dyDescent="0.15">
      <c r="A1740" s="1">
        <v>1739</v>
      </c>
      <c r="B1740" s="4">
        <v>41113</v>
      </c>
      <c r="C1740" s="1" t="s">
        <v>11</v>
      </c>
      <c r="D1740" s="1" t="s">
        <v>15</v>
      </c>
      <c r="E1740" s="1">
        <v>0.49046296296296293</v>
      </c>
      <c r="F1740" s="1" t="s">
        <v>13</v>
      </c>
      <c r="G1740" s="1">
        <v>2.95</v>
      </c>
      <c r="H1740" s="1">
        <v>3.01</v>
      </c>
      <c r="I1740" s="1">
        <v>0</v>
      </c>
      <c r="J1740" s="4">
        <v>41114</v>
      </c>
      <c r="K1740" s="4">
        <v>42209</v>
      </c>
      <c r="L1740">
        <f t="shared" si="27"/>
        <v>2.98</v>
      </c>
    </row>
    <row r="1741" spans="1:12" x14ac:dyDescent="0.15">
      <c r="A1741" s="1">
        <v>1740</v>
      </c>
      <c r="B1741" s="4">
        <v>41113</v>
      </c>
      <c r="C1741" s="1" t="s">
        <v>16</v>
      </c>
      <c r="D1741" s="1" t="s">
        <v>15</v>
      </c>
      <c r="E1741" s="1">
        <v>0.49046296296296293</v>
      </c>
      <c r="F1741" s="1" t="s">
        <v>13</v>
      </c>
      <c r="G1741" s="1">
        <v>2.94</v>
      </c>
      <c r="H1741" s="1">
        <v>3</v>
      </c>
      <c r="I1741" s="1">
        <v>0</v>
      </c>
      <c r="J1741" s="4">
        <v>41114</v>
      </c>
      <c r="K1741" s="4">
        <v>42575</v>
      </c>
      <c r="L1741">
        <f t="shared" si="27"/>
        <v>2.9699999999999998</v>
      </c>
    </row>
    <row r="1742" spans="1:12" x14ac:dyDescent="0.15">
      <c r="A1742" s="1">
        <v>1741</v>
      </c>
      <c r="B1742" s="4">
        <v>41113</v>
      </c>
      <c r="C1742" s="1" t="s">
        <v>18</v>
      </c>
      <c r="D1742" s="1" t="s">
        <v>15</v>
      </c>
      <c r="E1742" s="1">
        <v>0.4904513888888889</v>
      </c>
      <c r="F1742" s="1" t="s">
        <v>13</v>
      </c>
      <c r="G1742" s="1">
        <v>2.97</v>
      </c>
      <c r="H1742" s="1">
        <v>3.03</v>
      </c>
      <c r="I1742" s="1">
        <v>0</v>
      </c>
      <c r="J1742" s="4">
        <v>41114</v>
      </c>
      <c r="K1742" s="4">
        <v>41844</v>
      </c>
      <c r="L1742">
        <f t="shared" si="27"/>
        <v>3</v>
      </c>
    </row>
    <row r="1743" spans="1:12" x14ac:dyDescent="0.15">
      <c r="A1743" s="1">
        <v>1742</v>
      </c>
      <c r="B1743" s="4">
        <v>41113</v>
      </c>
      <c r="C1743" s="1" t="s">
        <v>14</v>
      </c>
      <c r="D1743" s="1" t="s">
        <v>15</v>
      </c>
      <c r="E1743" s="1">
        <v>0.4904398148148148</v>
      </c>
      <c r="F1743" s="1" t="s">
        <v>13</v>
      </c>
      <c r="G1743" s="1">
        <v>3.15</v>
      </c>
      <c r="H1743" s="1">
        <v>3.21</v>
      </c>
      <c r="I1743" s="1">
        <v>0</v>
      </c>
      <c r="J1743" s="4">
        <v>41114</v>
      </c>
      <c r="K1743" s="4">
        <v>41479</v>
      </c>
      <c r="L1743">
        <f t="shared" si="27"/>
        <v>3.1799999999999997</v>
      </c>
    </row>
    <row r="1744" spans="1:12" x14ac:dyDescent="0.15">
      <c r="A1744" s="1">
        <v>1743</v>
      </c>
      <c r="B1744" s="4">
        <v>41113</v>
      </c>
      <c r="C1744" s="1" t="s">
        <v>19</v>
      </c>
      <c r="D1744" s="1" t="s">
        <v>15</v>
      </c>
      <c r="E1744" s="1">
        <v>0.4904513888888889</v>
      </c>
      <c r="F1744" s="1" t="s">
        <v>13</v>
      </c>
      <c r="G1744" s="1">
        <v>3.28</v>
      </c>
      <c r="H1744" s="1">
        <v>3.34</v>
      </c>
      <c r="I1744" s="1">
        <v>0</v>
      </c>
      <c r="J1744" s="4">
        <v>41114</v>
      </c>
      <c r="K1744" s="4">
        <v>41388</v>
      </c>
      <c r="L1744">
        <f t="shared" si="27"/>
        <v>3.3099999999999996</v>
      </c>
    </row>
    <row r="1745" spans="1:12" x14ac:dyDescent="0.15">
      <c r="A1745" s="1">
        <v>1744</v>
      </c>
      <c r="B1745" s="4">
        <v>41113</v>
      </c>
      <c r="C1745" s="1" t="s">
        <v>21</v>
      </c>
      <c r="D1745" s="1" t="s">
        <v>15</v>
      </c>
      <c r="E1745" s="1">
        <v>0.4904513888888889</v>
      </c>
      <c r="F1745" s="1" t="s">
        <v>13</v>
      </c>
      <c r="G1745" s="1">
        <v>3.02</v>
      </c>
      <c r="H1745" s="1">
        <v>3.08</v>
      </c>
      <c r="I1745" s="1">
        <v>0</v>
      </c>
      <c r="J1745" s="4">
        <v>41114</v>
      </c>
      <c r="K1745" s="4">
        <v>43670</v>
      </c>
      <c r="L1745">
        <f t="shared" si="27"/>
        <v>3.05</v>
      </c>
    </row>
    <row r="1746" spans="1:12" x14ac:dyDescent="0.15">
      <c r="A1746" s="1">
        <v>1745</v>
      </c>
      <c r="B1746" s="4">
        <v>41113</v>
      </c>
      <c r="C1746" s="1" t="s">
        <v>16</v>
      </c>
      <c r="D1746" s="1" t="s">
        <v>27</v>
      </c>
      <c r="E1746" s="1">
        <v>0.48715277777777777</v>
      </c>
      <c r="F1746" s="1" t="s">
        <v>13</v>
      </c>
      <c r="G1746" s="1">
        <v>2.93</v>
      </c>
      <c r="H1746" s="1">
        <v>3.03</v>
      </c>
      <c r="I1746" s="1">
        <v>0</v>
      </c>
      <c r="J1746" s="4">
        <v>41114</v>
      </c>
      <c r="K1746" s="4">
        <v>42575</v>
      </c>
      <c r="L1746">
        <f t="shared" si="27"/>
        <v>2.98</v>
      </c>
    </row>
    <row r="1747" spans="1:12" x14ac:dyDescent="0.15">
      <c r="A1747" s="1">
        <v>1746</v>
      </c>
      <c r="B1747" s="4">
        <v>41113</v>
      </c>
      <c r="C1747" s="1" t="s">
        <v>19</v>
      </c>
      <c r="D1747" s="1" t="s">
        <v>27</v>
      </c>
      <c r="E1747" s="1">
        <v>0.48715277777777777</v>
      </c>
      <c r="F1747" s="1" t="s">
        <v>13</v>
      </c>
      <c r="G1747" s="1">
        <v>3.25</v>
      </c>
      <c r="H1747" s="1">
        <v>3.35</v>
      </c>
      <c r="I1747" s="1">
        <v>0</v>
      </c>
      <c r="J1747" s="4">
        <v>41114</v>
      </c>
      <c r="K1747" s="4">
        <v>41388</v>
      </c>
      <c r="L1747">
        <f t="shared" si="27"/>
        <v>3.3</v>
      </c>
    </row>
    <row r="1748" spans="1:12" x14ac:dyDescent="0.15">
      <c r="A1748" s="1">
        <v>1747</v>
      </c>
      <c r="B1748" s="4">
        <v>41113</v>
      </c>
      <c r="C1748" s="1" t="s">
        <v>19</v>
      </c>
      <c r="D1748" s="1" t="s">
        <v>30</v>
      </c>
      <c r="E1748" s="1">
        <v>0.48834490740740738</v>
      </c>
      <c r="F1748" s="1" t="s">
        <v>13</v>
      </c>
      <c r="G1748" s="1">
        <v>3.26</v>
      </c>
      <c r="H1748" s="1">
        <v>3.36</v>
      </c>
      <c r="I1748" s="1">
        <v>0</v>
      </c>
      <c r="J1748" s="4">
        <v>41114</v>
      </c>
      <c r="K1748" s="4">
        <v>41388</v>
      </c>
      <c r="L1748">
        <f t="shared" si="27"/>
        <v>3.3099999999999996</v>
      </c>
    </row>
    <row r="1749" spans="1:12" x14ac:dyDescent="0.15">
      <c r="A1749" s="1">
        <v>1748</v>
      </c>
      <c r="B1749" s="4">
        <v>41113</v>
      </c>
      <c r="C1749" s="1" t="s">
        <v>11</v>
      </c>
      <c r="D1749" s="1" t="s">
        <v>27</v>
      </c>
      <c r="E1749" s="1">
        <v>0.48716435185185186</v>
      </c>
      <c r="F1749" s="1" t="s">
        <v>13</v>
      </c>
      <c r="G1749" s="1">
        <v>2.93</v>
      </c>
      <c r="H1749" s="1">
        <v>3.03</v>
      </c>
      <c r="I1749" s="1">
        <v>0</v>
      </c>
      <c r="J1749" s="4">
        <v>41114</v>
      </c>
      <c r="K1749" s="4">
        <v>42209</v>
      </c>
      <c r="L1749">
        <f t="shared" si="27"/>
        <v>2.98</v>
      </c>
    </row>
    <row r="1750" spans="1:12" x14ac:dyDescent="0.15">
      <c r="A1750" s="1">
        <v>1749</v>
      </c>
      <c r="B1750" s="4">
        <v>41113</v>
      </c>
      <c r="C1750" s="1" t="s">
        <v>22</v>
      </c>
      <c r="D1750" s="1" t="s">
        <v>27</v>
      </c>
      <c r="E1750" s="1">
        <v>0.48715277777777777</v>
      </c>
      <c r="F1750" s="1" t="s">
        <v>13</v>
      </c>
      <c r="G1750" s="1">
        <v>3.48</v>
      </c>
      <c r="H1750" s="1">
        <v>3.54</v>
      </c>
      <c r="I1750" s="1">
        <v>0</v>
      </c>
      <c r="J1750" s="4">
        <v>41114</v>
      </c>
      <c r="K1750" s="4">
        <v>41298</v>
      </c>
      <c r="L1750">
        <f t="shared" si="27"/>
        <v>3.51</v>
      </c>
    </row>
    <row r="1751" spans="1:12" x14ac:dyDescent="0.15">
      <c r="A1751" s="1">
        <v>1750</v>
      </c>
      <c r="B1751" s="4">
        <v>41113</v>
      </c>
      <c r="C1751" s="1" t="s">
        <v>18</v>
      </c>
      <c r="D1751" s="1" t="s">
        <v>27</v>
      </c>
      <c r="E1751" s="1">
        <v>0.48715277777777777</v>
      </c>
      <c r="F1751" s="1" t="s">
        <v>13</v>
      </c>
      <c r="G1751" s="1">
        <v>2.95</v>
      </c>
      <c r="H1751" s="1">
        <v>3.05</v>
      </c>
      <c r="I1751" s="1">
        <v>0</v>
      </c>
      <c r="J1751" s="4">
        <v>41114</v>
      </c>
      <c r="K1751" s="4">
        <v>41844</v>
      </c>
      <c r="L1751">
        <f t="shared" si="27"/>
        <v>3</v>
      </c>
    </row>
    <row r="1752" spans="1:12" x14ac:dyDescent="0.15">
      <c r="A1752" s="1">
        <v>1751</v>
      </c>
      <c r="B1752" s="4">
        <v>41113</v>
      </c>
      <c r="C1752" s="1" t="s">
        <v>25</v>
      </c>
      <c r="D1752" s="1" t="s">
        <v>27</v>
      </c>
      <c r="E1752" s="1">
        <v>0.48715277777777777</v>
      </c>
      <c r="F1752" s="1" t="s">
        <v>13</v>
      </c>
      <c r="G1752" s="1">
        <v>3.16</v>
      </c>
      <c r="H1752" s="1">
        <v>3.24</v>
      </c>
      <c r="I1752" s="1">
        <v>0</v>
      </c>
      <c r="J1752" s="4">
        <v>41114</v>
      </c>
      <c r="K1752" s="4">
        <v>42940</v>
      </c>
      <c r="L1752">
        <f t="shared" si="27"/>
        <v>3.2</v>
      </c>
    </row>
    <row r="1753" spans="1:12" x14ac:dyDescent="0.15">
      <c r="A1753" s="1">
        <v>1752</v>
      </c>
      <c r="B1753" s="4">
        <v>41113</v>
      </c>
      <c r="C1753" s="1" t="s">
        <v>14</v>
      </c>
      <c r="D1753" s="1" t="s">
        <v>27</v>
      </c>
      <c r="E1753" s="1">
        <v>0.48715277777777777</v>
      </c>
      <c r="F1753" s="1" t="s">
        <v>13</v>
      </c>
      <c r="G1753" s="1">
        <v>3.16</v>
      </c>
      <c r="H1753" s="1">
        <v>3.24</v>
      </c>
      <c r="I1753" s="1">
        <v>0</v>
      </c>
      <c r="J1753" s="4">
        <v>41114</v>
      </c>
      <c r="K1753" s="4">
        <v>41479</v>
      </c>
      <c r="L1753">
        <f t="shared" si="27"/>
        <v>3.2</v>
      </c>
    </row>
    <row r="1754" spans="1:12" x14ac:dyDescent="0.15">
      <c r="A1754" s="1">
        <v>1753</v>
      </c>
      <c r="B1754" s="4">
        <v>41113</v>
      </c>
      <c r="C1754" s="1" t="s">
        <v>21</v>
      </c>
      <c r="D1754" s="1" t="s">
        <v>30</v>
      </c>
      <c r="E1754" s="1">
        <v>0.48834490740740738</v>
      </c>
      <c r="F1754" s="1" t="s">
        <v>13</v>
      </c>
      <c r="G1754" s="1">
        <v>2.99</v>
      </c>
      <c r="H1754" s="1">
        <v>3.09</v>
      </c>
      <c r="I1754" s="1">
        <v>0</v>
      </c>
      <c r="J1754" s="4">
        <v>41114</v>
      </c>
      <c r="K1754" s="4">
        <v>43670</v>
      </c>
      <c r="L1754">
        <f t="shared" si="27"/>
        <v>3.04</v>
      </c>
    </row>
    <row r="1755" spans="1:12" x14ac:dyDescent="0.15">
      <c r="A1755" s="1">
        <v>1754</v>
      </c>
      <c r="B1755" s="4">
        <v>41113</v>
      </c>
      <c r="C1755" s="1" t="s">
        <v>14</v>
      </c>
      <c r="D1755" s="1" t="s">
        <v>30</v>
      </c>
      <c r="E1755" s="1">
        <v>0.48834490740740738</v>
      </c>
      <c r="F1755" s="1" t="s">
        <v>13</v>
      </c>
      <c r="G1755" s="1">
        <v>3.13</v>
      </c>
      <c r="H1755" s="1">
        <v>3.23</v>
      </c>
      <c r="I1755" s="1">
        <v>0</v>
      </c>
      <c r="J1755" s="4">
        <v>41114</v>
      </c>
      <c r="K1755" s="4">
        <v>41479</v>
      </c>
      <c r="L1755">
        <f t="shared" si="27"/>
        <v>3.1799999999999997</v>
      </c>
    </row>
    <row r="1756" spans="1:12" x14ac:dyDescent="0.15">
      <c r="A1756" s="1">
        <v>1755</v>
      </c>
      <c r="B1756" s="4">
        <v>41113</v>
      </c>
      <c r="C1756" s="1" t="s">
        <v>18</v>
      </c>
      <c r="D1756" s="1" t="s">
        <v>30</v>
      </c>
      <c r="E1756" s="1">
        <v>0.48834490740740738</v>
      </c>
      <c r="F1756" s="1" t="s">
        <v>13</v>
      </c>
      <c r="G1756" s="1">
        <v>2.95</v>
      </c>
      <c r="H1756" s="1">
        <v>3.05</v>
      </c>
      <c r="I1756" s="1">
        <v>0</v>
      </c>
      <c r="J1756" s="4">
        <v>41114</v>
      </c>
      <c r="K1756" s="4">
        <v>41844</v>
      </c>
      <c r="L1756">
        <f t="shared" si="27"/>
        <v>3</v>
      </c>
    </row>
    <row r="1757" spans="1:12" x14ac:dyDescent="0.15">
      <c r="A1757" s="1">
        <v>1756</v>
      </c>
      <c r="B1757" s="4">
        <v>41113</v>
      </c>
      <c r="C1757" s="1" t="s">
        <v>22</v>
      </c>
      <c r="D1757" s="1" t="s">
        <v>26</v>
      </c>
      <c r="E1757" s="1">
        <v>0.48935185185185182</v>
      </c>
      <c r="F1757" s="1" t="s">
        <v>13</v>
      </c>
      <c r="G1757" s="1">
        <v>3.45</v>
      </c>
      <c r="H1757" s="1">
        <v>3.5</v>
      </c>
      <c r="I1757" s="1">
        <v>0</v>
      </c>
      <c r="J1757" s="4">
        <v>41114</v>
      </c>
      <c r="K1757" s="4">
        <v>41298</v>
      </c>
      <c r="L1757">
        <f t="shared" si="27"/>
        <v>3.4750000000000001</v>
      </c>
    </row>
    <row r="1758" spans="1:12" x14ac:dyDescent="0.15">
      <c r="A1758" s="1">
        <v>1757</v>
      </c>
      <c r="B1758" s="4">
        <v>41113</v>
      </c>
      <c r="C1758" s="1" t="s">
        <v>20</v>
      </c>
      <c r="D1758" s="1" t="s">
        <v>30</v>
      </c>
      <c r="E1758" s="1">
        <v>0.48834490740740738</v>
      </c>
      <c r="F1758" s="1" t="s">
        <v>13</v>
      </c>
      <c r="G1758" s="1">
        <v>3.04</v>
      </c>
      <c r="H1758" s="1">
        <v>3.14</v>
      </c>
      <c r="I1758" s="1">
        <v>0</v>
      </c>
      <c r="J1758" s="4">
        <v>41114</v>
      </c>
      <c r="K1758" s="4">
        <v>44766</v>
      </c>
      <c r="L1758">
        <f t="shared" si="27"/>
        <v>3.09</v>
      </c>
    </row>
    <row r="1759" spans="1:12" x14ac:dyDescent="0.15">
      <c r="A1759" s="1">
        <v>1758</v>
      </c>
      <c r="B1759" s="4">
        <v>41113</v>
      </c>
      <c r="C1759" s="1" t="s">
        <v>25</v>
      </c>
      <c r="D1759" s="1" t="s">
        <v>30</v>
      </c>
      <c r="E1759" s="1">
        <v>0.48834490740740738</v>
      </c>
      <c r="F1759" s="1" t="s">
        <v>13</v>
      </c>
      <c r="G1759" s="1">
        <v>2.93</v>
      </c>
      <c r="H1759" s="1">
        <v>3.03</v>
      </c>
      <c r="I1759" s="1">
        <v>0</v>
      </c>
      <c r="J1759" s="4">
        <v>41114</v>
      </c>
      <c r="K1759" s="4">
        <v>42940</v>
      </c>
      <c r="L1759">
        <f t="shared" si="27"/>
        <v>2.98</v>
      </c>
    </row>
    <row r="1760" spans="1:12" x14ac:dyDescent="0.15">
      <c r="A1760" s="1">
        <v>1759</v>
      </c>
      <c r="B1760" s="4">
        <v>41113</v>
      </c>
      <c r="C1760" s="1" t="s">
        <v>22</v>
      </c>
      <c r="D1760" s="1" t="s">
        <v>30</v>
      </c>
      <c r="E1760" s="1">
        <v>0.48834490740740738</v>
      </c>
      <c r="F1760" s="1" t="s">
        <v>13</v>
      </c>
      <c r="G1760" s="1">
        <v>3.47</v>
      </c>
      <c r="H1760" s="1">
        <v>3.57</v>
      </c>
      <c r="I1760" s="1">
        <v>0</v>
      </c>
      <c r="J1760" s="4">
        <v>41114</v>
      </c>
      <c r="K1760" s="4">
        <v>41298</v>
      </c>
      <c r="L1760">
        <f t="shared" si="27"/>
        <v>3.52</v>
      </c>
    </row>
    <row r="1761" spans="1:12" x14ac:dyDescent="0.15">
      <c r="A1761" s="1">
        <v>1760</v>
      </c>
      <c r="B1761" s="4">
        <v>41113</v>
      </c>
      <c r="C1761" s="1" t="s">
        <v>11</v>
      </c>
      <c r="D1761" s="1" t="s">
        <v>30</v>
      </c>
      <c r="E1761" s="1">
        <v>0.48834490740740738</v>
      </c>
      <c r="F1761" s="1" t="s">
        <v>13</v>
      </c>
      <c r="G1761" s="1">
        <v>2.93</v>
      </c>
      <c r="H1761" s="1">
        <v>3.03</v>
      </c>
      <c r="I1761" s="1">
        <v>0</v>
      </c>
      <c r="J1761" s="4">
        <v>41114</v>
      </c>
      <c r="K1761" s="4">
        <v>42209</v>
      </c>
      <c r="L1761">
        <f t="shared" si="27"/>
        <v>2.98</v>
      </c>
    </row>
    <row r="1762" spans="1:12" x14ac:dyDescent="0.15">
      <c r="A1762" s="1">
        <v>1761</v>
      </c>
      <c r="B1762" s="4">
        <v>41113</v>
      </c>
      <c r="C1762" s="1" t="s">
        <v>16</v>
      </c>
      <c r="D1762" s="1" t="s">
        <v>30</v>
      </c>
      <c r="E1762" s="1">
        <v>0.48834490740740738</v>
      </c>
      <c r="F1762" s="1" t="s">
        <v>13</v>
      </c>
      <c r="G1762" s="1">
        <v>2.93</v>
      </c>
      <c r="H1762" s="1">
        <v>3.03</v>
      </c>
      <c r="I1762" s="1">
        <v>0</v>
      </c>
      <c r="J1762" s="4">
        <v>41114</v>
      </c>
      <c r="K1762" s="4">
        <v>42575</v>
      </c>
      <c r="L1762">
        <f t="shared" si="27"/>
        <v>2.98</v>
      </c>
    </row>
    <row r="1763" spans="1:12" x14ac:dyDescent="0.15">
      <c r="A1763" s="1">
        <v>1762</v>
      </c>
      <c r="B1763" s="4">
        <v>41113</v>
      </c>
      <c r="C1763" s="1" t="s">
        <v>18</v>
      </c>
      <c r="D1763" s="1" t="s">
        <v>26</v>
      </c>
      <c r="E1763" s="1">
        <v>0.67759259259259252</v>
      </c>
      <c r="F1763" s="1" t="s">
        <v>13</v>
      </c>
      <c r="G1763" s="1">
        <v>2.93</v>
      </c>
      <c r="H1763" s="1">
        <v>3.02</v>
      </c>
      <c r="I1763" s="1">
        <v>0</v>
      </c>
      <c r="J1763" s="4">
        <v>41114</v>
      </c>
      <c r="K1763" s="4">
        <v>41844</v>
      </c>
      <c r="L1763">
        <f t="shared" si="27"/>
        <v>2.9750000000000001</v>
      </c>
    </row>
    <row r="1764" spans="1:12" x14ac:dyDescent="0.15">
      <c r="A1764" s="1">
        <v>1763</v>
      </c>
      <c r="B1764" s="4">
        <v>41113</v>
      </c>
      <c r="C1764" s="1" t="s">
        <v>20</v>
      </c>
      <c r="D1764" s="1" t="s">
        <v>26</v>
      </c>
      <c r="E1764" s="1">
        <v>0.67759259259259252</v>
      </c>
      <c r="F1764" s="1" t="s">
        <v>13</v>
      </c>
      <c r="G1764" s="1">
        <v>2.9</v>
      </c>
      <c r="H1764" s="1">
        <v>3</v>
      </c>
      <c r="I1764" s="1">
        <v>0</v>
      </c>
      <c r="J1764" s="4">
        <v>41114</v>
      </c>
      <c r="K1764" s="4">
        <v>44766</v>
      </c>
      <c r="L1764">
        <f t="shared" si="27"/>
        <v>2.95</v>
      </c>
    </row>
    <row r="1765" spans="1:12" x14ac:dyDescent="0.15">
      <c r="A1765" s="1">
        <v>1764</v>
      </c>
      <c r="B1765" s="4">
        <v>41113</v>
      </c>
      <c r="C1765" s="1" t="s">
        <v>19</v>
      </c>
      <c r="D1765" s="1" t="s">
        <v>26</v>
      </c>
      <c r="E1765" s="1">
        <v>0.67759259259259252</v>
      </c>
      <c r="F1765" s="1" t="s">
        <v>13</v>
      </c>
      <c r="G1765" s="1">
        <v>3.2</v>
      </c>
      <c r="H1765" s="1">
        <v>3.28</v>
      </c>
      <c r="I1765" s="1">
        <v>0</v>
      </c>
      <c r="J1765" s="4">
        <v>41114</v>
      </c>
      <c r="K1765" s="4">
        <v>41388</v>
      </c>
      <c r="L1765">
        <f t="shared" si="27"/>
        <v>3.24</v>
      </c>
    </row>
    <row r="1766" spans="1:12" x14ac:dyDescent="0.15">
      <c r="A1766" s="1">
        <v>1765</v>
      </c>
      <c r="B1766" s="4">
        <v>41113</v>
      </c>
      <c r="C1766" s="1" t="s">
        <v>21</v>
      </c>
      <c r="D1766" s="1" t="s">
        <v>26</v>
      </c>
      <c r="E1766" s="1">
        <v>0.67759259259259252</v>
      </c>
      <c r="F1766" s="1" t="s">
        <v>13</v>
      </c>
      <c r="G1766" s="1">
        <v>2.9</v>
      </c>
      <c r="H1766" s="1">
        <v>3</v>
      </c>
      <c r="I1766" s="1">
        <v>0</v>
      </c>
      <c r="J1766" s="4">
        <v>41114</v>
      </c>
      <c r="K1766" s="4">
        <v>43670</v>
      </c>
      <c r="L1766">
        <f t="shared" si="27"/>
        <v>2.95</v>
      </c>
    </row>
    <row r="1767" spans="1:12" x14ac:dyDescent="0.15">
      <c r="A1767" s="1">
        <v>1766</v>
      </c>
      <c r="B1767" s="4">
        <v>41113</v>
      </c>
      <c r="C1767" s="1" t="s">
        <v>16</v>
      </c>
      <c r="D1767" s="1" t="s">
        <v>26</v>
      </c>
      <c r="E1767" s="1">
        <v>0.67759259259259252</v>
      </c>
      <c r="F1767" s="1" t="s">
        <v>13</v>
      </c>
      <c r="G1767" s="1">
        <v>2.9</v>
      </c>
      <c r="H1767" s="1">
        <v>3</v>
      </c>
      <c r="I1767" s="1">
        <v>0</v>
      </c>
      <c r="J1767" s="4">
        <v>41114</v>
      </c>
      <c r="K1767" s="4">
        <v>42575</v>
      </c>
      <c r="L1767">
        <f t="shared" si="27"/>
        <v>2.95</v>
      </c>
    </row>
    <row r="1768" spans="1:12" x14ac:dyDescent="0.15">
      <c r="A1768" s="1">
        <v>1767</v>
      </c>
      <c r="B1768" s="4">
        <v>41113</v>
      </c>
      <c r="C1768" s="1" t="s">
        <v>25</v>
      </c>
      <c r="D1768" s="1" t="s">
        <v>26</v>
      </c>
      <c r="E1768" s="1">
        <v>0.67759259259259252</v>
      </c>
      <c r="F1768" s="1" t="s">
        <v>13</v>
      </c>
      <c r="G1768" s="1">
        <v>2.9</v>
      </c>
      <c r="H1768" s="1">
        <v>3</v>
      </c>
      <c r="I1768" s="1">
        <v>0</v>
      </c>
      <c r="J1768" s="4">
        <v>41114</v>
      </c>
      <c r="K1768" s="4">
        <v>42940</v>
      </c>
      <c r="L1768">
        <f t="shared" si="27"/>
        <v>2.95</v>
      </c>
    </row>
    <row r="1769" spans="1:12" x14ac:dyDescent="0.15">
      <c r="A1769" s="1">
        <v>1768</v>
      </c>
      <c r="B1769" s="4">
        <v>41113</v>
      </c>
      <c r="C1769" s="1" t="s">
        <v>14</v>
      </c>
      <c r="D1769" s="1" t="s">
        <v>26</v>
      </c>
      <c r="E1769" s="1">
        <v>0.67759259259259252</v>
      </c>
      <c r="F1769" s="1" t="s">
        <v>13</v>
      </c>
      <c r="G1769" s="1">
        <v>3.1</v>
      </c>
      <c r="H1769" s="1">
        <v>3.15</v>
      </c>
      <c r="I1769" s="1">
        <v>0</v>
      </c>
      <c r="J1769" s="4">
        <v>41114</v>
      </c>
      <c r="K1769" s="4">
        <v>41479</v>
      </c>
      <c r="L1769">
        <f t="shared" si="27"/>
        <v>3.125</v>
      </c>
    </row>
    <row r="1770" spans="1:12" x14ac:dyDescent="0.15">
      <c r="A1770" s="1">
        <v>1769</v>
      </c>
      <c r="B1770" s="4">
        <v>41113</v>
      </c>
      <c r="C1770" s="1" t="s">
        <v>11</v>
      </c>
      <c r="D1770" s="1" t="s">
        <v>26</v>
      </c>
      <c r="E1770" s="1">
        <v>0.67759259259259252</v>
      </c>
      <c r="F1770" s="1" t="s">
        <v>13</v>
      </c>
      <c r="G1770" s="1">
        <v>2.9</v>
      </c>
      <c r="H1770" s="1">
        <v>3</v>
      </c>
      <c r="I1770" s="1">
        <v>0</v>
      </c>
      <c r="J1770" s="4">
        <v>41114</v>
      </c>
      <c r="K1770" s="4">
        <v>42209</v>
      </c>
      <c r="L1770">
        <f t="shared" si="27"/>
        <v>2.95</v>
      </c>
    </row>
    <row r="1771" spans="1:12" x14ac:dyDescent="0.15">
      <c r="A1771" s="1">
        <v>1770</v>
      </c>
      <c r="B1771" s="4">
        <v>41113</v>
      </c>
      <c r="C1771" s="1" t="s">
        <v>22</v>
      </c>
      <c r="D1771" s="1" t="s">
        <v>15</v>
      </c>
      <c r="E1771" s="1">
        <v>0.68584490740740733</v>
      </c>
      <c r="F1771" s="1" t="s">
        <v>13</v>
      </c>
      <c r="G1771" s="1">
        <v>3.47</v>
      </c>
      <c r="H1771" s="1">
        <v>3.53</v>
      </c>
      <c r="I1771" s="1">
        <v>0</v>
      </c>
      <c r="J1771" s="4">
        <v>41114</v>
      </c>
      <c r="K1771" s="4">
        <v>41298</v>
      </c>
      <c r="L1771">
        <f t="shared" si="27"/>
        <v>3.5</v>
      </c>
    </row>
    <row r="1772" spans="1:12" x14ac:dyDescent="0.15">
      <c r="A1772" s="1">
        <v>1771</v>
      </c>
      <c r="B1772" s="4">
        <v>41113</v>
      </c>
      <c r="C1772" s="1" t="s">
        <v>25</v>
      </c>
      <c r="D1772" s="1" t="s">
        <v>15</v>
      </c>
      <c r="E1772" s="1">
        <v>0.68586805555555552</v>
      </c>
      <c r="F1772" s="1" t="s">
        <v>13</v>
      </c>
      <c r="G1772" s="1">
        <v>2.85</v>
      </c>
      <c r="H1772" s="1">
        <v>2.91</v>
      </c>
      <c r="I1772" s="1">
        <v>0</v>
      </c>
      <c r="J1772" s="4">
        <v>41114</v>
      </c>
      <c r="K1772" s="4">
        <v>42940</v>
      </c>
      <c r="L1772">
        <f t="shared" si="27"/>
        <v>2.88</v>
      </c>
    </row>
    <row r="1773" spans="1:12" x14ac:dyDescent="0.15">
      <c r="A1773" s="1">
        <v>1772</v>
      </c>
      <c r="B1773" s="4">
        <v>41113</v>
      </c>
      <c r="C1773" s="1" t="s">
        <v>18</v>
      </c>
      <c r="D1773" s="1" t="s">
        <v>15</v>
      </c>
      <c r="E1773" s="1">
        <v>0.68585648148148148</v>
      </c>
      <c r="F1773" s="1" t="s">
        <v>13</v>
      </c>
      <c r="G1773" s="1">
        <v>2.96</v>
      </c>
      <c r="H1773" s="1">
        <v>3.02</v>
      </c>
      <c r="I1773" s="1">
        <v>0</v>
      </c>
      <c r="J1773" s="4">
        <v>41114</v>
      </c>
      <c r="K1773" s="4">
        <v>41844</v>
      </c>
      <c r="L1773">
        <f t="shared" si="27"/>
        <v>2.99</v>
      </c>
    </row>
    <row r="1774" spans="1:12" x14ac:dyDescent="0.15">
      <c r="A1774" s="1">
        <v>1773</v>
      </c>
      <c r="B1774" s="4">
        <v>41113</v>
      </c>
      <c r="C1774" s="1" t="s">
        <v>11</v>
      </c>
      <c r="D1774" s="1" t="s">
        <v>15</v>
      </c>
      <c r="E1774" s="1">
        <v>0.68586805555555552</v>
      </c>
      <c r="F1774" s="1" t="s">
        <v>13</v>
      </c>
      <c r="G1774" s="1">
        <v>2.94</v>
      </c>
      <c r="H1774" s="1">
        <v>3</v>
      </c>
      <c r="I1774" s="1">
        <v>0</v>
      </c>
      <c r="J1774" s="4">
        <v>41114</v>
      </c>
      <c r="K1774" s="4">
        <v>42209</v>
      </c>
      <c r="L1774">
        <f t="shared" si="27"/>
        <v>2.9699999999999998</v>
      </c>
    </row>
    <row r="1775" spans="1:12" x14ac:dyDescent="0.15">
      <c r="A1775" s="1">
        <v>1774</v>
      </c>
      <c r="B1775" s="4">
        <v>41113</v>
      </c>
      <c r="C1775" s="1" t="s">
        <v>16</v>
      </c>
      <c r="D1775" s="1" t="s">
        <v>15</v>
      </c>
      <c r="E1775" s="1">
        <v>0.68586805555555552</v>
      </c>
      <c r="F1775" s="1" t="s">
        <v>13</v>
      </c>
      <c r="G1775" s="1">
        <v>2.94</v>
      </c>
      <c r="H1775" s="1">
        <v>3</v>
      </c>
      <c r="I1775" s="1">
        <v>0</v>
      </c>
      <c r="J1775" s="4">
        <v>41114</v>
      </c>
      <c r="K1775" s="4">
        <v>42575</v>
      </c>
      <c r="L1775">
        <f t="shared" si="27"/>
        <v>2.9699999999999998</v>
      </c>
    </row>
    <row r="1776" spans="1:12" x14ac:dyDescent="0.15">
      <c r="A1776" s="1">
        <v>1775</v>
      </c>
      <c r="B1776" s="4">
        <v>41113</v>
      </c>
      <c r="C1776" s="1" t="s">
        <v>19</v>
      </c>
      <c r="D1776" s="1" t="s">
        <v>15</v>
      </c>
      <c r="E1776" s="1">
        <v>0.68585648148148148</v>
      </c>
      <c r="F1776" s="1" t="s">
        <v>13</v>
      </c>
      <c r="G1776" s="1">
        <v>3.26</v>
      </c>
      <c r="H1776" s="1">
        <v>3.32</v>
      </c>
      <c r="I1776" s="1">
        <v>0</v>
      </c>
      <c r="J1776" s="4">
        <v>41114</v>
      </c>
      <c r="K1776" s="4">
        <v>41388</v>
      </c>
      <c r="L1776">
        <f t="shared" si="27"/>
        <v>3.29</v>
      </c>
    </row>
    <row r="1777" spans="1:12" x14ac:dyDescent="0.15">
      <c r="A1777" s="1">
        <v>1776</v>
      </c>
      <c r="B1777" s="4">
        <v>41113</v>
      </c>
      <c r="C1777" s="1" t="s">
        <v>21</v>
      </c>
      <c r="D1777" s="1" t="s">
        <v>15</v>
      </c>
      <c r="E1777" s="1">
        <v>0.68585648148148148</v>
      </c>
      <c r="F1777" s="1" t="s">
        <v>13</v>
      </c>
      <c r="G1777" s="1">
        <v>3.02</v>
      </c>
      <c r="H1777" s="1">
        <v>3.08</v>
      </c>
      <c r="I1777" s="1">
        <v>0</v>
      </c>
      <c r="J1777" s="4">
        <v>41114</v>
      </c>
      <c r="K1777" s="4">
        <v>43670</v>
      </c>
      <c r="L1777">
        <f t="shared" si="27"/>
        <v>3.05</v>
      </c>
    </row>
    <row r="1778" spans="1:12" x14ac:dyDescent="0.15">
      <c r="A1778" s="1">
        <v>1777</v>
      </c>
      <c r="B1778" s="4">
        <v>41113</v>
      </c>
      <c r="C1778" s="1" t="s">
        <v>14</v>
      </c>
      <c r="D1778" s="1" t="s">
        <v>15</v>
      </c>
      <c r="E1778" s="1">
        <v>0.68585648148148148</v>
      </c>
      <c r="F1778" s="1" t="s">
        <v>13</v>
      </c>
      <c r="G1778" s="1">
        <v>3.14</v>
      </c>
      <c r="H1778" s="1">
        <v>3.2</v>
      </c>
      <c r="I1778" s="1">
        <v>0</v>
      </c>
      <c r="J1778" s="4">
        <v>41114</v>
      </c>
      <c r="K1778" s="4">
        <v>41479</v>
      </c>
      <c r="L1778">
        <f t="shared" si="27"/>
        <v>3.17</v>
      </c>
    </row>
    <row r="1779" spans="1:12" x14ac:dyDescent="0.15">
      <c r="A1779" s="1">
        <v>1778</v>
      </c>
      <c r="B1779" s="4">
        <v>41113</v>
      </c>
      <c r="C1779" s="1" t="s">
        <v>20</v>
      </c>
      <c r="D1779" s="1" t="s">
        <v>15</v>
      </c>
      <c r="E1779" s="1">
        <v>0.68585648148148148</v>
      </c>
      <c r="F1779" s="1" t="s">
        <v>13</v>
      </c>
      <c r="G1779" s="1">
        <v>3.07</v>
      </c>
      <c r="H1779" s="1">
        <v>3.13</v>
      </c>
      <c r="I1779" s="1">
        <v>0</v>
      </c>
      <c r="J1779" s="4">
        <v>41114</v>
      </c>
      <c r="K1779" s="4">
        <v>44766</v>
      </c>
      <c r="L1779">
        <f t="shared" si="27"/>
        <v>3.0999999999999996</v>
      </c>
    </row>
    <row r="1780" spans="1:12" x14ac:dyDescent="0.15">
      <c r="A1780" s="1">
        <v>1779</v>
      </c>
      <c r="B1780" s="4">
        <v>41113</v>
      </c>
      <c r="C1780" s="1" t="s">
        <v>16</v>
      </c>
      <c r="D1780" s="1" t="s">
        <v>26</v>
      </c>
      <c r="E1780" s="1">
        <v>0.67363425925925924</v>
      </c>
      <c r="F1780" s="1" t="s">
        <v>13</v>
      </c>
      <c r="G1780" s="1">
        <v>2.9</v>
      </c>
      <c r="H1780" s="1">
        <v>3</v>
      </c>
      <c r="I1780" s="1">
        <v>0</v>
      </c>
      <c r="J1780" s="4">
        <v>41114</v>
      </c>
      <c r="K1780" s="4">
        <v>42575</v>
      </c>
      <c r="L1780">
        <f t="shared" si="27"/>
        <v>2.95</v>
      </c>
    </row>
    <row r="1781" spans="1:12" x14ac:dyDescent="0.15">
      <c r="A1781" s="1">
        <v>1780</v>
      </c>
      <c r="B1781" s="4">
        <v>41113</v>
      </c>
      <c r="C1781" s="1" t="s">
        <v>25</v>
      </c>
      <c r="D1781" s="1" t="s">
        <v>26</v>
      </c>
      <c r="E1781" s="1">
        <v>0.67363425925925924</v>
      </c>
      <c r="F1781" s="1" t="s">
        <v>13</v>
      </c>
      <c r="G1781" s="1">
        <v>2.9</v>
      </c>
      <c r="H1781" s="1">
        <v>3</v>
      </c>
      <c r="I1781" s="1">
        <v>0</v>
      </c>
      <c r="J1781" s="4">
        <v>41114</v>
      </c>
      <c r="K1781" s="4">
        <v>42940</v>
      </c>
      <c r="L1781">
        <f t="shared" si="27"/>
        <v>2.95</v>
      </c>
    </row>
    <row r="1782" spans="1:12" x14ac:dyDescent="0.15">
      <c r="A1782" s="1">
        <v>1781</v>
      </c>
      <c r="B1782" s="4">
        <v>41113</v>
      </c>
      <c r="C1782" s="1" t="s">
        <v>21</v>
      </c>
      <c r="D1782" s="1" t="s">
        <v>26</v>
      </c>
      <c r="E1782" s="1">
        <v>0.67363425925925924</v>
      </c>
      <c r="F1782" s="1" t="s">
        <v>13</v>
      </c>
      <c r="G1782" s="1">
        <v>2.9</v>
      </c>
      <c r="H1782" s="1">
        <v>3</v>
      </c>
      <c r="I1782" s="1">
        <v>0</v>
      </c>
      <c r="J1782" s="4">
        <v>41114</v>
      </c>
      <c r="K1782" s="4">
        <v>43670</v>
      </c>
      <c r="L1782">
        <f t="shared" si="27"/>
        <v>2.95</v>
      </c>
    </row>
    <row r="1783" spans="1:12" x14ac:dyDescent="0.15">
      <c r="A1783" s="1">
        <v>1782</v>
      </c>
      <c r="B1783" s="4">
        <v>41113</v>
      </c>
      <c r="C1783" s="1" t="s">
        <v>11</v>
      </c>
      <c r="D1783" s="1" t="s">
        <v>26</v>
      </c>
      <c r="E1783" s="1">
        <v>0.67363425925925924</v>
      </c>
      <c r="F1783" s="1" t="s">
        <v>13</v>
      </c>
      <c r="G1783" s="1">
        <v>2.9</v>
      </c>
      <c r="H1783" s="1">
        <v>3</v>
      </c>
      <c r="I1783" s="1">
        <v>0</v>
      </c>
      <c r="J1783" s="4">
        <v>41114</v>
      </c>
      <c r="K1783" s="4">
        <v>42209</v>
      </c>
      <c r="L1783">
        <f t="shared" si="27"/>
        <v>2.95</v>
      </c>
    </row>
    <row r="1784" spans="1:12" x14ac:dyDescent="0.15">
      <c r="A1784" s="1">
        <v>1783</v>
      </c>
      <c r="B1784" s="4">
        <v>41113</v>
      </c>
      <c r="C1784" s="1" t="s">
        <v>14</v>
      </c>
      <c r="D1784" s="1" t="s">
        <v>26</v>
      </c>
      <c r="E1784" s="1">
        <v>0.67362268518518509</v>
      </c>
      <c r="F1784" s="1" t="s">
        <v>13</v>
      </c>
      <c r="G1784" s="1">
        <v>3.1</v>
      </c>
      <c r="H1784" s="1">
        <v>3.15</v>
      </c>
      <c r="I1784" s="1">
        <v>0</v>
      </c>
      <c r="J1784" s="4">
        <v>41114</v>
      </c>
      <c r="K1784" s="4">
        <v>41479</v>
      </c>
      <c r="L1784">
        <f t="shared" si="27"/>
        <v>3.125</v>
      </c>
    </row>
    <row r="1785" spans="1:12" x14ac:dyDescent="0.15">
      <c r="A1785" s="1">
        <v>1784</v>
      </c>
      <c r="B1785" s="4">
        <v>41113</v>
      </c>
      <c r="C1785" s="1" t="s">
        <v>22</v>
      </c>
      <c r="D1785" s="1" t="s">
        <v>26</v>
      </c>
      <c r="E1785" s="1">
        <v>0.67362268518518509</v>
      </c>
      <c r="F1785" s="1" t="s">
        <v>13</v>
      </c>
      <c r="G1785" s="1">
        <v>3.45</v>
      </c>
      <c r="H1785" s="1">
        <v>3.5</v>
      </c>
      <c r="I1785" s="1">
        <v>0</v>
      </c>
      <c r="J1785" s="4">
        <v>41114</v>
      </c>
      <c r="K1785" s="4">
        <v>41298</v>
      </c>
      <c r="L1785">
        <f t="shared" si="27"/>
        <v>3.4750000000000001</v>
      </c>
    </row>
    <row r="1786" spans="1:12" x14ac:dyDescent="0.15">
      <c r="A1786" s="1">
        <v>1785</v>
      </c>
      <c r="B1786" s="4">
        <v>41113</v>
      </c>
      <c r="C1786" s="1" t="s">
        <v>18</v>
      </c>
      <c r="D1786" s="1" t="s">
        <v>26</v>
      </c>
      <c r="E1786" s="1">
        <v>0.67362268518518509</v>
      </c>
      <c r="F1786" s="1" t="s">
        <v>13</v>
      </c>
      <c r="G1786" s="1">
        <v>2.93</v>
      </c>
      <c r="H1786" s="1">
        <v>3.02</v>
      </c>
      <c r="I1786" s="1">
        <v>0</v>
      </c>
      <c r="J1786" s="4">
        <v>41114</v>
      </c>
      <c r="K1786" s="4">
        <v>41844</v>
      </c>
      <c r="L1786">
        <f t="shared" si="27"/>
        <v>2.9750000000000001</v>
      </c>
    </row>
    <row r="1787" spans="1:12" x14ac:dyDescent="0.15">
      <c r="A1787" s="1">
        <v>1786</v>
      </c>
      <c r="B1787" s="4">
        <v>41113</v>
      </c>
      <c r="C1787" s="1" t="s">
        <v>20</v>
      </c>
      <c r="D1787" s="1" t="s">
        <v>26</v>
      </c>
      <c r="E1787" s="1">
        <v>0.67362268518518509</v>
      </c>
      <c r="F1787" s="1" t="s">
        <v>13</v>
      </c>
      <c r="G1787" s="1">
        <v>2.9</v>
      </c>
      <c r="H1787" s="1">
        <v>3</v>
      </c>
      <c r="I1787" s="1">
        <v>0</v>
      </c>
      <c r="J1787" s="4">
        <v>41114</v>
      </c>
      <c r="K1787" s="4">
        <v>44766</v>
      </c>
      <c r="L1787">
        <f t="shared" si="27"/>
        <v>2.95</v>
      </c>
    </row>
    <row r="1788" spans="1:12" x14ac:dyDescent="0.15">
      <c r="A1788" s="1">
        <v>1787</v>
      </c>
      <c r="B1788" s="4">
        <v>41113</v>
      </c>
      <c r="C1788" s="1" t="s">
        <v>19</v>
      </c>
      <c r="D1788" s="1" t="s">
        <v>26</v>
      </c>
      <c r="E1788" s="1">
        <v>0.67363425925925924</v>
      </c>
      <c r="F1788" s="1" t="s">
        <v>13</v>
      </c>
      <c r="G1788" s="1">
        <v>3.2</v>
      </c>
      <c r="H1788" s="1">
        <v>3.28</v>
      </c>
      <c r="I1788" s="1">
        <v>0</v>
      </c>
      <c r="J1788" s="4">
        <v>41114</v>
      </c>
      <c r="K1788" s="4">
        <v>41388</v>
      </c>
      <c r="L1788">
        <f t="shared" si="27"/>
        <v>3.24</v>
      </c>
    </row>
    <row r="1789" spans="1:12" x14ac:dyDescent="0.15">
      <c r="A1789" s="1">
        <v>1788</v>
      </c>
      <c r="B1789" s="4">
        <v>41113</v>
      </c>
      <c r="C1789" s="1" t="s">
        <v>22</v>
      </c>
      <c r="D1789" s="1" t="s">
        <v>27</v>
      </c>
      <c r="E1789" s="1">
        <v>0.6756712962962963</v>
      </c>
      <c r="F1789" s="1" t="s">
        <v>13</v>
      </c>
      <c r="G1789" s="1">
        <v>3.47</v>
      </c>
      <c r="H1789" s="1">
        <v>3.57</v>
      </c>
      <c r="I1789" s="1">
        <v>0</v>
      </c>
      <c r="J1789" s="4">
        <v>41114</v>
      </c>
      <c r="K1789" s="4">
        <v>41298</v>
      </c>
      <c r="L1789">
        <f t="shared" si="27"/>
        <v>3.52</v>
      </c>
    </row>
    <row r="1790" spans="1:12" x14ac:dyDescent="0.15">
      <c r="A1790" s="1">
        <v>1789</v>
      </c>
      <c r="B1790" s="4">
        <v>41113</v>
      </c>
      <c r="C1790" s="1" t="s">
        <v>18</v>
      </c>
      <c r="D1790" s="1" t="s">
        <v>27</v>
      </c>
      <c r="E1790" s="1">
        <v>0.6756712962962963</v>
      </c>
      <c r="F1790" s="1" t="s">
        <v>13</v>
      </c>
      <c r="G1790" s="1">
        <v>2.98</v>
      </c>
      <c r="H1790" s="1">
        <v>3.03</v>
      </c>
      <c r="I1790" s="1">
        <v>0</v>
      </c>
      <c r="J1790" s="4">
        <v>41114</v>
      </c>
      <c r="K1790" s="4">
        <v>41844</v>
      </c>
      <c r="L1790">
        <f t="shared" si="27"/>
        <v>3.0049999999999999</v>
      </c>
    </row>
    <row r="1791" spans="1:12" x14ac:dyDescent="0.15">
      <c r="A1791" s="1">
        <v>1790</v>
      </c>
      <c r="B1791" s="4">
        <v>41113</v>
      </c>
      <c r="C1791" s="1" t="s">
        <v>22</v>
      </c>
      <c r="D1791" s="1" t="s">
        <v>26</v>
      </c>
      <c r="E1791" s="1">
        <v>0.6775810185185186</v>
      </c>
      <c r="F1791" s="1" t="s">
        <v>13</v>
      </c>
      <c r="G1791" s="1">
        <v>3.45</v>
      </c>
      <c r="H1791" s="1">
        <v>3.5</v>
      </c>
      <c r="I1791" s="1">
        <v>0</v>
      </c>
      <c r="J1791" s="4">
        <v>41114</v>
      </c>
      <c r="K1791" s="4">
        <v>41298</v>
      </c>
      <c r="L1791">
        <f t="shared" si="27"/>
        <v>3.4750000000000001</v>
      </c>
    </row>
    <row r="1792" spans="1:12" x14ac:dyDescent="0.15">
      <c r="A1792" s="1">
        <v>1791</v>
      </c>
      <c r="B1792" s="4">
        <v>41113</v>
      </c>
      <c r="C1792" s="1" t="s">
        <v>11</v>
      </c>
      <c r="D1792" s="1" t="s">
        <v>27</v>
      </c>
      <c r="E1792" s="1">
        <v>0.6756712962962963</v>
      </c>
      <c r="F1792" s="1" t="s">
        <v>13</v>
      </c>
      <c r="G1792" s="1">
        <v>2.91</v>
      </c>
      <c r="H1792" s="1">
        <v>3.01</v>
      </c>
      <c r="I1792" s="1">
        <v>0</v>
      </c>
      <c r="J1792" s="4">
        <v>41114</v>
      </c>
      <c r="K1792" s="4">
        <v>42209</v>
      </c>
      <c r="L1792">
        <f t="shared" si="27"/>
        <v>2.96</v>
      </c>
    </row>
    <row r="1793" spans="1:12" x14ac:dyDescent="0.15">
      <c r="A1793" s="1">
        <v>1792</v>
      </c>
      <c r="B1793" s="4">
        <v>41113</v>
      </c>
      <c r="C1793" s="1" t="s">
        <v>25</v>
      </c>
      <c r="D1793" s="1" t="s">
        <v>27</v>
      </c>
      <c r="E1793" s="1">
        <v>0.67565972222222215</v>
      </c>
      <c r="F1793" s="1" t="s">
        <v>13</v>
      </c>
      <c r="G1793" s="1">
        <v>2.93</v>
      </c>
      <c r="H1793" s="1">
        <v>3.03</v>
      </c>
      <c r="I1793" s="1">
        <v>0</v>
      </c>
      <c r="J1793" s="4">
        <v>41114</v>
      </c>
      <c r="K1793" s="4">
        <v>42940</v>
      </c>
      <c r="L1793">
        <f t="shared" si="27"/>
        <v>2.98</v>
      </c>
    </row>
    <row r="1794" spans="1:12" x14ac:dyDescent="0.15">
      <c r="A1794" s="1">
        <v>1793</v>
      </c>
      <c r="B1794" s="4">
        <v>41113</v>
      </c>
      <c r="C1794" s="1" t="s">
        <v>14</v>
      </c>
      <c r="D1794" s="1" t="s">
        <v>27</v>
      </c>
      <c r="E1794" s="1">
        <v>0.67565972222222215</v>
      </c>
      <c r="F1794" s="1" t="s">
        <v>13</v>
      </c>
      <c r="G1794" s="1">
        <v>3.13</v>
      </c>
      <c r="H1794" s="1">
        <v>3.23</v>
      </c>
      <c r="I1794" s="1">
        <v>0</v>
      </c>
      <c r="J1794" s="4">
        <v>41114</v>
      </c>
      <c r="K1794" s="4">
        <v>41479</v>
      </c>
      <c r="L1794">
        <f t="shared" si="27"/>
        <v>3.1799999999999997</v>
      </c>
    </row>
    <row r="1795" spans="1:12" x14ac:dyDescent="0.15">
      <c r="A1795" s="1">
        <v>1794</v>
      </c>
      <c r="B1795" s="4">
        <v>41113</v>
      </c>
      <c r="C1795" s="1" t="s">
        <v>16</v>
      </c>
      <c r="D1795" s="1" t="s">
        <v>27</v>
      </c>
      <c r="E1795" s="1">
        <v>0.67565972222222215</v>
      </c>
      <c r="F1795" s="1" t="s">
        <v>13</v>
      </c>
      <c r="G1795" s="1">
        <v>2.91</v>
      </c>
      <c r="H1795" s="1">
        <v>3.01</v>
      </c>
      <c r="I1795" s="1">
        <v>0</v>
      </c>
      <c r="J1795" s="4">
        <v>41114</v>
      </c>
      <c r="K1795" s="4">
        <v>42575</v>
      </c>
      <c r="L1795">
        <f t="shared" ref="L1795:L1858" si="28">AVERAGE(G1795:H1795)</f>
        <v>2.96</v>
      </c>
    </row>
    <row r="1796" spans="1:12" x14ac:dyDescent="0.15">
      <c r="A1796" s="1">
        <v>1795</v>
      </c>
      <c r="B1796" s="4">
        <v>41113</v>
      </c>
      <c r="C1796" s="1" t="s">
        <v>19</v>
      </c>
      <c r="D1796" s="1" t="s">
        <v>27</v>
      </c>
      <c r="E1796" s="1">
        <v>0.67565972222222215</v>
      </c>
      <c r="F1796" s="1" t="s">
        <v>13</v>
      </c>
      <c r="G1796" s="1">
        <v>3.25</v>
      </c>
      <c r="H1796" s="1">
        <v>3.35</v>
      </c>
      <c r="I1796" s="1">
        <v>0</v>
      </c>
      <c r="J1796" s="4">
        <v>41114</v>
      </c>
      <c r="K1796" s="4">
        <v>41388</v>
      </c>
      <c r="L1796">
        <f t="shared" si="28"/>
        <v>3.3</v>
      </c>
    </row>
    <row r="1797" spans="1:12" x14ac:dyDescent="0.15">
      <c r="A1797" s="1">
        <v>1796</v>
      </c>
      <c r="B1797" s="4">
        <v>41110</v>
      </c>
      <c r="C1797" s="1" t="s">
        <v>25</v>
      </c>
      <c r="D1797" s="1" t="s">
        <v>26</v>
      </c>
      <c r="E1797" s="1">
        <v>0.48853009259259261</v>
      </c>
      <c r="F1797" s="1" t="s">
        <v>13</v>
      </c>
      <c r="G1797" s="1">
        <v>2.9</v>
      </c>
      <c r="H1797" s="1">
        <v>3</v>
      </c>
      <c r="I1797" s="1">
        <v>0</v>
      </c>
      <c r="J1797" s="4">
        <v>41111</v>
      </c>
      <c r="K1797" s="4">
        <v>42937</v>
      </c>
      <c r="L1797">
        <f t="shared" si="28"/>
        <v>2.95</v>
      </c>
    </row>
    <row r="1798" spans="1:12" x14ac:dyDescent="0.15">
      <c r="A1798" s="1">
        <v>1797</v>
      </c>
      <c r="B1798" s="4">
        <v>41110</v>
      </c>
      <c r="C1798" s="1" t="s">
        <v>19</v>
      </c>
      <c r="D1798" s="1" t="s">
        <v>26</v>
      </c>
      <c r="E1798" s="1">
        <v>0.48851851851851852</v>
      </c>
      <c r="F1798" s="1" t="s">
        <v>13</v>
      </c>
      <c r="G1798" s="1">
        <v>3.2</v>
      </c>
      <c r="H1798" s="1">
        <v>3.28</v>
      </c>
      <c r="I1798" s="1">
        <v>0</v>
      </c>
      <c r="J1798" s="4">
        <v>41111</v>
      </c>
      <c r="K1798" s="4">
        <v>41385</v>
      </c>
      <c r="L1798">
        <f t="shared" si="28"/>
        <v>3.24</v>
      </c>
    </row>
    <row r="1799" spans="1:12" x14ac:dyDescent="0.15">
      <c r="A1799" s="1">
        <v>1798</v>
      </c>
      <c r="B1799" s="4">
        <v>41110</v>
      </c>
      <c r="C1799" s="1" t="s">
        <v>11</v>
      </c>
      <c r="D1799" s="1" t="s">
        <v>26</v>
      </c>
      <c r="E1799" s="1">
        <v>0.48853009259259261</v>
      </c>
      <c r="F1799" s="1" t="s">
        <v>13</v>
      </c>
      <c r="G1799" s="1">
        <v>2.9</v>
      </c>
      <c r="H1799" s="1">
        <v>3</v>
      </c>
      <c r="I1799" s="1">
        <v>0</v>
      </c>
      <c r="J1799" s="4">
        <v>41111</v>
      </c>
      <c r="K1799" s="4">
        <v>42206</v>
      </c>
      <c r="L1799">
        <f t="shared" si="28"/>
        <v>2.95</v>
      </c>
    </row>
    <row r="1800" spans="1:12" x14ac:dyDescent="0.15">
      <c r="A1800" s="1">
        <v>1799</v>
      </c>
      <c r="B1800" s="4">
        <v>41110</v>
      </c>
      <c r="C1800" s="1" t="s">
        <v>16</v>
      </c>
      <c r="D1800" s="1" t="s">
        <v>26</v>
      </c>
      <c r="E1800" s="1">
        <v>0.48853009259259261</v>
      </c>
      <c r="F1800" s="1" t="s">
        <v>13</v>
      </c>
      <c r="G1800" s="1">
        <v>2.9</v>
      </c>
      <c r="H1800" s="1">
        <v>3</v>
      </c>
      <c r="I1800" s="1">
        <v>0</v>
      </c>
      <c r="J1800" s="4">
        <v>41111</v>
      </c>
      <c r="K1800" s="4">
        <v>42572</v>
      </c>
      <c r="L1800">
        <f t="shared" si="28"/>
        <v>2.95</v>
      </c>
    </row>
    <row r="1801" spans="1:12" x14ac:dyDescent="0.15">
      <c r="A1801" s="1">
        <v>1800</v>
      </c>
      <c r="B1801" s="4">
        <v>41110</v>
      </c>
      <c r="C1801" s="1" t="s">
        <v>20</v>
      </c>
      <c r="D1801" s="1" t="s">
        <v>26</v>
      </c>
      <c r="E1801" s="1">
        <v>0.48849537037037033</v>
      </c>
      <c r="F1801" s="1" t="s">
        <v>13</v>
      </c>
      <c r="G1801" s="1">
        <v>2.9</v>
      </c>
      <c r="H1801" s="1">
        <v>3</v>
      </c>
      <c r="I1801" s="1">
        <v>0</v>
      </c>
      <c r="J1801" s="4">
        <v>41111</v>
      </c>
      <c r="K1801" s="4">
        <v>44763</v>
      </c>
      <c r="L1801">
        <f t="shared" si="28"/>
        <v>2.95</v>
      </c>
    </row>
    <row r="1802" spans="1:12" x14ac:dyDescent="0.15">
      <c r="A1802" s="1">
        <v>1801</v>
      </c>
      <c r="B1802" s="4">
        <v>41110</v>
      </c>
      <c r="C1802" s="1" t="s">
        <v>14</v>
      </c>
      <c r="D1802" s="1" t="s">
        <v>26</v>
      </c>
      <c r="E1802" s="1">
        <v>0.48849537037037033</v>
      </c>
      <c r="F1802" s="1" t="s">
        <v>13</v>
      </c>
      <c r="G1802" s="1">
        <v>3.1</v>
      </c>
      <c r="H1802" s="1">
        <v>3.15</v>
      </c>
      <c r="I1802" s="1">
        <v>0</v>
      </c>
      <c r="J1802" s="4">
        <v>41111</v>
      </c>
      <c r="K1802" s="4">
        <v>41476</v>
      </c>
      <c r="L1802">
        <f t="shared" si="28"/>
        <v>3.125</v>
      </c>
    </row>
    <row r="1803" spans="1:12" x14ac:dyDescent="0.15">
      <c r="A1803" s="1">
        <v>1802</v>
      </c>
      <c r="B1803" s="4">
        <v>41110</v>
      </c>
      <c r="C1803" s="1" t="s">
        <v>21</v>
      </c>
      <c r="D1803" s="1" t="s">
        <v>26</v>
      </c>
      <c r="E1803" s="1">
        <v>0.48851851851851852</v>
      </c>
      <c r="F1803" s="1" t="s">
        <v>13</v>
      </c>
      <c r="G1803" s="1">
        <v>2.9</v>
      </c>
      <c r="H1803" s="1">
        <v>3</v>
      </c>
      <c r="I1803" s="1">
        <v>0</v>
      </c>
      <c r="J1803" s="4">
        <v>41111</v>
      </c>
      <c r="K1803" s="4">
        <v>43667</v>
      </c>
      <c r="L1803">
        <f t="shared" si="28"/>
        <v>2.95</v>
      </c>
    </row>
    <row r="1804" spans="1:12" x14ac:dyDescent="0.15">
      <c r="A1804" s="1">
        <v>1803</v>
      </c>
      <c r="B1804" s="4">
        <v>41110</v>
      </c>
      <c r="C1804" s="1" t="s">
        <v>18</v>
      </c>
      <c r="D1804" s="1" t="s">
        <v>26</v>
      </c>
      <c r="E1804" s="1">
        <v>0.48849537037037033</v>
      </c>
      <c r="F1804" s="1" t="s">
        <v>13</v>
      </c>
      <c r="G1804" s="1">
        <v>2.93</v>
      </c>
      <c r="H1804" s="1">
        <v>3.02</v>
      </c>
      <c r="I1804" s="1">
        <v>0</v>
      </c>
      <c r="J1804" s="4">
        <v>41111</v>
      </c>
      <c r="K1804" s="4">
        <v>41841</v>
      </c>
      <c r="L1804">
        <f t="shared" si="28"/>
        <v>2.9750000000000001</v>
      </c>
    </row>
    <row r="1805" spans="1:12" x14ac:dyDescent="0.15">
      <c r="A1805" s="1">
        <v>1804</v>
      </c>
      <c r="B1805" s="4">
        <v>41110</v>
      </c>
      <c r="C1805" s="1" t="s">
        <v>14</v>
      </c>
      <c r="D1805" s="1" t="s">
        <v>15</v>
      </c>
      <c r="E1805" s="1">
        <v>0.49337962962962961</v>
      </c>
      <c r="F1805" s="1" t="s">
        <v>13</v>
      </c>
      <c r="G1805" s="1">
        <v>3.14</v>
      </c>
      <c r="H1805" s="1">
        <v>3.2</v>
      </c>
      <c r="I1805" s="1">
        <v>0</v>
      </c>
      <c r="J1805" s="4">
        <v>41111</v>
      </c>
      <c r="K1805" s="4">
        <v>41476</v>
      </c>
      <c r="L1805">
        <f t="shared" si="28"/>
        <v>3.17</v>
      </c>
    </row>
    <row r="1806" spans="1:12" x14ac:dyDescent="0.15">
      <c r="A1806" s="1">
        <v>1805</v>
      </c>
      <c r="B1806" s="4">
        <v>41110</v>
      </c>
      <c r="C1806" s="1" t="s">
        <v>25</v>
      </c>
      <c r="D1806" s="1" t="s">
        <v>15</v>
      </c>
      <c r="E1806" s="1">
        <v>0.49341435185185184</v>
      </c>
      <c r="F1806" s="1" t="s">
        <v>13</v>
      </c>
      <c r="G1806" s="1">
        <v>2.95</v>
      </c>
      <c r="H1806" s="1">
        <v>3</v>
      </c>
      <c r="I1806" s="1">
        <v>0</v>
      </c>
      <c r="J1806" s="4">
        <v>41111</v>
      </c>
      <c r="K1806" s="4">
        <v>42937</v>
      </c>
      <c r="L1806">
        <f t="shared" si="28"/>
        <v>2.9750000000000001</v>
      </c>
    </row>
    <row r="1807" spans="1:12" x14ac:dyDescent="0.15">
      <c r="A1807" s="1">
        <v>1806</v>
      </c>
      <c r="B1807" s="4">
        <v>41110</v>
      </c>
      <c r="C1807" s="1" t="s">
        <v>20</v>
      </c>
      <c r="D1807" s="1" t="s">
        <v>15</v>
      </c>
      <c r="E1807" s="1">
        <v>0.4934027777777778</v>
      </c>
      <c r="F1807" s="1" t="s">
        <v>13</v>
      </c>
      <c r="G1807" s="1">
        <v>3.04</v>
      </c>
      <c r="H1807" s="1">
        <v>3.1</v>
      </c>
      <c r="I1807" s="1">
        <v>0</v>
      </c>
      <c r="J1807" s="4">
        <v>41111</v>
      </c>
      <c r="K1807" s="4">
        <v>44763</v>
      </c>
      <c r="L1807">
        <f t="shared" si="28"/>
        <v>3.0700000000000003</v>
      </c>
    </row>
    <row r="1808" spans="1:12" x14ac:dyDescent="0.15">
      <c r="A1808" s="1">
        <v>1807</v>
      </c>
      <c r="B1808" s="4">
        <v>41110</v>
      </c>
      <c r="C1808" s="1" t="s">
        <v>11</v>
      </c>
      <c r="D1808" s="1" t="s">
        <v>15</v>
      </c>
      <c r="E1808" s="1">
        <v>0.49341435185185184</v>
      </c>
      <c r="F1808" s="1" t="s">
        <v>13</v>
      </c>
      <c r="G1808" s="1">
        <v>2.93</v>
      </c>
      <c r="H1808" s="1">
        <v>2.99</v>
      </c>
      <c r="I1808" s="1">
        <v>0</v>
      </c>
      <c r="J1808" s="4">
        <v>41111</v>
      </c>
      <c r="K1808" s="4">
        <v>42206</v>
      </c>
      <c r="L1808">
        <f t="shared" si="28"/>
        <v>2.96</v>
      </c>
    </row>
    <row r="1809" spans="1:12" x14ac:dyDescent="0.15">
      <c r="A1809" s="1">
        <v>1808</v>
      </c>
      <c r="B1809" s="4">
        <v>41110</v>
      </c>
      <c r="C1809" s="1" t="s">
        <v>16</v>
      </c>
      <c r="D1809" s="1" t="s">
        <v>15</v>
      </c>
      <c r="E1809" s="1">
        <v>0.49341435185185184</v>
      </c>
      <c r="F1809" s="1" t="s">
        <v>13</v>
      </c>
      <c r="G1809" s="1">
        <v>2.93</v>
      </c>
      <c r="H1809" s="1">
        <v>2.99</v>
      </c>
      <c r="I1809" s="1">
        <v>0</v>
      </c>
      <c r="J1809" s="4">
        <v>41111</v>
      </c>
      <c r="K1809" s="4">
        <v>42572</v>
      </c>
      <c r="L1809">
        <f t="shared" si="28"/>
        <v>2.96</v>
      </c>
    </row>
    <row r="1810" spans="1:12" x14ac:dyDescent="0.15">
      <c r="A1810" s="1">
        <v>1809</v>
      </c>
      <c r="B1810" s="4">
        <v>41110</v>
      </c>
      <c r="C1810" s="1" t="s">
        <v>22</v>
      </c>
      <c r="D1810" s="1" t="s">
        <v>15</v>
      </c>
      <c r="E1810" s="1">
        <v>0.49337962962962961</v>
      </c>
      <c r="F1810" s="1" t="s">
        <v>13</v>
      </c>
      <c r="G1810" s="1">
        <v>3.47</v>
      </c>
      <c r="H1810" s="1">
        <v>3.53</v>
      </c>
      <c r="I1810" s="1">
        <v>0</v>
      </c>
      <c r="J1810" s="4">
        <v>41111</v>
      </c>
      <c r="K1810" s="4">
        <v>41295</v>
      </c>
      <c r="L1810">
        <f t="shared" si="28"/>
        <v>3.5</v>
      </c>
    </row>
    <row r="1811" spans="1:12" x14ac:dyDescent="0.15">
      <c r="A1811" s="1">
        <v>1810</v>
      </c>
      <c r="B1811" s="4">
        <v>41110</v>
      </c>
      <c r="C1811" s="1" t="s">
        <v>18</v>
      </c>
      <c r="D1811" s="1" t="s">
        <v>15</v>
      </c>
      <c r="E1811" s="1">
        <v>0.49337962962962961</v>
      </c>
      <c r="F1811" s="1" t="s">
        <v>13</v>
      </c>
      <c r="G1811" s="1">
        <v>2.95</v>
      </c>
      <c r="H1811" s="1">
        <v>3.01</v>
      </c>
      <c r="I1811" s="1">
        <v>0</v>
      </c>
      <c r="J1811" s="4">
        <v>41111</v>
      </c>
      <c r="K1811" s="4">
        <v>41841</v>
      </c>
      <c r="L1811">
        <f t="shared" si="28"/>
        <v>2.98</v>
      </c>
    </row>
    <row r="1812" spans="1:12" x14ac:dyDescent="0.15">
      <c r="A1812" s="1">
        <v>1811</v>
      </c>
      <c r="B1812" s="4">
        <v>41110</v>
      </c>
      <c r="C1812" s="1" t="s">
        <v>19</v>
      </c>
      <c r="D1812" s="1" t="s">
        <v>15</v>
      </c>
      <c r="E1812" s="1">
        <v>0.49339120370370365</v>
      </c>
      <c r="F1812" s="1" t="s">
        <v>13</v>
      </c>
      <c r="G1812" s="1">
        <v>3.27</v>
      </c>
      <c r="H1812" s="1">
        <v>3.33</v>
      </c>
      <c r="I1812" s="1">
        <v>0</v>
      </c>
      <c r="J1812" s="4">
        <v>41111</v>
      </c>
      <c r="K1812" s="4">
        <v>41385</v>
      </c>
      <c r="L1812">
        <f t="shared" si="28"/>
        <v>3.3</v>
      </c>
    </row>
    <row r="1813" spans="1:12" x14ac:dyDescent="0.15">
      <c r="A1813" s="1">
        <v>1812</v>
      </c>
      <c r="B1813" s="4">
        <v>41110</v>
      </c>
      <c r="C1813" s="1" t="s">
        <v>21</v>
      </c>
      <c r="D1813" s="1" t="s">
        <v>15</v>
      </c>
      <c r="E1813" s="1">
        <v>0.49339120370370365</v>
      </c>
      <c r="F1813" s="1" t="s">
        <v>13</v>
      </c>
      <c r="G1813" s="1">
        <v>3</v>
      </c>
      <c r="H1813" s="1">
        <v>3.06</v>
      </c>
      <c r="I1813" s="1">
        <v>0</v>
      </c>
      <c r="J1813" s="4">
        <v>41111</v>
      </c>
      <c r="K1813" s="4">
        <v>43667</v>
      </c>
      <c r="L1813">
        <f t="shared" si="28"/>
        <v>3.0300000000000002</v>
      </c>
    </row>
    <row r="1814" spans="1:12" x14ac:dyDescent="0.15">
      <c r="A1814" s="1">
        <v>1813</v>
      </c>
      <c r="B1814" s="4">
        <v>41110</v>
      </c>
      <c r="C1814" s="1" t="s">
        <v>11</v>
      </c>
      <c r="D1814" s="1" t="s">
        <v>30</v>
      </c>
      <c r="E1814" s="1">
        <v>0.48420138888888892</v>
      </c>
      <c r="F1814" s="1" t="s">
        <v>13</v>
      </c>
      <c r="G1814" s="1">
        <v>2.93</v>
      </c>
      <c r="H1814" s="1">
        <v>3.03</v>
      </c>
      <c r="I1814" s="1">
        <v>0</v>
      </c>
      <c r="J1814" s="4">
        <v>41111</v>
      </c>
      <c r="K1814" s="4">
        <v>42206</v>
      </c>
      <c r="L1814">
        <f t="shared" si="28"/>
        <v>2.98</v>
      </c>
    </row>
    <row r="1815" spans="1:12" x14ac:dyDescent="0.15">
      <c r="A1815" s="1">
        <v>1814</v>
      </c>
      <c r="B1815" s="4">
        <v>41110</v>
      </c>
      <c r="C1815" s="1" t="s">
        <v>16</v>
      </c>
      <c r="D1815" s="1" t="s">
        <v>30</v>
      </c>
      <c r="E1815" s="1">
        <v>0.48420138888888892</v>
      </c>
      <c r="F1815" s="1" t="s">
        <v>13</v>
      </c>
      <c r="G1815" s="1">
        <v>2.93</v>
      </c>
      <c r="H1815" s="1">
        <v>3.03</v>
      </c>
      <c r="I1815" s="1">
        <v>0</v>
      </c>
      <c r="J1815" s="4">
        <v>41111</v>
      </c>
      <c r="K1815" s="4">
        <v>42572</v>
      </c>
      <c r="L1815">
        <f t="shared" si="28"/>
        <v>2.98</v>
      </c>
    </row>
    <row r="1816" spans="1:12" x14ac:dyDescent="0.15">
      <c r="A1816" s="1">
        <v>1815</v>
      </c>
      <c r="B1816" s="4">
        <v>41110</v>
      </c>
      <c r="C1816" s="1" t="s">
        <v>14</v>
      </c>
      <c r="D1816" s="1" t="s">
        <v>30</v>
      </c>
      <c r="E1816" s="1">
        <v>0.48420138888888892</v>
      </c>
      <c r="F1816" s="1" t="s">
        <v>13</v>
      </c>
      <c r="G1816" s="1">
        <v>3.12</v>
      </c>
      <c r="H1816" s="1">
        <v>3.22</v>
      </c>
      <c r="I1816" s="1">
        <v>0</v>
      </c>
      <c r="J1816" s="4">
        <v>41111</v>
      </c>
      <c r="K1816" s="4">
        <v>41476</v>
      </c>
      <c r="L1816">
        <f t="shared" si="28"/>
        <v>3.17</v>
      </c>
    </row>
    <row r="1817" spans="1:12" x14ac:dyDescent="0.15">
      <c r="A1817" s="1">
        <v>1816</v>
      </c>
      <c r="B1817" s="4">
        <v>41110</v>
      </c>
      <c r="C1817" s="1" t="s">
        <v>18</v>
      </c>
      <c r="D1817" s="1" t="s">
        <v>30</v>
      </c>
      <c r="E1817" s="1">
        <v>0.48420138888888892</v>
      </c>
      <c r="F1817" s="1" t="s">
        <v>13</v>
      </c>
      <c r="G1817" s="1">
        <v>2.94</v>
      </c>
      <c r="H1817" s="1">
        <v>3.04</v>
      </c>
      <c r="I1817" s="1">
        <v>0</v>
      </c>
      <c r="J1817" s="4">
        <v>41111</v>
      </c>
      <c r="K1817" s="4">
        <v>41841</v>
      </c>
      <c r="L1817">
        <f t="shared" si="28"/>
        <v>2.99</v>
      </c>
    </row>
    <row r="1818" spans="1:12" x14ac:dyDescent="0.15">
      <c r="A1818" s="1">
        <v>1817</v>
      </c>
      <c r="B1818" s="4">
        <v>41110</v>
      </c>
      <c r="C1818" s="1" t="s">
        <v>21</v>
      </c>
      <c r="D1818" s="1" t="s">
        <v>30</v>
      </c>
      <c r="E1818" s="1">
        <v>0.48418981481481477</v>
      </c>
      <c r="F1818" s="1" t="s">
        <v>13</v>
      </c>
      <c r="G1818" s="1">
        <v>2.99</v>
      </c>
      <c r="H1818" s="1">
        <v>3.09</v>
      </c>
      <c r="I1818" s="1">
        <v>0</v>
      </c>
      <c r="J1818" s="4">
        <v>41111</v>
      </c>
      <c r="K1818" s="4">
        <v>43667</v>
      </c>
      <c r="L1818">
        <f t="shared" si="28"/>
        <v>3.04</v>
      </c>
    </row>
    <row r="1819" spans="1:12" x14ac:dyDescent="0.15">
      <c r="A1819" s="1">
        <v>1818</v>
      </c>
      <c r="B1819" s="4">
        <v>41110</v>
      </c>
      <c r="C1819" s="1" t="s">
        <v>19</v>
      </c>
      <c r="D1819" s="1" t="s">
        <v>30</v>
      </c>
      <c r="E1819" s="1">
        <v>0.48418981481481477</v>
      </c>
      <c r="F1819" s="1" t="s">
        <v>13</v>
      </c>
      <c r="G1819" s="1">
        <v>3.26</v>
      </c>
      <c r="H1819" s="1">
        <v>3.36</v>
      </c>
      <c r="I1819" s="1">
        <v>0</v>
      </c>
      <c r="J1819" s="4">
        <v>41111</v>
      </c>
      <c r="K1819" s="4">
        <v>41385</v>
      </c>
      <c r="L1819">
        <f t="shared" si="28"/>
        <v>3.3099999999999996</v>
      </c>
    </row>
    <row r="1820" spans="1:12" x14ac:dyDescent="0.15">
      <c r="A1820" s="1">
        <v>1819</v>
      </c>
      <c r="B1820" s="4">
        <v>41110</v>
      </c>
      <c r="C1820" s="1" t="s">
        <v>25</v>
      </c>
      <c r="D1820" s="1" t="s">
        <v>30</v>
      </c>
      <c r="E1820" s="1">
        <v>0.48420138888888892</v>
      </c>
      <c r="F1820" s="1" t="s">
        <v>13</v>
      </c>
      <c r="G1820" s="1">
        <v>2.93</v>
      </c>
      <c r="H1820" s="1">
        <v>3.03</v>
      </c>
      <c r="I1820" s="1">
        <v>0</v>
      </c>
      <c r="J1820" s="4">
        <v>41111</v>
      </c>
      <c r="K1820" s="4">
        <v>42937</v>
      </c>
      <c r="L1820">
        <f t="shared" si="28"/>
        <v>2.98</v>
      </c>
    </row>
    <row r="1821" spans="1:12" x14ac:dyDescent="0.15">
      <c r="A1821" s="1">
        <v>1820</v>
      </c>
      <c r="B1821" s="4">
        <v>41110</v>
      </c>
      <c r="C1821" s="1" t="s">
        <v>22</v>
      </c>
      <c r="D1821" s="1" t="s">
        <v>30</v>
      </c>
      <c r="E1821" s="1">
        <v>0.48420138888888892</v>
      </c>
      <c r="F1821" s="1" t="s">
        <v>13</v>
      </c>
      <c r="G1821" s="1">
        <v>3.47</v>
      </c>
      <c r="H1821" s="1">
        <v>3.57</v>
      </c>
      <c r="I1821" s="1">
        <v>0</v>
      </c>
      <c r="J1821" s="4">
        <v>41111</v>
      </c>
      <c r="K1821" s="4">
        <v>41295</v>
      </c>
      <c r="L1821">
        <f t="shared" si="28"/>
        <v>3.52</v>
      </c>
    </row>
    <row r="1822" spans="1:12" x14ac:dyDescent="0.15">
      <c r="A1822" s="1">
        <v>1821</v>
      </c>
      <c r="B1822" s="4">
        <v>41110</v>
      </c>
      <c r="C1822" s="1" t="s">
        <v>20</v>
      </c>
      <c r="D1822" s="1" t="s">
        <v>30</v>
      </c>
      <c r="E1822" s="1">
        <v>0.48420138888888892</v>
      </c>
      <c r="F1822" s="1" t="s">
        <v>13</v>
      </c>
      <c r="G1822" s="1">
        <v>3.04</v>
      </c>
      <c r="H1822" s="1">
        <v>3.14</v>
      </c>
      <c r="I1822" s="1">
        <v>0</v>
      </c>
      <c r="J1822" s="4">
        <v>41111</v>
      </c>
      <c r="K1822" s="4">
        <v>44763</v>
      </c>
      <c r="L1822">
        <f t="shared" si="28"/>
        <v>3.09</v>
      </c>
    </row>
    <row r="1823" spans="1:12" x14ac:dyDescent="0.15">
      <c r="A1823" s="1">
        <v>1822</v>
      </c>
      <c r="B1823" s="4">
        <v>41110</v>
      </c>
      <c r="C1823" s="1" t="s">
        <v>22</v>
      </c>
      <c r="D1823" s="1" t="s">
        <v>27</v>
      </c>
      <c r="E1823" s="1">
        <v>0.48517361111111112</v>
      </c>
      <c r="F1823" s="1" t="s">
        <v>13</v>
      </c>
      <c r="G1823" s="1">
        <v>3.45</v>
      </c>
      <c r="H1823" s="1">
        <v>3.55</v>
      </c>
      <c r="I1823" s="1">
        <v>0</v>
      </c>
      <c r="J1823" s="4">
        <v>41111</v>
      </c>
      <c r="K1823" s="4">
        <v>41295</v>
      </c>
      <c r="L1823">
        <f t="shared" si="28"/>
        <v>3.5</v>
      </c>
    </row>
    <row r="1824" spans="1:12" x14ac:dyDescent="0.15">
      <c r="A1824" s="1">
        <v>1823</v>
      </c>
      <c r="B1824" s="4">
        <v>41110</v>
      </c>
      <c r="C1824" s="1" t="s">
        <v>18</v>
      </c>
      <c r="D1824" s="1" t="s">
        <v>27</v>
      </c>
      <c r="E1824" s="1">
        <v>0.48517361111111112</v>
      </c>
      <c r="F1824" s="1" t="s">
        <v>13</v>
      </c>
      <c r="G1824" s="1">
        <v>2.94</v>
      </c>
      <c r="H1824" s="1">
        <v>3.04</v>
      </c>
      <c r="I1824" s="1">
        <v>0</v>
      </c>
      <c r="J1824" s="4">
        <v>41111</v>
      </c>
      <c r="K1824" s="4">
        <v>41841</v>
      </c>
      <c r="L1824">
        <f t="shared" si="28"/>
        <v>2.99</v>
      </c>
    </row>
    <row r="1825" spans="1:12" x14ac:dyDescent="0.15">
      <c r="A1825" s="1">
        <v>1824</v>
      </c>
      <c r="B1825" s="4">
        <v>41110</v>
      </c>
      <c r="C1825" s="1" t="s">
        <v>22</v>
      </c>
      <c r="D1825" s="1" t="s">
        <v>26</v>
      </c>
      <c r="E1825" s="1">
        <v>0.48848379629629629</v>
      </c>
      <c r="F1825" s="1" t="s">
        <v>13</v>
      </c>
      <c r="G1825" s="1">
        <v>3.45</v>
      </c>
      <c r="H1825" s="1">
        <v>3.5</v>
      </c>
      <c r="I1825" s="1">
        <v>0</v>
      </c>
      <c r="J1825" s="4">
        <v>41111</v>
      </c>
      <c r="K1825" s="4">
        <v>41295</v>
      </c>
      <c r="L1825">
        <f t="shared" si="28"/>
        <v>3.4750000000000001</v>
      </c>
    </row>
    <row r="1826" spans="1:12" x14ac:dyDescent="0.15">
      <c r="A1826" s="1">
        <v>1825</v>
      </c>
      <c r="B1826" s="4">
        <v>41110</v>
      </c>
      <c r="C1826" s="1" t="s">
        <v>11</v>
      </c>
      <c r="D1826" s="1" t="s">
        <v>27</v>
      </c>
      <c r="E1826" s="1">
        <v>0.48517361111111112</v>
      </c>
      <c r="F1826" s="1" t="s">
        <v>13</v>
      </c>
      <c r="G1826" s="1">
        <v>2.91</v>
      </c>
      <c r="H1826" s="1">
        <v>3.01</v>
      </c>
      <c r="I1826" s="1">
        <v>0</v>
      </c>
      <c r="J1826" s="4">
        <v>41111</v>
      </c>
      <c r="K1826" s="4">
        <v>42206</v>
      </c>
      <c r="L1826">
        <f t="shared" si="28"/>
        <v>2.96</v>
      </c>
    </row>
    <row r="1827" spans="1:12" x14ac:dyDescent="0.15">
      <c r="A1827" s="1">
        <v>1826</v>
      </c>
      <c r="B1827" s="4">
        <v>41110</v>
      </c>
      <c r="C1827" s="1" t="s">
        <v>25</v>
      </c>
      <c r="D1827" s="1" t="s">
        <v>27</v>
      </c>
      <c r="E1827" s="1">
        <v>0.48515046296296299</v>
      </c>
      <c r="F1827" s="1" t="s">
        <v>13</v>
      </c>
      <c r="G1827" s="1">
        <v>2.93</v>
      </c>
      <c r="H1827" s="1">
        <v>3.03</v>
      </c>
      <c r="I1827" s="1">
        <v>0</v>
      </c>
      <c r="J1827" s="4">
        <v>41111</v>
      </c>
      <c r="K1827" s="4">
        <v>42937</v>
      </c>
      <c r="L1827">
        <f t="shared" si="28"/>
        <v>2.98</v>
      </c>
    </row>
    <row r="1828" spans="1:12" x14ac:dyDescent="0.15">
      <c r="A1828" s="1">
        <v>1827</v>
      </c>
      <c r="B1828" s="4">
        <v>41110</v>
      </c>
      <c r="C1828" s="1" t="s">
        <v>14</v>
      </c>
      <c r="D1828" s="1" t="s">
        <v>27</v>
      </c>
      <c r="E1828" s="1">
        <v>0.48515046296296299</v>
      </c>
      <c r="F1828" s="1" t="s">
        <v>13</v>
      </c>
      <c r="G1828" s="1">
        <v>3.12</v>
      </c>
      <c r="H1828" s="1">
        <v>3.22</v>
      </c>
      <c r="I1828" s="1">
        <v>0</v>
      </c>
      <c r="J1828" s="4">
        <v>41111</v>
      </c>
      <c r="K1828" s="4">
        <v>41476</v>
      </c>
      <c r="L1828">
        <f t="shared" si="28"/>
        <v>3.17</v>
      </c>
    </row>
    <row r="1829" spans="1:12" x14ac:dyDescent="0.15">
      <c r="A1829" s="1">
        <v>1828</v>
      </c>
      <c r="B1829" s="4">
        <v>41110</v>
      </c>
      <c r="C1829" s="1" t="s">
        <v>16</v>
      </c>
      <c r="D1829" s="1" t="s">
        <v>27</v>
      </c>
      <c r="E1829" s="1">
        <v>0.48516203703703703</v>
      </c>
      <c r="F1829" s="1" t="s">
        <v>13</v>
      </c>
      <c r="G1829" s="1">
        <v>2.91</v>
      </c>
      <c r="H1829" s="1">
        <v>3.01</v>
      </c>
      <c r="I1829" s="1">
        <v>0</v>
      </c>
      <c r="J1829" s="4">
        <v>41111</v>
      </c>
      <c r="K1829" s="4">
        <v>42572</v>
      </c>
      <c r="L1829">
        <f t="shared" si="28"/>
        <v>2.96</v>
      </c>
    </row>
    <row r="1830" spans="1:12" x14ac:dyDescent="0.15">
      <c r="A1830" s="1">
        <v>1829</v>
      </c>
      <c r="B1830" s="4">
        <v>41110</v>
      </c>
      <c r="C1830" s="1" t="s">
        <v>19</v>
      </c>
      <c r="D1830" s="1" t="s">
        <v>27</v>
      </c>
      <c r="E1830" s="1">
        <v>0.48515046296296299</v>
      </c>
      <c r="F1830" s="1" t="s">
        <v>13</v>
      </c>
      <c r="G1830" s="1">
        <v>3.25</v>
      </c>
      <c r="H1830" s="1">
        <v>3.35</v>
      </c>
      <c r="I1830" s="1">
        <v>0</v>
      </c>
      <c r="J1830" s="4">
        <v>41111</v>
      </c>
      <c r="K1830" s="4">
        <v>41385</v>
      </c>
      <c r="L1830">
        <f t="shared" si="28"/>
        <v>3.3</v>
      </c>
    </row>
    <row r="1831" spans="1:12" x14ac:dyDescent="0.15">
      <c r="A1831" s="1">
        <v>1830</v>
      </c>
      <c r="B1831" s="4">
        <v>41110</v>
      </c>
      <c r="C1831" s="1" t="s">
        <v>21</v>
      </c>
      <c r="D1831" s="1" t="s">
        <v>15</v>
      </c>
      <c r="E1831" s="1">
        <v>0.68412037037037043</v>
      </c>
      <c r="F1831" s="1" t="s">
        <v>13</v>
      </c>
      <c r="G1831" s="1">
        <v>3</v>
      </c>
      <c r="H1831" s="1">
        <v>3.06</v>
      </c>
      <c r="I1831" s="1">
        <v>0</v>
      </c>
      <c r="J1831" s="4">
        <v>41111</v>
      </c>
      <c r="K1831" s="4">
        <v>43667</v>
      </c>
      <c r="L1831">
        <f t="shared" si="28"/>
        <v>3.0300000000000002</v>
      </c>
    </row>
    <row r="1832" spans="1:12" x14ac:dyDescent="0.15">
      <c r="A1832" s="1">
        <v>1831</v>
      </c>
      <c r="B1832" s="4">
        <v>41110</v>
      </c>
      <c r="C1832" s="1" t="s">
        <v>11</v>
      </c>
      <c r="D1832" s="1" t="s">
        <v>15</v>
      </c>
      <c r="E1832" s="1">
        <v>0.68412037037037043</v>
      </c>
      <c r="F1832" s="1" t="s">
        <v>13</v>
      </c>
      <c r="G1832" s="1">
        <v>2.93</v>
      </c>
      <c r="H1832" s="1">
        <v>2.99</v>
      </c>
      <c r="I1832" s="1">
        <v>0</v>
      </c>
      <c r="J1832" s="4">
        <v>41111</v>
      </c>
      <c r="K1832" s="4">
        <v>42206</v>
      </c>
      <c r="L1832">
        <f t="shared" si="28"/>
        <v>2.96</v>
      </c>
    </row>
    <row r="1833" spans="1:12" x14ac:dyDescent="0.15">
      <c r="A1833" s="1">
        <v>1832</v>
      </c>
      <c r="B1833" s="4">
        <v>41110</v>
      </c>
      <c r="C1833" s="1" t="s">
        <v>20</v>
      </c>
      <c r="D1833" s="1" t="s">
        <v>15</v>
      </c>
      <c r="E1833" s="1">
        <v>0.68412037037037043</v>
      </c>
      <c r="F1833" s="1" t="s">
        <v>13</v>
      </c>
      <c r="G1833" s="1">
        <v>3.04</v>
      </c>
      <c r="H1833" s="1">
        <v>3.1</v>
      </c>
      <c r="I1833" s="1">
        <v>0</v>
      </c>
      <c r="J1833" s="4">
        <v>41111</v>
      </c>
      <c r="K1833" s="4">
        <v>44763</v>
      </c>
      <c r="L1833">
        <f t="shared" si="28"/>
        <v>3.0700000000000003</v>
      </c>
    </row>
    <row r="1834" spans="1:12" x14ac:dyDescent="0.15">
      <c r="A1834" s="1">
        <v>1833</v>
      </c>
      <c r="B1834" s="4">
        <v>41110</v>
      </c>
      <c r="C1834" s="1" t="s">
        <v>19</v>
      </c>
      <c r="D1834" s="1" t="s">
        <v>15</v>
      </c>
      <c r="E1834" s="1">
        <v>0.68412037037037043</v>
      </c>
      <c r="F1834" s="1" t="s">
        <v>13</v>
      </c>
      <c r="G1834" s="1">
        <v>3.27</v>
      </c>
      <c r="H1834" s="1">
        <v>3.33</v>
      </c>
      <c r="I1834" s="1">
        <v>0</v>
      </c>
      <c r="J1834" s="4">
        <v>41111</v>
      </c>
      <c r="K1834" s="4">
        <v>41385</v>
      </c>
      <c r="L1834">
        <f t="shared" si="28"/>
        <v>3.3</v>
      </c>
    </row>
    <row r="1835" spans="1:12" x14ac:dyDescent="0.15">
      <c r="A1835" s="1">
        <v>1834</v>
      </c>
      <c r="B1835" s="4">
        <v>41110</v>
      </c>
      <c r="C1835" s="1" t="s">
        <v>14</v>
      </c>
      <c r="D1835" s="1" t="s">
        <v>15</v>
      </c>
      <c r="E1835" s="1">
        <v>0.68410879629629628</v>
      </c>
      <c r="F1835" s="1" t="s">
        <v>13</v>
      </c>
      <c r="G1835" s="1">
        <v>3.14</v>
      </c>
      <c r="H1835" s="1">
        <v>3.2</v>
      </c>
      <c r="I1835" s="1">
        <v>0</v>
      </c>
      <c r="J1835" s="4">
        <v>41111</v>
      </c>
      <c r="K1835" s="4">
        <v>41476</v>
      </c>
      <c r="L1835">
        <f t="shared" si="28"/>
        <v>3.17</v>
      </c>
    </row>
    <row r="1836" spans="1:12" x14ac:dyDescent="0.15">
      <c r="A1836" s="1">
        <v>1835</v>
      </c>
      <c r="B1836" s="4">
        <v>41110</v>
      </c>
      <c r="C1836" s="1" t="s">
        <v>18</v>
      </c>
      <c r="D1836" s="1" t="s">
        <v>15</v>
      </c>
      <c r="E1836" s="1">
        <v>0.68410879629629628</v>
      </c>
      <c r="F1836" s="1" t="s">
        <v>13</v>
      </c>
      <c r="G1836" s="1">
        <v>2.95</v>
      </c>
      <c r="H1836" s="1">
        <v>3.01</v>
      </c>
      <c r="I1836" s="1">
        <v>0</v>
      </c>
      <c r="J1836" s="4">
        <v>41111</v>
      </c>
      <c r="K1836" s="4">
        <v>41841</v>
      </c>
      <c r="L1836">
        <f t="shared" si="28"/>
        <v>2.98</v>
      </c>
    </row>
    <row r="1837" spans="1:12" x14ac:dyDescent="0.15">
      <c r="A1837" s="1">
        <v>1836</v>
      </c>
      <c r="B1837" s="4">
        <v>41110</v>
      </c>
      <c r="C1837" s="1" t="s">
        <v>16</v>
      </c>
      <c r="D1837" s="1" t="s">
        <v>15</v>
      </c>
      <c r="E1837" s="1">
        <v>0.68412037037037043</v>
      </c>
      <c r="F1837" s="1" t="s">
        <v>13</v>
      </c>
      <c r="G1837" s="1">
        <v>2.93</v>
      </c>
      <c r="H1837" s="1">
        <v>2.99</v>
      </c>
      <c r="I1837" s="1">
        <v>0</v>
      </c>
      <c r="J1837" s="4">
        <v>41111</v>
      </c>
      <c r="K1837" s="4">
        <v>42572</v>
      </c>
      <c r="L1837">
        <f t="shared" si="28"/>
        <v>2.96</v>
      </c>
    </row>
    <row r="1838" spans="1:12" x14ac:dyDescent="0.15">
      <c r="A1838" s="1">
        <v>1837</v>
      </c>
      <c r="B1838" s="4">
        <v>41110</v>
      </c>
      <c r="C1838" s="1" t="s">
        <v>25</v>
      </c>
      <c r="D1838" s="1" t="s">
        <v>15</v>
      </c>
      <c r="E1838" s="1">
        <v>0.68412037037037043</v>
      </c>
      <c r="F1838" s="1" t="s">
        <v>13</v>
      </c>
      <c r="G1838" s="1">
        <v>2.95</v>
      </c>
      <c r="H1838" s="1">
        <v>3</v>
      </c>
      <c r="I1838" s="1">
        <v>0</v>
      </c>
      <c r="J1838" s="4">
        <v>41111</v>
      </c>
      <c r="K1838" s="4">
        <v>42937</v>
      </c>
      <c r="L1838">
        <f t="shared" si="28"/>
        <v>2.9750000000000001</v>
      </c>
    </row>
    <row r="1839" spans="1:12" x14ac:dyDescent="0.15">
      <c r="A1839" s="1">
        <v>1838</v>
      </c>
      <c r="B1839" s="4">
        <v>41110</v>
      </c>
      <c r="C1839" s="1" t="s">
        <v>22</v>
      </c>
      <c r="D1839" s="1" t="s">
        <v>26</v>
      </c>
      <c r="E1839" s="1">
        <v>0.68452546296296291</v>
      </c>
      <c r="F1839" s="1" t="s">
        <v>13</v>
      </c>
      <c r="G1839" s="1">
        <v>3.45</v>
      </c>
      <c r="H1839" s="1">
        <v>3.5</v>
      </c>
      <c r="I1839" s="1">
        <v>0</v>
      </c>
      <c r="J1839" s="4">
        <v>41111</v>
      </c>
      <c r="K1839" s="4">
        <v>41295</v>
      </c>
      <c r="L1839">
        <f t="shared" si="28"/>
        <v>3.4750000000000001</v>
      </c>
    </row>
    <row r="1840" spans="1:12" x14ac:dyDescent="0.15">
      <c r="A1840" s="1">
        <v>1839</v>
      </c>
      <c r="B1840" s="4">
        <v>41110</v>
      </c>
      <c r="C1840" s="1" t="s">
        <v>25</v>
      </c>
      <c r="D1840" s="1" t="s">
        <v>26</v>
      </c>
      <c r="E1840" s="1">
        <v>0.68457175925925917</v>
      </c>
      <c r="F1840" s="1" t="s">
        <v>13</v>
      </c>
      <c r="G1840" s="1">
        <v>2.9</v>
      </c>
      <c r="H1840" s="1">
        <v>3</v>
      </c>
      <c r="I1840" s="1">
        <v>0</v>
      </c>
      <c r="J1840" s="4">
        <v>41111</v>
      </c>
      <c r="K1840" s="4">
        <v>42937</v>
      </c>
      <c r="L1840">
        <f t="shared" si="28"/>
        <v>2.95</v>
      </c>
    </row>
    <row r="1841" spans="1:12" x14ac:dyDescent="0.15">
      <c r="A1841" s="1">
        <v>1840</v>
      </c>
      <c r="B1841" s="4">
        <v>41110</v>
      </c>
      <c r="C1841" s="1" t="s">
        <v>21</v>
      </c>
      <c r="D1841" s="1" t="s">
        <v>26</v>
      </c>
      <c r="E1841" s="1">
        <v>0.68456018518518524</v>
      </c>
      <c r="F1841" s="1" t="s">
        <v>13</v>
      </c>
      <c r="G1841" s="1">
        <v>2.9</v>
      </c>
      <c r="H1841" s="1">
        <v>3</v>
      </c>
      <c r="I1841" s="1">
        <v>0</v>
      </c>
      <c r="J1841" s="4">
        <v>41111</v>
      </c>
      <c r="K1841" s="4">
        <v>43667</v>
      </c>
      <c r="L1841">
        <f t="shared" si="28"/>
        <v>2.95</v>
      </c>
    </row>
    <row r="1842" spans="1:12" x14ac:dyDescent="0.15">
      <c r="A1842" s="1">
        <v>1841</v>
      </c>
      <c r="B1842" s="4">
        <v>41110</v>
      </c>
      <c r="C1842" s="1" t="s">
        <v>11</v>
      </c>
      <c r="D1842" s="1" t="s">
        <v>26</v>
      </c>
      <c r="E1842" s="1">
        <v>0.68457175925925917</v>
      </c>
      <c r="F1842" s="1" t="s">
        <v>13</v>
      </c>
      <c r="G1842" s="1">
        <v>2.9</v>
      </c>
      <c r="H1842" s="1">
        <v>3</v>
      </c>
      <c r="I1842" s="1">
        <v>0</v>
      </c>
      <c r="J1842" s="4">
        <v>41111</v>
      </c>
      <c r="K1842" s="4">
        <v>42206</v>
      </c>
      <c r="L1842">
        <f t="shared" si="28"/>
        <v>2.95</v>
      </c>
    </row>
    <row r="1843" spans="1:12" x14ac:dyDescent="0.15">
      <c r="A1843" s="1">
        <v>1842</v>
      </c>
      <c r="B1843" s="4">
        <v>41110</v>
      </c>
      <c r="C1843" s="1" t="s">
        <v>16</v>
      </c>
      <c r="D1843" s="1" t="s">
        <v>26</v>
      </c>
      <c r="E1843" s="1">
        <v>0.68457175925925917</v>
      </c>
      <c r="F1843" s="1" t="s">
        <v>13</v>
      </c>
      <c r="G1843" s="1">
        <v>2.9</v>
      </c>
      <c r="H1843" s="1">
        <v>3</v>
      </c>
      <c r="I1843" s="1">
        <v>0</v>
      </c>
      <c r="J1843" s="4">
        <v>41111</v>
      </c>
      <c r="K1843" s="4">
        <v>42572</v>
      </c>
      <c r="L1843">
        <f t="shared" si="28"/>
        <v>2.95</v>
      </c>
    </row>
    <row r="1844" spans="1:12" x14ac:dyDescent="0.15">
      <c r="A1844" s="1">
        <v>1843</v>
      </c>
      <c r="B1844" s="4">
        <v>41110</v>
      </c>
      <c r="C1844" s="1" t="s">
        <v>20</v>
      </c>
      <c r="D1844" s="1" t="s">
        <v>26</v>
      </c>
      <c r="E1844" s="1">
        <v>0.68454861111111109</v>
      </c>
      <c r="F1844" s="1" t="s">
        <v>13</v>
      </c>
      <c r="G1844" s="1">
        <v>2.9</v>
      </c>
      <c r="H1844" s="1">
        <v>3</v>
      </c>
      <c r="I1844" s="1">
        <v>0</v>
      </c>
      <c r="J1844" s="4">
        <v>41111</v>
      </c>
      <c r="K1844" s="4">
        <v>44763</v>
      </c>
      <c r="L1844">
        <f t="shared" si="28"/>
        <v>2.95</v>
      </c>
    </row>
    <row r="1845" spans="1:12" x14ac:dyDescent="0.15">
      <c r="A1845" s="1">
        <v>1844</v>
      </c>
      <c r="B1845" s="4">
        <v>41110</v>
      </c>
      <c r="C1845" s="1" t="s">
        <v>14</v>
      </c>
      <c r="D1845" s="1" t="s">
        <v>26</v>
      </c>
      <c r="E1845" s="1">
        <v>0.68453703703703705</v>
      </c>
      <c r="F1845" s="1" t="s">
        <v>13</v>
      </c>
      <c r="G1845" s="1">
        <v>3.1</v>
      </c>
      <c r="H1845" s="1">
        <v>3.15</v>
      </c>
      <c r="I1845" s="1">
        <v>0</v>
      </c>
      <c r="J1845" s="4">
        <v>41111</v>
      </c>
      <c r="K1845" s="4">
        <v>41476</v>
      </c>
      <c r="L1845">
        <f t="shared" si="28"/>
        <v>3.125</v>
      </c>
    </row>
    <row r="1846" spans="1:12" x14ac:dyDescent="0.15">
      <c r="A1846" s="1">
        <v>1845</v>
      </c>
      <c r="B1846" s="4">
        <v>41110</v>
      </c>
      <c r="C1846" s="1" t="s">
        <v>19</v>
      </c>
      <c r="D1846" s="1" t="s">
        <v>26</v>
      </c>
      <c r="E1846" s="1">
        <v>0.68456018518518524</v>
      </c>
      <c r="F1846" s="1" t="s">
        <v>13</v>
      </c>
      <c r="G1846" s="1">
        <v>3.2</v>
      </c>
      <c r="H1846" s="1">
        <v>3.28</v>
      </c>
      <c r="I1846" s="1">
        <v>0</v>
      </c>
      <c r="J1846" s="4">
        <v>41111</v>
      </c>
      <c r="K1846" s="4">
        <v>41385</v>
      </c>
      <c r="L1846">
        <f t="shared" si="28"/>
        <v>3.24</v>
      </c>
    </row>
    <row r="1847" spans="1:12" x14ac:dyDescent="0.15">
      <c r="A1847" s="1">
        <v>1846</v>
      </c>
      <c r="B1847" s="4">
        <v>41110</v>
      </c>
      <c r="C1847" s="1" t="s">
        <v>18</v>
      </c>
      <c r="D1847" s="1" t="s">
        <v>26</v>
      </c>
      <c r="E1847" s="1">
        <v>0.68454861111111109</v>
      </c>
      <c r="F1847" s="1" t="s">
        <v>13</v>
      </c>
      <c r="G1847" s="1">
        <v>2.93</v>
      </c>
      <c r="H1847" s="1">
        <v>3.02</v>
      </c>
      <c r="I1847" s="1">
        <v>0</v>
      </c>
      <c r="J1847" s="4">
        <v>41111</v>
      </c>
      <c r="K1847" s="4">
        <v>41841</v>
      </c>
      <c r="L1847">
        <f t="shared" si="28"/>
        <v>2.9750000000000001</v>
      </c>
    </row>
    <row r="1848" spans="1:12" x14ac:dyDescent="0.15">
      <c r="A1848" s="1">
        <v>1847</v>
      </c>
      <c r="B1848" s="4">
        <v>41110</v>
      </c>
      <c r="C1848" s="1" t="s">
        <v>19</v>
      </c>
      <c r="D1848" s="1" t="s">
        <v>26</v>
      </c>
      <c r="E1848" s="1">
        <v>0.67385416666666664</v>
      </c>
      <c r="F1848" s="1" t="s">
        <v>13</v>
      </c>
      <c r="G1848" s="1">
        <v>3.2</v>
      </c>
      <c r="H1848" s="1">
        <v>3.28</v>
      </c>
      <c r="I1848" s="1">
        <v>0</v>
      </c>
      <c r="J1848" s="4">
        <v>41111</v>
      </c>
      <c r="K1848" s="4">
        <v>41385</v>
      </c>
      <c r="L1848">
        <f t="shared" si="28"/>
        <v>3.24</v>
      </c>
    </row>
    <row r="1849" spans="1:12" x14ac:dyDescent="0.15">
      <c r="A1849" s="1">
        <v>1848</v>
      </c>
      <c r="B1849" s="4">
        <v>41110</v>
      </c>
      <c r="C1849" s="1" t="s">
        <v>21</v>
      </c>
      <c r="D1849" s="1" t="s">
        <v>26</v>
      </c>
      <c r="E1849" s="1">
        <v>0.67384259259259249</v>
      </c>
      <c r="F1849" s="1" t="s">
        <v>13</v>
      </c>
      <c r="G1849" s="1">
        <v>2.9</v>
      </c>
      <c r="H1849" s="1">
        <v>3</v>
      </c>
      <c r="I1849" s="1">
        <v>0</v>
      </c>
      <c r="J1849" s="4">
        <v>41111</v>
      </c>
      <c r="K1849" s="4">
        <v>43667</v>
      </c>
      <c r="L1849">
        <f t="shared" si="28"/>
        <v>2.95</v>
      </c>
    </row>
    <row r="1850" spans="1:12" x14ac:dyDescent="0.15">
      <c r="A1850" s="1">
        <v>1849</v>
      </c>
      <c r="B1850" s="4">
        <v>41110</v>
      </c>
      <c r="C1850" s="1" t="s">
        <v>16</v>
      </c>
      <c r="D1850" s="1" t="s">
        <v>26</v>
      </c>
      <c r="E1850" s="1">
        <v>0.67387731481481483</v>
      </c>
      <c r="F1850" s="1" t="s">
        <v>13</v>
      </c>
      <c r="G1850" s="1">
        <v>2.9</v>
      </c>
      <c r="H1850" s="1">
        <v>3</v>
      </c>
      <c r="I1850" s="1">
        <v>0</v>
      </c>
      <c r="J1850" s="4">
        <v>41111</v>
      </c>
      <c r="K1850" s="4">
        <v>42572</v>
      </c>
      <c r="L1850">
        <f t="shared" si="28"/>
        <v>2.95</v>
      </c>
    </row>
    <row r="1851" spans="1:12" x14ac:dyDescent="0.15">
      <c r="A1851" s="1">
        <v>1850</v>
      </c>
      <c r="B1851" s="4">
        <v>41110</v>
      </c>
      <c r="C1851" s="1" t="s">
        <v>25</v>
      </c>
      <c r="D1851" s="1" t="s">
        <v>26</v>
      </c>
      <c r="E1851" s="1">
        <v>0.67387731481481483</v>
      </c>
      <c r="F1851" s="1" t="s">
        <v>13</v>
      </c>
      <c r="G1851" s="1">
        <v>2.9</v>
      </c>
      <c r="H1851" s="1">
        <v>3</v>
      </c>
      <c r="I1851" s="1">
        <v>0</v>
      </c>
      <c r="J1851" s="4">
        <v>41111</v>
      </c>
      <c r="K1851" s="4">
        <v>42937</v>
      </c>
      <c r="L1851">
        <f t="shared" si="28"/>
        <v>2.95</v>
      </c>
    </row>
    <row r="1852" spans="1:12" x14ac:dyDescent="0.15">
      <c r="A1852" s="1">
        <v>1851</v>
      </c>
      <c r="B1852" s="4">
        <v>41110</v>
      </c>
      <c r="C1852" s="1" t="s">
        <v>18</v>
      </c>
      <c r="D1852" s="1" t="s">
        <v>26</v>
      </c>
      <c r="E1852" s="1">
        <v>0.67383101851851857</v>
      </c>
      <c r="F1852" s="1" t="s">
        <v>13</v>
      </c>
      <c r="G1852" s="1">
        <v>2.93</v>
      </c>
      <c r="H1852" s="1">
        <v>3.02</v>
      </c>
      <c r="I1852" s="1">
        <v>0</v>
      </c>
      <c r="J1852" s="4">
        <v>41111</v>
      </c>
      <c r="K1852" s="4">
        <v>41841</v>
      </c>
      <c r="L1852">
        <f t="shared" si="28"/>
        <v>2.9750000000000001</v>
      </c>
    </row>
    <row r="1853" spans="1:12" x14ac:dyDescent="0.15">
      <c r="A1853" s="1">
        <v>1852</v>
      </c>
      <c r="B1853" s="4">
        <v>41110</v>
      </c>
      <c r="C1853" s="1" t="s">
        <v>22</v>
      </c>
      <c r="D1853" s="1" t="s">
        <v>26</v>
      </c>
      <c r="E1853" s="1">
        <v>0.67381944444444442</v>
      </c>
      <c r="F1853" s="1" t="s">
        <v>13</v>
      </c>
      <c r="G1853" s="1">
        <v>3.45</v>
      </c>
      <c r="H1853" s="1">
        <v>3.5</v>
      </c>
      <c r="I1853" s="1">
        <v>0</v>
      </c>
      <c r="J1853" s="4">
        <v>41111</v>
      </c>
      <c r="K1853" s="4">
        <v>41295</v>
      </c>
      <c r="L1853">
        <f t="shared" si="28"/>
        <v>3.4750000000000001</v>
      </c>
    </row>
    <row r="1854" spans="1:12" x14ac:dyDescent="0.15">
      <c r="A1854" s="1">
        <v>1853</v>
      </c>
      <c r="B1854" s="4">
        <v>41110</v>
      </c>
      <c r="C1854" s="1" t="s">
        <v>20</v>
      </c>
      <c r="D1854" s="1" t="s">
        <v>26</v>
      </c>
      <c r="E1854" s="1">
        <v>0.67383101851851857</v>
      </c>
      <c r="F1854" s="1" t="s">
        <v>13</v>
      </c>
      <c r="G1854" s="1">
        <v>2.9</v>
      </c>
      <c r="H1854" s="1">
        <v>3</v>
      </c>
      <c r="I1854" s="1">
        <v>0</v>
      </c>
      <c r="J1854" s="4">
        <v>41111</v>
      </c>
      <c r="K1854" s="4">
        <v>44763</v>
      </c>
      <c r="L1854">
        <f t="shared" si="28"/>
        <v>2.95</v>
      </c>
    </row>
    <row r="1855" spans="1:12" x14ac:dyDescent="0.15">
      <c r="A1855" s="1">
        <v>1854</v>
      </c>
      <c r="B1855" s="4">
        <v>41110</v>
      </c>
      <c r="C1855" s="1" t="s">
        <v>14</v>
      </c>
      <c r="D1855" s="1" t="s">
        <v>26</v>
      </c>
      <c r="E1855" s="1">
        <v>0.67383101851851857</v>
      </c>
      <c r="F1855" s="1" t="s">
        <v>13</v>
      </c>
      <c r="G1855" s="1">
        <v>3.1</v>
      </c>
      <c r="H1855" s="1">
        <v>3.15</v>
      </c>
      <c r="I1855" s="1">
        <v>0</v>
      </c>
      <c r="J1855" s="4">
        <v>41111</v>
      </c>
      <c r="K1855" s="4">
        <v>41476</v>
      </c>
      <c r="L1855">
        <f t="shared" si="28"/>
        <v>3.125</v>
      </c>
    </row>
    <row r="1856" spans="1:12" x14ac:dyDescent="0.15">
      <c r="A1856" s="1">
        <v>1855</v>
      </c>
      <c r="B1856" s="4">
        <v>41110</v>
      </c>
      <c r="C1856" s="1" t="s">
        <v>11</v>
      </c>
      <c r="D1856" s="1" t="s">
        <v>26</v>
      </c>
      <c r="E1856" s="1">
        <v>0.67387731481481483</v>
      </c>
      <c r="F1856" s="1" t="s">
        <v>13</v>
      </c>
      <c r="G1856" s="1">
        <v>2.9</v>
      </c>
      <c r="H1856" s="1">
        <v>3</v>
      </c>
      <c r="I1856" s="1">
        <v>0</v>
      </c>
      <c r="J1856" s="4">
        <v>41111</v>
      </c>
      <c r="K1856" s="4">
        <v>42206</v>
      </c>
      <c r="L1856">
        <f t="shared" si="28"/>
        <v>2.95</v>
      </c>
    </row>
    <row r="1857" spans="1:12" x14ac:dyDescent="0.15">
      <c r="A1857" s="1">
        <v>1856</v>
      </c>
      <c r="B1857" s="4">
        <v>41110</v>
      </c>
      <c r="C1857" s="1" t="s">
        <v>22</v>
      </c>
      <c r="D1857" s="1" t="s">
        <v>27</v>
      </c>
      <c r="E1857" s="1">
        <v>0.68011574074074066</v>
      </c>
      <c r="F1857" s="1" t="s">
        <v>13</v>
      </c>
      <c r="G1857" s="1">
        <v>3.48</v>
      </c>
      <c r="H1857" s="1">
        <v>3.53</v>
      </c>
      <c r="I1857" s="1">
        <v>0</v>
      </c>
      <c r="J1857" s="4">
        <v>41111</v>
      </c>
      <c r="K1857" s="4">
        <v>41295</v>
      </c>
      <c r="L1857">
        <f t="shared" si="28"/>
        <v>3.5049999999999999</v>
      </c>
    </row>
    <row r="1858" spans="1:12" x14ac:dyDescent="0.15">
      <c r="A1858" s="1">
        <v>1857</v>
      </c>
      <c r="B1858" s="4">
        <v>41110</v>
      </c>
      <c r="C1858" s="1" t="s">
        <v>18</v>
      </c>
      <c r="D1858" s="1" t="s">
        <v>27</v>
      </c>
      <c r="E1858" s="1">
        <v>0.68011574074074066</v>
      </c>
      <c r="F1858" s="1" t="s">
        <v>13</v>
      </c>
      <c r="G1858" s="1">
        <v>2.94</v>
      </c>
      <c r="H1858" s="1">
        <v>3.04</v>
      </c>
      <c r="I1858" s="1">
        <v>0</v>
      </c>
      <c r="J1858" s="4">
        <v>41111</v>
      </c>
      <c r="K1858" s="4">
        <v>41841</v>
      </c>
      <c r="L1858">
        <f t="shared" si="28"/>
        <v>2.99</v>
      </c>
    </row>
    <row r="1859" spans="1:12" x14ac:dyDescent="0.15">
      <c r="A1859" s="1">
        <v>1858</v>
      </c>
      <c r="B1859" s="4">
        <v>41110</v>
      </c>
      <c r="C1859" s="1" t="s">
        <v>22</v>
      </c>
      <c r="D1859" s="1" t="s">
        <v>15</v>
      </c>
      <c r="E1859" s="1">
        <v>0.68409722222222225</v>
      </c>
      <c r="F1859" s="1" t="s">
        <v>13</v>
      </c>
      <c r="G1859" s="1">
        <v>3.47</v>
      </c>
      <c r="H1859" s="1">
        <v>3.53</v>
      </c>
      <c r="I1859" s="1">
        <v>0</v>
      </c>
      <c r="J1859" s="4">
        <v>41111</v>
      </c>
      <c r="K1859" s="4">
        <v>41295</v>
      </c>
      <c r="L1859">
        <f t="shared" ref="L1859:L1922" si="29">AVERAGE(G1859:H1859)</f>
        <v>3.5</v>
      </c>
    </row>
    <row r="1860" spans="1:12" x14ac:dyDescent="0.15">
      <c r="A1860" s="1">
        <v>1859</v>
      </c>
      <c r="B1860" s="4">
        <v>41110</v>
      </c>
      <c r="C1860" s="1" t="s">
        <v>11</v>
      </c>
      <c r="D1860" s="1" t="s">
        <v>27</v>
      </c>
      <c r="E1860" s="1">
        <v>0.68011574074074066</v>
      </c>
      <c r="F1860" s="1" t="s">
        <v>13</v>
      </c>
      <c r="G1860" s="1">
        <v>2.91</v>
      </c>
      <c r="H1860" s="1">
        <v>3.01</v>
      </c>
      <c r="I1860" s="1">
        <v>0</v>
      </c>
      <c r="J1860" s="4">
        <v>41111</v>
      </c>
      <c r="K1860" s="4">
        <v>42206</v>
      </c>
      <c r="L1860">
        <f t="shared" si="29"/>
        <v>2.96</v>
      </c>
    </row>
    <row r="1861" spans="1:12" x14ac:dyDescent="0.15">
      <c r="A1861" s="1">
        <v>1860</v>
      </c>
      <c r="B1861" s="4">
        <v>41110</v>
      </c>
      <c r="C1861" s="1" t="s">
        <v>25</v>
      </c>
      <c r="D1861" s="1" t="s">
        <v>27</v>
      </c>
      <c r="E1861" s="1">
        <v>0.68009259259259258</v>
      </c>
      <c r="F1861" s="1" t="s">
        <v>13</v>
      </c>
      <c r="G1861" s="1">
        <v>2.94</v>
      </c>
      <c r="H1861" s="1">
        <v>3.04</v>
      </c>
      <c r="I1861" s="1">
        <v>0</v>
      </c>
      <c r="J1861" s="4">
        <v>41111</v>
      </c>
      <c r="K1861" s="4">
        <v>42937</v>
      </c>
      <c r="L1861">
        <f t="shared" si="29"/>
        <v>2.99</v>
      </c>
    </row>
    <row r="1862" spans="1:12" x14ac:dyDescent="0.15">
      <c r="A1862" s="1">
        <v>1861</v>
      </c>
      <c r="B1862" s="4">
        <v>41110</v>
      </c>
      <c r="C1862" s="1" t="s">
        <v>14</v>
      </c>
      <c r="D1862" s="1" t="s">
        <v>27</v>
      </c>
      <c r="E1862" s="1">
        <v>0.68009259259259258</v>
      </c>
      <c r="F1862" s="1" t="s">
        <v>13</v>
      </c>
      <c r="G1862" s="1">
        <v>3.18</v>
      </c>
      <c r="H1862" s="1">
        <v>3.25</v>
      </c>
      <c r="I1862" s="1">
        <v>0</v>
      </c>
      <c r="J1862" s="4">
        <v>41111</v>
      </c>
      <c r="K1862" s="4">
        <v>41476</v>
      </c>
      <c r="L1862">
        <f t="shared" si="29"/>
        <v>3.2149999999999999</v>
      </c>
    </row>
    <row r="1863" spans="1:12" x14ac:dyDescent="0.15">
      <c r="A1863" s="1">
        <v>1862</v>
      </c>
      <c r="B1863" s="4">
        <v>41110</v>
      </c>
      <c r="C1863" s="1" t="s">
        <v>16</v>
      </c>
      <c r="D1863" s="1" t="s">
        <v>27</v>
      </c>
      <c r="E1863" s="1">
        <v>0.68010416666666673</v>
      </c>
      <c r="F1863" s="1" t="s">
        <v>13</v>
      </c>
      <c r="G1863" s="1">
        <v>2.91</v>
      </c>
      <c r="H1863" s="1">
        <v>3.01</v>
      </c>
      <c r="I1863" s="1">
        <v>0</v>
      </c>
      <c r="J1863" s="4">
        <v>41111</v>
      </c>
      <c r="K1863" s="4">
        <v>42572</v>
      </c>
      <c r="L1863">
        <f t="shared" si="29"/>
        <v>2.96</v>
      </c>
    </row>
    <row r="1864" spans="1:12" x14ac:dyDescent="0.15">
      <c r="A1864" s="1">
        <v>1863</v>
      </c>
      <c r="B1864" s="4">
        <v>41110</v>
      </c>
      <c r="C1864" s="1" t="s">
        <v>19</v>
      </c>
      <c r="D1864" s="1" t="s">
        <v>27</v>
      </c>
      <c r="E1864" s="1">
        <v>0.68010416666666673</v>
      </c>
      <c r="F1864" s="1" t="s">
        <v>13</v>
      </c>
      <c r="G1864" s="1">
        <v>3.25</v>
      </c>
      <c r="H1864" s="1">
        <v>3.35</v>
      </c>
      <c r="I1864" s="1">
        <v>0</v>
      </c>
      <c r="J1864" s="4">
        <v>41111</v>
      </c>
      <c r="K1864" s="4">
        <v>41385</v>
      </c>
      <c r="L1864">
        <f t="shared" si="29"/>
        <v>3.3</v>
      </c>
    </row>
    <row r="1865" spans="1:12" x14ac:dyDescent="0.15">
      <c r="A1865" s="1">
        <v>1864</v>
      </c>
      <c r="B1865" s="4">
        <v>41109</v>
      </c>
      <c r="C1865" s="1" t="s">
        <v>18</v>
      </c>
      <c r="D1865" s="1" t="s">
        <v>30</v>
      </c>
      <c r="E1865" s="1">
        <v>0.49629629629629629</v>
      </c>
      <c r="F1865" s="1" t="s">
        <v>13</v>
      </c>
      <c r="G1865" s="1">
        <v>2.94</v>
      </c>
      <c r="H1865" s="1">
        <v>3.04</v>
      </c>
      <c r="I1865" s="1">
        <v>0</v>
      </c>
      <c r="J1865" s="4">
        <v>41110</v>
      </c>
      <c r="K1865" s="4">
        <v>41840</v>
      </c>
      <c r="L1865">
        <f t="shared" si="29"/>
        <v>2.99</v>
      </c>
    </row>
    <row r="1866" spans="1:12" x14ac:dyDescent="0.15">
      <c r="A1866" s="1">
        <v>1865</v>
      </c>
      <c r="B1866" s="4">
        <v>41109</v>
      </c>
      <c r="C1866" s="1" t="s">
        <v>11</v>
      </c>
      <c r="D1866" s="1" t="s">
        <v>30</v>
      </c>
      <c r="E1866" s="1">
        <v>0.49629629629629629</v>
      </c>
      <c r="F1866" s="1" t="s">
        <v>13</v>
      </c>
      <c r="G1866" s="1">
        <v>2.91</v>
      </c>
      <c r="H1866" s="1">
        <v>3.01</v>
      </c>
      <c r="I1866" s="1">
        <v>0</v>
      </c>
      <c r="J1866" s="4">
        <v>41110</v>
      </c>
      <c r="K1866" s="4">
        <v>42205</v>
      </c>
      <c r="L1866">
        <f t="shared" si="29"/>
        <v>2.96</v>
      </c>
    </row>
    <row r="1867" spans="1:12" x14ac:dyDescent="0.15">
      <c r="A1867" s="1">
        <v>1866</v>
      </c>
      <c r="B1867" s="4">
        <v>41109</v>
      </c>
      <c r="C1867" s="1" t="s">
        <v>20</v>
      </c>
      <c r="D1867" s="1" t="s">
        <v>30</v>
      </c>
      <c r="E1867" s="1">
        <v>0.49629629629629629</v>
      </c>
      <c r="F1867" s="1" t="s">
        <v>13</v>
      </c>
      <c r="G1867" s="1">
        <v>3.02</v>
      </c>
      <c r="H1867" s="1">
        <v>3.12</v>
      </c>
      <c r="I1867" s="1">
        <v>0</v>
      </c>
      <c r="J1867" s="4">
        <v>41110</v>
      </c>
      <c r="K1867" s="4">
        <v>44762</v>
      </c>
      <c r="L1867">
        <f t="shared" si="29"/>
        <v>3.0700000000000003</v>
      </c>
    </row>
    <row r="1868" spans="1:12" x14ac:dyDescent="0.15">
      <c r="A1868" s="1">
        <v>1867</v>
      </c>
      <c r="B1868" s="4">
        <v>41109</v>
      </c>
      <c r="C1868" s="1" t="s">
        <v>14</v>
      </c>
      <c r="D1868" s="1" t="s">
        <v>30</v>
      </c>
      <c r="E1868" s="1">
        <v>0.49629629629629629</v>
      </c>
      <c r="F1868" s="1" t="s">
        <v>13</v>
      </c>
      <c r="G1868" s="1">
        <v>3.12</v>
      </c>
      <c r="H1868" s="1">
        <v>3.22</v>
      </c>
      <c r="I1868" s="1">
        <v>0</v>
      </c>
      <c r="J1868" s="4">
        <v>41110</v>
      </c>
      <c r="K1868" s="4">
        <v>41475</v>
      </c>
      <c r="L1868">
        <f t="shared" si="29"/>
        <v>3.17</v>
      </c>
    </row>
    <row r="1869" spans="1:12" x14ac:dyDescent="0.15">
      <c r="A1869" s="1">
        <v>1868</v>
      </c>
      <c r="B1869" s="4">
        <v>41109</v>
      </c>
      <c r="C1869" s="1" t="s">
        <v>22</v>
      </c>
      <c r="D1869" s="1" t="s">
        <v>30</v>
      </c>
      <c r="E1869" s="1">
        <v>0.49627314814814816</v>
      </c>
      <c r="F1869" s="1" t="s">
        <v>13</v>
      </c>
      <c r="G1869" s="1">
        <v>3.47</v>
      </c>
      <c r="H1869" s="1">
        <v>3.57</v>
      </c>
      <c r="I1869" s="1">
        <v>0</v>
      </c>
      <c r="J1869" s="4">
        <v>41110</v>
      </c>
      <c r="K1869" s="4">
        <v>41294</v>
      </c>
      <c r="L1869">
        <f t="shared" si="29"/>
        <v>3.52</v>
      </c>
    </row>
    <row r="1870" spans="1:12" x14ac:dyDescent="0.15">
      <c r="A1870" s="1">
        <v>1869</v>
      </c>
      <c r="B1870" s="4">
        <v>41109</v>
      </c>
      <c r="C1870" s="1" t="s">
        <v>21</v>
      </c>
      <c r="D1870" s="1" t="s">
        <v>30</v>
      </c>
      <c r="E1870" s="1">
        <v>0.49627314814814816</v>
      </c>
      <c r="F1870" s="1" t="s">
        <v>13</v>
      </c>
      <c r="G1870" s="1">
        <v>2.97</v>
      </c>
      <c r="H1870" s="1">
        <v>3.07</v>
      </c>
      <c r="I1870" s="1">
        <v>0</v>
      </c>
      <c r="J1870" s="4">
        <v>41110</v>
      </c>
      <c r="K1870" s="4">
        <v>43666</v>
      </c>
      <c r="L1870">
        <f t="shared" si="29"/>
        <v>3.02</v>
      </c>
    </row>
    <row r="1871" spans="1:12" x14ac:dyDescent="0.15">
      <c r="A1871" s="1">
        <v>1870</v>
      </c>
      <c r="B1871" s="4">
        <v>41109</v>
      </c>
      <c r="C1871" s="1" t="s">
        <v>16</v>
      </c>
      <c r="D1871" s="1" t="s">
        <v>30</v>
      </c>
      <c r="E1871" s="1">
        <v>0.4962847222222222</v>
      </c>
      <c r="F1871" s="1" t="s">
        <v>13</v>
      </c>
      <c r="G1871" s="1">
        <v>2.91</v>
      </c>
      <c r="H1871" s="1">
        <v>3.01</v>
      </c>
      <c r="I1871" s="1">
        <v>0</v>
      </c>
      <c r="J1871" s="4">
        <v>41110</v>
      </c>
      <c r="K1871" s="4">
        <v>42571</v>
      </c>
      <c r="L1871">
        <f t="shared" si="29"/>
        <v>2.96</v>
      </c>
    </row>
    <row r="1872" spans="1:12" x14ac:dyDescent="0.15">
      <c r="A1872" s="1">
        <v>1871</v>
      </c>
      <c r="B1872" s="4">
        <v>41109</v>
      </c>
      <c r="C1872" s="1" t="s">
        <v>25</v>
      </c>
      <c r="D1872" s="1" t="s">
        <v>30</v>
      </c>
      <c r="E1872" s="1">
        <v>0.49627314814814816</v>
      </c>
      <c r="F1872" s="1" t="s">
        <v>13</v>
      </c>
      <c r="G1872" s="1">
        <v>2.91</v>
      </c>
      <c r="H1872" s="1">
        <v>3.01</v>
      </c>
      <c r="I1872" s="1">
        <v>0</v>
      </c>
      <c r="J1872" s="4">
        <v>41110</v>
      </c>
      <c r="K1872" s="4">
        <v>42936</v>
      </c>
      <c r="L1872">
        <f t="shared" si="29"/>
        <v>2.96</v>
      </c>
    </row>
    <row r="1873" spans="1:12" x14ac:dyDescent="0.15">
      <c r="A1873" s="1">
        <v>1872</v>
      </c>
      <c r="B1873" s="4">
        <v>41109</v>
      </c>
      <c r="C1873" s="1" t="s">
        <v>14</v>
      </c>
      <c r="D1873" s="1" t="s">
        <v>15</v>
      </c>
      <c r="E1873" s="1">
        <v>0.49740740740740735</v>
      </c>
      <c r="F1873" s="1" t="s">
        <v>13</v>
      </c>
      <c r="G1873" s="1">
        <v>3.14</v>
      </c>
      <c r="H1873" s="1">
        <v>3.2</v>
      </c>
      <c r="I1873" s="1">
        <v>0</v>
      </c>
      <c r="J1873" s="4">
        <v>41110</v>
      </c>
      <c r="K1873" s="4">
        <v>41475</v>
      </c>
      <c r="L1873">
        <f t="shared" si="29"/>
        <v>3.17</v>
      </c>
    </row>
    <row r="1874" spans="1:12" x14ac:dyDescent="0.15">
      <c r="A1874" s="1">
        <v>1873</v>
      </c>
      <c r="B1874" s="4">
        <v>41109</v>
      </c>
      <c r="C1874" s="1" t="s">
        <v>25</v>
      </c>
      <c r="D1874" s="1" t="s">
        <v>15</v>
      </c>
      <c r="E1874" s="1">
        <v>0.4974189814814815</v>
      </c>
      <c r="F1874" s="1" t="s">
        <v>13</v>
      </c>
      <c r="G1874" s="1">
        <v>2.95</v>
      </c>
      <c r="H1874" s="1">
        <v>3.01</v>
      </c>
      <c r="I1874" s="1">
        <v>0</v>
      </c>
      <c r="J1874" s="4">
        <v>41110</v>
      </c>
      <c r="K1874" s="4">
        <v>42936</v>
      </c>
      <c r="L1874">
        <f t="shared" si="29"/>
        <v>2.98</v>
      </c>
    </row>
    <row r="1875" spans="1:12" x14ac:dyDescent="0.15">
      <c r="A1875" s="1">
        <v>1874</v>
      </c>
      <c r="B1875" s="4">
        <v>41109</v>
      </c>
      <c r="C1875" s="1" t="s">
        <v>22</v>
      </c>
      <c r="D1875" s="1" t="s">
        <v>15</v>
      </c>
      <c r="E1875" s="1">
        <v>0.49740740740740735</v>
      </c>
      <c r="F1875" s="1" t="s">
        <v>13</v>
      </c>
      <c r="G1875" s="1">
        <v>3.49</v>
      </c>
      <c r="H1875" s="1">
        <v>3.55</v>
      </c>
      <c r="I1875" s="1">
        <v>0</v>
      </c>
      <c r="J1875" s="4">
        <v>41110</v>
      </c>
      <c r="K1875" s="4">
        <v>41294</v>
      </c>
      <c r="L1875">
        <f t="shared" si="29"/>
        <v>3.52</v>
      </c>
    </row>
    <row r="1876" spans="1:12" x14ac:dyDescent="0.15">
      <c r="A1876" s="1">
        <v>1875</v>
      </c>
      <c r="B1876" s="4">
        <v>41109</v>
      </c>
      <c r="C1876" s="1" t="s">
        <v>11</v>
      </c>
      <c r="D1876" s="1" t="s">
        <v>15</v>
      </c>
      <c r="E1876" s="1">
        <v>0.4974189814814815</v>
      </c>
      <c r="F1876" s="1" t="s">
        <v>13</v>
      </c>
      <c r="G1876" s="1">
        <v>2.93</v>
      </c>
      <c r="H1876" s="1">
        <v>2.99</v>
      </c>
      <c r="I1876" s="1">
        <v>0</v>
      </c>
      <c r="J1876" s="4">
        <v>41110</v>
      </c>
      <c r="K1876" s="4">
        <v>42205</v>
      </c>
      <c r="L1876">
        <f t="shared" si="29"/>
        <v>2.96</v>
      </c>
    </row>
    <row r="1877" spans="1:12" x14ac:dyDescent="0.15">
      <c r="A1877" s="1">
        <v>1876</v>
      </c>
      <c r="B1877" s="4">
        <v>41109</v>
      </c>
      <c r="C1877" s="1" t="s">
        <v>16</v>
      </c>
      <c r="D1877" s="1" t="s">
        <v>15</v>
      </c>
      <c r="E1877" s="1">
        <v>0.4974189814814815</v>
      </c>
      <c r="F1877" s="1" t="s">
        <v>13</v>
      </c>
      <c r="G1877" s="1">
        <v>2.94</v>
      </c>
      <c r="H1877" s="1">
        <v>3</v>
      </c>
      <c r="I1877" s="1">
        <v>0</v>
      </c>
      <c r="J1877" s="4">
        <v>41110</v>
      </c>
      <c r="K1877" s="4">
        <v>42571</v>
      </c>
      <c r="L1877">
        <f t="shared" si="29"/>
        <v>2.9699999999999998</v>
      </c>
    </row>
    <row r="1878" spans="1:12" x14ac:dyDescent="0.15">
      <c r="A1878" s="1">
        <v>1877</v>
      </c>
      <c r="B1878" s="4">
        <v>41109</v>
      </c>
      <c r="C1878" s="1" t="s">
        <v>21</v>
      </c>
      <c r="D1878" s="1" t="s">
        <v>15</v>
      </c>
      <c r="E1878" s="1">
        <v>0.49740740740740735</v>
      </c>
      <c r="F1878" s="1" t="s">
        <v>13</v>
      </c>
      <c r="G1878" s="1">
        <v>3.02</v>
      </c>
      <c r="H1878" s="1">
        <v>3.08</v>
      </c>
      <c r="I1878" s="1">
        <v>0</v>
      </c>
      <c r="J1878" s="4">
        <v>41110</v>
      </c>
      <c r="K1878" s="4">
        <v>43666</v>
      </c>
      <c r="L1878">
        <f t="shared" si="29"/>
        <v>3.05</v>
      </c>
    </row>
    <row r="1879" spans="1:12" x14ac:dyDescent="0.15">
      <c r="A1879" s="1">
        <v>1878</v>
      </c>
      <c r="B1879" s="4">
        <v>41109</v>
      </c>
      <c r="C1879" s="1" t="s">
        <v>18</v>
      </c>
      <c r="D1879" s="1" t="s">
        <v>15</v>
      </c>
      <c r="E1879" s="1">
        <v>0.49740740740740735</v>
      </c>
      <c r="F1879" s="1" t="s">
        <v>13</v>
      </c>
      <c r="G1879" s="1">
        <v>2.96</v>
      </c>
      <c r="H1879" s="1">
        <v>3.02</v>
      </c>
      <c r="I1879" s="1">
        <v>0</v>
      </c>
      <c r="J1879" s="4">
        <v>41110</v>
      </c>
      <c r="K1879" s="4">
        <v>41840</v>
      </c>
      <c r="L1879">
        <f t="shared" si="29"/>
        <v>2.99</v>
      </c>
    </row>
    <row r="1880" spans="1:12" x14ac:dyDescent="0.15">
      <c r="A1880" s="1">
        <v>1879</v>
      </c>
      <c r="B1880" s="4">
        <v>41109</v>
      </c>
      <c r="C1880" s="1" t="s">
        <v>20</v>
      </c>
      <c r="D1880" s="1" t="s">
        <v>15</v>
      </c>
      <c r="E1880" s="1">
        <v>0.49740740740740735</v>
      </c>
      <c r="F1880" s="1" t="s">
        <v>13</v>
      </c>
      <c r="G1880" s="1">
        <v>3.07</v>
      </c>
      <c r="H1880" s="1">
        <v>3.13</v>
      </c>
      <c r="I1880" s="1">
        <v>0</v>
      </c>
      <c r="J1880" s="4">
        <v>41110</v>
      </c>
      <c r="K1880" s="4">
        <v>44762</v>
      </c>
      <c r="L1880">
        <f t="shared" si="29"/>
        <v>3.0999999999999996</v>
      </c>
    </row>
    <row r="1881" spans="1:12" x14ac:dyDescent="0.15">
      <c r="A1881" s="1">
        <v>1880</v>
      </c>
      <c r="B1881" s="4">
        <v>41109</v>
      </c>
      <c r="C1881" s="1" t="s">
        <v>19</v>
      </c>
      <c r="D1881" s="1" t="s">
        <v>15</v>
      </c>
      <c r="E1881" s="1">
        <v>0.49740740740740735</v>
      </c>
      <c r="F1881" s="1" t="s">
        <v>13</v>
      </c>
      <c r="G1881" s="1">
        <v>3.28</v>
      </c>
      <c r="H1881" s="1">
        <v>3.34</v>
      </c>
      <c r="I1881" s="1">
        <v>0</v>
      </c>
      <c r="J1881" s="4">
        <v>41110</v>
      </c>
      <c r="K1881" s="4">
        <v>41384</v>
      </c>
      <c r="L1881">
        <f t="shared" si="29"/>
        <v>3.3099999999999996</v>
      </c>
    </row>
    <row r="1882" spans="1:12" x14ac:dyDescent="0.15">
      <c r="A1882" s="1">
        <v>1881</v>
      </c>
      <c r="B1882" s="4">
        <v>41109</v>
      </c>
      <c r="C1882" s="1" t="s">
        <v>16</v>
      </c>
      <c r="D1882" s="1" t="s">
        <v>26</v>
      </c>
      <c r="E1882" s="1">
        <v>0.48906250000000001</v>
      </c>
      <c r="F1882" s="1" t="s">
        <v>13</v>
      </c>
      <c r="G1882" s="1">
        <v>2.9</v>
      </c>
      <c r="H1882" s="1">
        <v>3</v>
      </c>
      <c r="I1882" s="1">
        <v>0</v>
      </c>
      <c r="J1882" s="4">
        <v>41110</v>
      </c>
      <c r="K1882" s="4">
        <v>42571</v>
      </c>
      <c r="L1882">
        <f t="shared" si="29"/>
        <v>2.95</v>
      </c>
    </row>
    <row r="1883" spans="1:12" x14ac:dyDescent="0.15">
      <c r="A1883" s="1">
        <v>1882</v>
      </c>
      <c r="B1883" s="4">
        <v>41109</v>
      </c>
      <c r="C1883" s="1" t="s">
        <v>22</v>
      </c>
      <c r="D1883" s="1" t="s">
        <v>26</v>
      </c>
      <c r="E1883" s="1">
        <v>0.48903935185185188</v>
      </c>
      <c r="F1883" s="1" t="s">
        <v>13</v>
      </c>
      <c r="G1883" s="1">
        <v>3.45</v>
      </c>
      <c r="H1883" s="1">
        <v>3.5</v>
      </c>
      <c r="I1883" s="1">
        <v>0</v>
      </c>
      <c r="J1883" s="4">
        <v>41110</v>
      </c>
      <c r="K1883" s="4">
        <v>41294</v>
      </c>
      <c r="L1883">
        <f t="shared" si="29"/>
        <v>3.4750000000000001</v>
      </c>
    </row>
    <row r="1884" spans="1:12" x14ac:dyDescent="0.15">
      <c r="A1884" s="1">
        <v>1883</v>
      </c>
      <c r="B1884" s="4">
        <v>41109</v>
      </c>
      <c r="C1884" s="1" t="s">
        <v>19</v>
      </c>
      <c r="D1884" s="1" t="s">
        <v>26</v>
      </c>
      <c r="E1884" s="1">
        <v>0.48906250000000001</v>
      </c>
      <c r="F1884" s="1" t="s">
        <v>13</v>
      </c>
      <c r="G1884" s="1">
        <v>3.2</v>
      </c>
      <c r="H1884" s="1">
        <v>3.28</v>
      </c>
      <c r="I1884" s="1">
        <v>0</v>
      </c>
      <c r="J1884" s="4">
        <v>41110</v>
      </c>
      <c r="K1884" s="4">
        <v>41384</v>
      </c>
      <c r="L1884">
        <f t="shared" si="29"/>
        <v>3.24</v>
      </c>
    </row>
    <row r="1885" spans="1:12" x14ac:dyDescent="0.15">
      <c r="A1885" s="1">
        <v>1884</v>
      </c>
      <c r="B1885" s="4">
        <v>41109</v>
      </c>
      <c r="C1885" s="1" t="s">
        <v>11</v>
      </c>
      <c r="D1885" s="1" t="s">
        <v>26</v>
      </c>
      <c r="E1885" s="1">
        <v>0.48906250000000001</v>
      </c>
      <c r="F1885" s="1" t="s">
        <v>13</v>
      </c>
      <c r="G1885" s="1">
        <v>2.9</v>
      </c>
      <c r="H1885" s="1">
        <v>3</v>
      </c>
      <c r="I1885" s="1">
        <v>0</v>
      </c>
      <c r="J1885" s="4">
        <v>41110</v>
      </c>
      <c r="K1885" s="4">
        <v>42205</v>
      </c>
      <c r="L1885">
        <f t="shared" si="29"/>
        <v>2.95</v>
      </c>
    </row>
    <row r="1886" spans="1:12" x14ac:dyDescent="0.15">
      <c r="A1886" s="1">
        <v>1885</v>
      </c>
      <c r="B1886" s="4">
        <v>41109</v>
      </c>
      <c r="C1886" s="1" t="s">
        <v>20</v>
      </c>
      <c r="D1886" s="1" t="s">
        <v>26</v>
      </c>
      <c r="E1886" s="1">
        <v>0.48903935185185188</v>
      </c>
      <c r="F1886" s="1" t="s">
        <v>13</v>
      </c>
      <c r="G1886" s="1">
        <v>2.9</v>
      </c>
      <c r="H1886" s="1">
        <v>3</v>
      </c>
      <c r="I1886" s="1">
        <v>0</v>
      </c>
      <c r="J1886" s="4">
        <v>41110</v>
      </c>
      <c r="K1886" s="4">
        <v>44762</v>
      </c>
      <c r="L1886">
        <f t="shared" si="29"/>
        <v>2.95</v>
      </c>
    </row>
    <row r="1887" spans="1:12" x14ac:dyDescent="0.15">
      <c r="A1887" s="1">
        <v>1886</v>
      </c>
      <c r="B1887" s="4">
        <v>41109</v>
      </c>
      <c r="C1887" s="1" t="s">
        <v>14</v>
      </c>
      <c r="D1887" s="1" t="s">
        <v>26</v>
      </c>
      <c r="E1887" s="1">
        <v>0.48903935185185188</v>
      </c>
      <c r="F1887" s="1" t="s">
        <v>13</v>
      </c>
      <c r="G1887" s="1">
        <v>3.1</v>
      </c>
      <c r="H1887" s="1">
        <v>3.15</v>
      </c>
      <c r="I1887" s="1">
        <v>0</v>
      </c>
      <c r="J1887" s="4">
        <v>41110</v>
      </c>
      <c r="K1887" s="4">
        <v>41475</v>
      </c>
      <c r="L1887">
        <f t="shared" si="29"/>
        <v>3.125</v>
      </c>
    </row>
    <row r="1888" spans="1:12" x14ac:dyDescent="0.15">
      <c r="A1888" s="1">
        <v>1887</v>
      </c>
      <c r="B1888" s="4">
        <v>41109</v>
      </c>
      <c r="C1888" s="1" t="s">
        <v>21</v>
      </c>
      <c r="D1888" s="1" t="s">
        <v>26</v>
      </c>
      <c r="E1888" s="1">
        <v>0.48903935185185188</v>
      </c>
      <c r="F1888" s="1" t="s">
        <v>13</v>
      </c>
      <c r="G1888" s="1">
        <v>2.9</v>
      </c>
      <c r="H1888" s="1">
        <v>3</v>
      </c>
      <c r="I1888" s="1">
        <v>0</v>
      </c>
      <c r="J1888" s="4">
        <v>41110</v>
      </c>
      <c r="K1888" s="4">
        <v>43666</v>
      </c>
      <c r="L1888">
        <f t="shared" si="29"/>
        <v>2.95</v>
      </c>
    </row>
    <row r="1889" spans="1:12" x14ac:dyDescent="0.15">
      <c r="A1889" s="1">
        <v>1888</v>
      </c>
      <c r="B1889" s="4">
        <v>41109</v>
      </c>
      <c r="C1889" s="1" t="s">
        <v>18</v>
      </c>
      <c r="D1889" s="1" t="s">
        <v>26</v>
      </c>
      <c r="E1889" s="1">
        <v>0.48903935185185188</v>
      </c>
      <c r="F1889" s="1" t="s">
        <v>13</v>
      </c>
      <c r="G1889" s="1">
        <v>2.93</v>
      </c>
      <c r="H1889" s="1">
        <v>3.02</v>
      </c>
      <c r="I1889" s="1">
        <v>0</v>
      </c>
      <c r="J1889" s="4">
        <v>41110</v>
      </c>
      <c r="K1889" s="4">
        <v>41840</v>
      </c>
      <c r="L1889">
        <f t="shared" si="29"/>
        <v>2.9750000000000001</v>
      </c>
    </row>
    <row r="1890" spans="1:12" x14ac:dyDescent="0.15">
      <c r="A1890" s="1">
        <v>1889</v>
      </c>
      <c r="B1890" s="4">
        <v>41109</v>
      </c>
      <c r="C1890" s="1" t="s">
        <v>25</v>
      </c>
      <c r="D1890" s="1" t="s">
        <v>26</v>
      </c>
      <c r="E1890" s="1">
        <v>0.48906250000000001</v>
      </c>
      <c r="F1890" s="1" t="s">
        <v>13</v>
      </c>
      <c r="G1890" s="1">
        <v>2.9</v>
      </c>
      <c r="H1890" s="1">
        <v>3</v>
      </c>
      <c r="I1890" s="1">
        <v>0</v>
      </c>
      <c r="J1890" s="4">
        <v>41110</v>
      </c>
      <c r="K1890" s="4">
        <v>42936</v>
      </c>
      <c r="L1890">
        <f t="shared" si="29"/>
        <v>2.95</v>
      </c>
    </row>
    <row r="1891" spans="1:12" x14ac:dyDescent="0.15">
      <c r="A1891" s="1">
        <v>1890</v>
      </c>
      <c r="B1891" s="4">
        <v>41109</v>
      </c>
      <c r="C1891" s="1" t="s">
        <v>22</v>
      </c>
      <c r="D1891" s="1" t="s">
        <v>27</v>
      </c>
      <c r="E1891" s="1">
        <v>0.49071759259259262</v>
      </c>
      <c r="F1891" s="1" t="s">
        <v>13</v>
      </c>
      <c r="G1891" s="1">
        <v>3.5</v>
      </c>
      <c r="H1891" s="1">
        <v>3.55</v>
      </c>
      <c r="I1891" s="1">
        <v>0</v>
      </c>
      <c r="J1891" s="4">
        <v>41110</v>
      </c>
      <c r="K1891" s="4">
        <v>41294</v>
      </c>
      <c r="L1891">
        <f t="shared" si="29"/>
        <v>3.5249999999999999</v>
      </c>
    </row>
    <row r="1892" spans="1:12" x14ac:dyDescent="0.15">
      <c r="A1892" s="1">
        <v>1891</v>
      </c>
      <c r="B1892" s="4">
        <v>41109</v>
      </c>
      <c r="C1892" s="1" t="s">
        <v>18</v>
      </c>
      <c r="D1892" s="1" t="s">
        <v>27</v>
      </c>
      <c r="E1892" s="1">
        <v>0.49071759259259262</v>
      </c>
      <c r="F1892" s="1" t="s">
        <v>13</v>
      </c>
      <c r="G1892" s="1">
        <v>2.97</v>
      </c>
      <c r="H1892" s="1">
        <v>3.05</v>
      </c>
      <c r="I1892" s="1">
        <v>0</v>
      </c>
      <c r="J1892" s="4">
        <v>41110</v>
      </c>
      <c r="K1892" s="4">
        <v>41840</v>
      </c>
      <c r="L1892">
        <f t="shared" si="29"/>
        <v>3.01</v>
      </c>
    </row>
    <row r="1893" spans="1:12" x14ac:dyDescent="0.15">
      <c r="A1893" s="1">
        <v>1892</v>
      </c>
      <c r="B1893" s="4">
        <v>41109</v>
      </c>
      <c r="C1893" s="1" t="s">
        <v>19</v>
      </c>
      <c r="D1893" s="1" t="s">
        <v>30</v>
      </c>
      <c r="E1893" s="1">
        <v>0.49627314814814816</v>
      </c>
      <c r="F1893" s="1" t="s">
        <v>13</v>
      </c>
      <c r="G1893" s="1">
        <v>3.25</v>
      </c>
      <c r="H1893" s="1">
        <v>3.35</v>
      </c>
      <c r="I1893" s="1">
        <v>0</v>
      </c>
      <c r="J1893" s="4">
        <v>41110</v>
      </c>
      <c r="K1893" s="4">
        <v>41384</v>
      </c>
      <c r="L1893">
        <f t="shared" si="29"/>
        <v>3.3</v>
      </c>
    </row>
    <row r="1894" spans="1:12" x14ac:dyDescent="0.15">
      <c r="A1894" s="1">
        <v>1893</v>
      </c>
      <c r="B1894" s="4">
        <v>41109</v>
      </c>
      <c r="C1894" s="1" t="s">
        <v>11</v>
      </c>
      <c r="D1894" s="1" t="s">
        <v>27</v>
      </c>
      <c r="E1894" s="1">
        <v>0.49071759259259262</v>
      </c>
      <c r="F1894" s="1" t="s">
        <v>13</v>
      </c>
      <c r="G1894" s="1">
        <v>2.94</v>
      </c>
      <c r="H1894" s="1">
        <v>3.02</v>
      </c>
      <c r="I1894" s="1">
        <v>0</v>
      </c>
      <c r="J1894" s="4">
        <v>41110</v>
      </c>
      <c r="K1894" s="4">
        <v>42205</v>
      </c>
      <c r="L1894">
        <f t="shared" si="29"/>
        <v>2.98</v>
      </c>
    </row>
    <row r="1895" spans="1:12" x14ac:dyDescent="0.15">
      <c r="A1895" s="1">
        <v>1894</v>
      </c>
      <c r="B1895" s="4">
        <v>41109</v>
      </c>
      <c r="C1895" s="1" t="s">
        <v>19</v>
      </c>
      <c r="D1895" s="1" t="s">
        <v>27</v>
      </c>
      <c r="E1895" s="1">
        <v>0.49070601851851853</v>
      </c>
      <c r="F1895" s="1" t="s">
        <v>13</v>
      </c>
      <c r="G1895" s="1">
        <v>3.28</v>
      </c>
      <c r="H1895" s="1">
        <v>3.36</v>
      </c>
      <c r="I1895" s="1">
        <v>0</v>
      </c>
      <c r="J1895" s="4">
        <v>41110</v>
      </c>
      <c r="K1895" s="4">
        <v>41384</v>
      </c>
      <c r="L1895">
        <f t="shared" si="29"/>
        <v>3.32</v>
      </c>
    </row>
    <row r="1896" spans="1:12" x14ac:dyDescent="0.15">
      <c r="A1896" s="1">
        <v>1895</v>
      </c>
      <c r="B1896" s="4">
        <v>41109</v>
      </c>
      <c r="C1896" s="1" t="s">
        <v>25</v>
      </c>
      <c r="D1896" s="1" t="s">
        <v>27</v>
      </c>
      <c r="E1896" s="1">
        <v>0.49070601851851853</v>
      </c>
      <c r="F1896" s="1" t="s">
        <v>13</v>
      </c>
      <c r="G1896" s="1">
        <v>2.95</v>
      </c>
      <c r="H1896" s="1">
        <v>3.05</v>
      </c>
      <c r="I1896" s="1">
        <v>0</v>
      </c>
      <c r="J1896" s="4">
        <v>41110</v>
      </c>
      <c r="K1896" s="4">
        <v>42936</v>
      </c>
      <c r="L1896">
        <f t="shared" si="29"/>
        <v>3</v>
      </c>
    </row>
    <row r="1897" spans="1:12" x14ac:dyDescent="0.15">
      <c r="A1897" s="1">
        <v>1896</v>
      </c>
      <c r="B1897" s="4">
        <v>41109</v>
      </c>
      <c r="C1897" s="1" t="s">
        <v>14</v>
      </c>
      <c r="D1897" s="1" t="s">
        <v>27</v>
      </c>
      <c r="E1897" s="1">
        <v>0.49070601851851853</v>
      </c>
      <c r="F1897" s="1" t="s">
        <v>13</v>
      </c>
      <c r="G1897" s="1">
        <v>3.15</v>
      </c>
      <c r="H1897" s="1">
        <v>3.2</v>
      </c>
      <c r="I1897" s="1">
        <v>0</v>
      </c>
      <c r="J1897" s="4">
        <v>41110</v>
      </c>
      <c r="K1897" s="4">
        <v>41475</v>
      </c>
      <c r="L1897">
        <f t="shared" si="29"/>
        <v>3.1749999999999998</v>
      </c>
    </row>
    <row r="1898" spans="1:12" x14ac:dyDescent="0.15">
      <c r="A1898" s="1">
        <v>1897</v>
      </c>
      <c r="B1898" s="4">
        <v>41109</v>
      </c>
      <c r="C1898" s="1" t="s">
        <v>16</v>
      </c>
      <c r="D1898" s="1" t="s">
        <v>27</v>
      </c>
      <c r="E1898" s="1">
        <v>0.49070601851851853</v>
      </c>
      <c r="F1898" s="1" t="s">
        <v>13</v>
      </c>
      <c r="G1898" s="1">
        <v>2.95</v>
      </c>
      <c r="H1898" s="1">
        <v>3.05</v>
      </c>
      <c r="I1898" s="1">
        <v>0</v>
      </c>
      <c r="J1898" s="4">
        <v>41110</v>
      </c>
      <c r="K1898" s="4">
        <v>42571</v>
      </c>
      <c r="L1898">
        <f t="shared" si="29"/>
        <v>3</v>
      </c>
    </row>
    <row r="1899" spans="1:12" x14ac:dyDescent="0.15">
      <c r="A1899" s="1">
        <v>1898</v>
      </c>
      <c r="B1899" s="4">
        <v>41109</v>
      </c>
      <c r="C1899" s="1" t="s">
        <v>11</v>
      </c>
      <c r="D1899" s="1" t="s">
        <v>26</v>
      </c>
      <c r="E1899" s="1">
        <v>0.67857638888888883</v>
      </c>
      <c r="F1899" s="1" t="s">
        <v>13</v>
      </c>
      <c r="G1899" s="1">
        <v>2.9</v>
      </c>
      <c r="H1899" s="1">
        <v>3</v>
      </c>
      <c r="I1899" s="1">
        <v>0</v>
      </c>
      <c r="J1899" s="4">
        <v>41110</v>
      </c>
      <c r="K1899" s="4">
        <v>42205</v>
      </c>
      <c r="L1899">
        <f t="shared" si="29"/>
        <v>2.95</v>
      </c>
    </row>
    <row r="1900" spans="1:12" x14ac:dyDescent="0.15">
      <c r="A1900" s="1">
        <v>1899</v>
      </c>
      <c r="B1900" s="4">
        <v>41109</v>
      </c>
      <c r="C1900" s="1" t="s">
        <v>14</v>
      </c>
      <c r="D1900" s="1" t="s">
        <v>26</v>
      </c>
      <c r="E1900" s="1">
        <v>0.67856481481481479</v>
      </c>
      <c r="F1900" s="1" t="s">
        <v>13</v>
      </c>
      <c r="G1900" s="1">
        <v>3.1</v>
      </c>
      <c r="H1900" s="1">
        <v>3.15</v>
      </c>
      <c r="I1900" s="1">
        <v>0</v>
      </c>
      <c r="J1900" s="4">
        <v>41110</v>
      </c>
      <c r="K1900" s="4">
        <v>41475</v>
      </c>
      <c r="L1900">
        <f t="shared" si="29"/>
        <v>3.125</v>
      </c>
    </row>
    <row r="1901" spans="1:12" x14ac:dyDescent="0.15">
      <c r="A1901" s="1">
        <v>1900</v>
      </c>
      <c r="B1901" s="4">
        <v>41109</v>
      </c>
      <c r="C1901" s="1" t="s">
        <v>16</v>
      </c>
      <c r="D1901" s="1" t="s">
        <v>26</v>
      </c>
      <c r="E1901" s="1">
        <v>0.67857638888888883</v>
      </c>
      <c r="F1901" s="1" t="s">
        <v>13</v>
      </c>
      <c r="G1901" s="1">
        <v>2.9</v>
      </c>
      <c r="H1901" s="1">
        <v>3</v>
      </c>
      <c r="I1901" s="1">
        <v>0</v>
      </c>
      <c r="J1901" s="4">
        <v>41110</v>
      </c>
      <c r="K1901" s="4">
        <v>42571</v>
      </c>
      <c r="L1901">
        <f t="shared" si="29"/>
        <v>2.95</v>
      </c>
    </row>
    <row r="1902" spans="1:12" x14ac:dyDescent="0.15">
      <c r="A1902" s="1">
        <v>1901</v>
      </c>
      <c r="B1902" s="4">
        <v>41109</v>
      </c>
      <c r="C1902" s="1" t="s">
        <v>25</v>
      </c>
      <c r="D1902" s="1" t="s">
        <v>26</v>
      </c>
      <c r="E1902" s="1">
        <v>0.67857638888888883</v>
      </c>
      <c r="F1902" s="1" t="s">
        <v>13</v>
      </c>
      <c r="G1902" s="1">
        <v>2.9</v>
      </c>
      <c r="H1902" s="1">
        <v>3</v>
      </c>
      <c r="I1902" s="1">
        <v>0</v>
      </c>
      <c r="J1902" s="4">
        <v>41110</v>
      </c>
      <c r="K1902" s="4">
        <v>42936</v>
      </c>
      <c r="L1902">
        <f t="shared" si="29"/>
        <v>2.95</v>
      </c>
    </row>
    <row r="1903" spans="1:12" x14ac:dyDescent="0.15">
      <c r="A1903" s="1">
        <v>1902</v>
      </c>
      <c r="B1903" s="4">
        <v>41109</v>
      </c>
      <c r="C1903" s="1" t="s">
        <v>21</v>
      </c>
      <c r="D1903" s="1" t="s">
        <v>26</v>
      </c>
      <c r="E1903" s="1">
        <v>0.67856481481481479</v>
      </c>
      <c r="F1903" s="1" t="s">
        <v>13</v>
      </c>
      <c r="G1903" s="1">
        <v>2.9</v>
      </c>
      <c r="H1903" s="1">
        <v>3</v>
      </c>
      <c r="I1903" s="1">
        <v>0</v>
      </c>
      <c r="J1903" s="4">
        <v>41110</v>
      </c>
      <c r="K1903" s="4">
        <v>43666</v>
      </c>
      <c r="L1903">
        <f t="shared" si="29"/>
        <v>2.95</v>
      </c>
    </row>
    <row r="1904" spans="1:12" x14ac:dyDescent="0.15">
      <c r="A1904" s="1">
        <v>1903</v>
      </c>
      <c r="B1904" s="4">
        <v>41109</v>
      </c>
      <c r="C1904" s="1" t="s">
        <v>18</v>
      </c>
      <c r="D1904" s="1" t="s">
        <v>26</v>
      </c>
      <c r="E1904" s="1">
        <v>0.67856481481481479</v>
      </c>
      <c r="F1904" s="1" t="s">
        <v>13</v>
      </c>
      <c r="G1904" s="1">
        <v>2.93</v>
      </c>
      <c r="H1904" s="1">
        <v>3.02</v>
      </c>
      <c r="I1904" s="1">
        <v>0</v>
      </c>
      <c r="J1904" s="4">
        <v>41110</v>
      </c>
      <c r="K1904" s="4">
        <v>41840</v>
      </c>
      <c r="L1904">
        <f t="shared" si="29"/>
        <v>2.9750000000000001</v>
      </c>
    </row>
    <row r="1905" spans="1:12" x14ac:dyDescent="0.15">
      <c r="A1905" s="1">
        <v>1904</v>
      </c>
      <c r="B1905" s="4">
        <v>41109</v>
      </c>
      <c r="C1905" s="1" t="s">
        <v>22</v>
      </c>
      <c r="D1905" s="1" t="s">
        <v>26</v>
      </c>
      <c r="E1905" s="1">
        <v>0.67856481481481479</v>
      </c>
      <c r="F1905" s="1" t="s">
        <v>13</v>
      </c>
      <c r="G1905" s="1">
        <v>3.45</v>
      </c>
      <c r="H1905" s="1">
        <v>3.5</v>
      </c>
      <c r="I1905" s="1">
        <v>0</v>
      </c>
      <c r="J1905" s="4">
        <v>41110</v>
      </c>
      <c r="K1905" s="4">
        <v>41294</v>
      </c>
      <c r="L1905">
        <f t="shared" si="29"/>
        <v>3.4750000000000001</v>
      </c>
    </row>
    <row r="1906" spans="1:12" x14ac:dyDescent="0.15">
      <c r="A1906" s="1">
        <v>1905</v>
      </c>
      <c r="B1906" s="4">
        <v>41109</v>
      </c>
      <c r="C1906" s="1" t="s">
        <v>19</v>
      </c>
      <c r="D1906" s="1" t="s">
        <v>26</v>
      </c>
      <c r="E1906" s="1">
        <v>0.67856481481481479</v>
      </c>
      <c r="F1906" s="1" t="s">
        <v>13</v>
      </c>
      <c r="G1906" s="1">
        <v>3.2</v>
      </c>
      <c r="H1906" s="1">
        <v>3.28</v>
      </c>
      <c r="I1906" s="1">
        <v>0</v>
      </c>
      <c r="J1906" s="4">
        <v>41110</v>
      </c>
      <c r="K1906" s="4">
        <v>41384</v>
      </c>
      <c r="L1906">
        <f t="shared" si="29"/>
        <v>3.24</v>
      </c>
    </row>
    <row r="1907" spans="1:12" x14ac:dyDescent="0.15">
      <c r="A1907" s="1">
        <v>1906</v>
      </c>
      <c r="B1907" s="4">
        <v>41109</v>
      </c>
      <c r="C1907" s="1" t="s">
        <v>22</v>
      </c>
      <c r="D1907" s="1" t="s">
        <v>15</v>
      </c>
      <c r="E1907" s="1">
        <v>0.67989583333333325</v>
      </c>
      <c r="F1907" s="1" t="s">
        <v>13</v>
      </c>
      <c r="G1907" s="1">
        <v>3.49</v>
      </c>
      <c r="H1907" s="1">
        <v>3.55</v>
      </c>
      <c r="I1907" s="1">
        <v>0</v>
      </c>
      <c r="J1907" s="4">
        <v>41110</v>
      </c>
      <c r="K1907" s="4">
        <v>41294</v>
      </c>
      <c r="L1907">
        <f t="shared" si="29"/>
        <v>3.52</v>
      </c>
    </row>
    <row r="1908" spans="1:12" x14ac:dyDescent="0.15">
      <c r="A1908" s="1">
        <v>1907</v>
      </c>
      <c r="B1908" s="4">
        <v>41109</v>
      </c>
      <c r="C1908" s="1" t="s">
        <v>14</v>
      </c>
      <c r="D1908" s="1" t="s">
        <v>15</v>
      </c>
      <c r="E1908" s="1">
        <v>0.6799074074074074</v>
      </c>
      <c r="F1908" s="1" t="s">
        <v>13</v>
      </c>
      <c r="G1908" s="1">
        <v>3.14</v>
      </c>
      <c r="H1908" s="1">
        <v>3.2</v>
      </c>
      <c r="I1908" s="1">
        <v>0</v>
      </c>
      <c r="J1908" s="4">
        <v>41110</v>
      </c>
      <c r="K1908" s="4">
        <v>41475</v>
      </c>
      <c r="L1908">
        <f t="shared" si="29"/>
        <v>3.17</v>
      </c>
    </row>
    <row r="1909" spans="1:12" x14ac:dyDescent="0.15">
      <c r="A1909" s="1">
        <v>1908</v>
      </c>
      <c r="B1909" s="4">
        <v>41109</v>
      </c>
      <c r="C1909" s="1" t="s">
        <v>11</v>
      </c>
      <c r="D1909" s="1" t="s">
        <v>15</v>
      </c>
      <c r="E1909" s="1">
        <v>0.6799074074074074</v>
      </c>
      <c r="F1909" s="1" t="s">
        <v>13</v>
      </c>
      <c r="G1909" s="1">
        <v>2.95</v>
      </c>
      <c r="H1909" s="1">
        <v>3.01</v>
      </c>
      <c r="I1909" s="1">
        <v>0</v>
      </c>
      <c r="J1909" s="4">
        <v>41110</v>
      </c>
      <c r="K1909" s="4">
        <v>42205</v>
      </c>
      <c r="L1909">
        <f t="shared" si="29"/>
        <v>2.98</v>
      </c>
    </row>
    <row r="1910" spans="1:12" x14ac:dyDescent="0.15">
      <c r="A1910" s="1">
        <v>1909</v>
      </c>
      <c r="B1910" s="4">
        <v>41109</v>
      </c>
      <c r="C1910" s="1" t="s">
        <v>21</v>
      </c>
      <c r="D1910" s="1" t="s">
        <v>15</v>
      </c>
      <c r="E1910" s="1">
        <v>0.6799074074074074</v>
      </c>
      <c r="F1910" s="1" t="s">
        <v>13</v>
      </c>
      <c r="G1910" s="1">
        <v>3.03</v>
      </c>
      <c r="H1910" s="1">
        <v>3.09</v>
      </c>
      <c r="I1910" s="1">
        <v>0</v>
      </c>
      <c r="J1910" s="4">
        <v>41110</v>
      </c>
      <c r="K1910" s="4">
        <v>43666</v>
      </c>
      <c r="L1910">
        <f t="shared" si="29"/>
        <v>3.0599999999999996</v>
      </c>
    </row>
    <row r="1911" spans="1:12" x14ac:dyDescent="0.15">
      <c r="A1911" s="1">
        <v>1910</v>
      </c>
      <c r="B1911" s="4">
        <v>41109</v>
      </c>
      <c r="C1911" s="1" t="s">
        <v>18</v>
      </c>
      <c r="D1911" s="1" t="s">
        <v>15</v>
      </c>
      <c r="E1911" s="1">
        <v>0.6799074074074074</v>
      </c>
      <c r="F1911" s="1" t="s">
        <v>13</v>
      </c>
      <c r="G1911" s="1">
        <v>2.97</v>
      </c>
      <c r="H1911" s="1">
        <v>3.03</v>
      </c>
      <c r="I1911" s="1">
        <v>0</v>
      </c>
      <c r="J1911" s="4">
        <v>41110</v>
      </c>
      <c r="K1911" s="4">
        <v>41840</v>
      </c>
      <c r="L1911">
        <f t="shared" si="29"/>
        <v>3</v>
      </c>
    </row>
    <row r="1912" spans="1:12" x14ac:dyDescent="0.15">
      <c r="A1912" s="1">
        <v>1911</v>
      </c>
      <c r="B1912" s="4">
        <v>41109</v>
      </c>
      <c r="C1912" s="1" t="s">
        <v>20</v>
      </c>
      <c r="D1912" s="1" t="s">
        <v>15</v>
      </c>
      <c r="E1912" s="1">
        <v>0.6799074074074074</v>
      </c>
      <c r="F1912" s="1" t="s">
        <v>13</v>
      </c>
      <c r="G1912" s="1">
        <v>3.07</v>
      </c>
      <c r="H1912" s="1">
        <v>3.13</v>
      </c>
      <c r="I1912" s="1">
        <v>0</v>
      </c>
      <c r="J1912" s="4">
        <v>41110</v>
      </c>
      <c r="K1912" s="4">
        <v>44762</v>
      </c>
      <c r="L1912">
        <f t="shared" si="29"/>
        <v>3.0999999999999996</v>
      </c>
    </row>
    <row r="1913" spans="1:12" x14ac:dyDescent="0.15">
      <c r="A1913" s="1">
        <v>1912</v>
      </c>
      <c r="B1913" s="4">
        <v>41109</v>
      </c>
      <c r="C1913" s="1" t="s">
        <v>19</v>
      </c>
      <c r="D1913" s="1" t="s">
        <v>15</v>
      </c>
      <c r="E1913" s="1">
        <v>0.6799074074074074</v>
      </c>
      <c r="F1913" s="1" t="s">
        <v>13</v>
      </c>
      <c r="G1913" s="1">
        <v>3.28</v>
      </c>
      <c r="H1913" s="1">
        <v>3.34</v>
      </c>
      <c r="I1913" s="1">
        <v>0</v>
      </c>
      <c r="J1913" s="4">
        <v>41110</v>
      </c>
      <c r="K1913" s="4">
        <v>41384</v>
      </c>
      <c r="L1913">
        <f t="shared" si="29"/>
        <v>3.3099999999999996</v>
      </c>
    </row>
    <row r="1914" spans="1:12" x14ac:dyDescent="0.15">
      <c r="A1914" s="1">
        <v>1913</v>
      </c>
      <c r="B1914" s="4">
        <v>41109</v>
      </c>
      <c r="C1914" s="1" t="s">
        <v>16</v>
      </c>
      <c r="D1914" s="1" t="s">
        <v>15</v>
      </c>
      <c r="E1914" s="1">
        <v>0.6799074074074074</v>
      </c>
      <c r="F1914" s="1" t="s">
        <v>13</v>
      </c>
      <c r="G1914" s="1">
        <v>2.95</v>
      </c>
      <c r="H1914" s="1">
        <v>3.01</v>
      </c>
      <c r="I1914" s="1">
        <v>0</v>
      </c>
      <c r="J1914" s="4">
        <v>41110</v>
      </c>
      <c r="K1914" s="4">
        <v>42571</v>
      </c>
      <c r="L1914">
        <f t="shared" si="29"/>
        <v>2.98</v>
      </c>
    </row>
    <row r="1915" spans="1:12" x14ac:dyDescent="0.15">
      <c r="A1915" s="1">
        <v>1914</v>
      </c>
      <c r="B1915" s="4">
        <v>41109</v>
      </c>
      <c r="C1915" s="1" t="s">
        <v>25</v>
      </c>
      <c r="D1915" s="1" t="s">
        <v>15</v>
      </c>
      <c r="E1915" s="1">
        <v>0.6799074074074074</v>
      </c>
      <c r="F1915" s="1" t="s">
        <v>13</v>
      </c>
      <c r="G1915" s="1">
        <v>2.96</v>
      </c>
      <c r="H1915" s="1">
        <v>3.01</v>
      </c>
      <c r="I1915" s="1">
        <v>0</v>
      </c>
      <c r="J1915" s="4">
        <v>41110</v>
      </c>
      <c r="K1915" s="4">
        <v>42936</v>
      </c>
      <c r="L1915">
        <f t="shared" si="29"/>
        <v>2.9849999999999999</v>
      </c>
    </row>
    <row r="1916" spans="1:12" x14ac:dyDescent="0.15">
      <c r="A1916" s="1">
        <v>1915</v>
      </c>
      <c r="B1916" s="4">
        <v>41109</v>
      </c>
      <c r="C1916" s="1" t="s">
        <v>18</v>
      </c>
      <c r="D1916" s="1" t="s">
        <v>30</v>
      </c>
      <c r="E1916" s="1">
        <v>0.67245370370370372</v>
      </c>
      <c r="F1916" s="1" t="s">
        <v>13</v>
      </c>
      <c r="G1916" s="1">
        <v>2.95</v>
      </c>
      <c r="H1916" s="1">
        <v>3.05</v>
      </c>
      <c r="I1916" s="1">
        <v>0</v>
      </c>
      <c r="J1916" s="4">
        <v>41110</v>
      </c>
      <c r="K1916" s="4">
        <v>41840</v>
      </c>
      <c r="L1916">
        <f t="shared" si="29"/>
        <v>3</v>
      </c>
    </row>
    <row r="1917" spans="1:12" x14ac:dyDescent="0.15">
      <c r="A1917" s="1">
        <v>1916</v>
      </c>
      <c r="B1917" s="4">
        <v>41109</v>
      </c>
      <c r="C1917" s="1" t="s">
        <v>11</v>
      </c>
      <c r="D1917" s="1" t="s">
        <v>30</v>
      </c>
      <c r="E1917" s="1">
        <v>0.67245370370370372</v>
      </c>
      <c r="F1917" s="1" t="s">
        <v>13</v>
      </c>
      <c r="G1917" s="1">
        <v>2.93</v>
      </c>
      <c r="H1917" s="1">
        <v>3.03</v>
      </c>
      <c r="I1917" s="1">
        <v>0</v>
      </c>
      <c r="J1917" s="4">
        <v>41110</v>
      </c>
      <c r="K1917" s="4">
        <v>42205</v>
      </c>
      <c r="L1917">
        <f t="shared" si="29"/>
        <v>2.98</v>
      </c>
    </row>
    <row r="1918" spans="1:12" x14ac:dyDescent="0.15">
      <c r="A1918" s="1">
        <v>1917</v>
      </c>
      <c r="B1918" s="4">
        <v>41109</v>
      </c>
      <c r="C1918" s="1" t="s">
        <v>20</v>
      </c>
      <c r="D1918" s="1" t="s">
        <v>30</v>
      </c>
      <c r="E1918" s="1">
        <v>0.67245370370370372</v>
      </c>
      <c r="F1918" s="1" t="s">
        <v>13</v>
      </c>
      <c r="G1918" s="1">
        <v>3.04</v>
      </c>
      <c r="H1918" s="1">
        <v>3.14</v>
      </c>
      <c r="I1918" s="1">
        <v>0</v>
      </c>
      <c r="J1918" s="4">
        <v>41110</v>
      </c>
      <c r="K1918" s="4">
        <v>44762</v>
      </c>
      <c r="L1918">
        <f t="shared" si="29"/>
        <v>3.09</v>
      </c>
    </row>
    <row r="1919" spans="1:12" x14ac:dyDescent="0.15">
      <c r="A1919" s="1">
        <v>1918</v>
      </c>
      <c r="B1919" s="4">
        <v>41109</v>
      </c>
      <c r="C1919" s="1" t="s">
        <v>14</v>
      </c>
      <c r="D1919" s="1" t="s">
        <v>30</v>
      </c>
      <c r="E1919" s="1">
        <v>0.67245370370370372</v>
      </c>
      <c r="F1919" s="1" t="s">
        <v>13</v>
      </c>
      <c r="G1919" s="1">
        <v>3.12</v>
      </c>
      <c r="H1919" s="1">
        <v>3.22</v>
      </c>
      <c r="I1919" s="1">
        <v>0</v>
      </c>
      <c r="J1919" s="4">
        <v>41110</v>
      </c>
      <c r="K1919" s="4">
        <v>41475</v>
      </c>
      <c r="L1919">
        <f t="shared" si="29"/>
        <v>3.17</v>
      </c>
    </row>
    <row r="1920" spans="1:12" x14ac:dyDescent="0.15">
      <c r="A1920" s="1">
        <v>1919</v>
      </c>
      <c r="B1920" s="4">
        <v>41109</v>
      </c>
      <c r="C1920" s="1" t="s">
        <v>22</v>
      </c>
      <c r="D1920" s="1" t="s">
        <v>30</v>
      </c>
      <c r="E1920" s="1">
        <v>0.67245370370370372</v>
      </c>
      <c r="F1920" s="1" t="s">
        <v>13</v>
      </c>
      <c r="G1920" s="1">
        <v>3.47</v>
      </c>
      <c r="H1920" s="1">
        <v>3.57</v>
      </c>
      <c r="I1920" s="1">
        <v>0</v>
      </c>
      <c r="J1920" s="4">
        <v>41110</v>
      </c>
      <c r="K1920" s="4">
        <v>41294</v>
      </c>
      <c r="L1920">
        <f t="shared" si="29"/>
        <v>3.52</v>
      </c>
    </row>
    <row r="1921" spans="1:12" x14ac:dyDescent="0.15">
      <c r="A1921" s="1">
        <v>1920</v>
      </c>
      <c r="B1921" s="4">
        <v>41109</v>
      </c>
      <c r="C1921" s="1" t="s">
        <v>21</v>
      </c>
      <c r="D1921" s="1" t="s">
        <v>30</v>
      </c>
      <c r="E1921" s="1">
        <v>0.67245370370370372</v>
      </c>
      <c r="F1921" s="1" t="s">
        <v>13</v>
      </c>
      <c r="G1921" s="1">
        <v>2.99</v>
      </c>
      <c r="H1921" s="1">
        <v>3.09</v>
      </c>
      <c r="I1921" s="1">
        <v>0</v>
      </c>
      <c r="J1921" s="4">
        <v>41110</v>
      </c>
      <c r="K1921" s="4">
        <v>43666</v>
      </c>
      <c r="L1921">
        <f t="shared" si="29"/>
        <v>3.04</v>
      </c>
    </row>
    <row r="1922" spans="1:12" x14ac:dyDescent="0.15">
      <c r="A1922" s="1">
        <v>1921</v>
      </c>
      <c r="B1922" s="4">
        <v>41109</v>
      </c>
      <c r="C1922" s="1" t="s">
        <v>16</v>
      </c>
      <c r="D1922" s="1" t="s">
        <v>30</v>
      </c>
      <c r="E1922" s="1">
        <v>0.67245370370370372</v>
      </c>
      <c r="F1922" s="1" t="s">
        <v>13</v>
      </c>
      <c r="G1922" s="1">
        <v>2.93</v>
      </c>
      <c r="H1922" s="1">
        <v>3.03</v>
      </c>
      <c r="I1922" s="1">
        <v>0</v>
      </c>
      <c r="J1922" s="4">
        <v>41110</v>
      </c>
      <c r="K1922" s="4">
        <v>42571</v>
      </c>
      <c r="L1922">
        <f t="shared" si="29"/>
        <v>2.98</v>
      </c>
    </row>
    <row r="1923" spans="1:12" x14ac:dyDescent="0.15">
      <c r="A1923" s="1">
        <v>1922</v>
      </c>
      <c r="B1923" s="4">
        <v>41109</v>
      </c>
      <c r="C1923" s="1" t="s">
        <v>25</v>
      </c>
      <c r="D1923" s="1" t="s">
        <v>30</v>
      </c>
      <c r="E1923" s="1">
        <v>0.67245370370370372</v>
      </c>
      <c r="F1923" s="1" t="s">
        <v>13</v>
      </c>
      <c r="G1923" s="1">
        <v>2.93</v>
      </c>
      <c r="H1923" s="1">
        <v>3.03</v>
      </c>
      <c r="I1923" s="1">
        <v>0</v>
      </c>
      <c r="J1923" s="4">
        <v>41110</v>
      </c>
      <c r="K1923" s="4">
        <v>42936</v>
      </c>
      <c r="L1923">
        <f t="shared" ref="L1923:L1986" si="30">AVERAGE(G1923:H1923)</f>
        <v>2.98</v>
      </c>
    </row>
    <row r="1924" spans="1:12" x14ac:dyDescent="0.15">
      <c r="A1924" s="1">
        <v>1923</v>
      </c>
      <c r="B1924" s="4">
        <v>41109</v>
      </c>
      <c r="C1924" s="1" t="s">
        <v>19</v>
      </c>
      <c r="D1924" s="1" t="s">
        <v>30</v>
      </c>
      <c r="E1924" s="1">
        <v>0.67245370370370372</v>
      </c>
      <c r="F1924" s="1" t="s">
        <v>13</v>
      </c>
      <c r="G1924" s="1">
        <v>3.26</v>
      </c>
      <c r="H1924" s="1">
        <v>3.36</v>
      </c>
      <c r="I1924" s="1">
        <v>0</v>
      </c>
      <c r="J1924" s="4">
        <v>41110</v>
      </c>
      <c r="K1924" s="4">
        <v>41384</v>
      </c>
      <c r="L1924">
        <f t="shared" si="30"/>
        <v>3.3099999999999996</v>
      </c>
    </row>
    <row r="1925" spans="1:12" x14ac:dyDescent="0.15">
      <c r="A1925" s="1">
        <v>1924</v>
      </c>
      <c r="B1925" s="4">
        <v>41109</v>
      </c>
      <c r="C1925" s="1" t="s">
        <v>18</v>
      </c>
      <c r="D1925" s="1" t="s">
        <v>27</v>
      </c>
      <c r="E1925" s="1">
        <v>0.67655092592592592</v>
      </c>
      <c r="F1925" s="1" t="s">
        <v>13</v>
      </c>
      <c r="G1925" s="1">
        <v>2.95</v>
      </c>
      <c r="H1925" s="1">
        <v>3.05</v>
      </c>
      <c r="I1925" s="1">
        <v>0</v>
      </c>
      <c r="J1925" s="4">
        <v>41110</v>
      </c>
      <c r="K1925" s="4">
        <v>41840</v>
      </c>
      <c r="L1925">
        <f t="shared" si="30"/>
        <v>3</v>
      </c>
    </row>
    <row r="1926" spans="1:12" x14ac:dyDescent="0.15">
      <c r="A1926" s="1">
        <v>1925</v>
      </c>
      <c r="B1926" s="4">
        <v>41109</v>
      </c>
      <c r="C1926" s="1" t="s">
        <v>11</v>
      </c>
      <c r="D1926" s="1" t="s">
        <v>27</v>
      </c>
      <c r="E1926" s="1">
        <v>0.67655092592592592</v>
      </c>
      <c r="F1926" s="1" t="s">
        <v>13</v>
      </c>
      <c r="G1926" s="1">
        <v>2.92</v>
      </c>
      <c r="H1926" s="1">
        <v>3.02</v>
      </c>
      <c r="I1926" s="1">
        <v>0</v>
      </c>
      <c r="J1926" s="4">
        <v>41110</v>
      </c>
      <c r="K1926" s="4">
        <v>42205</v>
      </c>
      <c r="L1926">
        <f t="shared" si="30"/>
        <v>2.9699999999999998</v>
      </c>
    </row>
    <row r="1927" spans="1:12" x14ac:dyDescent="0.15">
      <c r="A1927" s="1">
        <v>1926</v>
      </c>
      <c r="B1927" s="4">
        <v>41109</v>
      </c>
      <c r="C1927" s="1" t="s">
        <v>20</v>
      </c>
      <c r="D1927" s="1" t="s">
        <v>26</v>
      </c>
      <c r="E1927" s="1">
        <v>0.67856481481481479</v>
      </c>
      <c r="F1927" s="1" t="s">
        <v>13</v>
      </c>
      <c r="G1927" s="1">
        <v>2.9</v>
      </c>
      <c r="H1927" s="1">
        <v>3</v>
      </c>
      <c r="I1927" s="1">
        <v>0</v>
      </c>
      <c r="J1927" s="4">
        <v>41110</v>
      </c>
      <c r="K1927" s="4">
        <v>44762</v>
      </c>
      <c r="L1927">
        <f t="shared" si="30"/>
        <v>2.95</v>
      </c>
    </row>
    <row r="1928" spans="1:12" x14ac:dyDescent="0.15">
      <c r="A1928" s="1">
        <v>1927</v>
      </c>
      <c r="B1928" s="4">
        <v>41109</v>
      </c>
      <c r="C1928" s="1" t="s">
        <v>22</v>
      </c>
      <c r="D1928" s="1" t="s">
        <v>27</v>
      </c>
      <c r="E1928" s="1">
        <v>0.67655092592592592</v>
      </c>
      <c r="F1928" s="1" t="s">
        <v>13</v>
      </c>
      <c r="G1928" s="1">
        <v>3.5</v>
      </c>
      <c r="H1928" s="1">
        <v>3.55</v>
      </c>
      <c r="I1928" s="1">
        <v>0</v>
      </c>
      <c r="J1928" s="4">
        <v>41110</v>
      </c>
      <c r="K1928" s="4">
        <v>41294</v>
      </c>
      <c r="L1928">
        <f t="shared" si="30"/>
        <v>3.5249999999999999</v>
      </c>
    </row>
    <row r="1929" spans="1:12" x14ac:dyDescent="0.15">
      <c r="A1929" s="1">
        <v>1928</v>
      </c>
      <c r="B1929" s="4">
        <v>41109</v>
      </c>
      <c r="C1929" s="1" t="s">
        <v>25</v>
      </c>
      <c r="D1929" s="1" t="s">
        <v>27</v>
      </c>
      <c r="E1929" s="1">
        <v>0.67652777777777784</v>
      </c>
      <c r="F1929" s="1" t="s">
        <v>13</v>
      </c>
      <c r="G1929" s="1">
        <v>2.95</v>
      </c>
      <c r="H1929" s="1">
        <v>3.05</v>
      </c>
      <c r="I1929" s="1">
        <v>0</v>
      </c>
      <c r="J1929" s="4">
        <v>41110</v>
      </c>
      <c r="K1929" s="4">
        <v>42936</v>
      </c>
      <c r="L1929">
        <f t="shared" si="30"/>
        <v>3</v>
      </c>
    </row>
    <row r="1930" spans="1:12" x14ac:dyDescent="0.15">
      <c r="A1930" s="1">
        <v>1929</v>
      </c>
      <c r="B1930" s="4">
        <v>41109</v>
      </c>
      <c r="C1930" s="1" t="s">
        <v>14</v>
      </c>
      <c r="D1930" s="1" t="s">
        <v>27</v>
      </c>
      <c r="E1930" s="1">
        <v>0.67652777777777784</v>
      </c>
      <c r="F1930" s="1" t="s">
        <v>13</v>
      </c>
      <c r="G1930" s="1">
        <v>3.14</v>
      </c>
      <c r="H1930" s="1">
        <v>3.2</v>
      </c>
      <c r="I1930" s="1">
        <v>0</v>
      </c>
      <c r="J1930" s="4">
        <v>41110</v>
      </c>
      <c r="K1930" s="4">
        <v>41475</v>
      </c>
      <c r="L1930">
        <f t="shared" si="30"/>
        <v>3.17</v>
      </c>
    </row>
    <row r="1931" spans="1:12" x14ac:dyDescent="0.15">
      <c r="A1931" s="1">
        <v>1930</v>
      </c>
      <c r="B1931" s="4">
        <v>41109</v>
      </c>
      <c r="C1931" s="1" t="s">
        <v>16</v>
      </c>
      <c r="D1931" s="1" t="s">
        <v>27</v>
      </c>
      <c r="E1931" s="1">
        <v>0.67653935185185177</v>
      </c>
      <c r="F1931" s="1" t="s">
        <v>13</v>
      </c>
      <c r="G1931" s="1">
        <v>2.92</v>
      </c>
      <c r="H1931" s="1">
        <v>3.02</v>
      </c>
      <c r="I1931" s="1">
        <v>0</v>
      </c>
      <c r="J1931" s="4">
        <v>41110</v>
      </c>
      <c r="K1931" s="4">
        <v>42571</v>
      </c>
      <c r="L1931">
        <f t="shared" si="30"/>
        <v>2.9699999999999998</v>
      </c>
    </row>
    <row r="1932" spans="1:12" x14ac:dyDescent="0.15">
      <c r="A1932" s="1">
        <v>1931</v>
      </c>
      <c r="B1932" s="4">
        <v>41109</v>
      </c>
      <c r="C1932" s="1" t="s">
        <v>19</v>
      </c>
      <c r="D1932" s="1" t="s">
        <v>27</v>
      </c>
      <c r="E1932" s="1">
        <v>0.67653935185185177</v>
      </c>
      <c r="F1932" s="1" t="s">
        <v>13</v>
      </c>
      <c r="G1932" s="1">
        <v>3.27</v>
      </c>
      <c r="H1932" s="1">
        <v>3.37</v>
      </c>
      <c r="I1932" s="1">
        <v>0</v>
      </c>
      <c r="J1932" s="4">
        <v>41110</v>
      </c>
      <c r="K1932" s="4">
        <v>41384</v>
      </c>
      <c r="L1932">
        <f t="shared" si="30"/>
        <v>3.3200000000000003</v>
      </c>
    </row>
    <row r="1933" spans="1:12" x14ac:dyDescent="0.15">
      <c r="A1933" s="1">
        <v>1932</v>
      </c>
      <c r="B1933" s="4">
        <v>41108</v>
      </c>
      <c r="C1933" s="1" t="s">
        <v>25</v>
      </c>
      <c r="D1933" s="1" t="s">
        <v>15</v>
      </c>
      <c r="E1933" s="1">
        <v>0.48671296296296296</v>
      </c>
      <c r="F1933" s="1" t="s">
        <v>13</v>
      </c>
      <c r="G1933" s="1">
        <v>2.92</v>
      </c>
      <c r="H1933" s="1">
        <v>2.98</v>
      </c>
      <c r="I1933" s="1">
        <v>0</v>
      </c>
      <c r="J1933" s="4">
        <v>41109</v>
      </c>
      <c r="K1933" s="4">
        <v>42935</v>
      </c>
      <c r="L1933">
        <f t="shared" si="30"/>
        <v>2.95</v>
      </c>
    </row>
    <row r="1934" spans="1:12" x14ac:dyDescent="0.15">
      <c r="A1934" s="1">
        <v>1933</v>
      </c>
      <c r="B1934" s="4">
        <v>41108</v>
      </c>
      <c r="C1934" s="1" t="s">
        <v>20</v>
      </c>
      <c r="D1934" s="1" t="s">
        <v>15</v>
      </c>
      <c r="E1934" s="1">
        <v>0.48671296296296296</v>
      </c>
      <c r="F1934" s="1" t="s">
        <v>13</v>
      </c>
      <c r="G1934" s="1">
        <v>3.03</v>
      </c>
      <c r="H1934" s="1">
        <v>3.09</v>
      </c>
      <c r="I1934" s="1">
        <v>0</v>
      </c>
      <c r="J1934" s="4">
        <v>41109</v>
      </c>
      <c r="K1934" s="4">
        <v>44761</v>
      </c>
      <c r="L1934">
        <f t="shared" si="30"/>
        <v>3.0599999999999996</v>
      </c>
    </row>
    <row r="1935" spans="1:12" x14ac:dyDescent="0.15">
      <c r="A1935" s="1">
        <v>1934</v>
      </c>
      <c r="B1935" s="4">
        <v>41108</v>
      </c>
      <c r="C1935" s="1" t="s">
        <v>11</v>
      </c>
      <c r="D1935" s="1" t="s">
        <v>15</v>
      </c>
      <c r="E1935" s="1">
        <v>0.48671296296296296</v>
      </c>
      <c r="F1935" s="1" t="s">
        <v>13</v>
      </c>
      <c r="G1935" s="1">
        <v>2.9</v>
      </c>
      <c r="H1935" s="1">
        <v>2.96</v>
      </c>
      <c r="I1935" s="1">
        <v>0</v>
      </c>
      <c r="J1935" s="4">
        <v>41109</v>
      </c>
      <c r="K1935" s="4">
        <v>42204</v>
      </c>
      <c r="L1935">
        <f t="shared" si="30"/>
        <v>2.9299999999999997</v>
      </c>
    </row>
    <row r="1936" spans="1:12" x14ac:dyDescent="0.15">
      <c r="A1936" s="1">
        <v>1935</v>
      </c>
      <c r="B1936" s="4">
        <v>41108</v>
      </c>
      <c r="C1936" s="1" t="s">
        <v>16</v>
      </c>
      <c r="D1936" s="1" t="s">
        <v>15</v>
      </c>
      <c r="E1936" s="1">
        <v>0.48671296296296296</v>
      </c>
      <c r="F1936" s="1" t="s">
        <v>13</v>
      </c>
      <c r="G1936" s="1">
        <v>2.91</v>
      </c>
      <c r="H1936" s="1">
        <v>2.97</v>
      </c>
      <c r="I1936" s="1">
        <v>0</v>
      </c>
      <c r="J1936" s="4">
        <v>41109</v>
      </c>
      <c r="K1936" s="4">
        <v>42570</v>
      </c>
      <c r="L1936">
        <f t="shared" si="30"/>
        <v>2.9400000000000004</v>
      </c>
    </row>
    <row r="1937" spans="1:12" x14ac:dyDescent="0.15">
      <c r="A1937" s="1">
        <v>1936</v>
      </c>
      <c r="B1937" s="4">
        <v>41108</v>
      </c>
      <c r="C1937" s="1" t="s">
        <v>18</v>
      </c>
      <c r="D1937" s="1" t="s">
        <v>15</v>
      </c>
      <c r="E1937" s="1">
        <v>0.48670138888888892</v>
      </c>
      <c r="F1937" s="1" t="s">
        <v>13</v>
      </c>
      <c r="G1937" s="1">
        <v>2.93</v>
      </c>
      <c r="H1937" s="1">
        <v>2.99</v>
      </c>
      <c r="I1937" s="1">
        <v>0</v>
      </c>
      <c r="J1937" s="4">
        <v>41109</v>
      </c>
      <c r="K1937" s="4">
        <v>41839</v>
      </c>
      <c r="L1937">
        <f t="shared" si="30"/>
        <v>2.96</v>
      </c>
    </row>
    <row r="1938" spans="1:12" x14ac:dyDescent="0.15">
      <c r="A1938" s="1">
        <v>1937</v>
      </c>
      <c r="B1938" s="4">
        <v>41108</v>
      </c>
      <c r="C1938" s="1" t="s">
        <v>14</v>
      </c>
      <c r="D1938" s="1" t="s">
        <v>15</v>
      </c>
      <c r="E1938" s="1">
        <v>0.48670138888888892</v>
      </c>
      <c r="F1938" s="1" t="s">
        <v>13</v>
      </c>
      <c r="G1938" s="1">
        <v>3.11</v>
      </c>
      <c r="H1938" s="1">
        <v>3.17</v>
      </c>
      <c r="I1938" s="1">
        <v>0</v>
      </c>
      <c r="J1938" s="4">
        <v>41109</v>
      </c>
      <c r="K1938" s="4">
        <v>41474</v>
      </c>
      <c r="L1938">
        <f t="shared" si="30"/>
        <v>3.1399999999999997</v>
      </c>
    </row>
    <row r="1939" spans="1:12" x14ac:dyDescent="0.15">
      <c r="A1939" s="1">
        <v>1938</v>
      </c>
      <c r="B1939" s="4">
        <v>41108</v>
      </c>
      <c r="C1939" s="1" t="s">
        <v>19</v>
      </c>
      <c r="D1939" s="1" t="s">
        <v>15</v>
      </c>
      <c r="E1939" s="1">
        <v>0.48671296296296296</v>
      </c>
      <c r="F1939" s="1" t="s">
        <v>13</v>
      </c>
      <c r="G1939" s="1">
        <v>3.26</v>
      </c>
      <c r="H1939" s="1">
        <v>3.32</v>
      </c>
      <c r="I1939" s="1">
        <v>0</v>
      </c>
      <c r="J1939" s="4">
        <v>41109</v>
      </c>
      <c r="K1939" s="4">
        <v>41383</v>
      </c>
      <c r="L1939">
        <f t="shared" si="30"/>
        <v>3.29</v>
      </c>
    </row>
    <row r="1940" spans="1:12" x14ac:dyDescent="0.15">
      <c r="A1940" s="1">
        <v>1939</v>
      </c>
      <c r="B1940" s="4">
        <v>41108</v>
      </c>
      <c r="C1940" s="1" t="s">
        <v>21</v>
      </c>
      <c r="D1940" s="1" t="s">
        <v>15</v>
      </c>
      <c r="E1940" s="1">
        <v>0.48670138888888892</v>
      </c>
      <c r="F1940" s="1" t="s">
        <v>13</v>
      </c>
      <c r="G1940" s="1">
        <v>2.98</v>
      </c>
      <c r="H1940" s="1">
        <v>3.04</v>
      </c>
      <c r="I1940" s="1">
        <v>0</v>
      </c>
      <c r="J1940" s="4">
        <v>41109</v>
      </c>
      <c r="K1940" s="4">
        <v>43665</v>
      </c>
      <c r="L1940">
        <f t="shared" si="30"/>
        <v>3.01</v>
      </c>
    </row>
    <row r="1941" spans="1:12" x14ac:dyDescent="0.15">
      <c r="A1941" s="1">
        <v>1940</v>
      </c>
      <c r="B1941" s="4">
        <v>41108</v>
      </c>
      <c r="C1941" s="1" t="s">
        <v>19</v>
      </c>
      <c r="D1941" s="1" t="s">
        <v>30</v>
      </c>
      <c r="E1941" s="1">
        <v>0.4952893518518518</v>
      </c>
      <c r="F1941" s="1" t="s">
        <v>13</v>
      </c>
      <c r="G1941" s="1">
        <v>3.23</v>
      </c>
      <c r="H1941" s="1">
        <v>3.33</v>
      </c>
      <c r="I1941" s="1">
        <v>0</v>
      </c>
      <c r="J1941" s="4">
        <v>41109</v>
      </c>
      <c r="K1941" s="4">
        <v>41383</v>
      </c>
      <c r="L1941">
        <f t="shared" si="30"/>
        <v>3.2800000000000002</v>
      </c>
    </row>
    <row r="1942" spans="1:12" x14ac:dyDescent="0.15">
      <c r="A1942" s="1">
        <v>1941</v>
      </c>
      <c r="B1942" s="4">
        <v>41108</v>
      </c>
      <c r="C1942" s="1" t="s">
        <v>18</v>
      </c>
      <c r="D1942" s="1" t="s">
        <v>30</v>
      </c>
      <c r="E1942" s="1">
        <v>0.4952893518518518</v>
      </c>
      <c r="F1942" s="1" t="s">
        <v>13</v>
      </c>
      <c r="G1942" s="1">
        <v>2.91</v>
      </c>
      <c r="H1942" s="1">
        <v>3.01</v>
      </c>
      <c r="I1942" s="1">
        <v>0</v>
      </c>
      <c r="J1942" s="4">
        <v>41109</v>
      </c>
      <c r="K1942" s="4">
        <v>41839</v>
      </c>
      <c r="L1942">
        <f t="shared" si="30"/>
        <v>2.96</v>
      </c>
    </row>
    <row r="1943" spans="1:12" x14ac:dyDescent="0.15">
      <c r="A1943" s="1">
        <v>1942</v>
      </c>
      <c r="B1943" s="4">
        <v>41108</v>
      </c>
      <c r="C1943" s="1" t="s">
        <v>11</v>
      </c>
      <c r="D1943" s="1" t="s">
        <v>30</v>
      </c>
      <c r="E1943" s="1">
        <v>0.4952893518518518</v>
      </c>
      <c r="F1943" s="1" t="s">
        <v>13</v>
      </c>
      <c r="G1943" s="1">
        <v>2.89</v>
      </c>
      <c r="H1943" s="1">
        <v>2.99</v>
      </c>
      <c r="I1943" s="1">
        <v>0</v>
      </c>
      <c r="J1943" s="4">
        <v>41109</v>
      </c>
      <c r="K1943" s="4">
        <v>42204</v>
      </c>
      <c r="L1943">
        <f t="shared" si="30"/>
        <v>2.9400000000000004</v>
      </c>
    </row>
    <row r="1944" spans="1:12" x14ac:dyDescent="0.15">
      <c r="A1944" s="1">
        <v>1943</v>
      </c>
      <c r="B1944" s="4">
        <v>41108</v>
      </c>
      <c r="C1944" s="1" t="s">
        <v>20</v>
      </c>
      <c r="D1944" s="1" t="s">
        <v>30</v>
      </c>
      <c r="E1944" s="1">
        <v>0.4952893518518518</v>
      </c>
      <c r="F1944" s="1" t="s">
        <v>13</v>
      </c>
      <c r="G1944" s="1">
        <v>2.98</v>
      </c>
      <c r="H1944" s="1">
        <v>3.08</v>
      </c>
      <c r="I1944" s="1">
        <v>0</v>
      </c>
      <c r="J1944" s="4">
        <v>41109</v>
      </c>
      <c r="K1944" s="4">
        <v>44761</v>
      </c>
      <c r="L1944">
        <f t="shared" si="30"/>
        <v>3.0300000000000002</v>
      </c>
    </row>
    <row r="1945" spans="1:12" x14ac:dyDescent="0.15">
      <c r="A1945" s="1">
        <v>1944</v>
      </c>
      <c r="B1945" s="4">
        <v>41108</v>
      </c>
      <c r="C1945" s="1" t="s">
        <v>14</v>
      </c>
      <c r="D1945" s="1" t="s">
        <v>30</v>
      </c>
      <c r="E1945" s="1">
        <v>0.4952893518518518</v>
      </c>
      <c r="F1945" s="1" t="s">
        <v>13</v>
      </c>
      <c r="G1945" s="1">
        <v>3.1</v>
      </c>
      <c r="H1945" s="1">
        <v>3.2</v>
      </c>
      <c r="I1945" s="1">
        <v>0</v>
      </c>
      <c r="J1945" s="4">
        <v>41109</v>
      </c>
      <c r="K1945" s="4">
        <v>41474</v>
      </c>
      <c r="L1945">
        <f t="shared" si="30"/>
        <v>3.1500000000000004</v>
      </c>
    </row>
    <row r="1946" spans="1:12" x14ac:dyDescent="0.15">
      <c r="A1946" s="1">
        <v>1945</v>
      </c>
      <c r="B1946" s="4">
        <v>41108</v>
      </c>
      <c r="C1946" s="1" t="s">
        <v>22</v>
      </c>
      <c r="D1946" s="1" t="s">
        <v>30</v>
      </c>
      <c r="E1946" s="1">
        <v>0.4952893518518518</v>
      </c>
      <c r="F1946" s="1" t="s">
        <v>13</v>
      </c>
      <c r="G1946" s="1">
        <v>3.45</v>
      </c>
      <c r="H1946" s="1">
        <v>3.55</v>
      </c>
      <c r="I1946" s="1">
        <v>0</v>
      </c>
      <c r="J1946" s="4">
        <v>41109</v>
      </c>
      <c r="K1946" s="4">
        <v>41293</v>
      </c>
      <c r="L1946">
        <f t="shared" si="30"/>
        <v>3.5</v>
      </c>
    </row>
    <row r="1947" spans="1:12" x14ac:dyDescent="0.15">
      <c r="A1947" s="1">
        <v>1946</v>
      </c>
      <c r="B1947" s="4">
        <v>41108</v>
      </c>
      <c r="C1947" s="1" t="s">
        <v>21</v>
      </c>
      <c r="D1947" s="1" t="s">
        <v>30</v>
      </c>
      <c r="E1947" s="1">
        <v>0.4952893518518518</v>
      </c>
      <c r="F1947" s="1" t="s">
        <v>13</v>
      </c>
      <c r="G1947" s="1">
        <v>2.93</v>
      </c>
      <c r="H1947" s="1">
        <v>3.03</v>
      </c>
      <c r="I1947" s="1">
        <v>0</v>
      </c>
      <c r="J1947" s="4">
        <v>41109</v>
      </c>
      <c r="K1947" s="4">
        <v>43665</v>
      </c>
      <c r="L1947">
        <f t="shared" si="30"/>
        <v>2.98</v>
      </c>
    </row>
    <row r="1948" spans="1:12" x14ac:dyDescent="0.15">
      <c r="A1948" s="1">
        <v>1947</v>
      </c>
      <c r="B1948" s="4">
        <v>41108</v>
      </c>
      <c r="C1948" s="1" t="s">
        <v>16</v>
      </c>
      <c r="D1948" s="1" t="s">
        <v>30</v>
      </c>
      <c r="E1948" s="1">
        <v>0.4952893518518518</v>
      </c>
      <c r="F1948" s="1" t="s">
        <v>13</v>
      </c>
      <c r="G1948" s="1">
        <v>2.89</v>
      </c>
      <c r="H1948" s="1">
        <v>2.99</v>
      </c>
      <c r="I1948" s="1">
        <v>0</v>
      </c>
      <c r="J1948" s="4">
        <v>41109</v>
      </c>
      <c r="K1948" s="4">
        <v>42570</v>
      </c>
      <c r="L1948">
        <f t="shared" si="30"/>
        <v>2.9400000000000004</v>
      </c>
    </row>
    <row r="1949" spans="1:12" x14ac:dyDescent="0.15">
      <c r="A1949" s="1">
        <v>1948</v>
      </c>
      <c r="B1949" s="4">
        <v>41108</v>
      </c>
      <c r="C1949" s="1" t="s">
        <v>25</v>
      </c>
      <c r="D1949" s="1" t="s">
        <v>30</v>
      </c>
      <c r="E1949" s="1">
        <v>0.4952893518518518</v>
      </c>
      <c r="F1949" s="1" t="s">
        <v>13</v>
      </c>
      <c r="G1949" s="1">
        <v>2.89</v>
      </c>
      <c r="H1949" s="1">
        <v>2.99</v>
      </c>
      <c r="I1949" s="1">
        <v>0</v>
      </c>
      <c r="J1949" s="4">
        <v>41109</v>
      </c>
      <c r="K1949" s="4">
        <v>42935</v>
      </c>
      <c r="L1949">
        <f t="shared" si="30"/>
        <v>2.9400000000000004</v>
      </c>
    </row>
    <row r="1950" spans="1:12" x14ac:dyDescent="0.15">
      <c r="A1950" s="1">
        <v>1949</v>
      </c>
      <c r="B1950" s="4">
        <v>41108</v>
      </c>
      <c r="C1950" s="1" t="s">
        <v>20</v>
      </c>
      <c r="D1950" s="1" t="s">
        <v>26</v>
      </c>
      <c r="E1950" s="1">
        <v>0.48268518518518522</v>
      </c>
      <c r="F1950" s="1" t="s">
        <v>13</v>
      </c>
      <c r="G1950" s="1">
        <v>2.9</v>
      </c>
      <c r="H1950" s="1">
        <v>3</v>
      </c>
      <c r="I1950" s="1">
        <v>0</v>
      </c>
      <c r="J1950" s="4">
        <v>41109</v>
      </c>
      <c r="K1950" s="4">
        <v>44761</v>
      </c>
      <c r="L1950">
        <f t="shared" si="30"/>
        <v>2.95</v>
      </c>
    </row>
    <row r="1951" spans="1:12" x14ac:dyDescent="0.15">
      <c r="A1951" s="1">
        <v>1950</v>
      </c>
      <c r="B1951" s="4">
        <v>41108</v>
      </c>
      <c r="C1951" s="1" t="s">
        <v>14</v>
      </c>
      <c r="D1951" s="1" t="s">
        <v>26</v>
      </c>
      <c r="E1951" s="1">
        <v>0.48268518518518522</v>
      </c>
      <c r="F1951" s="1" t="s">
        <v>13</v>
      </c>
      <c r="G1951" s="1">
        <v>3.1</v>
      </c>
      <c r="H1951" s="1">
        <v>3.15</v>
      </c>
      <c r="I1951" s="1">
        <v>0</v>
      </c>
      <c r="J1951" s="4">
        <v>41109</v>
      </c>
      <c r="K1951" s="4">
        <v>41474</v>
      </c>
      <c r="L1951">
        <f t="shared" si="30"/>
        <v>3.125</v>
      </c>
    </row>
    <row r="1952" spans="1:12" x14ac:dyDescent="0.15">
      <c r="A1952" s="1">
        <v>1951</v>
      </c>
      <c r="B1952" s="4">
        <v>41108</v>
      </c>
      <c r="C1952" s="1" t="s">
        <v>16</v>
      </c>
      <c r="D1952" s="1" t="s">
        <v>26</v>
      </c>
      <c r="E1952" s="1">
        <v>0.48269675925925926</v>
      </c>
      <c r="F1952" s="1" t="s">
        <v>13</v>
      </c>
      <c r="G1952" s="1">
        <v>2.9</v>
      </c>
      <c r="H1952" s="1">
        <v>3</v>
      </c>
      <c r="I1952" s="1">
        <v>0</v>
      </c>
      <c r="J1952" s="4">
        <v>41109</v>
      </c>
      <c r="K1952" s="4">
        <v>42570</v>
      </c>
      <c r="L1952">
        <f t="shared" si="30"/>
        <v>2.95</v>
      </c>
    </row>
    <row r="1953" spans="1:12" x14ac:dyDescent="0.15">
      <c r="A1953" s="1">
        <v>1952</v>
      </c>
      <c r="B1953" s="4">
        <v>41108</v>
      </c>
      <c r="C1953" s="1" t="s">
        <v>25</v>
      </c>
      <c r="D1953" s="1" t="s">
        <v>26</v>
      </c>
      <c r="E1953" s="1">
        <v>0.48269675925925926</v>
      </c>
      <c r="F1953" s="1" t="s">
        <v>13</v>
      </c>
      <c r="G1953" s="1">
        <v>2.9</v>
      </c>
      <c r="H1953" s="1">
        <v>3</v>
      </c>
      <c r="I1953" s="1">
        <v>0</v>
      </c>
      <c r="J1953" s="4">
        <v>41109</v>
      </c>
      <c r="K1953" s="4">
        <v>42935</v>
      </c>
      <c r="L1953">
        <f t="shared" si="30"/>
        <v>2.95</v>
      </c>
    </row>
    <row r="1954" spans="1:12" x14ac:dyDescent="0.15">
      <c r="A1954" s="1">
        <v>1953</v>
      </c>
      <c r="B1954" s="4">
        <v>41108</v>
      </c>
      <c r="C1954" s="1" t="s">
        <v>21</v>
      </c>
      <c r="D1954" s="1" t="s">
        <v>26</v>
      </c>
      <c r="E1954" s="1">
        <v>0.48268518518518522</v>
      </c>
      <c r="F1954" s="1" t="s">
        <v>13</v>
      </c>
      <c r="G1954" s="1">
        <v>2.9</v>
      </c>
      <c r="H1954" s="1">
        <v>3</v>
      </c>
      <c r="I1954" s="1">
        <v>0</v>
      </c>
      <c r="J1954" s="4">
        <v>41109</v>
      </c>
      <c r="K1954" s="4">
        <v>43665</v>
      </c>
      <c r="L1954">
        <f t="shared" si="30"/>
        <v>2.95</v>
      </c>
    </row>
    <row r="1955" spans="1:12" x14ac:dyDescent="0.15">
      <c r="A1955" s="1">
        <v>1954</v>
      </c>
      <c r="B1955" s="4">
        <v>41108</v>
      </c>
      <c r="C1955" s="1" t="s">
        <v>18</v>
      </c>
      <c r="D1955" s="1" t="s">
        <v>26</v>
      </c>
      <c r="E1955" s="1">
        <v>0.48268518518518522</v>
      </c>
      <c r="F1955" s="1" t="s">
        <v>13</v>
      </c>
      <c r="G1955" s="1">
        <v>2.93</v>
      </c>
      <c r="H1955" s="1">
        <v>3.02</v>
      </c>
      <c r="I1955" s="1">
        <v>0</v>
      </c>
      <c r="J1955" s="4">
        <v>41109</v>
      </c>
      <c r="K1955" s="4">
        <v>41839</v>
      </c>
      <c r="L1955">
        <f t="shared" si="30"/>
        <v>2.9750000000000001</v>
      </c>
    </row>
    <row r="1956" spans="1:12" x14ac:dyDescent="0.15">
      <c r="A1956" s="1">
        <v>1955</v>
      </c>
      <c r="B1956" s="4">
        <v>41108</v>
      </c>
      <c r="C1956" s="1" t="s">
        <v>22</v>
      </c>
      <c r="D1956" s="1" t="s">
        <v>26</v>
      </c>
      <c r="E1956" s="1">
        <v>0.48268518518518522</v>
      </c>
      <c r="F1956" s="1" t="s">
        <v>13</v>
      </c>
      <c r="G1956" s="1">
        <v>3.45</v>
      </c>
      <c r="H1956" s="1">
        <v>3.5</v>
      </c>
      <c r="I1956" s="1">
        <v>0</v>
      </c>
      <c r="J1956" s="4">
        <v>41109</v>
      </c>
      <c r="K1956" s="4">
        <v>41293</v>
      </c>
      <c r="L1956">
        <f t="shared" si="30"/>
        <v>3.4750000000000001</v>
      </c>
    </row>
    <row r="1957" spans="1:12" x14ac:dyDescent="0.15">
      <c r="A1957" s="1">
        <v>1956</v>
      </c>
      <c r="B1957" s="4">
        <v>41108</v>
      </c>
      <c r="C1957" s="1" t="s">
        <v>19</v>
      </c>
      <c r="D1957" s="1" t="s">
        <v>26</v>
      </c>
      <c r="E1957" s="1">
        <v>0.48268518518518522</v>
      </c>
      <c r="F1957" s="1" t="s">
        <v>13</v>
      </c>
      <c r="G1957" s="1">
        <v>3.2</v>
      </c>
      <c r="H1957" s="1">
        <v>3.28</v>
      </c>
      <c r="I1957" s="1">
        <v>0</v>
      </c>
      <c r="J1957" s="4">
        <v>41109</v>
      </c>
      <c r="K1957" s="4">
        <v>41383</v>
      </c>
      <c r="L1957">
        <f t="shared" si="30"/>
        <v>3.24</v>
      </c>
    </row>
    <row r="1958" spans="1:12" x14ac:dyDescent="0.15">
      <c r="A1958" s="1">
        <v>1957</v>
      </c>
      <c r="B1958" s="4">
        <v>41108</v>
      </c>
      <c r="C1958" s="1" t="s">
        <v>11</v>
      </c>
      <c r="D1958" s="1" t="s">
        <v>26</v>
      </c>
      <c r="E1958" s="1">
        <v>0.48269675925925926</v>
      </c>
      <c r="F1958" s="1" t="s">
        <v>13</v>
      </c>
      <c r="G1958" s="1">
        <v>2.9</v>
      </c>
      <c r="H1958" s="1">
        <v>3</v>
      </c>
      <c r="I1958" s="1">
        <v>0</v>
      </c>
      <c r="J1958" s="4">
        <v>41109</v>
      </c>
      <c r="K1958" s="4">
        <v>42204</v>
      </c>
      <c r="L1958">
        <f t="shared" si="30"/>
        <v>2.95</v>
      </c>
    </row>
    <row r="1959" spans="1:12" x14ac:dyDescent="0.15">
      <c r="A1959" s="1">
        <v>1958</v>
      </c>
      <c r="B1959" s="4">
        <v>41108</v>
      </c>
      <c r="C1959" s="1" t="s">
        <v>18</v>
      </c>
      <c r="D1959" s="1" t="s">
        <v>27</v>
      </c>
      <c r="E1959" s="1">
        <v>0.48575231481481485</v>
      </c>
      <c r="F1959" s="1" t="s">
        <v>13</v>
      </c>
      <c r="G1959" s="1">
        <v>2.94</v>
      </c>
      <c r="H1959" s="1">
        <v>3.04</v>
      </c>
      <c r="I1959" s="1">
        <v>0</v>
      </c>
      <c r="J1959" s="4">
        <v>41109</v>
      </c>
      <c r="K1959" s="4">
        <v>41839</v>
      </c>
      <c r="L1959">
        <f t="shared" si="30"/>
        <v>2.99</v>
      </c>
    </row>
    <row r="1960" spans="1:12" x14ac:dyDescent="0.15">
      <c r="A1960" s="1">
        <v>1959</v>
      </c>
      <c r="B1960" s="4">
        <v>41108</v>
      </c>
      <c r="C1960" s="1" t="s">
        <v>16</v>
      </c>
      <c r="D1960" s="1" t="s">
        <v>27</v>
      </c>
      <c r="E1960" s="1">
        <v>0.48575231481481485</v>
      </c>
      <c r="F1960" s="1" t="s">
        <v>13</v>
      </c>
      <c r="G1960" s="1">
        <v>2.9</v>
      </c>
      <c r="H1960" s="1">
        <v>3</v>
      </c>
      <c r="I1960" s="1">
        <v>0</v>
      </c>
      <c r="J1960" s="4">
        <v>41109</v>
      </c>
      <c r="K1960" s="4">
        <v>42570</v>
      </c>
      <c r="L1960">
        <f t="shared" si="30"/>
        <v>2.95</v>
      </c>
    </row>
    <row r="1961" spans="1:12" x14ac:dyDescent="0.15">
      <c r="A1961" s="1">
        <v>1960</v>
      </c>
      <c r="B1961" s="4">
        <v>41108</v>
      </c>
      <c r="C1961" s="1" t="s">
        <v>22</v>
      </c>
      <c r="D1961" s="1" t="s">
        <v>15</v>
      </c>
      <c r="E1961" s="1">
        <v>0.48670138888888892</v>
      </c>
      <c r="F1961" s="1" t="s">
        <v>13</v>
      </c>
      <c r="G1961" s="1">
        <v>3.46</v>
      </c>
      <c r="H1961" s="1">
        <v>3.52</v>
      </c>
      <c r="I1961" s="1">
        <v>0</v>
      </c>
      <c r="J1961" s="4">
        <v>41109</v>
      </c>
      <c r="K1961" s="4">
        <v>41293</v>
      </c>
      <c r="L1961">
        <f t="shared" si="30"/>
        <v>3.49</v>
      </c>
    </row>
    <row r="1962" spans="1:12" x14ac:dyDescent="0.15">
      <c r="A1962" s="1">
        <v>1961</v>
      </c>
      <c r="B1962" s="4">
        <v>41108</v>
      </c>
      <c r="C1962" s="1" t="s">
        <v>11</v>
      </c>
      <c r="D1962" s="1" t="s">
        <v>27</v>
      </c>
      <c r="E1962" s="1">
        <v>0.48576388888888888</v>
      </c>
      <c r="F1962" s="1" t="s">
        <v>13</v>
      </c>
      <c r="G1962" s="1">
        <v>2.9</v>
      </c>
      <c r="H1962" s="1">
        <v>3</v>
      </c>
      <c r="I1962" s="1">
        <v>0</v>
      </c>
      <c r="J1962" s="4">
        <v>41109</v>
      </c>
      <c r="K1962" s="4">
        <v>42204</v>
      </c>
      <c r="L1962">
        <f t="shared" si="30"/>
        <v>2.95</v>
      </c>
    </row>
    <row r="1963" spans="1:12" x14ac:dyDescent="0.15">
      <c r="A1963" s="1">
        <v>1962</v>
      </c>
      <c r="B1963" s="4">
        <v>41108</v>
      </c>
      <c r="C1963" s="1" t="s">
        <v>25</v>
      </c>
      <c r="D1963" s="1" t="s">
        <v>27</v>
      </c>
      <c r="E1963" s="1">
        <v>0.48574074074074075</v>
      </c>
      <c r="F1963" s="1" t="s">
        <v>13</v>
      </c>
      <c r="G1963" s="1">
        <v>2.92</v>
      </c>
      <c r="H1963" s="1">
        <v>3.07</v>
      </c>
      <c r="I1963" s="1">
        <v>0</v>
      </c>
      <c r="J1963" s="4">
        <v>41109</v>
      </c>
      <c r="K1963" s="4">
        <v>42935</v>
      </c>
      <c r="L1963">
        <f t="shared" si="30"/>
        <v>2.9950000000000001</v>
      </c>
    </row>
    <row r="1964" spans="1:12" x14ac:dyDescent="0.15">
      <c r="A1964" s="1">
        <v>1963</v>
      </c>
      <c r="B1964" s="4">
        <v>41108</v>
      </c>
      <c r="C1964" s="1" t="s">
        <v>14</v>
      </c>
      <c r="D1964" s="1" t="s">
        <v>27</v>
      </c>
      <c r="E1964" s="1">
        <v>0.48574074074074075</v>
      </c>
      <c r="F1964" s="1" t="s">
        <v>13</v>
      </c>
      <c r="G1964" s="1">
        <v>3.14</v>
      </c>
      <c r="H1964" s="1">
        <v>3.21</v>
      </c>
      <c r="I1964" s="1">
        <v>0</v>
      </c>
      <c r="J1964" s="4">
        <v>41109</v>
      </c>
      <c r="K1964" s="4">
        <v>41474</v>
      </c>
      <c r="L1964">
        <f t="shared" si="30"/>
        <v>3.1749999999999998</v>
      </c>
    </row>
    <row r="1965" spans="1:12" x14ac:dyDescent="0.15">
      <c r="A1965" s="1">
        <v>1964</v>
      </c>
      <c r="B1965" s="4">
        <v>41108</v>
      </c>
      <c r="C1965" s="1" t="s">
        <v>19</v>
      </c>
      <c r="D1965" s="1" t="s">
        <v>27</v>
      </c>
      <c r="E1965" s="1">
        <v>0.48575231481481485</v>
      </c>
      <c r="F1965" s="1" t="s">
        <v>13</v>
      </c>
      <c r="G1965" s="1">
        <v>3.25</v>
      </c>
      <c r="H1965" s="1">
        <v>3.32</v>
      </c>
      <c r="I1965" s="1">
        <v>0</v>
      </c>
      <c r="J1965" s="4">
        <v>41109</v>
      </c>
      <c r="K1965" s="4">
        <v>41383</v>
      </c>
      <c r="L1965">
        <f t="shared" si="30"/>
        <v>3.2850000000000001</v>
      </c>
    </row>
    <row r="1966" spans="1:12" x14ac:dyDescent="0.15">
      <c r="A1966" s="1">
        <v>1965</v>
      </c>
      <c r="B1966" s="4">
        <v>41108</v>
      </c>
      <c r="C1966" s="1" t="s">
        <v>22</v>
      </c>
      <c r="D1966" s="1" t="s">
        <v>27</v>
      </c>
      <c r="E1966" s="1">
        <v>0.48575231481481485</v>
      </c>
      <c r="F1966" s="1" t="s">
        <v>13</v>
      </c>
      <c r="G1966" s="1">
        <v>3.48</v>
      </c>
      <c r="H1966" s="1">
        <v>3.58</v>
      </c>
      <c r="I1966" s="1">
        <v>0</v>
      </c>
      <c r="J1966" s="4">
        <v>41109</v>
      </c>
      <c r="K1966" s="4">
        <v>41293</v>
      </c>
      <c r="L1966">
        <f t="shared" si="30"/>
        <v>3.5300000000000002</v>
      </c>
    </row>
    <row r="1967" spans="1:12" x14ac:dyDescent="0.15">
      <c r="A1967" s="1">
        <v>1966</v>
      </c>
      <c r="B1967" s="4">
        <v>41108</v>
      </c>
      <c r="C1967" s="1" t="s">
        <v>11</v>
      </c>
      <c r="D1967" s="1" t="s">
        <v>27</v>
      </c>
      <c r="E1967" s="1">
        <v>0.67954861111111109</v>
      </c>
      <c r="F1967" s="1" t="s">
        <v>13</v>
      </c>
      <c r="G1967" s="1">
        <v>2.91</v>
      </c>
      <c r="H1967" s="1">
        <v>3.01</v>
      </c>
      <c r="I1967" s="1">
        <v>0</v>
      </c>
      <c r="J1967" s="4">
        <v>41109</v>
      </c>
      <c r="K1967" s="4">
        <v>42204</v>
      </c>
      <c r="L1967">
        <f t="shared" si="30"/>
        <v>2.96</v>
      </c>
    </row>
    <row r="1968" spans="1:12" x14ac:dyDescent="0.15">
      <c r="A1968" s="1">
        <v>1967</v>
      </c>
      <c r="B1968" s="4">
        <v>41108</v>
      </c>
      <c r="C1968" s="1" t="s">
        <v>19</v>
      </c>
      <c r="D1968" s="1" t="s">
        <v>27</v>
      </c>
      <c r="E1968" s="1">
        <v>0.67952546296296301</v>
      </c>
      <c r="F1968" s="1" t="s">
        <v>13</v>
      </c>
      <c r="G1968" s="1">
        <v>3.26</v>
      </c>
      <c r="H1968" s="1">
        <v>3.33</v>
      </c>
      <c r="I1968" s="1">
        <v>0</v>
      </c>
      <c r="J1968" s="4">
        <v>41109</v>
      </c>
      <c r="K1968" s="4">
        <v>41383</v>
      </c>
      <c r="L1968">
        <f t="shared" si="30"/>
        <v>3.2949999999999999</v>
      </c>
    </row>
    <row r="1969" spans="1:12" x14ac:dyDescent="0.15">
      <c r="A1969" s="1">
        <v>1968</v>
      </c>
      <c r="B1969" s="4">
        <v>41108</v>
      </c>
      <c r="C1969" s="1" t="s">
        <v>22</v>
      </c>
      <c r="D1969" s="1" t="s">
        <v>27</v>
      </c>
      <c r="E1969" s="1">
        <v>0.67954861111111109</v>
      </c>
      <c r="F1969" s="1" t="s">
        <v>13</v>
      </c>
      <c r="G1969" s="1">
        <v>3.46</v>
      </c>
      <c r="H1969" s="1">
        <v>3.56</v>
      </c>
      <c r="I1969" s="1">
        <v>0</v>
      </c>
      <c r="J1969" s="4">
        <v>41109</v>
      </c>
      <c r="K1969" s="4">
        <v>41293</v>
      </c>
      <c r="L1969">
        <f t="shared" si="30"/>
        <v>3.51</v>
      </c>
    </row>
    <row r="1970" spans="1:12" x14ac:dyDescent="0.15">
      <c r="A1970" s="1">
        <v>1969</v>
      </c>
      <c r="B1970" s="4">
        <v>41108</v>
      </c>
      <c r="C1970" s="1" t="s">
        <v>18</v>
      </c>
      <c r="D1970" s="1" t="s">
        <v>27</v>
      </c>
      <c r="E1970" s="1">
        <v>0.67954861111111109</v>
      </c>
      <c r="F1970" s="1" t="s">
        <v>13</v>
      </c>
      <c r="G1970" s="1">
        <v>2.96</v>
      </c>
      <c r="H1970" s="1">
        <v>3.06</v>
      </c>
      <c r="I1970" s="1">
        <v>0</v>
      </c>
      <c r="J1970" s="4">
        <v>41109</v>
      </c>
      <c r="K1970" s="4">
        <v>41839</v>
      </c>
      <c r="L1970">
        <f t="shared" si="30"/>
        <v>3.01</v>
      </c>
    </row>
    <row r="1971" spans="1:12" x14ac:dyDescent="0.15">
      <c r="A1971" s="1">
        <v>1970</v>
      </c>
      <c r="B1971" s="4">
        <v>41108</v>
      </c>
      <c r="C1971" s="1" t="s">
        <v>16</v>
      </c>
      <c r="D1971" s="1" t="s">
        <v>27</v>
      </c>
      <c r="E1971" s="1">
        <v>0.67952546296296301</v>
      </c>
      <c r="F1971" s="1" t="s">
        <v>13</v>
      </c>
      <c r="G1971" s="1">
        <v>2.91</v>
      </c>
      <c r="H1971" s="1">
        <v>3.01</v>
      </c>
      <c r="I1971" s="1">
        <v>0</v>
      </c>
      <c r="J1971" s="4">
        <v>41109</v>
      </c>
      <c r="K1971" s="4">
        <v>42570</v>
      </c>
      <c r="L1971">
        <f t="shared" si="30"/>
        <v>2.96</v>
      </c>
    </row>
    <row r="1972" spans="1:12" x14ac:dyDescent="0.15">
      <c r="A1972" s="1">
        <v>1971</v>
      </c>
      <c r="B1972" s="4">
        <v>41108</v>
      </c>
      <c r="C1972" s="1" t="s">
        <v>11</v>
      </c>
      <c r="D1972" s="1" t="s">
        <v>26</v>
      </c>
      <c r="E1972" s="1">
        <v>0.67386574074074079</v>
      </c>
      <c r="F1972" s="1" t="s">
        <v>13</v>
      </c>
      <c r="G1972" s="1">
        <v>2.9</v>
      </c>
      <c r="H1972" s="1">
        <v>3</v>
      </c>
      <c r="I1972" s="1">
        <v>0</v>
      </c>
      <c r="J1972" s="4">
        <v>41109</v>
      </c>
      <c r="K1972" s="4">
        <v>42204</v>
      </c>
      <c r="L1972">
        <f t="shared" si="30"/>
        <v>2.95</v>
      </c>
    </row>
    <row r="1973" spans="1:12" x14ac:dyDescent="0.15">
      <c r="A1973" s="1">
        <v>1972</v>
      </c>
      <c r="B1973" s="4">
        <v>41108</v>
      </c>
      <c r="C1973" s="1" t="s">
        <v>25</v>
      </c>
      <c r="D1973" s="1" t="s">
        <v>27</v>
      </c>
      <c r="E1973" s="1">
        <v>0.67952546296296301</v>
      </c>
      <c r="F1973" s="1" t="s">
        <v>13</v>
      </c>
      <c r="G1973" s="1">
        <v>2.97</v>
      </c>
      <c r="H1973" s="1">
        <v>3.02</v>
      </c>
      <c r="I1973" s="1">
        <v>0</v>
      </c>
      <c r="J1973" s="4">
        <v>41109</v>
      </c>
      <c r="K1973" s="4">
        <v>42935</v>
      </c>
      <c r="L1973">
        <f t="shared" si="30"/>
        <v>2.9950000000000001</v>
      </c>
    </row>
    <row r="1974" spans="1:12" x14ac:dyDescent="0.15">
      <c r="A1974" s="1">
        <v>1973</v>
      </c>
      <c r="B1974" s="4">
        <v>41108</v>
      </c>
      <c r="C1974" s="1" t="s">
        <v>14</v>
      </c>
      <c r="D1974" s="1" t="s">
        <v>27</v>
      </c>
      <c r="E1974" s="1">
        <v>0.67952546296296301</v>
      </c>
      <c r="F1974" s="1" t="s">
        <v>13</v>
      </c>
      <c r="G1974" s="1">
        <v>3.15</v>
      </c>
      <c r="H1974" s="1">
        <v>3.2</v>
      </c>
      <c r="I1974" s="1">
        <v>0</v>
      </c>
      <c r="J1974" s="4">
        <v>41109</v>
      </c>
      <c r="K1974" s="4">
        <v>41474</v>
      </c>
      <c r="L1974">
        <f t="shared" si="30"/>
        <v>3.1749999999999998</v>
      </c>
    </row>
    <row r="1975" spans="1:12" x14ac:dyDescent="0.15">
      <c r="A1975" s="1">
        <v>1974</v>
      </c>
      <c r="B1975" s="4">
        <v>41108</v>
      </c>
      <c r="C1975" s="1" t="s">
        <v>19</v>
      </c>
      <c r="D1975" s="1" t="s">
        <v>30</v>
      </c>
      <c r="E1975" s="1">
        <v>0.68010416666666673</v>
      </c>
      <c r="F1975" s="1" t="s">
        <v>13</v>
      </c>
      <c r="G1975" s="1">
        <v>3.25</v>
      </c>
      <c r="H1975" s="1">
        <v>3.35</v>
      </c>
      <c r="I1975" s="1">
        <v>0</v>
      </c>
      <c r="J1975" s="4">
        <v>41109</v>
      </c>
      <c r="K1975" s="4">
        <v>41383</v>
      </c>
      <c r="L1975">
        <f t="shared" si="30"/>
        <v>3.3</v>
      </c>
    </row>
    <row r="1976" spans="1:12" x14ac:dyDescent="0.15">
      <c r="A1976" s="1">
        <v>1975</v>
      </c>
      <c r="B1976" s="4">
        <v>41108</v>
      </c>
      <c r="C1976" s="1" t="s">
        <v>18</v>
      </c>
      <c r="D1976" s="1" t="s">
        <v>30</v>
      </c>
      <c r="E1976" s="1">
        <v>0.68010416666666673</v>
      </c>
      <c r="F1976" s="1" t="s">
        <v>13</v>
      </c>
      <c r="G1976" s="1">
        <v>2.93</v>
      </c>
      <c r="H1976" s="1">
        <v>3.03</v>
      </c>
      <c r="I1976" s="1">
        <v>0</v>
      </c>
      <c r="J1976" s="4">
        <v>41109</v>
      </c>
      <c r="K1976" s="4">
        <v>41839</v>
      </c>
      <c r="L1976">
        <f t="shared" si="30"/>
        <v>2.98</v>
      </c>
    </row>
    <row r="1977" spans="1:12" x14ac:dyDescent="0.15">
      <c r="A1977" s="1">
        <v>1976</v>
      </c>
      <c r="B1977" s="4">
        <v>41108</v>
      </c>
      <c r="C1977" s="1" t="s">
        <v>11</v>
      </c>
      <c r="D1977" s="1" t="s">
        <v>30</v>
      </c>
      <c r="E1977" s="1">
        <v>0.68010416666666673</v>
      </c>
      <c r="F1977" s="1" t="s">
        <v>13</v>
      </c>
      <c r="G1977" s="1">
        <v>2.91</v>
      </c>
      <c r="H1977" s="1">
        <v>3.01</v>
      </c>
      <c r="I1977" s="1">
        <v>0</v>
      </c>
      <c r="J1977" s="4">
        <v>41109</v>
      </c>
      <c r="K1977" s="4">
        <v>42204</v>
      </c>
      <c r="L1977">
        <f t="shared" si="30"/>
        <v>2.96</v>
      </c>
    </row>
    <row r="1978" spans="1:12" x14ac:dyDescent="0.15">
      <c r="A1978" s="1">
        <v>1977</v>
      </c>
      <c r="B1978" s="4">
        <v>41108</v>
      </c>
      <c r="C1978" s="1" t="s">
        <v>20</v>
      </c>
      <c r="D1978" s="1" t="s">
        <v>30</v>
      </c>
      <c r="E1978" s="1">
        <v>0.68010416666666673</v>
      </c>
      <c r="F1978" s="1" t="s">
        <v>13</v>
      </c>
      <c r="G1978" s="1">
        <v>3</v>
      </c>
      <c r="H1978" s="1">
        <v>3.1</v>
      </c>
      <c r="I1978" s="1">
        <v>0</v>
      </c>
      <c r="J1978" s="4">
        <v>41109</v>
      </c>
      <c r="K1978" s="4">
        <v>44761</v>
      </c>
      <c r="L1978">
        <f t="shared" si="30"/>
        <v>3.05</v>
      </c>
    </row>
    <row r="1979" spans="1:12" x14ac:dyDescent="0.15">
      <c r="A1979" s="1">
        <v>1978</v>
      </c>
      <c r="B1979" s="4">
        <v>41108</v>
      </c>
      <c r="C1979" s="1" t="s">
        <v>14</v>
      </c>
      <c r="D1979" s="1" t="s">
        <v>30</v>
      </c>
      <c r="E1979" s="1">
        <v>0.68010416666666673</v>
      </c>
      <c r="F1979" s="1" t="s">
        <v>13</v>
      </c>
      <c r="G1979" s="1">
        <v>3.12</v>
      </c>
      <c r="H1979" s="1">
        <v>3.22</v>
      </c>
      <c r="I1979" s="1">
        <v>0</v>
      </c>
      <c r="J1979" s="4">
        <v>41109</v>
      </c>
      <c r="K1979" s="4">
        <v>41474</v>
      </c>
      <c r="L1979">
        <f t="shared" si="30"/>
        <v>3.17</v>
      </c>
    </row>
    <row r="1980" spans="1:12" x14ac:dyDescent="0.15">
      <c r="A1980" s="1">
        <v>1979</v>
      </c>
      <c r="B1980" s="4">
        <v>41108</v>
      </c>
      <c r="C1980" s="1" t="s">
        <v>22</v>
      </c>
      <c r="D1980" s="1" t="s">
        <v>30</v>
      </c>
      <c r="E1980" s="1">
        <v>0.68010416666666673</v>
      </c>
      <c r="F1980" s="1" t="s">
        <v>13</v>
      </c>
      <c r="G1980" s="1">
        <v>3.47</v>
      </c>
      <c r="H1980" s="1">
        <v>3.57</v>
      </c>
      <c r="I1980" s="1">
        <v>0</v>
      </c>
      <c r="J1980" s="4">
        <v>41109</v>
      </c>
      <c r="K1980" s="4">
        <v>41293</v>
      </c>
      <c r="L1980">
        <f t="shared" si="30"/>
        <v>3.52</v>
      </c>
    </row>
    <row r="1981" spans="1:12" x14ac:dyDescent="0.15">
      <c r="A1981" s="1">
        <v>1980</v>
      </c>
      <c r="B1981" s="4">
        <v>41108</v>
      </c>
      <c r="C1981" s="1" t="s">
        <v>21</v>
      </c>
      <c r="D1981" s="1" t="s">
        <v>30</v>
      </c>
      <c r="E1981" s="1">
        <v>0.68010416666666673</v>
      </c>
      <c r="F1981" s="1" t="s">
        <v>13</v>
      </c>
      <c r="G1981" s="1">
        <v>2.95</v>
      </c>
      <c r="H1981" s="1">
        <v>3.05</v>
      </c>
      <c r="I1981" s="1">
        <v>0</v>
      </c>
      <c r="J1981" s="4">
        <v>41109</v>
      </c>
      <c r="K1981" s="4">
        <v>43665</v>
      </c>
      <c r="L1981">
        <f t="shared" si="30"/>
        <v>3</v>
      </c>
    </row>
    <row r="1982" spans="1:12" x14ac:dyDescent="0.15">
      <c r="A1982" s="1">
        <v>1981</v>
      </c>
      <c r="B1982" s="4">
        <v>41108</v>
      </c>
      <c r="C1982" s="1" t="s">
        <v>16</v>
      </c>
      <c r="D1982" s="1" t="s">
        <v>30</v>
      </c>
      <c r="E1982" s="1">
        <v>0.68010416666666673</v>
      </c>
      <c r="F1982" s="1" t="s">
        <v>13</v>
      </c>
      <c r="G1982" s="1">
        <v>2.91</v>
      </c>
      <c r="H1982" s="1">
        <v>3.01</v>
      </c>
      <c r="I1982" s="1">
        <v>0</v>
      </c>
      <c r="J1982" s="4">
        <v>41109</v>
      </c>
      <c r="K1982" s="4">
        <v>42570</v>
      </c>
      <c r="L1982">
        <f t="shared" si="30"/>
        <v>2.96</v>
      </c>
    </row>
    <row r="1983" spans="1:12" x14ac:dyDescent="0.15">
      <c r="A1983" s="1">
        <v>1982</v>
      </c>
      <c r="B1983" s="4">
        <v>41108</v>
      </c>
      <c r="C1983" s="1" t="s">
        <v>25</v>
      </c>
      <c r="D1983" s="1" t="s">
        <v>30</v>
      </c>
      <c r="E1983" s="1">
        <v>0.68010416666666673</v>
      </c>
      <c r="F1983" s="1" t="s">
        <v>13</v>
      </c>
      <c r="G1983" s="1">
        <v>2.91</v>
      </c>
      <c r="H1983" s="1">
        <v>3.01</v>
      </c>
      <c r="I1983" s="1">
        <v>0</v>
      </c>
      <c r="J1983" s="4">
        <v>41109</v>
      </c>
      <c r="K1983" s="4">
        <v>42935</v>
      </c>
      <c r="L1983">
        <f t="shared" si="30"/>
        <v>2.96</v>
      </c>
    </row>
    <row r="1984" spans="1:12" x14ac:dyDescent="0.15">
      <c r="A1984" s="1">
        <v>1983</v>
      </c>
      <c r="B1984" s="4">
        <v>41108</v>
      </c>
      <c r="C1984" s="1" t="s">
        <v>19</v>
      </c>
      <c r="D1984" s="1" t="s">
        <v>15</v>
      </c>
      <c r="E1984" s="1">
        <v>0.67287037037037034</v>
      </c>
      <c r="F1984" s="1" t="s">
        <v>13</v>
      </c>
      <c r="G1984" s="1">
        <v>3.27</v>
      </c>
      <c r="H1984" s="1">
        <v>3.33</v>
      </c>
      <c r="I1984" s="1">
        <v>0</v>
      </c>
      <c r="J1984" s="4">
        <v>41109</v>
      </c>
      <c r="K1984" s="4">
        <v>41383</v>
      </c>
      <c r="L1984">
        <f t="shared" si="30"/>
        <v>3.3</v>
      </c>
    </row>
    <row r="1985" spans="1:12" x14ac:dyDescent="0.15">
      <c r="A1985" s="1">
        <v>1984</v>
      </c>
      <c r="B1985" s="4">
        <v>41108</v>
      </c>
      <c r="C1985" s="1" t="s">
        <v>21</v>
      </c>
      <c r="D1985" s="1" t="s">
        <v>15</v>
      </c>
      <c r="E1985" s="1">
        <v>0.67287037037037034</v>
      </c>
      <c r="F1985" s="1" t="s">
        <v>13</v>
      </c>
      <c r="G1985" s="1">
        <v>3</v>
      </c>
      <c r="H1985" s="1">
        <v>3.06</v>
      </c>
      <c r="I1985" s="1">
        <v>0</v>
      </c>
      <c r="J1985" s="4">
        <v>41109</v>
      </c>
      <c r="K1985" s="4">
        <v>43665</v>
      </c>
      <c r="L1985">
        <f t="shared" si="30"/>
        <v>3.0300000000000002</v>
      </c>
    </row>
    <row r="1986" spans="1:12" x14ac:dyDescent="0.15">
      <c r="A1986" s="1">
        <v>1985</v>
      </c>
      <c r="B1986" s="4">
        <v>41108</v>
      </c>
      <c r="C1986" s="1" t="s">
        <v>25</v>
      </c>
      <c r="D1986" s="1" t="s">
        <v>15</v>
      </c>
      <c r="E1986" s="1">
        <v>0.67287037037037034</v>
      </c>
      <c r="F1986" s="1" t="s">
        <v>13</v>
      </c>
      <c r="G1986" s="1">
        <v>2.94</v>
      </c>
      <c r="H1986" s="1">
        <v>3</v>
      </c>
      <c r="I1986" s="1">
        <v>0</v>
      </c>
      <c r="J1986" s="4">
        <v>41109</v>
      </c>
      <c r="K1986" s="4">
        <v>42935</v>
      </c>
      <c r="L1986">
        <f t="shared" si="30"/>
        <v>2.9699999999999998</v>
      </c>
    </row>
    <row r="1987" spans="1:12" x14ac:dyDescent="0.15">
      <c r="A1987" s="1">
        <v>1986</v>
      </c>
      <c r="B1987" s="4">
        <v>41108</v>
      </c>
      <c r="C1987" s="1" t="s">
        <v>20</v>
      </c>
      <c r="D1987" s="1" t="s">
        <v>15</v>
      </c>
      <c r="E1987" s="1">
        <v>0.67287037037037034</v>
      </c>
      <c r="F1987" s="1" t="s">
        <v>13</v>
      </c>
      <c r="G1987" s="1">
        <v>3.05</v>
      </c>
      <c r="H1987" s="1">
        <v>3.11</v>
      </c>
      <c r="I1987" s="1">
        <v>0</v>
      </c>
      <c r="J1987" s="4">
        <v>41109</v>
      </c>
      <c r="K1987" s="4">
        <v>44761</v>
      </c>
      <c r="L1987">
        <f t="shared" ref="L1987:L2050" si="31">AVERAGE(G1987:H1987)</f>
        <v>3.08</v>
      </c>
    </row>
    <row r="1988" spans="1:12" x14ac:dyDescent="0.15">
      <c r="A1988" s="1">
        <v>1987</v>
      </c>
      <c r="B1988" s="4">
        <v>41108</v>
      </c>
      <c r="C1988" s="1" t="s">
        <v>14</v>
      </c>
      <c r="D1988" s="1" t="s">
        <v>15</v>
      </c>
      <c r="E1988" s="1">
        <v>0.6728587962962963</v>
      </c>
      <c r="F1988" s="1" t="s">
        <v>13</v>
      </c>
      <c r="G1988" s="1">
        <v>3.14</v>
      </c>
      <c r="H1988" s="1">
        <v>3.2</v>
      </c>
      <c r="I1988" s="1">
        <v>0</v>
      </c>
      <c r="J1988" s="4">
        <v>41109</v>
      </c>
      <c r="K1988" s="4">
        <v>41474</v>
      </c>
      <c r="L1988">
        <f t="shared" si="31"/>
        <v>3.17</v>
      </c>
    </row>
    <row r="1989" spans="1:12" x14ac:dyDescent="0.15">
      <c r="A1989" s="1">
        <v>1988</v>
      </c>
      <c r="B1989" s="4">
        <v>41108</v>
      </c>
      <c r="C1989" s="1" t="s">
        <v>22</v>
      </c>
      <c r="D1989" s="1" t="s">
        <v>15</v>
      </c>
      <c r="E1989" s="1">
        <v>0.6728587962962963</v>
      </c>
      <c r="F1989" s="1" t="s">
        <v>13</v>
      </c>
      <c r="G1989" s="1">
        <v>3.47</v>
      </c>
      <c r="H1989" s="1">
        <v>3.53</v>
      </c>
      <c r="I1989" s="1">
        <v>0</v>
      </c>
      <c r="J1989" s="4">
        <v>41109</v>
      </c>
      <c r="K1989" s="4">
        <v>41293</v>
      </c>
      <c r="L1989">
        <f t="shared" si="31"/>
        <v>3.5</v>
      </c>
    </row>
    <row r="1990" spans="1:12" x14ac:dyDescent="0.15">
      <c r="A1990" s="1">
        <v>1989</v>
      </c>
      <c r="B1990" s="4">
        <v>41108</v>
      </c>
      <c r="C1990" s="1" t="s">
        <v>11</v>
      </c>
      <c r="D1990" s="1" t="s">
        <v>15</v>
      </c>
      <c r="E1990" s="1">
        <v>0.67287037037037034</v>
      </c>
      <c r="F1990" s="1" t="s">
        <v>13</v>
      </c>
      <c r="G1990" s="1">
        <v>2.93</v>
      </c>
      <c r="H1990" s="1">
        <v>2.99</v>
      </c>
      <c r="I1990" s="1">
        <v>0</v>
      </c>
      <c r="J1990" s="4">
        <v>41109</v>
      </c>
      <c r="K1990" s="4">
        <v>42204</v>
      </c>
      <c r="L1990">
        <f t="shared" si="31"/>
        <v>2.96</v>
      </c>
    </row>
    <row r="1991" spans="1:12" x14ac:dyDescent="0.15">
      <c r="A1991" s="1">
        <v>1990</v>
      </c>
      <c r="B1991" s="4">
        <v>41108</v>
      </c>
      <c r="C1991" s="1" t="s">
        <v>18</v>
      </c>
      <c r="D1991" s="1" t="s">
        <v>15</v>
      </c>
      <c r="E1991" s="1">
        <v>0.6728587962962963</v>
      </c>
      <c r="F1991" s="1" t="s">
        <v>13</v>
      </c>
      <c r="G1991" s="1">
        <v>2.95</v>
      </c>
      <c r="H1991" s="1">
        <v>3.01</v>
      </c>
      <c r="I1991" s="1">
        <v>0</v>
      </c>
      <c r="J1991" s="4">
        <v>41109</v>
      </c>
      <c r="K1991" s="4">
        <v>41839</v>
      </c>
      <c r="L1991">
        <f t="shared" si="31"/>
        <v>2.98</v>
      </c>
    </row>
    <row r="1992" spans="1:12" x14ac:dyDescent="0.15">
      <c r="A1992" s="1">
        <v>1991</v>
      </c>
      <c r="B1992" s="4">
        <v>41108</v>
      </c>
      <c r="C1992" s="1" t="s">
        <v>16</v>
      </c>
      <c r="D1992" s="1" t="s">
        <v>15</v>
      </c>
      <c r="E1992" s="1">
        <v>0.67287037037037034</v>
      </c>
      <c r="F1992" s="1" t="s">
        <v>13</v>
      </c>
      <c r="G1992" s="1">
        <v>2.94</v>
      </c>
      <c r="H1992" s="1">
        <v>3</v>
      </c>
      <c r="I1992" s="1">
        <v>0</v>
      </c>
      <c r="J1992" s="4">
        <v>41109</v>
      </c>
      <c r="K1992" s="4">
        <v>42570</v>
      </c>
      <c r="L1992">
        <f t="shared" si="31"/>
        <v>2.9699999999999998</v>
      </c>
    </row>
    <row r="1993" spans="1:12" x14ac:dyDescent="0.15">
      <c r="A1993" s="1">
        <v>1992</v>
      </c>
      <c r="B1993" s="4">
        <v>41108</v>
      </c>
      <c r="C1993" s="1" t="s">
        <v>18</v>
      </c>
      <c r="D1993" s="1" t="s">
        <v>26</v>
      </c>
      <c r="E1993" s="1">
        <v>0.67385416666666664</v>
      </c>
      <c r="F1993" s="1" t="s">
        <v>13</v>
      </c>
      <c r="G1993" s="1">
        <v>2.93</v>
      </c>
      <c r="H1993" s="1">
        <v>3.02</v>
      </c>
      <c r="I1993" s="1">
        <v>0</v>
      </c>
      <c r="J1993" s="4">
        <v>41109</v>
      </c>
      <c r="K1993" s="4">
        <v>41839</v>
      </c>
      <c r="L1993">
        <f t="shared" si="31"/>
        <v>2.9750000000000001</v>
      </c>
    </row>
    <row r="1994" spans="1:12" x14ac:dyDescent="0.15">
      <c r="A1994" s="1">
        <v>1993</v>
      </c>
      <c r="B1994" s="4">
        <v>41108</v>
      </c>
      <c r="C1994" s="1" t="s">
        <v>20</v>
      </c>
      <c r="D1994" s="1" t="s">
        <v>26</v>
      </c>
      <c r="E1994" s="1">
        <v>0.67385416666666664</v>
      </c>
      <c r="F1994" s="1" t="s">
        <v>13</v>
      </c>
      <c r="G1994" s="1">
        <v>2.9</v>
      </c>
      <c r="H1994" s="1">
        <v>3</v>
      </c>
      <c r="I1994" s="1">
        <v>0</v>
      </c>
      <c r="J1994" s="4">
        <v>41109</v>
      </c>
      <c r="K1994" s="4">
        <v>44761</v>
      </c>
      <c r="L1994">
        <f t="shared" si="31"/>
        <v>2.95</v>
      </c>
    </row>
    <row r="1995" spans="1:12" x14ac:dyDescent="0.15">
      <c r="A1995" s="1">
        <v>1994</v>
      </c>
      <c r="B1995" s="4">
        <v>41108</v>
      </c>
      <c r="C1995" s="1" t="s">
        <v>16</v>
      </c>
      <c r="D1995" s="1" t="s">
        <v>26</v>
      </c>
      <c r="E1995" s="1">
        <v>0.67386574074074079</v>
      </c>
      <c r="F1995" s="1" t="s">
        <v>13</v>
      </c>
      <c r="G1995" s="1">
        <v>2.9</v>
      </c>
      <c r="H1995" s="1">
        <v>3</v>
      </c>
      <c r="I1995" s="1">
        <v>0</v>
      </c>
      <c r="J1995" s="4">
        <v>41109</v>
      </c>
      <c r="K1995" s="4">
        <v>42570</v>
      </c>
      <c r="L1995">
        <f t="shared" si="31"/>
        <v>2.95</v>
      </c>
    </row>
    <row r="1996" spans="1:12" x14ac:dyDescent="0.15">
      <c r="A1996" s="1">
        <v>1995</v>
      </c>
      <c r="B1996" s="4">
        <v>41108</v>
      </c>
      <c r="C1996" s="1" t="s">
        <v>25</v>
      </c>
      <c r="D1996" s="1" t="s">
        <v>26</v>
      </c>
      <c r="E1996" s="1">
        <v>0.67386574074074079</v>
      </c>
      <c r="F1996" s="1" t="s">
        <v>13</v>
      </c>
      <c r="G1996" s="1">
        <v>2.9</v>
      </c>
      <c r="H1996" s="1">
        <v>3</v>
      </c>
      <c r="I1996" s="1">
        <v>0</v>
      </c>
      <c r="J1996" s="4">
        <v>41109</v>
      </c>
      <c r="K1996" s="4">
        <v>42935</v>
      </c>
      <c r="L1996">
        <f t="shared" si="31"/>
        <v>2.95</v>
      </c>
    </row>
    <row r="1997" spans="1:12" x14ac:dyDescent="0.15">
      <c r="A1997" s="1">
        <v>1996</v>
      </c>
      <c r="B1997" s="4">
        <v>41108</v>
      </c>
      <c r="C1997" s="1" t="s">
        <v>19</v>
      </c>
      <c r="D1997" s="1" t="s">
        <v>26</v>
      </c>
      <c r="E1997" s="1">
        <v>0.67385416666666664</v>
      </c>
      <c r="F1997" s="1" t="s">
        <v>13</v>
      </c>
      <c r="G1997" s="1">
        <v>3.2</v>
      </c>
      <c r="H1997" s="1">
        <v>3.28</v>
      </c>
      <c r="I1997" s="1">
        <v>0</v>
      </c>
      <c r="J1997" s="4">
        <v>41109</v>
      </c>
      <c r="K1997" s="4">
        <v>41383</v>
      </c>
      <c r="L1997">
        <f t="shared" si="31"/>
        <v>3.24</v>
      </c>
    </row>
    <row r="1998" spans="1:12" x14ac:dyDescent="0.15">
      <c r="A1998" s="1">
        <v>1997</v>
      </c>
      <c r="B1998" s="4">
        <v>41108</v>
      </c>
      <c r="C1998" s="1" t="s">
        <v>21</v>
      </c>
      <c r="D1998" s="1" t="s">
        <v>26</v>
      </c>
      <c r="E1998" s="1">
        <v>0.67385416666666664</v>
      </c>
      <c r="F1998" s="1" t="s">
        <v>13</v>
      </c>
      <c r="G1998" s="1">
        <v>2.9</v>
      </c>
      <c r="H1998" s="1">
        <v>3</v>
      </c>
      <c r="I1998" s="1">
        <v>0</v>
      </c>
      <c r="J1998" s="4">
        <v>41109</v>
      </c>
      <c r="K1998" s="4">
        <v>43665</v>
      </c>
      <c r="L1998">
        <f t="shared" si="31"/>
        <v>2.95</v>
      </c>
    </row>
    <row r="1999" spans="1:12" x14ac:dyDescent="0.15">
      <c r="A1999" s="1">
        <v>1998</v>
      </c>
      <c r="B1999" s="4">
        <v>41108</v>
      </c>
      <c r="C1999" s="1" t="s">
        <v>14</v>
      </c>
      <c r="D1999" s="1" t="s">
        <v>26</v>
      </c>
      <c r="E1999" s="1">
        <v>0.67385416666666664</v>
      </c>
      <c r="F1999" s="1" t="s">
        <v>13</v>
      </c>
      <c r="G1999" s="1">
        <v>3.1</v>
      </c>
      <c r="H1999" s="1">
        <v>3.15</v>
      </c>
      <c r="I1999" s="1">
        <v>0</v>
      </c>
      <c r="J1999" s="4">
        <v>41109</v>
      </c>
      <c r="K1999" s="4">
        <v>41474</v>
      </c>
      <c r="L1999">
        <f t="shared" si="31"/>
        <v>3.125</v>
      </c>
    </row>
    <row r="2000" spans="1:12" x14ac:dyDescent="0.15">
      <c r="A2000" s="1">
        <v>1999</v>
      </c>
      <c r="B2000" s="4">
        <v>41108</v>
      </c>
      <c r="C2000" s="1" t="s">
        <v>22</v>
      </c>
      <c r="D2000" s="1" t="s">
        <v>26</v>
      </c>
      <c r="E2000" s="1">
        <v>0.67385416666666664</v>
      </c>
      <c r="F2000" s="1" t="s">
        <v>13</v>
      </c>
      <c r="G2000" s="1">
        <v>3.45</v>
      </c>
      <c r="H2000" s="1">
        <v>3.5</v>
      </c>
      <c r="I2000" s="1">
        <v>0</v>
      </c>
      <c r="J2000" s="4">
        <v>41109</v>
      </c>
      <c r="K2000" s="4">
        <v>41293</v>
      </c>
      <c r="L2000">
        <f t="shared" si="31"/>
        <v>3.4750000000000001</v>
      </c>
    </row>
    <row r="2001" spans="1:12" x14ac:dyDescent="0.15">
      <c r="A2001" s="1">
        <v>2000</v>
      </c>
      <c r="B2001" s="4">
        <v>41107</v>
      </c>
      <c r="C2001" s="1" t="s">
        <v>18</v>
      </c>
      <c r="D2001" s="1" t="s">
        <v>26</v>
      </c>
      <c r="E2001" s="1">
        <v>0.49469907407407404</v>
      </c>
      <c r="F2001" s="1" t="s">
        <v>13</v>
      </c>
      <c r="G2001" s="1">
        <v>2.93</v>
      </c>
      <c r="H2001" s="1">
        <v>3.02</v>
      </c>
      <c r="I2001" s="1">
        <v>0</v>
      </c>
      <c r="J2001" s="4">
        <v>41108</v>
      </c>
      <c r="K2001" s="4">
        <v>41838</v>
      </c>
      <c r="L2001">
        <f t="shared" si="31"/>
        <v>2.9750000000000001</v>
      </c>
    </row>
    <row r="2002" spans="1:12" x14ac:dyDescent="0.15">
      <c r="A2002" s="1">
        <v>2001</v>
      </c>
      <c r="B2002" s="4">
        <v>41107</v>
      </c>
      <c r="C2002" s="1" t="s">
        <v>19</v>
      </c>
      <c r="D2002" s="1" t="s">
        <v>26</v>
      </c>
      <c r="E2002" s="1">
        <v>0.49471064814814819</v>
      </c>
      <c r="F2002" s="1" t="s">
        <v>13</v>
      </c>
      <c r="G2002" s="1">
        <v>3.2</v>
      </c>
      <c r="H2002" s="1">
        <v>3.28</v>
      </c>
      <c r="I2002" s="1">
        <v>0</v>
      </c>
      <c r="J2002" s="4">
        <v>41108</v>
      </c>
      <c r="K2002" s="4">
        <v>41382</v>
      </c>
      <c r="L2002">
        <f t="shared" si="31"/>
        <v>3.24</v>
      </c>
    </row>
    <row r="2003" spans="1:12" x14ac:dyDescent="0.15">
      <c r="A2003" s="1">
        <v>2002</v>
      </c>
      <c r="B2003" s="4">
        <v>41107</v>
      </c>
      <c r="C2003" s="1" t="s">
        <v>21</v>
      </c>
      <c r="D2003" s="1" t="s">
        <v>26</v>
      </c>
      <c r="E2003" s="1">
        <v>0.49471064814814819</v>
      </c>
      <c r="F2003" s="1" t="s">
        <v>13</v>
      </c>
      <c r="G2003" s="1">
        <v>2.9</v>
      </c>
      <c r="H2003" s="1">
        <v>3</v>
      </c>
      <c r="I2003" s="1">
        <v>0</v>
      </c>
      <c r="J2003" s="4">
        <v>41108</v>
      </c>
      <c r="K2003" s="4">
        <v>43664</v>
      </c>
      <c r="L2003">
        <f t="shared" si="31"/>
        <v>2.95</v>
      </c>
    </row>
    <row r="2004" spans="1:12" x14ac:dyDescent="0.15">
      <c r="A2004" s="1">
        <v>2003</v>
      </c>
      <c r="B2004" s="4">
        <v>41107</v>
      </c>
      <c r="C2004" s="1" t="s">
        <v>20</v>
      </c>
      <c r="D2004" s="1" t="s">
        <v>26</v>
      </c>
      <c r="E2004" s="1">
        <v>0.49469907407407404</v>
      </c>
      <c r="F2004" s="1" t="s">
        <v>13</v>
      </c>
      <c r="G2004" s="1">
        <v>2.9</v>
      </c>
      <c r="H2004" s="1">
        <v>3</v>
      </c>
      <c r="I2004" s="1">
        <v>0</v>
      </c>
      <c r="J2004" s="4">
        <v>41108</v>
      </c>
      <c r="K2004" s="4">
        <v>44760</v>
      </c>
      <c r="L2004">
        <f t="shared" si="31"/>
        <v>2.95</v>
      </c>
    </row>
    <row r="2005" spans="1:12" x14ac:dyDescent="0.15">
      <c r="A2005" s="1">
        <v>2004</v>
      </c>
      <c r="B2005" s="4">
        <v>41107</v>
      </c>
      <c r="C2005" s="1" t="s">
        <v>11</v>
      </c>
      <c r="D2005" s="1" t="s">
        <v>15</v>
      </c>
      <c r="E2005" s="1">
        <v>0.49374999999999997</v>
      </c>
      <c r="F2005" s="1" t="s">
        <v>13</v>
      </c>
      <c r="G2005" s="1">
        <v>2.91</v>
      </c>
      <c r="H2005" s="1">
        <v>2.97</v>
      </c>
      <c r="I2005" s="1">
        <v>0</v>
      </c>
      <c r="J2005" s="4">
        <v>41108</v>
      </c>
      <c r="K2005" s="4">
        <v>42203</v>
      </c>
      <c r="L2005">
        <f t="shared" si="31"/>
        <v>2.9400000000000004</v>
      </c>
    </row>
    <row r="2006" spans="1:12" x14ac:dyDescent="0.15">
      <c r="A2006" s="1">
        <v>2005</v>
      </c>
      <c r="B2006" s="4">
        <v>41107</v>
      </c>
      <c r="C2006" s="1" t="s">
        <v>22</v>
      </c>
      <c r="D2006" s="1" t="s">
        <v>26</v>
      </c>
      <c r="E2006" s="1">
        <v>0.49469907407407404</v>
      </c>
      <c r="F2006" s="1" t="s">
        <v>13</v>
      </c>
      <c r="G2006" s="1">
        <v>3.45</v>
      </c>
      <c r="H2006" s="1">
        <v>3.5</v>
      </c>
      <c r="I2006" s="1">
        <v>0</v>
      </c>
      <c r="J2006" s="4">
        <v>41108</v>
      </c>
      <c r="K2006" s="4">
        <v>41292</v>
      </c>
      <c r="L2006">
        <f t="shared" si="31"/>
        <v>3.4750000000000001</v>
      </c>
    </row>
    <row r="2007" spans="1:12" x14ac:dyDescent="0.15">
      <c r="A2007" s="1">
        <v>2006</v>
      </c>
      <c r="B2007" s="4">
        <v>41107</v>
      </c>
      <c r="C2007" s="1" t="s">
        <v>14</v>
      </c>
      <c r="D2007" s="1" t="s">
        <v>26</v>
      </c>
      <c r="E2007" s="1">
        <v>0.49469907407407404</v>
      </c>
      <c r="F2007" s="1" t="s">
        <v>13</v>
      </c>
      <c r="G2007" s="1">
        <v>3.1</v>
      </c>
      <c r="H2007" s="1">
        <v>3.15</v>
      </c>
      <c r="I2007" s="1">
        <v>0</v>
      </c>
      <c r="J2007" s="4">
        <v>41108</v>
      </c>
      <c r="K2007" s="4">
        <v>41473</v>
      </c>
      <c r="L2007">
        <f t="shared" si="31"/>
        <v>3.125</v>
      </c>
    </row>
    <row r="2008" spans="1:12" x14ac:dyDescent="0.15">
      <c r="A2008" s="1">
        <v>2007</v>
      </c>
      <c r="B2008" s="4">
        <v>41107</v>
      </c>
      <c r="C2008" s="1" t="s">
        <v>22</v>
      </c>
      <c r="D2008" s="1" t="s">
        <v>26</v>
      </c>
      <c r="E2008" s="1">
        <v>0.49844907407407407</v>
      </c>
      <c r="F2008" s="1" t="s">
        <v>13</v>
      </c>
      <c r="G2008" s="1">
        <v>3.45</v>
      </c>
      <c r="H2008" s="1">
        <v>3.5</v>
      </c>
      <c r="I2008" s="1">
        <v>0</v>
      </c>
      <c r="J2008" s="4">
        <v>41108</v>
      </c>
      <c r="K2008" s="4">
        <v>41292</v>
      </c>
      <c r="L2008">
        <f t="shared" si="31"/>
        <v>3.4750000000000001</v>
      </c>
    </row>
    <row r="2009" spans="1:12" x14ac:dyDescent="0.15">
      <c r="A2009" s="1">
        <v>2008</v>
      </c>
      <c r="B2009" s="4">
        <v>41107</v>
      </c>
      <c r="C2009" s="1" t="s">
        <v>20</v>
      </c>
      <c r="D2009" s="1" t="s">
        <v>26</v>
      </c>
      <c r="E2009" s="1">
        <v>0.49846064814814817</v>
      </c>
      <c r="F2009" s="1" t="s">
        <v>13</v>
      </c>
      <c r="G2009" s="1">
        <v>2.9</v>
      </c>
      <c r="H2009" s="1">
        <v>3</v>
      </c>
      <c r="I2009" s="1">
        <v>0</v>
      </c>
      <c r="J2009" s="4">
        <v>41108</v>
      </c>
      <c r="K2009" s="4">
        <v>44760</v>
      </c>
      <c r="L2009">
        <f t="shared" si="31"/>
        <v>2.95</v>
      </c>
    </row>
    <row r="2010" spans="1:12" x14ac:dyDescent="0.15">
      <c r="A2010" s="1">
        <v>2009</v>
      </c>
      <c r="B2010" s="4">
        <v>41107</v>
      </c>
      <c r="C2010" s="1" t="s">
        <v>18</v>
      </c>
      <c r="D2010" s="1" t="s">
        <v>26</v>
      </c>
      <c r="E2010" s="1">
        <v>0.49846064814814817</v>
      </c>
      <c r="F2010" s="1" t="s">
        <v>13</v>
      </c>
      <c r="G2010" s="1">
        <v>2.93</v>
      </c>
      <c r="H2010" s="1">
        <v>3.02</v>
      </c>
      <c r="I2010" s="1">
        <v>0</v>
      </c>
      <c r="J2010" s="4">
        <v>41108</v>
      </c>
      <c r="K2010" s="4">
        <v>41838</v>
      </c>
      <c r="L2010">
        <f t="shared" si="31"/>
        <v>2.9750000000000001</v>
      </c>
    </row>
    <row r="2011" spans="1:12" x14ac:dyDescent="0.15">
      <c r="A2011" s="1">
        <v>2010</v>
      </c>
      <c r="B2011" s="4">
        <v>41107</v>
      </c>
      <c r="C2011" s="1" t="s">
        <v>14</v>
      </c>
      <c r="D2011" s="1" t="s">
        <v>26</v>
      </c>
      <c r="E2011" s="1">
        <v>0.49844907407407407</v>
      </c>
      <c r="F2011" s="1" t="s">
        <v>13</v>
      </c>
      <c r="G2011" s="1">
        <v>3.1</v>
      </c>
      <c r="H2011" s="1">
        <v>3.15</v>
      </c>
      <c r="I2011" s="1">
        <v>0</v>
      </c>
      <c r="J2011" s="4">
        <v>41108</v>
      </c>
      <c r="K2011" s="4">
        <v>41473</v>
      </c>
      <c r="L2011">
        <f t="shared" si="31"/>
        <v>3.125</v>
      </c>
    </row>
    <row r="2012" spans="1:12" x14ac:dyDescent="0.15">
      <c r="A2012" s="1">
        <v>2011</v>
      </c>
      <c r="B2012" s="4">
        <v>41107</v>
      </c>
      <c r="C2012" s="1" t="s">
        <v>25</v>
      </c>
      <c r="D2012" s="1" t="s">
        <v>26</v>
      </c>
      <c r="E2012" s="1">
        <v>0.49472222222222223</v>
      </c>
      <c r="F2012" s="1" t="s">
        <v>13</v>
      </c>
      <c r="G2012" s="1">
        <v>2.9</v>
      </c>
      <c r="H2012" s="1">
        <v>3</v>
      </c>
      <c r="I2012" s="1">
        <v>0</v>
      </c>
      <c r="J2012" s="4">
        <v>41108</v>
      </c>
      <c r="K2012" s="4">
        <v>42934</v>
      </c>
      <c r="L2012">
        <f t="shared" si="31"/>
        <v>2.95</v>
      </c>
    </row>
    <row r="2013" spans="1:12" x14ac:dyDescent="0.15">
      <c r="A2013" s="1">
        <v>2012</v>
      </c>
      <c r="B2013" s="4">
        <v>41107</v>
      </c>
      <c r="C2013" s="1" t="s">
        <v>16</v>
      </c>
      <c r="D2013" s="1" t="s">
        <v>26</v>
      </c>
      <c r="E2013" s="1">
        <v>0.49472222222222223</v>
      </c>
      <c r="F2013" s="1" t="s">
        <v>13</v>
      </c>
      <c r="G2013" s="1">
        <v>2.9</v>
      </c>
      <c r="H2013" s="1">
        <v>3</v>
      </c>
      <c r="I2013" s="1">
        <v>0</v>
      </c>
      <c r="J2013" s="4">
        <v>41108</v>
      </c>
      <c r="K2013" s="4">
        <v>42569</v>
      </c>
      <c r="L2013">
        <f t="shared" si="31"/>
        <v>2.95</v>
      </c>
    </row>
    <row r="2014" spans="1:12" x14ac:dyDescent="0.15">
      <c r="A2014" s="1">
        <v>2013</v>
      </c>
      <c r="B2014" s="4">
        <v>41107</v>
      </c>
      <c r="C2014" s="1" t="s">
        <v>11</v>
      </c>
      <c r="D2014" s="1" t="s">
        <v>26</v>
      </c>
      <c r="E2014" s="1">
        <v>0.49472222222222223</v>
      </c>
      <c r="F2014" s="1" t="s">
        <v>13</v>
      </c>
      <c r="G2014" s="1">
        <v>2.9</v>
      </c>
      <c r="H2014" s="1">
        <v>3</v>
      </c>
      <c r="I2014" s="1">
        <v>0</v>
      </c>
      <c r="J2014" s="4">
        <v>41108</v>
      </c>
      <c r="K2014" s="4">
        <v>42203</v>
      </c>
      <c r="L2014">
        <f t="shared" si="31"/>
        <v>2.95</v>
      </c>
    </row>
    <row r="2015" spans="1:12" x14ac:dyDescent="0.15">
      <c r="A2015" s="1">
        <v>2014</v>
      </c>
      <c r="B2015" s="4">
        <v>41107</v>
      </c>
      <c r="C2015" s="1" t="s">
        <v>16</v>
      </c>
      <c r="D2015" s="1" t="s">
        <v>15</v>
      </c>
      <c r="E2015" s="1">
        <v>0.49374999999999997</v>
      </c>
      <c r="F2015" s="1" t="s">
        <v>13</v>
      </c>
      <c r="G2015" s="1">
        <v>2.92</v>
      </c>
      <c r="H2015" s="1">
        <v>2.98</v>
      </c>
      <c r="I2015" s="1">
        <v>0</v>
      </c>
      <c r="J2015" s="4">
        <v>41108</v>
      </c>
      <c r="K2015" s="4">
        <v>42569</v>
      </c>
      <c r="L2015">
        <f t="shared" si="31"/>
        <v>2.95</v>
      </c>
    </row>
    <row r="2016" spans="1:12" x14ac:dyDescent="0.15">
      <c r="A2016" s="1">
        <v>2015</v>
      </c>
      <c r="B2016" s="4">
        <v>41107</v>
      </c>
      <c r="C2016" s="1" t="s">
        <v>19</v>
      </c>
      <c r="D2016" s="1" t="s">
        <v>27</v>
      </c>
      <c r="E2016" s="1">
        <v>0.48530092592592594</v>
      </c>
      <c r="F2016" s="1" t="s">
        <v>13</v>
      </c>
      <c r="G2016" s="1">
        <v>3.23</v>
      </c>
      <c r="H2016" s="1">
        <v>3.33</v>
      </c>
      <c r="I2016" s="1">
        <v>0</v>
      </c>
      <c r="J2016" s="4">
        <v>41108</v>
      </c>
      <c r="K2016" s="4">
        <v>41382</v>
      </c>
      <c r="L2016">
        <f t="shared" si="31"/>
        <v>3.2800000000000002</v>
      </c>
    </row>
    <row r="2017" spans="1:12" x14ac:dyDescent="0.15">
      <c r="A2017" s="1">
        <v>2016</v>
      </c>
      <c r="B2017" s="4">
        <v>41107</v>
      </c>
      <c r="C2017" s="1" t="s">
        <v>16</v>
      </c>
      <c r="D2017" s="1" t="s">
        <v>27</v>
      </c>
      <c r="E2017" s="1">
        <v>0.48530092592592594</v>
      </c>
      <c r="F2017" s="1" t="s">
        <v>13</v>
      </c>
      <c r="G2017" s="1">
        <v>2.92</v>
      </c>
      <c r="H2017" s="1">
        <v>2.98</v>
      </c>
      <c r="I2017" s="1">
        <v>0</v>
      </c>
      <c r="J2017" s="4">
        <v>41108</v>
      </c>
      <c r="K2017" s="4">
        <v>42569</v>
      </c>
      <c r="L2017">
        <f t="shared" si="31"/>
        <v>2.95</v>
      </c>
    </row>
    <row r="2018" spans="1:12" x14ac:dyDescent="0.15">
      <c r="A2018" s="1">
        <v>2017</v>
      </c>
      <c r="B2018" s="4">
        <v>41107</v>
      </c>
      <c r="C2018" s="1" t="s">
        <v>11</v>
      </c>
      <c r="D2018" s="1" t="s">
        <v>27</v>
      </c>
      <c r="E2018" s="1">
        <v>0.48531250000000004</v>
      </c>
      <c r="F2018" s="1" t="s">
        <v>13</v>
      </c>
      <c r="G2018" s="1">
        <v>2.9</v>
      </c>
      <c r="H2018" s="1">
        <v>2.98</v>
      </c>
      <c r="I2018" s="1">
        <v>0</v>
      </c>
      <c r="J2018" s="4">
        <v>41108</v>
      </c>
      <c r="K2018" s="4">
        <v>42203</v>
      </c>
      <c r="L2018">
        <f t="shared" si="31"/>
        <v>2.94</v>
      </c>
    </row>
    <row r="2019" spans="1:12" x14ac:dyDescent="0.15">
      <c r="A2019" s="1">
        <v>2018</v>
      </c>
      <c r="B2019" s="4">
        <v>41107</v>
      </c>
      <c r="C2019" s="1" t="s">
        <v>25</v>
      </c>
      <c r="D2019" s="1" t="s">
        <v>27</v>
      </c>
      <c r="E2019" s="1">
        <v>0.48530092592592594</v>
      </c>
      <c r="F2019" s="1" t="s">
        <v>13</v>
      </c>
      <c r="G2019" s="1">
        <v>2.94</v>
      </c>
      <c r="H2019" s="1">
        <v>2.99</v>
      </c>
      <c r="I2019" s="1">
        <v>0</v>
      </c>
      <c r="J2019" s="4">
        <v>41108</v>
      </c>
      <c r="K2019" s="4">
        <v>42934</v>
      </c>
      <c r="L2019">
        <f t="shared" si="31"/>
        <v>2.9649999999999999</v>
      </c>
    </row>
    <row r="2020" spans="1:12" x14ac:dyDescent="0.15">
      <c r="A2020" s="1">
        <v>2019</v>
      </c>
      <c r="B2020" s="4">
        <v>41107</v>
      </c>
      <c r="C2020" s="1" t="s">
        <v>18</v>
      </c>
      <c r="D2020" s="1" t="s">
        <v>27</v>
      </c>
      <c r="E2020" s="1">
        <v>0.48530092592592594</v>
      </c>
      <c r="F2020" s="1" t="s">
        <v>13</v>
      </c>
      <c r="G2020" s="1">
        <v>2.93</v>
      </c>
      <c r="H2020" s="1">
        <v>2.99</v>
      </c>
      <c r="I2020" s="1">
        <v>0</v>
      </c>
      <c r="J2020" s="4">
        <v>41108</v>
      </c>
      <c r="K2020" s="4">
        <v>41838</v>
      </c>
      <c r="L2020">
        <f t="shared" si="31"/>
        <v>2.96</v>
      </c>
    </row>
    <row r="2021" spans="1:12" x14ac:dyDescent="0.15">
      <c r="A2021" s="1">
        <v>2020</v>
      </c>
      <c r="B2021" s="4">
        <v>41107</v>
      </c>
      <c r="C2021" s="1" t="s">
        <v>22</v>
      </c>
      <c r="D2021" s="1" t="s">
        <v>27</v>
      </c>
      <c r="E2021" s="1">
        <v>0.48530092592592594</v>
      </c>
      <c r="F2021" s="1" t="s">
        <v>13</v>
      </c>
      <c r="G2021" s="1">
        <v>3.43</v>
      </c>
      <c r="H2021" s="1">
        <v>3.53</v>
      </c>
      <c r="I2021" s="1">
        <v>0</v>
      </c>
      <c r="J2021" s="4">
        <v>41108</v>
      </c>
      <c r="K2021" s="4">
        <v>41292</v>
      </c>
      <c r="L2021">
        <f t="shared" si="31"/>
        <v>3.48</v>
      </c>
    </row>
    <row r="2022" spans="1:12" x14ac:dyDescent="0.15">
      <c r="A2022" s="1">
        <v>2021</v>
      </c>
      <c r="B2022" s="4">
        <v>41107</v>
      </c>
      <c r="C2022" s="1" t="s">
        <v>14</v>
      </c>
      <c r="D2022" s="1" t="s">
        <v>27</v>
      </c>
      <c r="E2022" s="1">
        <v>0.48530092592592594</v>
      </c>
      <c r="F2022" s="1" t="s">
        <v>13</v>
      </c>
      <c r="G2022" s="1">
        <v>3.1</v>
      </c>
      <c r="H2022" s="1">
        <v>3.18</v>
      </c>
      <c r="I2022" s="1">
        <v>0</v>
      </c>
      <c r="J2022" s="4">
        <v>41108</v>
      </c>
      <c r="K2022" s="4">
        <v>41473</v>
      </c>
      <c r="L2022">
        <f t="shared" si="31"/>
        <v>3.14</v>
      </c>
    </row>
    <row r="2023" spans="1:12" x14ac:dyDescent="0.15">
      <c r="A2023" s="1">
        <v>2022</v>
      </c>
      <c r="B2023" s="4">
        <v>41107</v>
      </c>
      <c r="C2023" s="1" t="s">
        <v>22</v>
      </c>
      <c r="D2023" s="1" t="s">
        <v>15</v>
      </c>
      <c r="E2023" s="1">
        <v>0.49373842592592593</v>
      </c>
      <c r="F2023" s="1" t="s">
        <v>13</v>
      </c>
      <c r="G2023" s="1">
        <v>3.48</v>
      </c>
      <c r="H2023" s="1">
        <v>3.54</v>
      </c>
      <c r="I2023" s="1">
        <v>0</v>
      </c>
      <c r="J2023" s="4">
        <v>41108</v>
      </c>
      <c r="K2023" s="4">
        <v>41292</v>
      </c>
      <c r="L2023">
        <f t="shared" si="31"/>
        <v>3.51</v>
      </c>
    </row>
    <row r="2024" spans="1:12" x14ac:dyDescent="0.15">
      <c r="A2024" s="1">
        <v>2023</v>
      </c>
      <c r="B2024" s="4">
        <v>41107</v>
      </c>
      <c r="C2024" s="1" t="s">
        <v>20</v>
      </c>
      <c r="D2024" s="1" t="s">
        <v>15</v>
      </c>
      <c r="E2024" s="1">
        <v>0.49374999999999997</v>
      </c>
      <c r="F2024" s="1" t="s">
        <v>13</v>
      </c>
      <c r="G2024" s="1">
        <v>3.04</v>
      </c>
      <c r="H2024" s="1">
        <v>3.1</v>
      </c>
      <c r="I2024" s="1">
        <v>0</v>
      </c>
      <c r="J2024" s="4">
        <v>41108</v>
      </c>
      <c r="K2024" s="4">
        <v>44760</v>
      </c>
      <c r="L2024">
        <f t="shared" si="31"/>
        <v>3.0700000000000003</v>
      </c>
    </row>
    <row r="2025" spans="1:12" x14ac:dyDescent="0.15">
      <c r="A2025" s="1">
        <v>2024</v>
      </c>
      <c r="B2025" s="4">
        <v>41107</v>
      </c>
      <c r="C2025" s="1" t="s">
        <v>25</v>
      </c>
      <c r="D2025" s="1" t="s">
        <v>15</v>
      </c>
      <c r="E2025" s="1">
        <v>0.49374999999999997</v>
      </c>
      <c r="F2025" s="1" t="s">
        <v>13</v>
      </c>
      <c r="G2025" s="1">
        <v>2.92</v>
      </c>
      <c r="H2025" s="1">
        <v>2.98</v>
      </c>
      <c r="I2025" s="1">
        <v>0</v>
      </c>
      <c r="J2025" s="4">
        <v>41108</v>
      </c>
      <c r="K2025" s="4">
        <v>42934</v>
      </c>
      <c r="L2025">
        <f t="shared" si="31"/>
        <v>2.95</v>
      </c>
    </row>
    <row r="2026" spans="1:12" x14ac:dyDescent="0.15">
      <c r="A2026" s="1">
        <v>2025</v>
      </c>
      <c r="B2026" s="4">
        <v>41107</v>
      </c>
      <c r="C2026" s="1" t="s">
        <v>19</v>
      </c>
      <c r="D2026" s="1" t="s">
        <v>15</v>
      </c>
      <c r="E2026" s="1">
        <v>0.49373842592592593</v>
      </c>
      <c r="F2026" s="1" t="s">
        <v>13</v>
      </c>
      <c r="G2026" s="1">
        <v>3.27</v>
      </c>
      <c r="H2026" s="1">
        <v>3.33</v>
      </c>
      <c r="I2026" s="1">
        <v>0</v>
      </c>
      <c r="J2026" s="4">
        <v>41108</v>
      </c>
      <c r="K2026" s="4">
        <v>41382</v>
      </c>
      <c r="L2026">
        <f t="shared" si="31"/>
        <v>3.3</v>
      </c>
    </row>
    <row r="2027" spans="1:12" x14ac:dyDescent="0.15">
      <c r="A2027" s="1">
        <v>2026</v>
      </c>
      <c r="B2027" s="4">
        <v>41107</v>
      </c>
      <c r="C2027" s="1" t="s">
        <v>14</v>
      </c>
      <c r="D2027" s="1" t="s">
        <v>15</v>
      </c>
      <c r="E2027" s="1">
        <v>0.49373842592592593</v>
      </c>
      <c r="F2027" s="1" t="s">
        <v>13</v>
      </c>
      <c r="G2027" s="1">
        <v>3.13</v>
      </c>
      <c r="H2027" s="1">
        <v>3.19</v>
      </c>
      <c r="I2027" s="1">
        <v>0</v>
      </c>
      <c r="J2027" s="4">
        <v>41108</v>
      </c>
      <c r="K2027" s="4">
        <v>41473</v>
      </c>
      <c r="L2027">
        <f t="shared" si="31"/>
        <v>3.16</v>
      </c>
    </row>
    <row r="2028" spans="1:12" x14ac:dyDescent="0.15">
      <c r="A2028" s="1">
        <v>2027</v>
      </c>
      <c r="B2028" s="4">
        <v>41107</v>
      </c>
      <c r="C2028" s="1" t="s">
        <v>18</v>
      </c>
      <c r="D2028" s="1" t="s">
        <v>15</v>
      </c>
      <c r="E2028" s="1">
        <v>0.49373842592592593</v>
      </c>
      <c r="F2028" s="1" t="s">
        <v>13</v>
      </c>
      <c r="G2028" s="1">
        <v>2.92</v>
      </c>
      <c r="H2028" s="1">
        <v>2.98</v>
      </c>
      <c r="I2028" s="1">
        <v>0</v>
      </c>
      <c r="J2028" s="4">
        <v>41108</v>
      </c>
      <c r="K2028" s="4">
        <v>41838</v>
      </c>
      <c r="L2028">
        <f t="shared" si="31"/>
        <v>2.95</v>
      </c>
    </row>
    <row r="2029" spans="1:12" x14ac:dyDescent="0.15">
      <c r="A2029" s="1">
        <v>2028</v>
      </c>
      <c r="B2029" s="4">
        <v>41107</v>
      </c>
      <c r="C2029" s="1" t="s">
        <v>21</v>
      </c>
      <c r="D2029" s="1" t="s">
        <v>15</v>
      </c>
      <c r="E2029" s="1">
        <v>0.49373842592592593</v>
      </c>
      <c r="F2029" s="1" t="s">
        <v>13</v>
      </c>
      <c r="G2029" s="1">
        <v>2.98</v>
      </c>
      <c r="H2029" s="1">
        <v>3.04</v>
      </c>
      <c r="I2029" s="1">
        <v>0</v>
      </c>
      <c r="J2029" s="4">
        <v>41108</v>
      </c>
      <c r="K2029" s="4">
        <v>43664</v>
      </c>
      <c r="L2029">
        <f t="shared" si="31"/>
        <v>3.01</v>
      </c>
    </row>
    <row r="2030" spans="1:12" x14ac:dyDescent="0.15">
      <c r="A2030" s="1">
        <v>2029</v>
      </c>
      <c r="B2030" s="4">
        <v>41107</v>
      </c>
      <c r="C2030" s="1" t="s">
        <v>21</v>
      </c>
      <c r="D2030" s="1" t="s">
        <v>26</v>
      </c>
      <c r="E2030" s="1">
        <v>0.49846064814814817</v>
      </c>
      <c r="F2030" s="1" t="s">
        <v>13</v>
      </c>
      <c r="G2030" s="1">
        <v>2.9</v>
      </c>
      <c r="H2030" s="1">
        <v>3</v>
      </c>
      <c r="I2030" s="1">
        <v>0</v>
      </c>
      <c r="J2030" s="4">
        <v>41108</v>
      </c>
      <c r="K2030" s="4">
        <v>43664</v>
      </c>
      <c r="L2030">
        <f t="shared" si="31"/>
        <v>2.95</v>
      </c>
    </row>
    <row r="2031" spans="1:12" x14ac:dyDescent="0.15">
      <c r="A2031" s="1">
        <v>2030</v>
      </c>
      <c r="B2031" s="4">
        <v>41107</v>
      </c>
      <c r="C2031" s="1" t="s">
        <v>11</v>
      </c>
      <c r="D2031" s="1" t="s">
        <v>27</v>
      </c>
      <c r="E2031" s="1">
        <v>0.67395833333333333</v>
      </c>
      <c r="F2031" s="1" t="s">
        <v>13</v>
      </c>
      <c r="G2031" s="1">
        <v>2.9</v>
      </c>
      <c r="H2031" s="1">
        <v>2.98</v>
      </c>
      <c r="I2031" s="1">
        <v>0</v>
      </c>
      <c r="J2031" s="4">
        <v>41108</v>
      </c>
      <c r="K2031" s="4">
        <v>42203</v>
      </c>
      <c r="L2031">
        <f t="shared" si="31"/>
        <v>2.94</v>
      </c>
    </row>
    <row r="2032" spans="1:12" x14ac:dyDescent="0.15">
      <c r="A2032" s="1">
        <v>2031</v>
      </c>
      <c r="B2032" s="4">
        <v>41107</v>
      </c>
      <c r="C2032" s="1" t="s">
        <v>22</v>
      </c>
      <c r="D2032" s="1" t="s">
        <v>26</v>
      </c>
      <c r="E2032" s="1">
        <v>0.67423611111111115</v>
      </c>
      <c r="F2032" s="1" t="s">
        <v>13</v>
      </c>
      <c r="G2032" s="1">
        <v>3.45</v>
      </c>
      <c r="H2032" s="1">
        <v>3.5</v>
      </c>
      <c r="I2032" s="1">
        <v>0</v>
      </c>
      <c r="J2032" s="4">
        <v>41108</v>
      </c>
      <c r="K2032" s="4">
        <v>41292</v>
      </c>
      <c r="L2032">
        <f t="shared" si="31"/>
        <v>3.4750000000000001</v>
      </c>
    </row>
    <row r="2033" spans="1:12" x14ac:dyDescent="0.15">
      <c r="A2033" s="1">
        <v>2032</v>
      </c>
      <c r="B2033" s="4">
        <v>41107</v>
      </c>
      <c r="C2033" s="1" t="s">
        <v>14</v>
      </c>
      <c r="D2033" s="1" t="s">
        <v>26</v>
      </c>
      <c r="E2033" s="1">
        <v>0.67423611111111115</v>
      </c>
      <c r="F2033" s="1" t="s">
        <v>13</v>
      </c>
      <c r="G2033" s="1">
        <v>3.1</v>
      </c>
      <c r="H2033" s="1">
        <v>3.15</v>
      </c>
      <c r="I2033" s="1">
        <v>0</v>
      </c>
      <c r="J2033" s="4">
        <v>41108</v>
      </c>
      <c r="K2033" s="4">
        <v>41473</v>
      </c>
      <c r="L2033">
        <f t="shared" si="31"/>
        <v>3.125</v>
      </c>
    </row>
    <row r="2034" spans="1:12" x14ac:dyDescent="0.15">
      <c r="A2034" s="1">
        <v>2033</v>
      </c>
      <c r="B2034" s="4">
        <v>41107</v>
      </c>
      <c r="C2034" s="1" t="s">
        <v>22</v>
      </c>
      <c r="D2034" s="1" t="s">
        <v>27</v>
      </c>
      <c r="E2034" s="1">
        <v>0.67394675925925929</v>
      </c>
      <c r="F2034" s="1" t="s">
        <v>13</v>
      </c>
      <c r="G2034" s="1">
        <v>3.46</v>
      </c>
      <c r="H2034" s="1">
        <v>3.52</v>
      </c>
      <c r="I2034" s="1">
        <v>0</v>
      </c>
      <c r="J2034" s="4">
        <v>41108</v>
      </c>
      <c r="K2034" s="4">
        <v>41292</v>
      </c>
      <c r="L2034">
        <f t="shared" si="31"/>
        <v>3.49</v>
      </c>
    </row>
    <row r="2035" spans="1:12" x14ac:dyDescent="0.15">
      <c r="A2035" s="1">
        <v>2034</v>
      </c>
      <c r="B2035" s="4">
        <v>41107</v>
      </c>
      <c r="C2035" s="1" t="s">
        <v>16</v>
      </c>
      <c r="D2035" s="1" t="s">
        <v>27</v>
      </c>
      <c r="E2035" s="1">
        <v>0.67393518518518514</v>
      </c>
      <c r="F2035" s="1" t="s">
        <v>13</v>
      </c>
      <c r="G2035" s="1">
        <v>2.92</v>
      </c>
      <c r="H2035" s="1">
        <v>2.98</v>
      </c>
      <c r="I2035" s="1">
        <v>0</v>
      </c>
      <c r="J2035" s="4">
        <v>41108</v>
      </c>
      <c r="K2035" s="4">
        <v>42569</v>
      </c>
      <c r="L2035">
        <f t="shared" si="31"/>
        <v>2.95</v>
      </c>
    </row>
    <row r="2036" spans="1:12" x14ac:dyDescent="0.15">
      <c r="A2036" s="1">
        <v>2035</v>
      </c>
      <c r="B2036" s="4">
        <v>41107</v>
      </c>
      <c r="C2036" s="1" t="s">
        <v>19</v>
      </c>
      <c r="D2036" s="1" t="s">
        <v>27</v>
      </c>
      <c r="E2036" s="1">
        <v>0.67393518518518514</v>
      </c>
      <c r="F2036" s="1" t="s">
        <v>13</v>
      </c>
      <c r="G2036" s="1">
        <v>2.94</v>
      </c>
      <c r="H2036" s="1">
        <v>2.99</v>
      </c>
      <c r="I2036" s="1">
        <v>0</v>
      </c>
      <c r="J2036" s="4">
        <v>41108</v>
      </c>
      <c r="K2036" s="4">
        <v>41382</v>
      </c>
      <c r="L2036">
        <f t="shared" si="31"/>
        <v>2.9649999999999999</v>
      </c>
    </row>
    <row r="2037" spans="1:12" x14ac:dyDescent="0.15">
      <c r="A2037" s="1">
        <v>2036</v>
      </c>
      <c r="B2037" s="4">
        <v>41107</v>
      </c>
      <c r="C2037" s="1" t="s">
        <v>18</v>
      </c>
      <c r="D2037" s="1" t="s">
        <v>27</v>
      </c>
      <c r="E2037" s="1">
        <v>0.67394675925925929</v>
      </c>
      <c r="F2037" s="1" t="s">
        <v>13</v>
      </c>
      <c r="G2037" s="1">
        <v>2.94</v>
      </c>
      <c r="H2037" s="1">
        <v>2.99</v>
      </c>
      <c r="I2037" s="1">
        <v>0</v>
      </c>
      <c r="J2037" s="4">
        <v>41108</v>
      </c>
      <c r="K2037" s="4">
        <v>41838</v>
      </c>
      <c r="L2037">
        <f t="shared" si="31"/>
        <v>2.9649999999999999</v>
      </c>
    </row>
    <row r="2038" spans="1:12" x14ac:dyDescent="0.15">
      <c r="A2038" s="1">
        <v>2037</v>
      </c>
      <c r="B2038" s="4">
        <v>41107</v>
      </c>
      <c r="C2038" s="1" t="s">
        <v>11</v>
      </c>
      <c r="D2038" s="1" t="s">
        <v>26</v>
      </c>
      <c r="E2038" s="1">
        <v>0.67424768518518519</v>
      </c>
      <c r="F2038" s="1" t="s">
        <v>13</v>
      </c>
      <c r="G2038" s="1">
        <v>2.9</v>
      </c>
      <c r="H2038" s="1">
        <v>3</v>
      </c>
      <c r="I2038" s="1">
        <v>0</v>
      </c>
      <c r="J2038" s="4">
        <v>41108</v>
      </c>
      <c r="K2038" s="4">
        <v>42203</v>
      </c>
      <c r="L2038">
        <f t="shared" si="31"/>
        <v>2.95</v>
      </c>
    </row>
    <row r="2039" spans="1:12" x14ac:dyDescent="0.15">
      <c r="A2039" s="1">
        <v>2038</v>
      </c>
      <c r="B2039" s="4">
        <v>41107</v>
      </c>
      <c r="C2039" s="1" t="s">
        <v>21</v>
      </c>
      <c r="D2039" s="1" t="s">
        <v>26</v>
      </c>
      <c r="E2039" s="1">
        <v>0.67424768518518519</v>
      </c>
      <c r="F2039" s="1" t="s">
        <v>13</v>
      </c>
      <c r="G2039" s="1">
        <v>2.9</v>
      </c>
      <c r="H2039" s="1">
        <v>3</v>
      </c>
      <c r="I2039" s="1">
        <v>0</v>
      </c>
      <c r="J2039" s="4">
        <v>41108</v>
      </c>
      <c r="K2039" s="4">
        <v>43664</v>
      </c>
      <c r="L2039">
        <f t="shared" si="31"/>
        <v>2.95</v>
      </c>
    </row>
    <row r="2040" spans="1:12" x14ac:dyDescent="0.15">
      <c r="A2040" s="1">
        <v>2039</v>
      </c>
      <c r="B2040" s="4">
        <v>41107</v>
      </c>
      <c r="C2040" s="1" t="s">
        <v>19</v>
      </c>
      <c r="D2040" s="1" t="s">
        <v>26</v>
      </c>
      <c r="E2040" s="1">
        <v>0.67424768518518519</v>
      </c>
      <c r="F2040" s="1" t="s">
        <v>13</v>
      </c>
      <c r="G2040" s="1">
        <v>3.2</v>
      </c>
      <c r="H2040" s="1">
        <v>3.28</v>
      </c>
      <c r="I2040" s="1">
        <v>0</v>
      </c>
      <c r="J2040" s="4">
        <v>41108</v>
      </c>
      <c r="K2040" s="4">
        <v>41382</v>
      </c>
      <c r="L2040">
        <f t="shared" si="31"/>
        <v>3.24</v>
      </c>
    </row>
    <row r="2041" spans="1:12" x14ac:dyDescent="0.15">
      <c r="A2041" s="1">
        <v>2040</v>
      </c>
      <c r="B2041" s="4">
        <v>41107</v>
      </c>
      <c r="C2041" s="1" t="s">
        <v>16</v>
      </c>
      <c r="D2041" s="1" t="s">
        <v>26</v>
      </c>
      <c r="E2041" s="1">
        <v>0.67424768518518519</v>
      </c>
      <c r="F2041" s="1" t="s">
        <v>13</v>
      </c>
      <c r="G2041" s="1">
        <v>2.9</v>
      </c>
      <c r="H2041" s="1">
        <v>3</v>
      </c>
      <c r="I2041" s="1">
        <v>0</v>
      </c>
      <c r="J2041" s="4">
        <v>41108</v>
      </c>
      <c r="K2041" s="4">
        <v>42569</v>
      </c>
      <c r="L2041">
        <f t="shared" si="31"/>
        <v>2.95</v>
      </c>
    </row>
    <row r="2042" spans="1:12" x14ac:dyDescent="0.15">
      <c r="A2042" s="1">
        <v>2041</v>
      </c>
      <c r="B2042" s="4">
        <v>41107</v>
      </c>
      <c r="C2042" s="1" t="s">
        <v>20</v>
      </c>
      <c r="D2042" s="1" t="s">
        <v>26</v>
      </c>
      <c r="E2042" s="1">
        <v>0.67423611111111115</v>
      </c>
      <c r="F2042" s="1" t="s">
        <v>13</v>
      </c>
      <c r="G2042" s="1">
        <v>2.9</v>
      </c>
      <c r="H2042" s="1">
        <v>3</v>
      </c>
      <c r="I2042" s="1">
        <v>0</v>
      </c>
      <c r="J2042" s="4">
        <v>41108</v>
      </c>
      <c r="K2042" s="4">
        <v>44760</v>
      </c>
      <c r="L2042">
        <f t="shared" si="31"/>
        <v>2.95</v>
      </c>
    </row>
    <row r="2043" spans="1:12" x14ac:dyDescent="0.15">
      <c r="A2043" s="1">
        <v>2042</v>
      </c>
      <c r="B2043" s="4">
        <v>41107</v>
      </c>
      <c r="C2043" s="1" t="s">
        <v>18</v>
      </c>
      <c r="D2043" s="1" t="s">
        <v>26</v>
      </c>
      <c r="E2043" s="1">
        <v>0.67423611111111115</v>
      </c>
      <c r="F2043" s="1" t="s">
        <v>13</v>
      </c>
      <c r="G2043" s="1">
        <v>2.93</v>
      </c>
      <c r="H2043" s="1">
        <v>3.02</v>
      </c>
      <c r="I2043" s="1">
        <v>0</v>
      </c>
      <c r="J2043" s="4">
        <v>41108</v>
      </c>
      <c r="K2043" s="4">
        <v>41838</v>
      </c>
      <c r="L2043">
        <f t="shared" si="31"/>
        <v>2.9750000000000001</v>
      </c>
    </row>
    <row r="2044" spans="1:12" x14ac:dyDescent="0.15">
      <c r="A2044" s="1">
        <v>2043</v>
      </c>
      <c r="B2044" s="4">
        <v>41107</v>
      </c>
      <c r="C2044" s="1" t="s">
        <v>25</v>
      </c>
      <c r="D2044" s="1" t="s">
        <v>26</v>
      </c>
      <c r="E2044" s="1">
        <v>0.67424768518518519</v>
      </c>
      <c r="F2044" s="1" t="s">
        <v>13</v>
      </c>
      <c r="G2044" s="1">
        <v>2.9</v>
      </c>
      <c r="H2044" s="1">
        <v>3</v>
      </c>
      <c r="I2044" s="1">
        <v>0</v>
      </c>
      <c r="J2044" s="4">
        <v>41108</v>
      </c>
      <c r="K2044" s="4">
        <v>42934</v>
      </c>
      <c r="L2044">
        <f t="shared" si="31"/>
        <v>2.95</v>
      </c>
    </row>
    <row r="2045" spans="1:12" x14ac:dyDescent="0.15">
      <c r="A2045" s="1">
        <v>2044</v>
      </c>
      <c r="B2045" s="4">
        <v>41107</v>
      </c>
      <c r="C2045" s="1" t="s">
        <v>25</v>
      </c>
      <c r="D2045" s="1" t="s">
        <v>27</v>
      </c>
      <c r="E2045" s="1">
        <v>0.67392361111111121</v>
      </c>
      <c r="F2045" s="1" t="s">
        <v>13</v>
      </c>
      <c r="G2045" s="1">
        <v>2.95</v>
      </c>
      <c r="H2045" s="1">
        <v>3</v>
      </c>
      <c r="I2045" s="1">
        <v>0</v>
      </c>
      <c r="J2045" s="4">
        <v>41108</v>
      </c>
      <c r="K2045" s="4">
        <v>42934</v>
      </c>
      <c r="L2045">
        <f t="shared" si="31"/>
        <v>2.9750000000000001</v>
      </c>
    </row>
    <row r="2046" spans="1:12" x14ac:dyDescent="0.15">
      <c r="A2046" s="1">
        <v>2045</v>
      </c>
      <c r="B2046" s="4">
        <v>41107</v>
      </c>
      <c r="C2046" s="1" t="s">
        <v>22</v>
      </c>
      <c r="D2046" s="1" t="s">
        <v>15</v>
      </c>
      <c r="E2046" s="1">
        <v>0.66630787037037031</v>
      </c>
      <c r="F2046" s="1" t="s">
        <v>13</v>
      </c>
      <c r="G2046" s="1">
        <v>3.48</v>
      </c>
      <c r="H2046" s="1">
        <v>3.54</v>
      </c>
      <c r="I2046" s="1">
        <v>0</v>
      </c>
      <c r="J2046" s="4">
        <v>41108</v>
      </c>
      <c r="K2046" s="4">
        <v>41292</v>
      </c>
      <c r="L2046">
        <f t="shared" si="31"/>
        <v>3.51</v>
      </c>
    </row>
    <row r="2047" spans="1:12" x14ac:dyDescent="0.15">
      <c r="A2047" s="1">
        <v>2046</v>
      </c>
      <c r="B2047" s="4">
        <v>41107</v>
      </c>
      <c r="C2047" s="1" t="s">
        <v>21</v>
      </c>
      <c r="D2047" s="1" t="s">
        <v>15</v>
      </c>
      <c r="E2047" s="1">
        <v>0.66631944444444446</v>
      </c>
      <c r="F2047" s="1" t="s">
        <v>13</v>
      </c>
      <c r="G2047" s="1">
        <v>3</v>
      </c>
      <c r="H2047" s="1">
        <v>3.06</v>
      </c>
      <c r="I2047" s="1">
        <v>0</v>
      </c>
      <c r="J2047" s="4">
        <v>41108</v>
      </c>
      <c r="K2047" s="4">
        <v>43664</v>
      </c>
      <c r="L2047">
        <f t="shared" si="31"/>
        <v>3.0300000000000002</v>
      </c>
    </row>
    <row r="2048" spans="1:12" x14ac:dyDescent="0.15">
      <c r="A2048" s="1">
        <v>2047</v>
      </c>
      <c r="B2048" s="4">
        <v>41107</v>
      </c>
      <c r="C2048" s="1" t="s">
        <v>19</v>
      </c>
      <c r="D2048" s="1" t="s">
        <v>15</v>
      </c>
      <c r="E2048" s="1">
        <v>0.66631944444444446</v>
      </c>
      <c r="F2048" s="1" t="s">
        <v>13</v>
      </c>
      <c r="G2048" s="1">
        <v>3.27</v>
      </c>
      <c r="H2048" s="1">
        <v>3.33</v>
      </c>
      <c r="I2048" s="1">
        <v>0</v>
      </c>
      <c r="J2048" s="4">
        <v>41108</v>
      </c>
      <c r="K2048" s="4">
        <v>41382</v>
      </c>
      <c r="L2048">
        <f t="shared" si="31"/>
        <v>3.3</v>
      </c>
    </row>
    <row r="2049" spans="1:12" x14ac:dyDescent="0.15">
      <c r="A2049" s="1">
        <v>2048</v>
      </c>
      <c r="B2049" s="4">
        <v>41107</v>
      </c>
      <c r="C2049" s="1" t="s">
        <v>16</v>
      </c>
      <c r="D2049" s="1" t="s">
        <v>26</v>
      </c>
      <c r="E2049" s="1">
        <v>0.49847222222222221</v>
      </c>
      <c r="F2049" s="1" t="s">
        <v>13</v>
      </c>
      <c r="G2049" s="1">
        <v>2.9</v>
      </c>
      <c r="H2049" s="1">
        <v>3</v>
      </c>
      <c r="I2049" s="1">
        <v>0</v>
      </c>
      <c r="J2049" s="4">
        <v>41108</v>
      </c>
      <c r="K2049" s="4">
        <v>42569</v>
      </c>
      <c r="L2049">
        <f t="shared" si="31"/>
        <v>2.95</v>
      </c>
    </row>
    <row r="2050" spans="1:12" x14ac:dyDescent="0.15">
      <c r="A2050" s="1">
        <v>2049</v>
      </c>
      <c r="B2050" s="4">
        <v>41107</v>
      </c>
      <c r="C2050" s="1" t="s">
        <v>11</v>
      </c>
      <c r="D2050" s="1" t="s">
        <v>26</v>
      </c>
      <c r="E2050" s="1">
        <v>0.49847222222222221</v>
      </c>
      <c r="F2050" s="1" t="s">
        <v>13</v>
      </c>
      <c r="G2050" s="1">
        <v>2.9</v>
      </c>
      <c r="H2050" s="1">
        <v>3</v>
      </c>
      <c r="I2050" s="1">
        <v>0</v>
      </c>
      <c r="J2050" s="4">
        <v>41108</v>
      </c>
      <c r="K2050" s="4">
        <v>42203</v>
      </c>
      <c r="L2050">
        <f t="shared" si="31"/>
        <v>2.95</v>
      </c>
    </row>
    <row r="2051" spans="1:12" x14ac:dyDescent="0.15">
      <c r="A2051" s="1">
        <v>2050</v>
      </c>
      <c r="B2051" s="4">
        <v>41107</v>
      </c>
      <c r="C2051" s="1" t="s">
        <v>19</v>
      </c>
      <c r="D2051" s="1" t="s">
        <v>26</v>
      </c>
      <c r="E2051" s="1">
        <v>0.49847222222222221</v>
      </c>
      <c r="F2051" s="1" t="s">
        <v>13</v>
      </c>
      <c r="G2051" s="1">
        <v>3.2</v>
      </c>
      <c r="H2051" s="1">
        <v>3.28</v>
      </c>
      <c r="I2051" s="1">
        <v>0</v>
      </c>
      <c r="J2051" s="4">
        <v>41108</v>
      </c>
      <c r="K2051" s="4">
        <v>41382</v>
      </c>
      <c r="L2051">
        <f t="shared" ref="L2051:L2114" si="32">AVERAGE(G2051:H2051)</f>
        <v>3.24</v>
      </c>
    </row>
    <row r="2052" spans="1:12" x14ac:dyDescent="0.15">
      <c r="A2052" s="1">
        <v>2051</v>
      </c>
      <c r="B2052" s="4">
        <v>41107</v>
      </c>
      <c r="C2052" s="1" t="s">
        <v>25</v>
      </c>
      <c r="D2052" s="1" t="s">
        <v>26</v>
      </c>
      <c r="E2052" s="1">
        <v>0.49847222222222221</v>
      </c>
      <c r="F2052" s="1" t="s">
        <v>13</v>
      </c>
      <c r="G2052" s="1">
        <v>2.9</v>
      </c>
      <c r="H2052" s="1">
        <v>3</v>
      </c>
      <c r="I2052" s="1">
        <v>0</v>
      </c>
      <c r="J2052" s="4">
        <v>41108</v>
      </c>
      <c r="K2052" s="4">
        <v>42934</v>
      </c>
      <c r="L2052">
        <f t="shared" si="32"/>
        <v>2.95</v>
      </c>
    </row>
    <row r="2053" spans="1:12" x14ac:dyDescent="0.15">
      <c r="A2053" s="1">
        <v>2052</v>
      </c>
      <c r="B2053" s="4">
        <v>41107</v>
      </c>
      <c r="C2053" s="1" t="s">
        <v>18</v>
      </c>
      <c r="D2053" s="1" t="s">
        <v>15</v>
      </c>
      <c r="E2053" s="1">
        <v>0.66631944444444446</v>
      </c>
      <c r="F2053" s="1" t="s">
        <v>13</v>
      </c>
      <c r="G2053" s="1">
        <v>2.94</v>
      </c>
      <c r="H2053" s="1">
        <v>3</v>
      </c>
      <c r="I2053" s="1">
        <v>0</v>
      </c>
      <c r="J2053" s="4">
        <v>41108</v>
      </c>
      <c r="K2053" s="4">
        <v>41838</v>
      </c>
      <c r="L2053">
        <f t="shared" si="32"/>
        <v>2.9699999999999998</v>
      </c>
    </row>
    <row r="2054" spans="1:12" x14ac:dyDescent="0.15">
      <c r="A2054" s="1">
        <v>2053</v>
      </c>
      <c r="B2054" s="4">
        <v>41107</v>
      </c>
      <c r="C2054" s="1" t="s">
        <v>11</v>
      </c>
      <c r="D2054" s="1" t="s">
        <v>15</v>
      </c>
      <c r="E2054" s="1">
        <v>0.6663310185185185</v>
      </c>
      <c r="F2054" s="1" t="s">
        <v>13</v>
      </c>
      <c r="G2054" s="1">
        <v>2.92</v>
      </c>
      <c r="H2054" s="1">
        <v>2.98</v>
      </c>
      <c r="I2054" s="1">
        <v>0</v>
      </c>
      <c r="J2054" s="4">
        <v>41108</v>
      </c>
      <c r="K2054" s="4">
        <v>42203</v>
      </c>
      <c r="L2054">
        <f t="shared" si="32"/>
        <v>2.95</v>
      </c>
    </row>
    <row r="2055" spans="1:12" x14ac:dyDescent="0.15">
      <c r="A2055" s="1">
        <v>2054</v>
      </c>
      <c r="B2055" s="4">
        <v>41107</v>
      </c>
      <c r="C2055" s="1" t="s">
        <v>14</v>
      </c>
      <c r="D2055" s="1" t="s">
        <v>27</v>
      </c>
      <c r="E2055" s="1">
        <v>0.67392361111111121</v>
      </c>
      <c r="F2055" s="1" t="s">
        <v>13</v>
      </c>
      <c r="G2055" s="1">
        <v>3.12</v>
      </c>
      <c r="H2055" s="1">
        <v>3.18</v>
      </c>
      <c r="I2055" s="1">
        <v>0</v>
      </c>
      <c r="J2055" s="4">
        <v>41108</v>
      </c>
      <c r="K2055" s="4">
        <v>41473</v>
      </c>
      <c r="L2055">
        <f t="shared" si="32"/>
        <v>3.1500000000000004</v>
      </c>
    </row>
    <row r="2056" spans="1:12" x14ac:dyDescent="0.15">
      <c r="A2056" s="1">
        <v>2055</v>
      </c>
      <c r="B2056" s="4">
        <v>41107</v>
      </c>
      <c r="C2056" s="1" t="s">
        <v>14</v>
      </c>
      <c r="D2056" s="1" t="s">
        <v>15</v>
      </c>
      <c r="E2056" s="1">
        <v>0.66631944444444446</v>
      </c>
      <c r="F2056" s="1" t="s">
        <v>13</v>
      </c>
      <c r="G2056" s="1">
        <v>3.13</v>
      </c>
      <c r="H2056" s="1">
        <v>3.19</v>
      </c>
      <c r="I2056" s="1">
        <v>0</v>
      </c>
      <c r="J2056" s="4">
        <v>41108</v>
      </c>
      <c r="K2056" s="4">
        <v>41473</v>
      </c>
      <c r="L2056">
        <f t="shared" si="32"/>
        <v>3.16</v>
      </c>
    </row>
    <row r="2057" spans="1:12" x14ac:dyDescent="0.15">
      <c r="A2057" s="1">
        <v>2056</v>
      </c>
      <c r="B2057" s="4">
        <v>41107</v>
      </c>
      <c r="C2057" s="1" t="s">
        <v>20</v>
      </c>
      <c r="D2057" s="1" t="s">
        <v>15</v>
      </c>
      <c r="E2057" s="1">
        <v>0.66631944444444446</v>
      </c>
      <c r="F2057" s="1" t="s">
        <v>13</v>
      </c>
      <c r="G2057" s="1">
        <v>3.04</v>
      </c>
      <c r="H2057" s="1">
        <v>3.1</v>
      </c>
      <c r="I2057" s="1">
        <v>0</v>
      </c>
      <c r="J2057" s="4">
        <v>41108</v>
      </c>
      <c r="K2057" s="4">
        <v>44760</v>
      </c>
      <c r="L2057">
        <f t="shared" si="32"/>
        <v>3.0700000000000003</v>
      </c>
    </row>
    <row r="2058" spans="1:12" x14ac:dyDescent="0.15">
      <c r="A2058" s="1">
        <v>2057</v>
      </c>
      <c r="B2058" s="4">
        <v>41107</v>
      </c>
      <c r="C2058" s="1" t="s">
        <v>25</v>
      </c>
      <c r="D2058" s="1" t="s">
        <v>15</v>
      </c>
      <c r="E2058" s="1">
        <v>0.66631944444444446</v>
      </c>
      <c r="F2058" s="1" t="s">
        <v>13</v>
      </c>
      <c r="G2058" s="1">
        <v>2.93</v>
      </c>
      <c r="H2058" s="1">
        <v>2.99</v>
      </c>
      <c r="I2058" s="1">
        <v>0</v>
      </c>
      <c r="J2058" s="4">
        <v>41108</v>
      </c>
      <c r="K2058" s="4">
        <v>42934</v>
      </c>
      <c r="L2058">
        <f t="shared" si="32"/>
        <v>2.96</v>
      </c>
    </row>
    <row r="2059" spans="1:12" x14ac:dyDescent="0.15">
      <c r="A2059" s="1">
        <v>2058</v>
      </c>
      <c r="B2059" s="4">
        <v>41107</v>
      </c>
      <c r="C2059" s="1" t="s">
        <v>16</v>
      </c>
      <c r="D2059" s="1" t="s">
        <v>15</v>
      </c>
      <c r="E2059" s="1">
        <v>0.66631944444444446</v>
      </c>
      <c r="F2059" s="1" t="s">
        <v>13</v>
      </c>
      <c r="G2059" s="1">
        <v>2.93</v>
      </c>
      <c r="H2059" s="1">
        <v>2.99</v>
      </c>
      <c r="I2059" s="1">
        <v>0</v>
      </c>
      <c r="J2059" s="4">
        <v>41108</v>
      </c>
      <c r="K2059" s="4">
        <v>42569</v>
      </c>
      <c r="L2059">
        <f t="shared" si="32"/>
        <v>2.96</v>
      </c>
    </row>
    <row r="2060" spans="1:12" x14ac:dyDescent="0.15">
      <c r="A2060" s="1">
        <v>2059</v>
      </c>
      <c r="B2060" s="4">
        <v>41106</v>
      </c>
      <c r="C2060" s="1" t="s">
        <v>16</v>
      </c>
      <c r="D2060" s="1" t="s">
        <v>15</v>
      </c>
      <c r="E2060" s="1">
        <v>0.48782407407407408</v>
      </c>
      <c r="F2060" s="1" t="s">
        <v>13</v>
      </c>
      <c r="G2060" s="1">
        <v>2.89</v>
      </c>
      <c r="H2060" s="1">
        <v>2.95</v>
      </c>
      <c r="I2060" s="1">
        <v>0</v>
      </c>
      <c r="J2060" s="4">
        <v>41107</v>
      </c>
      <c r="K2060" s="4">
        <v>42568</v>
      </c>
      <c r="L2060">
        <f t="shared" si="32"/>
        <v>2.92</v>
      </c>
    </row>
    <row r="2061" spans="1:12" x14ac:dyDescent="0.15">
      <c r="A2061" s="1">
        <v>2060</v>
      </c>
      <c r="B2061" s="4">
        <v>41106</v>
      </c>
      <c r="C2061" s="1" t="s">
        <v>25</v>
      </c>
      <c r="D2061" s="1" t="s">
        <v>15</v>
      </c>
      <c r="E2061" s="1">
        <v>0.48782407407407408</v>
      </c>
      <c r="F2061" s="1" t="s">
        <v>13</v>
      </c>
      <c r="G2061" s="1">
        <v>2.89</v>
      </c>
      <c r="H2061" s="1">
        <v>2.95</v>
      </c>
      <c r="I2061" s="1">
        <v>0</v>
      </c>
      <c r="J2061" s="4">
        <v>41107</v>
      </c>
      <c r="K2061" s="4">
        <v>42933</v>
      </c>
      <c r="L2061">
        <f t="shared" si="32"/>
        <v>2.92</v>
      </c>
    </row>
    <row r="2062" spans="1:12" x14ac:dyDescent="0.15">
      <c r="A2062" s="1">
        <v>2061</v>
      </c>
      <c r="B2062" s="4">
        <v>41106</v>
      </c>
      <c r="C2062" s="1" t="s">
        <v>22</v>
      </c>
      <c r="D2062" s="1" t="s">
        <v>15</v>
      </c>
      <c r="E2062" s="1">
        <v>0.48782407407407408</v>
      </c>
      <c r="F2062" s="1" t="s">
        <v>13</v>
      </c>
      <c r="G2062" s="1">
        <v>3.49</v>
      </c>
      <c r="H2062" s="1">
        <v>3.55</v>
      </c>
      <c r="I2062" s="1">
        <v>0</v>
      </c>
      <c r="J2062" s="4">
        <v>41107</v>
      </c>
      <c r="K2062" s="4">
        <v>41291</v>
      </c>
      <c r="L2062">
        <f t="shared" si="32"/>
        <v>3.52</v>
      </c>
    </row>
    <row r="2063" spans="1:12" x14ac:dyDescent="0.15">
      <c r="A2063" s="1">
        <v>2062</v>
      </c>
      <c r="B2063" s="4">
        <v>41106</v>
      </c>
      <c r="C2063" s="1" t="s">
        <v>11</v>
      </c>
      <c r="D2063" s="1" t="s">
        <v>15</v>
      </c>
      <c r="E2063" s="1">
        <v>0.48782407407407408</v>
      </c>
      <c r="F2063" s="1" t="s">
        <v>13</v>
      </c>
      <c r="G2063" s="1">
        <v>2.89</v>
      </c>
      <c r="H2063" s="1">
        <v>2.95</v>
      </c>
      <c r="I2063" s="1">
        <v>0</v>
      </c>
      <c r="J2063" s="4">
        <v>41107</v>
      </c>
      <c r="K2063" s="4">
        <v>42202</v>
      </c>
      <c r="L2063">
        <f t="shared" si="32"/>
        <v>2.92</v>
      </c>
    </row>
    <row r="2064" spans="1:12" x14ac:dyDescent="0.15">
      <c r="A2064" s="1">
        <v>2063</v>
      </c>
      <c r="B2064" s="4">
        <v>41106</v>
      </c>
      <c r="C2064" s="1" t="s">
        <v>21</v>
      </c>
      <c r="D2064" s="1" t="s">
        <v>15</v>
      </c>
      <c r="E2064" s="1">
        <v>0.48782407407407408</v>
      </c>
      <c r="F2064" s="1" t="s">
        <v>13</v>
      </c>
      <c r="G2064" s="1">
        <v>2.93</v>
      </c>
      <c r="H2064" s="1">
        <v>2.99</v>
      </c>
      <c r="I2064" s="1">
        <v>0</v>
      </c>
      <c r="J2064" s="4">
        <v>41107</v>
      </c>
      <c r="K2064" s="4">
        <v>43663</v>
      </c>
      <c r="L2064">
        <f t="shared" si="32"/>
        <v>2.96</v>
      </c>
    </row>
    <row r="2065" spans="1:12" x14ac:dyDescent="0.15">
      <c r="A2065" s="1">
        <v>2064</v>
      </c>
      <c r="B2065" s="4">
        <v>41106</v>
      </c>
      <c r="C2065" s="1" t="s">
        <v>19</v>
      </c>
      <c r="D2065" s="1" t="s">
        <v>26</v>
      </c>
      <c r="E2065" s="1">
        <v>0.48238425925925926</v>
      </c>
      <c r="F2065" s="1" t="s">
        <v>13</v>
      </c>
      <c r="G2065" s="1">
        <v>3.2</v>
      </c>
      <c r="H2065" s="1">
        <v>3.28</v>
      </c>
      <c r="I2065" s="1">
        <v>0</v>
      </c>
      <c r="J2065" s="4">
        <v>41107</v>
      </c>
      <c r="K2065" s="4">
        <v>41381</v>
      </c>
      <c r="L2065">
        <f t="shared" si="32"/>
        <v>3.24</v>
      </c>
    </row>
    <row r="2066" spans="1:12" x14ac:dyDescent="0.15">
      <c r="A2066" s="1">
        <v>2065</v>
      </c>
      <c r="B2066" s="4">
        <v>41106</v>
      </c>
      <c r="C2066" s="1" t="s">
        <v>20</v>
      </c>
      <c r="D2066" s="1" t="s">
        <v>15</v>
      </c>
      <c r="E2066" s="1">
        <v>0.48782407407407408</v>
      </c>
      <c r="F2066" s="1" t="s">
        <v>13</v>
      </c>
      <c r="G2066" s="1">
        <v>2.99</v>
      </c>
      <c r="H2066" s="1">
        <v>3.05</v>
      </c>
      <c r="I2066" s="1">
        <v>0</v>
      </c>
      <c r="J2066" s="4">
        <v>41107</v>
      </c>
      <c r="K2066" s="4">
        <v>44759</v>
      </c>
      <c r="L2066">
        <f t="shared" si="32"/>
        <v>3.02</v>
      </c>
    </row>
    <row r="2067" spans="1:12" x14ac:dyDescent="0.15">
      <c r="A2067" s="1">
        <v>2066</v>
      </c>
      <c r="B2067" s="4">
        <v>41106</v>
      </c>
      <c r="C2067" s="1" t="s">
        <v>19</v>
      </c>
      <c r="D2067" s="1" t="s">
        <v>15</v>
      </c>
      <c r="E2067" s="1">
        <v>0.48782407407407408</v>
      </c>
      <c r="F2067" s="1" t="s">
        <v>13</v>
      </c>
      <c r="G2067" s="1">
        <v>3.28</v>
      </c>
      <c r="H2067" s="1">
        <v>3.34</v>
      </c>
      <c r="I2067" s="1">
        <v>0</v>
      </c>
      <c r="J2067" s="4">
        <v>41107</v>
      </c>
      <c r="K2067" s="4">
        <v>41381</v>
      </c>
      <c r="L2067">
        <f t="shared" si="32"/>
        <v>3.3099999999999996</v>
      </c>
    </row>
    <row r="2068" spans="1:12" x14ac:dyDescent="0.15">
      <c r="A2068" s="1">
        <v>2067</v>
      </c>
      <c r="B2068" s="4">
        <v>41106</v>
      </c>
      <c r="C2068" s="1" t="s">
        <v>14</v>
      </c>
      <c r="D2068" s="1" t="s">
        <v>15</v>
      </c>
      <c r="E2068" s="1">
        <v>0.48782407407407408</v>
      </c>
      <c r="F2068" s="1" t="s">
        <v>13</v>
      </c>
      <c r="G2068" s="1">
        <v>3.14</v>
      </c>
      <c r="H2068" s="1">
        <v>3.2</v>
      </c>
      <c r="I2068" s="1">
        <v>0</v>
      </c>
      <c r="J2068" s="4">
        <v>41107</v>
      </c>
      <c r="K2068" s="4">
        <v>41472</v>
      </c>
      <c r="L2068">
        <f t="shared" si="32"/>
        <v>3.17</v>
      </c>
    </row>
    <row r="2069" spans="1:12" x14ac:dyDescent="0.15">
      <c r="A2069" s="1">
        <v>2068</v>
      </c>
      <c r="B2069" s="4">
        <v>41106</v>
      </c>
      <c r="C2069" s="1" t="s">
        <v>18</v>
      </c>
      <c r="D2069" s="1" t="s">
        <v>27</v>
      </c>
      <c r="E2069" s="1">
        <v>0.48837962962962966</v>
      </c>
      <c r="F2069" s="1" t="s">
        <v>13</v>
      </c>
      <c r="G2069" s="1">
        <v>2.88</v>
      </c>
      <c r="H2069" s="1">
        <v>2.98</v>
      </c>
      <c r="I2069" s="1">
        <v>0</v>
      </c>
      <c r="J2069" s="4">
        <v>41107</v>
      </c>
      <c r="K2069" s="4">
        <v>41837</v>
      </c>
      <c r="L2069">
        <f t="shared" si="32"/>
        <v>2.9299999999999997</v>
      </c>
    </row>
    <row r="2070" spans="1:12" x14ac:dyDescent="0.15">
      <c r="A2070" s="1">
        <v>2069</v>
      </c>
      <c r="B2070" s="4">
        <v>41106</v>
      </c>
      <c r="C2070" s="1" t="s">
        <v>16</v>
      </c>
      <c r="D2070" s="1" t="s">
        <v>27</v>
      </c>
      <c r="E2070" s="1">
        <v>0.48836805555555557</v>
      </c>
      <c r="F2070" s="1" t="s">
        <v>13</v>
      </c>
      <c r="G2070" s="1">
        <v>2.88</v>
      </c>
      <c r="H2070" s="1">
        <v>2.98</v>
      </c>
      <c r="I2070" s="1">
        <v>0</v>
      </c>
      <c r="J2070" s="4">
        <v>41107</v>
      </c>
      <c r="K2070" s="4">
        <v>42568</v>
      </c>
      <c r="L2070">
        <f t="shared" si="32"/>
        <v>2.9299999999999997</v>
      </c>
    </row>
    <row r="2071" spans="1:12" x14ac:dyDescent="0.15">
      <c r="A2071" s="1">
        <v>2070</v>
      </c>
      <c r="B2071" s="4">
        <v>41106</v>
      </c>
      <c r="C2071" s="1" t="s">
        <v>11</v>
      </c>
      <c r="D2071" s="1" t="s">
        <v>27</v>
      </c>
      <c r="E2071" s="1">
        <v>0.48837962962962966</v>
      </c>
      <c r="F2071" s="1" t="s">
        <v>13</v>
      </c>
      <c r="G2071" s="1">
        <v>2.85</v>
      </c>
      <c r="H2071" s="1">
        <v>2.95</v>
      </c>
      <c r="I2071" s="1">
        <v>0</v>
      </c>
      <c r="J2071" s="4">
        <v>41107</v>
      </c>
      <c r="K2071" s="4">
        <v>42202</v>
      </c>
      <c r="L2071">
        <f t="shared" si="32"/>
        <v>2.9000000000000004</v>
      </c>
    </row>
    <row r="2072" spans="1:12" x14ac:dyDescent="0.15">
      <c r="A2072" s="1">
        <v>2071</v>
      </c>
      <c r="B2072" s="4">
        <v>41106</v>
      </c>
      <c r="C2072" s="1" t="s">
        <v>22</v>
      </c>
      <c r="D2072" s="1" t="s">
        <v>27</v>
      </c>
      <c r="E2072" s="1">
        <v>0.48837962962962966</v>
      </c>
      <c r="F2072" s="1" t="s">
        <v>13</v>
      </c>
      <c r="G2072" s="1">
        <v>3.4</v>
      </c>
      <c r="H2072" s="1">
        <v>3.5</v>
      </c>
      <c r="I2072" s="1">
        <v>0</v>
      </c>
      <c r="J2072" s="4">
        <v>41107</v>
      </c>
      <c r="K2072" s="4">
        <v>41291</v>
      </c>
      <c r="L2072">
        <f t="shared" si="32"/>
        <v>3.45</v>
      </c>
    </row>
    <row r="2073" spans="1:12" x14ac:dyDescent="0.15">
      <c r="A2073" s="1">
        <v>2072</v>
      </c>
      <c r="B2073" s="4">
        <v>41106</v>
      </c>
      <c r="C2073" s="1" t="s">
        <v>14</v>
      </c>
      <c r="D2073" s="1" t="s">
        <v>27</v>
      </c>
      <c r="E2073" s="1">
        <v>0.48835648148148153</v>
      </c>
      <c r="F2073" s="1" t="s">
        <v>13</v>
      </c>
      <c r="G2073" s="1">
        <v>3.08</v>
      </c>
      <c r="H2073" s="1">
        <v>3.16</v>
      </c>
      <c r="I2073" s="1">
        <v>0</v>
      </c>
      <c r="J2073" s="4">
        <v>41107</v>
      </c>
      <c r="K2073" s="4">
        <v>41472</v>
      </c>
      <c r="L2073">
        <f t="shared" si="32"/>
        <v>3.12</v>
      </c>
    </row>
    <row r="2074" spans="1:12" x14ac:dyDescent="0.15">
      <c r="A2074" s="1">
        <v>2073</v>
      </c>
      <c r="B2074" s="4">
        <v>41106</v>
      </c>
      <c r="C2074" s="1" t="s">
        <v>18</v>
      </c>
      <c r="D2074" s="1" t="s">
        <v>15</v>
      </c>
      <c r="E2074" s="1">
        <v>0.48782407407407408</v>
      </c>
      <c r="F2074" s="1" t="s">
        <v>13</v>
      </c>
      <c r="G2074" s="1">
        <v>2.91</v>
      </c>
      <c r="H2074" s="1">
        <v>2.97</v>
      </c>
      <c r="I2074" s="1">
        <v>0</v>
      </c>
      <c r="J2074" s="4">
        <v>41107</v>
      </c>
      <c r="K2074" s="4">
        <v>41837</v>
      </c>
      <c r="L2074">
        <f t="shared" si="32"/>
        <v>2.9400000000000004</v>
      </c>
    </row>
    <row r="2075" spans="1:12" x14ac:dyDescent="0.15">
      <c r="A2075" s="1">
        <v>2074</v>
      </c>
      <c r="B2075" s="4">
        <v>41106</v>
      </c>
      <c r="C2075" s="1" t="s">
        <v>19</v>
      </c>
      <c r="D2075" s="1" t="s">
        <v>27</v>
      </c>
      <c r="E2075" s="1">
        <v>0.48835648148148153</v>
      </c>
      <c r="F2075" s="1" t="s">
        <v>13</v>
      </c>
      <c r="G2075" s="1">
        <v>3.21</v>
      </c>
      <c r="H2075" s="1">
        <v>3.31</v>
      </c>
      <c r="I2075" s="1">
        <v>0</v>
      </c>
      <c r="J2075" s="4">
        <v>41107</v>
      </c>
      <c r="K2075" s="4">
        <v>41381</v>
      </c>
      <c r="L2075">
        <f t="shared" si="32"/>
        <v>3.26</v>
      </c>
    </row>
    <row r="2076" spans="1:12" x14ac:dyDescent="0.15">
      <c r="A2076" s="1">
        <v>2075</v>
      </c>
      <c r="B2076" s="4">
        <v>41106</v>
      </c>
      <c r="C2076" s="1" t="s">
        <v>25</v>
      </c>
      <c r="D2076" s="1" t="s">
        <v>27</v>
      </c>
      <c r="E2076" s="1">
        <v>0.48835648148148153</v>
      </c>
      <c r="F2076" s="1" t="s">
        <v>13</v>
      </c>
      <c r="G2076" s="1">
        <v>2.9</v>
      </c>
      <c r="H2076" s="1">
        <v>2.98</v>
      </c>
      <c r="I2076" s="1">
        <v>0</v>
      </c>
      <c r="J2076" s="4">
        <v>41107</v>
      </c>
      <c r="K2076" s="4">
        <v>42933</v>
      </c>
      <c r="L2076">
        <f t="shared" si="32"/>
        <v>2.94</v>
      </c>
    </row>
    <row r="2077" spans="1:12" x14ac:dyDescent="0.15">
      <c r="A2077" s="1">
        <v>2076</v>
      </c>
      <c r="B2077" s="4">
        <v>41106</v>
      </c>
      <c r="C2077" s="1" t="s">
        <v>18</v>
      </c>
      <c r="D2077" s="1" t="s">
        <v>36</v>
      </c>
      <c r="E2077" s="1">
        <v>0.45481481481481478</v>
      </c>
      <c r="F2077" s="1" t="s">
        <v>13</v>
      </c>
      <c r="G2077" s="1">
        <v>3.27</v>
      </c>
      <c r="H2077" s="1">
        <v>3.35</v>
      </c>
      <c r="I2077" s="1">
        <v>0</v>
      </c>
      <c r="J2077" s="4">
        <v>41107</v>
      </c>
      <c r="K2077" s="4">
        <v>41837</v>
      </c>
      <c r="L2077">
        <f t="shared" si="32"/>
        <v>3.31</v>
      </c>
    </row>
    <row r="2078" spans="1:12" x14ac:dyDescent="0.15">
      <c r="A2078" s="1">
        <v>2077</v>
      </c>
      <c r="B2078" s="4">
        <v>41106</v>
      </c>
      <c r="C2078" s="1" t="s">
        <v>14</v>
      </c>
      <c r="D2078" s="1" t="s">
        <v>36</v>
      </c>
      <c r="E2078" s="1">
        <v>0.45481481481481478</v>
      </c>
      <c r="F2078" s="1" t="s">
        <v>13</v>
      </c>
      <c r="G2078" s="1">
        <v>3.41</v>
      </c>
      <c r="H2078" s="1">
        <v>3.49</v>
      </c>
      <c r="I2078" s="1">
        <v>0</v>
      </c>
      <c r="J2078" s="4">
        <v>41107</v>
      </c>
      <c r="K2078" s="4">
        <v>41472</v>
      </c>
      <c r="L2078">
        <f t="shared" si="32"/>
        <v>3.45</v>
      </c>
    </row>
    <row r="2079" spans="1:12" x14ac:dyDescent="0.15">
      <c r="A2079" s="1">
        <v>2078</v>
      </c>
      <c r="B2079" s="4">
        <v>41106</v>
      </c>
      <c r="C2079" s="1" t="s">
        <v>16</v>
      </c>
      <c r="D2079" s="1" t="s">
        <v>36</v>
      </c>
      <c r="E2079" s="1">
        <v>0.45482638888888888</v>
      </c>
      <c r="F2079" s="1" t="s">
        <v>13</v>
      </c>
      <c r="G2079" s="1">
        <v>3.26</v>
      </c>
      <c r="H2079" s="1">
        <v>3.36</v>
      </c>
      <c r="I2079" s="1">
        <v>0</v>
      </c>
      <c r="J2079" s="4">
        <v>41107</v>
      </c>
      <c r="K2079" s="4">
        <v>42568</v>
      </c>
      <c r="L2079">
        <f t="shared" si="32"/>
        <v>3.3099999999999996</v>
      </c>
    </row>
    <row r="2080" spans="1:12" x14ac:dyDescent="0.15">
      <c r="A2080" s="1">
        <v>2079</v>
      </c>
      <c r="B2080" s="4">
        <v>41106</v>
      </c>
      <c r="C2080" s="1" t="s">
        <v>21</v>
      </c>
      <c r="D2080" s="1" t="s">
        <v>36</v>
      </c>
      <c r="E2080" s="1">
        <v>0.45481481481481478</v>
      </c>
      <c r="F2080" s="1" t="s">
        <v>13</v>
      </c>
      <c r="G2080" s="1">
        <v>3.25</v>
      </c>
      <c r="H2080" s="1">
        <v>3.44</v>
      </c>
      <c r="I2080" s="1">
        <v>0</v>
      </c>
      <c r="J2080" s="4">
        <v>41107</v>
      </c>
      <c r="K2080" s="4">
        <v>43663</v>
      </c>
      <c r="L2080">
        <f t="shared" si="32"/>
        <v>3.3449999999999998</v>
      </c>
    </row>
    <row r="2081" spans="1:12" x14ac:dyDescent="0.15">
      <c r="A2081" s="1">
        <v>2080</v>
      </c>
      <c r="B2081" s="4">
        <v>41106</v>
      </c>
      <c r="C2081" s="1" t="s">
        <v>19</v>
      </c>
      <c r="D2081" s="1" t="s">
        <v>36</v>
      </c>
      <c r="E2081" s="1">
        <v>0.45481481481481478</v>
      </c>
      <c r="F2081" s="1" t="s">
        <v>13</v>
      </c>
      <c r="G2081" s="1">
        <v>3.57</v>
      </c>
      <c r="H2081" s="1">
        <v>3.67</v>
      </c>
      <c r="I2081" s="1">
        <v>0</v>
      </c>
      <c r="J2081" s="4">
        <v>41107</v>
      </c>
      <c r="K2081" s="4">
        <v>41381</v>
      </c>
      <c r="L2081">
        <f t="shared" si="32"/>
        <v>3.62</v>
      </c>
    </row>
    <row r="2082" spans="1:12" x14ac:dyDescent="0.15">
      <c r="A2082" s="1">
        <v>2081</v>
      </c>
      <c r="B2082" s="4">
        <v>41106</v>
      </c>
      <c r="C2082" s="1" t="s">
        <v>22</v>
      </c>
      <c r="D2082" s="1" t="s">
        <v>36</v>
      </c>
      <c r="E2082" s="1">
        <v>0.45478009259259261</v>
      </c>
      <c r="F2082" s="1" t="s">
        <v>13</v>
      </c>
      <c r="G2082" s="1">
        <v>3.74</v>
      </c>
      <c r="H2082" s="1">
        <v>3.84</v>
      </c>
      <c r="I2082" s="1">
        <v>0</v>
      </c>
      <c r="J2082" s="4">
        <v>41107</v>
      </c>
      <c r="K2082" s="4">
        <v>41291</v>
      </c>
      <c r="L2082">
        <f t="shared" si="32"/>
        <v>3.79</v>
      </c>
    </row>
    <row r="2083" spans="1:12" x14ac:dyDescent="0.15">
      <c r="A2083" s="1">
        <v>2082</v>
      </c>
      <c r="B2083" s="4">
        <v>41106</v>
      </c>
      <c r="C2083" s="1" t="s">
        <v>25</v>
      </c>
      <c r="D2083" s="1" t="s">
        <v>36</v>
      </c>
      <c r="E2083" s="1">
        <v>0.45481481481481478</v>
      </c>
      <c r="F2083" s="1" t="s">
        <v>13</v>
      </c>
      <c r="G2083" s="1">
        <v>3.25</v>
      </c>
      <c r="H2083" s="1">
        <v>3.35</v>
      </c>
      <c r="I2083" s="1">
        <v>0</v>
      </c>
      <c r="J2083" s="4">
        <v>41107</v>
      </c>
      <c r="K2083" s="4">
        <v>42933</v>
      </c>
      <c r="L2083">
        <f t="shared" si="32"/>
        <v>3.3</v>
      </c>
    </row>
    <row r="2084" spans="1:12" x14ac:dyDescent="0.15">
      <c r="A2084" s="1">
        <v>2083</v>
      </c>
      <c r="B2084" s="4">
        <v>41106</v>
      </c>
      <c r="C2084" s="1" t="s">
        <v>20</v>
      </c>
      <c r="D2084" s="1" t="s">
        <v>36</v>
      </c>
      <c r="E2084" s="1">
        <v>0.45481481481481478</v>
      </c>
      <c r="F2084" s="1" t="s">
        <v>13</v>
      </c>
      <c r="G2084" s="1">
        <v>3.31</v>
      </c>
      <c r="H2084" s="1">
        <v>3.5</v>
      </c>
      <c r="I2084" s="1">
        <v>0</v>
      </c>
      <c r="J2084" s="4">
        <v>41107</v>
      </c>
      <c r="K2084" s="4">
        <v>44759</v>
      </c>
      <c r="L2084">
        <f t="shared" si="32"/>
        <v>3.4050000000000002</v>
      </c>
    </row>
    <row r="2085" spans="1:12" x14ac:dyDescent="0.15">
      <c r="A2085" s="1">
        <v>2084</v>
      </c>
      <c r="B2085" s="4">
        <v>41106</v>
      </c>
      <c r="C2085" s="1" t="s">
        <v>11</v>
      </c>
      <c r="D2085" s="1" t="s">
        <v>36</v>
      </c>
      <c r="E2085" s="1">
        <v>0.45482638888888888</v>
      </c>
      <c r="F2085" s="1" t="s">
        <v>13</v>
      </c>
      <c r="G2085" s="1">
        <v>3.26</v>
      </c>
      <c r="H2085" s="1">
        <v>3.36</v>
      </c>
      <c r="I2085" s="1">
        <v>0</v>
      </c>
      <c r="J2085" s="4">
        <v>41107</v>
      </c>
      <c r="K2085" s="4">
        <v>42202</v>
      </c>
      <c r="L2085">
        <f t="shared" si="32"/>
        <v>3.3099999999999996</v>
      </c>
    </row>
    <row r="2086" spans="1:12" x14ac:dyDescent="0.15">
      <c r="A2086" s="1">
        <v>2085</v>
      </c>
      <c r="B2086" s="4">
        <v>41106</v>
      </c>
      <c r="C2086" s="1" t="s">
        <v>20</v>
      </c>
      <c r="D2086" s="1" t="s">
        <v>26</v>
      </c>
      <c r="E2086" s="1">
        <v>0.48238425925925926</v>
      </c>
      <c r="F2086" s="1" t="s">
        <v>13</v>
      </c>
      <c r="G2086" s="1">
        <v>2.75</v>
      </c>
      <c r="H2086" s="1">
        <v>2.83</v>
      </c>
      <c r="I2086" s="1">
        <v>0</v>
      </c>
      <c r="J2086" s="4">
        <v>41107</v>
      </c>
      <c r="K2086" s="4">
        <v>44759</v>
      </c>
      <c r="L2086">
        <f t="shared" si="32"/>
        <v>2.79</v>
      </c>
    </row>
    <row r="2087" spans="1:12" x14ac:dyDescent="0.15">
      <c r="A2087" s="1">
        <v>2086</v>
      </c>
      <c r="B2087" s="4">
        <v>41106</v>
      </c>
      <c r="C2087" s="1" t="s">
        <v>14</v>
      </c>
      <c r="D2087" s="1" t="s">
        <v>26</v>
      </c>
      <c r="E2087" s="1">
        <v>0.48238425925925926</v>
      </c>
      <c r="F2087" s="1" t="s">
        <v>13</v>
      </c>
      <c r="G2087" s="1">
        <v>3.08</v>
      </c>
      <c r="H2087" s="1">
        <v>3.15</v>
      </c>
      <c r="I2087" s="1">
        <v>0</v>
      </c>
      <c r="J2087" s="4">
        <v>41107</v>
      </c>
      <c r="K2087" s="4">
        <v>41472</v>
      </c>
      <c r="L2087">
        <f t="shared" si="32"/>
        <v>3.1150000000000002</v>
      </c>
    </row>
    <row r="2088" spans="1:12" x14ac:dyDescent="0.15">
      <c r="A2088" s="1">
        <v>2087</v>
      </c>
      <c r="B2088" s="4">
        <v>41106</v>
      </c>
      <c r="C2088" s="1" t="s">
        <v>21</v>
      </c>
      <c r="D2088" s="1" t="s">
        <v>26</v>
      </c>
      <c r="E2088" s="1">
        <v>0.48238425925925926</v>
      </c>
      <c r="F2088" s="1" t="s">
        <v>13</v>
      </c>
      <c r="G2088" s="1">
        <v>2.75</v>
      </c>
      <c r="H2088" s="1">
        <v>2.83</v>
      </c>
      <c r="I2088" s="1">
        <v>0</v>
      </c>
      <c r="J2088" s="4">
        <v>41107</v>
      </c>
      <c r="K2088" s="4">
        <v>43663</v>
      </c>
      <c r="L2088">
        <f t="shared" si="32"/>
        <v>2.79</v>
      </c>
    </row>
    <row r="2089" spans="1:12" x14ac:dyDescent="0.15">
      <c r="A2089" s="1">
        <v>2088</v>
      </c>
      <c r="B2089" s="4">
        <v>41106</v>
      </c>
      <c r="C2089" s="1" t="s">
        <v>18</v>
      </c>
      <c r="D2089" s="1" t="s">
        <v>26</v>
      </c>
      <c r="E2089" s="1">
        <v>0.48238425925925926</v>
      </c>
      <c r="F2089" s="1" t="s">
        <v>13</v>
      </c>
      <c r="G2089" s="1">
        <v>2.8</v>
      </c>
      <c r="H2089" s="1">
        <v>2.9</v>
      </c>
      <c r="I2089" s="1">
        <v>0</v>
      </c>
      <c r="J2089" s="4">
        <v>41107</v>
      </c>
      <c r="K2089" s="4">
        <v>41837</v>
      </c>
      <c r="L2089">
        <f t="shared" si="32"/>
        <v>2.8499999999999996</v>
      </c>
    </row>
    <row r="2090" spans="1:12" x14ac:dyDescent="0.15">
      <c r="A2090" s="1">
        <v>2089</v>
      </c>
      <c r="B2090" s="4">
        <v>41106</v>
      </c>
      <c r="C2090" s="1" t="s">
        <v>25</v>
      </c>
      <c r="D2090" s="1" t="s">
        <v>26</v>
      </c>
      <c r="E2090" s="1">
        <v>0.48238425925925926</v>
      </c>
      <c r="F2090" s="1" t="s">
        <v>13</v>
      </c>
      <c r="G2090" s="1">
        <v>2.78</v>
      </c>
      <c r="H2090" s="1">
        <v>2.85</v>
      </c>
      <c r="I2090" s="1">
        <v>0</v>
      </c>
      <c r="J2090" s="4">
        <v>41107</v>
      </c>
      <c r="K2090" s="4">
        <v>42933</v>
      </c>
      <c r="L2090">
        <f t="shared" si="32"/>
        <v>2.8149999999999999</v>
      </c>
    </row>
    <row r="2091" spans="1:12" x14ac:dyDescent="0.15">
      <c r="A2091" s="1">
        <v>2090</v>
      </c>
      <c r="B2091" s="4">
        <v>41106</v>
      </c>
      <c r="C2091" s="1" t="s">
        <v>22</v>
      </c>
      <c r="D2091" s="1" t="s">
        <v>26</v>
      </c>
      <c r="E2091" s="1">
        <v>0.48237268518518522</v>
      </c>
      <c r="F2091" s="1" t="s">
        <v>13</v>
      </c>
      <c r="G2091" s="1">
        <v>3.45</v>
      </c>
      <c r="H2091" s="1">
        <v>3.5</v>
      </c>
      <c r="I2091" s="1">
        <v>0</v>
      </c>
      <c r="J2091" s="4">
        <v>41107</v>
      </c>
      <c r="K2091" s="4">
        <v>41291</v>
      </c>
      <c r="L2091">
        <f t="shared" si="32"/>
        <v>3.4750000000000001</v>
      </c>
    </row>
    <row r="2092" spans="1:12" x14ac:dyDescent="0.15">
      <c r="A2092" s="1">
        <v>2091</v>
      </c>
      <c r="B2092" s="4">
        <v>41106</v>
      </c>
      <c r="C2092" s="1" t="s">
        <v>11</v>
      </c>
      <c r="D2092" s="1" t="s">
        <v>26</v>
      </c>
      <c r="E2092" s="1">
        <v>0.48238425925925926</v>
      </c>
      <c r="F2092" s="1" t="s">
        <v>13</v>
      </c>
      <c r="G2092" s="1">
        <v>2.78</v>
      </c>
      <c r="H2092" s="1">
        <v>2.85</v>
      </c>
      <c r="I2092" s="1">
        <v>0</v>
      </c>
      <c r="J2092" s="4">
        <v>41107</v>
      </c>
      <c r="K2092" s="4">
        <v>42202</v>
      </c>
      <c r="L2092">
        <f t="shared" si="32"/>
        <v>2.8149999999999999</v>
      </c>
    </row>
    <row r="2093" spans="1:12" x14ac:dyDescent="0.15">
      <c r="A2093" s="1">
        <v>2092</v>
      </c>
      <c r="B2093" s="4">
        <v>41106</v>
      </c>
      <c r="C2093" s="1" t="s">
        <v>16</v>
      </c>
      <c r="D2093" s="1" t="s">
        <v>26</v>
      </c>
      <c r="E2093" s="1">
        <v>0.48238425925925926</v>
      </c>
      <c r="F2093" s="1" t="s">
        <v>13</v>
      </c>
      <c r="G2093" s="1">
        <v>2.78</v>
      </c>
      <c r="H2093" s="1">
        <v>2.85</v>
      </c>
      <c r="I2093" s="1">
        <v>0</v>
      </c>
      <c r="J2093" s="4">
        <v>41107</v>
      </c>
      <c r="K2093" s="4">
        <v>42568</v>
      </c>
      <c r="L2093">
        <f t="shared" si="32"/>
        <v>2.8149999999999999</v>
      </c>
    </row>
    <row r="2094" spans="1:12" x14ac:dyDescent="0.15">
      <c r="A2094" s="1">
        <v>2093</v>
      </c>
      <c r="B2094" s="4">
        <v>41106</v>
      </c>
      <c r="C2094" s="1" t="s">
        <v>18</v>
      </c>
      <c r="D2094" s="1" t="s">
        <v>27</v>
      </c>
      <c r="E2094" s="1">
        <v>0.67704861111111114</v>
      </c>
      <c r="F2094" s="1" t="s">
        <v>13</v>
      </c>
      <c r="G2094" s="1">
        <v>2.91</v>
      </c>
      <c r="H2094" s="1">
        <v>3.01</v>
      </c>
      <c r="I2094" s="1">
        <v>0</v>
      </c>
      <c r="J2094" s="4">
        <v>41107</v>
      </c>
      <c r="K2094" s="4">
        <v>41837</v>
      </c>
      <c r="L2094">
        <f t="shared" si="32"/>
        <v>2.96</v>
      </c>
    </row>
    <row r="2095" spans="1:12" x14ac:dyDescent="0.15">
      <c r="A2095" s="1">
        <v>2094</v>
      </c>
      <c r="B2095" s="4">
        <v>41106</v>
      </c>
      <c r="C2095" s="1" t="s">
        <v>19</v>
      </c>
      <c r="D2095" s="1" t="s">
        <v>27</v>
      </c>
      <c r="E2095" s="1">
        <v>0.67702546296296295</v>
      </c>
      <c r="F2095" s="1" t="s">
        <v>13</v>
      </c>
      <c r="G2095" s="1">
        <v>3.23</v>
      </c>
      <c r="H2095" s="1">
        <v>3.31</v>
      </c>
      <c r="I2095" s="1">
        <v>0</v>
      </c>
      <c r="J2095" s="4">
        <v>41107</v>
      </c>
      <c r="K2095" s="4">
        <v>41381</v>
      </c>
      <c r="L2095">
        <f t="shared" si="32"/>
        <v>3.27</v>
      </c>
    </row>
    <row r="2096" spans="1:12" x14ac:dyDescent="0.15">
      <c r="A2096" s="1">
        <v>2095</v>
      </c>
      <c r="B2096" s="4">
        <v>41106</v>
      </c>
      <c r="C2096" s="1" t="s">
        <v>11</v>
      </c>
      <c r="D2096" s="1" t="s">
        <v>27</v>
      </c>
      <c r="E2096" s="1">
        <v>0.67706018518518529</v>
      </c>
      <c r="F2096" s="1" t="s">
        <v>13</v>
      </c>
      <c r="G2096" s="1">
        <v>2.89</v>
      </c>
      <c r="H2096" s="1">
        <v>2.99</v>
      </c>
      <c r="I2096" s="1">
        <v>0</v>
      </c>
      <c r="J2096" s="4">
        <v>41107</v>
      </c>
      <c r="K2096" s="4">
        <v>42202</v>
      </c>
      <c r="L2096">
        <f t="shared" si="32"/>
        <v>2.9400000000000004</v>
      </c>
    </row>
    <row r="2097" spans="1:12" x14ac:dyDescent="0.15">
      <c r="A2097" s="1">
        <v>2096</v>
      </c>
      <c r="B2097" s="4">
        <v>41106</v>
      </c>
      <c r="C2097" s="1" t="s">
        <v>22</v>
      </c>
      <c r="D2097" s="1" t="s">
        <v>27</v>
      </c>
      <c r="E2097" s="1">
        <v>0.67704861111111114</v>
      </c>
      <c r="F2097" s="1" t="s">
        <v>13</v>
      </c>
      <c r="G2097" s="1">
        <v>3.44</v>
      </c>
      <c r="H2097" s="1">
        <v>3.5</v>
      </c>
      <c r="I2097" s="1">
        <v>0</v>
      </c>
      <c r="J2097" s="4">
        <v>41107</v>
      </c>
      <c r="K2097" s="4">
        <v>41291</v>
      </c>
      <c r="L2097">
        <f t="shared" si="32"/>
        <v>3.4699999999999998</v>
      </c>
    </row>
    <row r="2098" spans="1:12" x14ac:dyDescent="0.15">
      <c r="A2098" s="1">
        <v>2097</v>
      </c>
      <c r="B2098" s="4">
        <v>41106</v>
      </c>
      <c r="C2098" s="1" t="s">
        <v>16</v>
      </c>
      <c r="D2098" s="1" t="s">
        <v>27</v>
      </c>
      <c r="E2098" s="1">
        <v>0.67702546296296295</v>
      </c>
      <c r="F2098" s="1" t="s">
        <v>13</v>
      </c>
      <c r="G2098" s="1">
        <v>2.88</v>
      </c>
      <c r="H2098" s="1">
        <v>2.98</v>
      </c>
      <c r="I2098" s="1">
        <v>0</v>
      </c>
      <c r="J2098" s="4">
        <v>41107</v>
      </c>
      <c r="K2098" s="4">
        <v>42568</v>
      </c>
      <c r="L2098">
        <f t="shared" si="32"/>
        <v>2.9299999999999997</v>
      </c>
    </row>
    <row r="2099" spans="1:12" x14ac:dyDescent="0.15">
      <c r="A2099" s="1">
        <v>2098</v>
      </c>
      <c r="B2099" s="4">
        <v>41106</v>
      </c>
      <c r="C2099" s="1" t="s">
        <v>11</v>
      </c>
      <c r="D2099" s="1" t="s">
        <v>26</v>
      </c>
      <c r="E2099" s="1">
        <v>0.67606481481481484</v>
      </c>
      <c r="F2099" s="1" t="s">
        <v>13</v>
      </c>
      <c r="G2099" s="1">
        <v>2.78</v>
      </c>
      <c r="H2099" s="1">
        <v>2.85</v>
      </c>
      <c r="I2099" s="1">
        <v>0</v>
      </c>
      <c r="J2099" s="4">
        <v>41107</v>
      </c>
      <c r="K2099" s="4">
        <v>42202</v>
      </c>
      <c r="L2099">
        <f t="shared" si="32"/>
        <v>2.8149999999999999</v>
      </c>
    </row>
    <row r="2100" spans="1:12" x14ac:dyDescent="0.15">
      <c r="A2100" s="1">
        <v>2099</v>
      </c>
      <c r="B2100" s="4">
        <v>41106</v>
      </c>
      <c r="C2100" s="1" t="s">
        <v>25</v>
      </c>
      <c r="D2100" s="1" t="s">
        <v>27</v>
      </c>
      <c r="E2100" s="1">
        <v>0.67702546296296295</v>
      </c>
      <c r="F2100" s="1" t="s">
        <v>13</v>
      </c>
      <c r="G2100" s="1">
        <v>2.9</v>
      </c>
      <c r="H2100" s="1">
        <v>2.95</v>
      </c>
      <c r="I2100" s="1">
        <v>0</v>
      </c>
      <c r="J2100" s="4">
        <v>41107</v>
      </c>
      <c r="K2100" s="4">
        <v>42933</v>
      </c>
      <c r="L2100">
        <f t="shared" si="32"/>
        <v>2.9249999999999998</v>
      </c>
    </row>
    <row r="2101" spans="1:12" x14ac:dyDescent="0.15">
      <c r="A2101" s="1">
        <v>2100</v>
      </c>
      <c r="B2101" s="4">
        <v>41106</v>
      </c>
      <c r="C2101" s="1" t="s">
        <v>14</v>
      </c>
      <c r="D2101" s="1" t="s">
        <v>27</v>
      </c>
      <c r="E2101" s="1">
        <v>0.67702546296296295</v>
      </c>
      <c r="F2101" s="1" t="s">
        <v>13</v>
      </c>
      <c r="G2101" s="1">
        <v>3.1</v>
      </c>
      <c r="H2101" s="1">
        <v>3.16</v>
      </c>
      <c r="I2101" s="1">
        <v>0</v>
      </c>
      <c r="J2101" s="4">
        <v>41107</v>
      </c>
      <c r="K2101" s="4">
        <v>41472</v>
      </c>
      <c r="L2101">
        <f t="shared" si="32"/>
        <v>3.13</v>
      </c>
    </row>
    <row r="2102" spans="1:12" x14ac:dyDescent="0.15">
      <c r="A2102" s="1">
        <v>2101</v>
      </c>
      <c r="B2102" s="4">
        <v>41106</v>
      </c>
      <c r="C2102" s="1" t="s">
        <v>14</v>
      </c>
      <c r="D2102" s="1" t="s">
        <v>15</v>
      </c>
      <c r="E2102" s="1">
        <v>0.67891203703703706</v>
      </c>
      <c r="F2102" s="1" t="s">
        <v>13</v>
      </c>
      <c r="G2102" s="1">
        <v>3.14</v>
      </c>
      <c r="H2102" s="1">
        <v>3.2</v>
      </c>
      <c r="I2102" s="1">
        <v>0</v>
      </c>
      <c r="J2102" s="4">
        <v>41107</v>
      </c>
      <c r="K2102" s="4">
        <v>41472</v>
      </c>
      <c r="L2102">
        <f t="shared" si="32"/>
        <v>3.17</v>
      </c>
    </row>
    <row r="2103" spans="1:12" x14ac:dyDescent="0.15">
      <c r="A2103" s="1">
        <v>2102</v>
      </c>
      <c r="B2103" s="4">
        <v>41106</v>
      </c>
      <c r="C2103" s="1" t="s">
        <v>25</v>
      </c>
      <c r="D2103" s="1" t="s">
        <v>15</v>
      </c>
      <c r="E2103" s="1">
        <v>0.6789236111111111</v>
      </c>
      <c r="F2103" s="1" t="s">
        <v>13</v>
      </c>
      <c r="G2103" s="1">
        <v>2.89</v>
      </c>
      <c r="H2103" s="1">
        <v>2.95</v>
      </c>
      <c r="I2103" s="1">
        <v>0</v>
      </c>
      <c r="J2103" s="4">
        <v>41107</v>
      </c>
      <c r="K2103" s="4">
        <v>42933</v>
      </c>
      <c r="L2103">
        <f t="shared" si="32"/>
        <v>2.92</v>
      </c>
    </row>
    <row r="2104" spans="1:12" x14ac:dyDescent="0.15">
      <c r="A2104" s="1">
        <v>2103</v>
      </c>
      <c r="B2104" s="4">
        <v>41106</v>
      </c>
      <c r="C2104" s="1" t="s">
        <v>20</v>
      </c>
      <c r="D2104" s="1" t="s">
        <v>15</v>
      </c>
      <c r="E2104" s="1">
        <v>0.6789236111111111</v>
      </c>
      <c r="F2104" s="1" t="s">
        <v>13</v>
      </c>
      <c r="G2104" s="1">
        <v>2.99</v>
      </c>
      <c r="H2104" s="1">
        <v>3.05</v>
      </c>
      <c r="I2104" s="1">
        <v>0</v>
      </c>
      <c r="J2104" s="4">
        <v>41107</v>
      </c>
      <c r="K2104" s="4">
        <v>44759</v>
      </c>
      <c r="L2104">
        <f t="shared" si="32"/>
        <v>3.02</v>
      </c>
    </row>
    <row r="2105" spans="1:12" x14ac:dyDescent="0.15">
      <c r="A2105" s="1">
        <v>2104</v>
      </c>
      <c r="B2105" s="4">
        <v>41106</v>
      </c>
      <c r="C2105" s="1" t="s">
        <v>11</v>
      </c>
      <c r="D2105" s="1" t="s">
        <v>15</v>
      </c>
      <c r="E2105" s="1">
        <v>0.6789236111111111</v>
      </c>
      <c r="F2105" s="1" t="s">
        <v>13</v>
      </c>
      <c r="G2105" s="1">
        <v>2.89</v>
      </c>
      <c r="H2105" s="1">
        <v>2.95</v>
      </c>
      <c r="I2105" s="1">
        <v>0</v>
      </c>
      <c r="J2105" s="4">
        <v>41107</v>
      </c>
      <c r="K2105" s="4">
        <v>42202</v>
      </c>
      <c r="L2105">
        <f t="shared" si="32"/>
        <v>2.92</v>
      </c>
    </row>
    <row r="2106" spans="1:12" x14ac:dyDescent="0.15">
      <c r="A2106" s="1">
        <v>2105</v>
      </c>
      <c r="B2106" s="4">
        <v>41106</v>
      </c>
      <c r="C2106" s="1" t="s">
        <v>16</v>
      </c>
      <c r="D2106" s="1" t="s">
        <v>15</v>
      </c>
      <c r="E2106" s="1">
        <v>0.6789236111111111</v>
      </c>
      <c r="F2106" s="1" t="s">
        <v>13</v>
      </c>
      <c r="G2106" s="1">
        <v>2.89</v>
      </c>
      <c r="H2106" s="1">
        <v>2.95</v>
      </c>
      <c r="I2106" s="1">
        <v>0</v>
      </c>
      <c r="J2106" s="4">
        <v>41107</v>
      </c>
      <c r="K2106" s="4">
        <v>42568</v>
      </c>
      <c r="L2106">
        <f t="shared" si="32"/>
        <v>2.92</v>
      </c>
    </row>
    <row r="2107" spans="1:12" x14ac:dyDescent="0.15">
      <c r="A2107" s="1">
        <v>2106</v>
      </c>
      <c r="B2107" s="4">
        <v>41106</v>
      </c>
      <c r="C2107" s="1" t="s">
        <v>21</v>
      </c>
      <c r="D2107" s="1" t="s">
        <v>15</v>
      </c>
      <c r="E2107" s="1">
        <v>0.67891203703703706</v>
      </c>
      <c r="F2107" s="1" t="s">
        <v>13</v>
      </c>
      <c r="G2107" s="1">
        <v>2.93</v>
      </c>
      <c r="H2107" s="1">
        <v>2.99</v>
      </c>
      <c r="I2107" s="1">
        <v>0</v>
      </c>
      <c r="J2107" s="4">
        <v>41107</v>
      </c>
      <c r="K2107" s="4">
        <v>43663</v>
      </c>
      <c r="L2107">
        <f t="shared" si="32"/>
        <v>2.96</v>
      </c>
    </row>
    <row r="2108" spans="1:12" x14ac:dyDescent="0.15">
      <c r="A2108" s="1">
        <v>2107</v>
      </c>
      <c r="B2108" s="4">
        <v>41106</v>
      </c>
      <c r="C2108" s="1" t="s">
        <v>18</v>
      </c>
      <c r="D2108" s="1" t="s">
        <v>15</v>
      </c>
      <c r="E2108" s="1">
        <v>0.67891203703703706</v>
      </c>
      <c r="F2108" s="1" t="s">
        <v>13</v>
      </c>
      <c r="G2108" s="1">
        <v>2.91</v>
      </c>
      <c r="H2108" s="1">
        <v>2.97</v>
      </c>
      <c r="I2108" s="1">
        <v>0</v>
      </c>
      <c r="J2108" s="4">
        <v>41107</v>
      </c>
      <c r="K2108" s="4">
        <v>41837</v>
      </c>
      <c r="L2108">
        <f t="shared" si="32"/>
        <v>2.9400000000000004</v>
      </c>
    </row>
    <row r="2109" spans="1:12" x14ac:dyDescent="0.15">
      <c r="A2109" s="1">
        <v>2108</v>
      </c>
      <c r="B2109" s="4">
        <v>41106</v>
      </c>
      <c r="C2109" s="1" t="s">
        <v>22</v>
      </c>
      <c r="D2109" s="1" t="s">
        <v>15</v>
      </c>
      <c r="E2109" s="1">
        <v>0.67891203703703706</v>
      </c>
      <c r="F2109" s="1" t="s">
        <v>13</v>
      </c>
      <c r="G2109" s="1">
        <v>3.49</v>
      </c>
      <c r="H2109" s="1">
        <v>3.55</v>
      </c>
      <c r="I2109" s="1">
        <v>0</v>
      </c>
      <c r="J2109" s="4">
        <v>41107</v>
      </c>
      <c r="K2109" s="4">
        <v>41291</v>
      </c>
      <c r="L2109">
        <f t="shared" si="32"/>
        <v>3.52</v>
      </c>
    </row>
    <row r="2110" spans="1:12" x14ac:dyDescent="0.15">
      <c r="A2110" s="1">
        <v>2109</v>
      </c>
      <c r="B2110" s="4">
        <v>41106</v>
      </c>
      <c r="C2110" s="1" t="s">
        <v>19</v>
      </c>
      <c r="D2110" s="1" t="s">
        <v>15</v>
      </c>
      <c r="E2110" s="1">
        <v>0.67891203703703706</v>
      </c>
      <c r="F2110" s="1" t="s">
        <v>13</v>
      </c>
      <c r="G2110" s="1">
        <v>3.28</v>
      </c>
      <c r="H2110" s="1">
        <v>3.34</v>
      </c>
      <c r="I2110" s="1">
        <v>0</v>
      </c>
      <c r="J2110" s="4">
        <v>41107</v>
      </c>
      <c r="K2110" s="4">
        <v>41381</v>
      </c>
      <c r="L2110">
        <f t="shared" si="32"/>
        <v>3.3099999999999996</v>
      </c>
    </row>
    <row r="2111" spans="1:12" x14ac:dyDescent="0.15">
      <c r="A2111" s="1">
        <v>2110</v>
      </c>
      <c r="B2111" s="4">
        <v>41106</v>
      </c>
      <c r="C2111" s="1" t="s">
        <v>18</v>
      </c>
      <c r="D2111" s="1" t="s">
        <v>37</v>
      </c>
      <c r="E2111" s="1">
        <v>0.54622685185185182</v>
      </c>
      <c r="F2111" s="1" t="s">
        <v>13</v>
      </c>
      <c r="G2111" s="1">
        <v>2.88</v>
      </c>
      <c r="H2111" s="1">
        <v>2.96</v>
      </c>
      <c r="I2111" s="1">
        <v>0</v>
      </c>
      <c r="J2111" s="4">
        <v>41107</v>
      </c>
      <c r="K2111" s="4">
        <v>41837</v>
      </c>
      <c r="L2111">
        <f t="shared" si="32"/>
        <v>2.92</v>
      </c>
    </row>
    <row r="2112" spans="1:12" x14ac:dyDescent="0.15">
      <c r="A2112" s="1">
        <v>2111</v>
      </c>
      <c r="B2112" s="4">
        <v>41106</v>
      </c>
      <c r="C2112" s="1" t="s">
        <v>14</v>
      </c>
      <c r="D2112" s="1" t="s">
        <v>37</v>
      </c>
      <c r="E2112" s="1">
        <v>0.54622685185185182</v>
      </c>
      <c r="F2112" s="1" t="s">
        <v>13</v>
      </c>
      <c r="G2112" s="1">
        <v>3.06</v>
      </c>
      <c r="H2112" s="1">
        <v>3.16</v>
      </c>
      <c r="I2112" s="1">
        <v>0</v>
      </c>
      <c r="J2112" s="4">
        <v>41107</v>
      </c>
      <c r="K2112" s="4">
        <v>41472</v>
      </c>
      <c r="L2112">
        <f t="shared" si="32"/>
        <v>3.1100000000000003</v>
      </c>
    </row>
    <row r="2113" spans="1:12" x14ac:dyDescent="0.15">
      <c r="A2113" s="1">
        <v>2112</v>
      </c>
      <c r="B2113" s="4">
        <v>41106</v>
      </c>
      <c r="C2113" s="1" t="s">
        <v>19</v>
      </c>
      <c r="D2113" s="1" t="s">
        <v>37</v>
      </c>
      <c r="E2113" s="1">
        <v>0.54622685185185182</v>
      </c>
      <c r="F2113" s="1" t="s">
        <v>13</v>
      </c>
      <c r="G2113" s="1">
        <v>3.24</v>
      </c>
      <c r="H2113" s="1">
        <v>3.31</v>
      </c>
      <c r="I2113" s="1">
        <v>0</v>
      </c>
      <c r="J2113" s="4">
        <v>41107</v>
      </c>
      <c r="K2113" s="4">
        <v>41381</v>
      </c>
      <c r="L2113">
        <f t="shared" si="32"/>
        <v>3.2750000000000004</v>
      </c>
    </row>
    <row r="2114" spans="1:12" x14ac:dyDescent="0.15">
      <c r="A2114" s="1">
        <v>2113</v>
      </c>
      <c r="B2114" s="4">
        <v>41106</v>
      </c>
      <c r="C2114" s="1" t="s">
        <v>21</v>
      </c>
      <c r="D2114" s="1" t="s">
        <v>37</v>
      </c>
      <c r="E2114" s="1">
        <v>0.54622685185185182</v>
      </c>
      <c r="F2114" s="1" t="s">
        <v>13</v>
      </c>
      <c r="G2114" s="1">
        <v>2.93</v>
      </c>
      <c r="H2114" s="1">
        <v>3.03</v>
      </c>
      <c r="I2114" s="1">
        <v>0</v>
      </c>
      <c r="J2114" s="4">
        <v>41107</v>
      </c>
      <c r="K2114" s="4">
        <v>43663</v>
      </c>
      <c r="L2114">
        <f t="shared" si="32"/>
        <v>2.98</v>
      </c>
    </row>
    <row r="2115" spans="1:12" x14ac:dyDescent="0.15">
      <c r="A2115" s="1">
        <v>2114</v>
      </c>
      <c r="B2115" s="4">
        <v>41106</v>
      </c>
      <c r="C2115" s="1" t="s">
        <v>25</v>
      </c>
      <c r="D2115" s="1" t="s">
        <v>37</v>
      </c>
      <c r="E2115" s="1">
        <v>0.54622685185185182</v>
      </c>
      <c r="F2115" s="1" t="s">
        <v>13</v>
      </c>
      <c r="G2115" s="1">
        <v>2.88</v>
      </c>
      <c r="H2115" s="1">
        <v>2.95</v>
      </c>
      <c r="I2115" s="1">
        <v>0</v>
      </c>
      <c r="J2115" s="4">
        <v>41107</v>
      </c>
      <c r="K2115" s="4">
        <v>42933</v>
      </c>
      <c r="L2115">
        <f t="shared" ref="L2115:L2178" si="33">AVERAGE(G2115:H2115)</f>
        <v>2.915</v>
      </c>
    </row>
    <row r="2116" spans="1:12" x14ac:dyDescent="0.15">
      <c r="A2116" s="1">
        <v>2115</v>
      </c>
      <c r="B2116" s="4">
        <v>41106</v>
      </c>
      <c r="C2116" s="1" t="s">
        <v>22</v>
      </c>
      <c r="D2116" s="1" t="s">
        <v>37</v>
      </c>
      <c r="E2116" s="1">
        <v>0.54621527777777779</v>
      </c>
      <c r="F2116" s="1" t="s">
        <v>13</v>
      </c>
      <c r="G2116" s="1">
        <v>3.45</v>
      </c>
      <c r="H2116" s="1">
        <v>3.53</v>
      </c>
      <c r="I2116" s="1">
        <v>0</v>
      </c>
      <c r="J2116" s="4">
        <v>41107</v>
      </c>
      <c r="K2116" s="4">
        <v>41291</v>
      </c>
      <c r="L2116">
        <f t="shared" si="33"/>
        <v>3.49</v>
      </c>
    </row>
    <row r="2117" spans="1:12" x14ac:dyDescent="0.15">
      <c r="A2117" s="1">
        <v>2116</v>
      </c>
      <c r="B2117" s="4">
        <v>41106</v>
      </c>
      <c r="C2117" s="1" t="s">
        <v>11</v>
      </c>
      <c r="D2117" s="1" t="s">
        <v>37</v>
      </c>
      <c r="E2117" s="1">
        <v>0.54622685185185182</v>
      </c>
      <c r="F2117" s="1" t="s">
        <v>13</v>
      </c>
      <c r="G2117" s="1">
        <v>2.83</v>
      </c>
      <c r="H2117" s="1">
        <v>2.92</v>
      </c>
      <c r="I2117" s="1">
        <v>0</v>
      </c>
      <c r="J2117" s="4">
        <v>41107</v>
      </c>
      <c r="K2117" s="4">
        <v>42202</v>
      </c>
      <c r="L2117">
        <f t="shared" si="33"/>
        <v>2.875</v>
      </c>
    </row>
    <row r="2118" spans="1:12" x14ac:dyDescent="0.15">
      <c r="A2118" s="1">
        <v>2117</v>
      </c>
      <c r="B2118" s="4">
        <v>41106</v>
      </c>
      <c r="C2118" s="1" t="s">
        <v>16</v>
      </c>
      <c r="D2118" s="1" t="s">
        <v>37</v>
      </c>
      <c r="E2118" s="1">
        <v>0.54622685185185182</v>
      </c>
      <c r="F2118" s="1" t="s">
        <v>13</v>
      </c>
      <c r="G2118" s="1">
        <v>2.88</v>
      </c>
      <c r="H2118" s="1">
        <v>2.95</v>
      </c>
      <c r="I2118" s="1">
        <v>0</v>
      </c>
      <c r="J2118" s="4">
        <v>41107</v>
      </c>
      <c r="K2118" s="4">
        <v>42568</v>
      </c>
      <c r="L2118">
        <f t="shared" si="33"/>
        <v>2.915</v>
      </c>
    </row>
    <row r="2119" spans="1:12" x14ac:dyDescent="0.15">
      <c r="A2119" s="1">
        <v>2118</v>
      </c>
      <c r="B2119" s="4">
        <v>41106</v>
      </c>
      <c r="C2119" s="1" t="s">
        <v>20</v>
      </c>
      <c r="D2119" s="1" t="s">
        <v>37</v>
      </c>
      <c r="E2119" s="1">
        <v>0.54622685185185182</v>
      </c>
      <c r="F2119" s="1" t="s">
        <v>13</v>
      </c>
      <c r="G2119" s="1">
        <v>2.98</v>
      </c>
      <c r="H2119" s="1">
        <v>3.1</v>
      </c>
      <c r="I2119" s="1">
        <v>0</v>
      </c>
      <c r="J2119" s="4">
        <v>41107</v>
      </c>
      <c r="K2119" s="4">
        <v>44759</v>
      </c>
      <c r="L2119">
        <f t="shared" si="33"/>
        <v>3.04</v>
      </c>
    </row>
    <row r="2120" spans="1:12" x14ac:dyDescent="0.15">
      <c r="A2120" s="1">
        <v>2119</v>
      </c>
      <c r="B2120" s="4">
        <v>41106</v>
      </c>
      <c r="C2120" s="1" t="s">
        <v>18</v>
      </c>
      <c r="D2120" s="1" t="s">
        <v>26</v>
      </c>
      <c r="E2120" s="1">
        <v>0.67605324074074069</v>
      </c>
      <c r="F2120" s="1" t="s">
        <v>13</v>
      </c>
      <c r="G2120" s="1">
        <v>2.8</v>
      </c>
      <c r="H2120" s="1">
        <v>2.9</v>
      </c>
      <c r="I2120" s="1">
        <v>0</v>
      </c>
      <c r="J2120" s="4">
        <v>41107</v>
      </c>
      <c r="K2120" s="4">
        <v>41837</v>
      </c>
      <c r="L2120">
        <f t="shared" si="33"/>
        <v>2.8499999999999996</v>
      </c>
    </row>
    <row r="2121" spans="1:12" x14ac:dyDescent="0.15">
      <c r="A2121" s="1">
        <v>2120</v>
      </c>
      <c r="B2121" s="4">
        <v>41106</v>
      </c>
      <c r="C2121" s="1" t="s">
        <v>20</v>
      </c>
      <c r="D2121" s="1" t="s">
        <v>26</v>
      </c>
      <c r="E2121" s="1">
        <v>0.67605324074074069</v>
      </c>
      <c r="F2121" s="1" t="s">
        <v>13</v>
      </c>
      <c r="G2121" s="1">
        <v>2.75</v>
      </c>
      <c r="H2121" s="1">
        <v>2.83</v>
      </c>
      <c r="I2121" s="1">
        <v>0</v>
      </c>
      <c r="J2121" s="4">
        <v>41107</v>
      </c>
      <c r="K2121" s="4">
        <v>44759</v>
      </c>
      <c r="L2121">
        <f t="shared" si="33"/>
        <v>2.79</v>
      </c>
    </row>
    <row r="2122" spans="1:12" x14ac:dyDescent="0.15">
      <c r="A2122" s="1">
        <v>2121</v>
      </c>
      <c r="B2122" s="4">
        <v>41106</v>
      </c>
      <c r="C2122" s="1" t="s">
        <v>16</v>
      </c>
      <c r="D2122" s="1" t="s">
        <v>26</v>
      </c>
      <c r="E2122" s="1">
        <v>0.67606481481481484</v>
      </c>
      <c r="F2122" s="1" t="s">
        <v>13</v>
      </c>
      <c r="G2122" s="1">
        <v>2.78</v>
      </c>
      <c r="H2122" s="1">
        <v>2.85</v>
      </c>
      <c r="I2122" s="1">
        <v>0</v>
      </c>
      <c r="J2122" s="4">
        <v>41107</v>
      </c>
      <c r="K2122" s="4">
        <v>42568</v>
      </c>
      <c r="L2122">
        <f t="shared" si="33"/>
        <v>2.8149999999999999</v>
      </c>
    </row>
    <row r="2123" spans="1:12" x14ac:dyDescent="0.15">
      <c r="A2123" s="1">
        <v>2122</v>
      </c>
      <c r="B2123" s="4">
        <v>41106</v>
      </c>
      <c r="C2123" s="1" t="s">
        <v>25</v>
      </c>
      <c r="D2123" s="1" t="s">
        <v>26</v>
      </c>
      <c r="E2123" s="1">
        <v>0.67606481481481484</v>
      </c>
      <c r="F2123" s="1" t="s">
        <v>13</v>
      </c>
      <c r="G2123" s="1">
        <v>2.78</v>
      </c>
      <c r="H2123" s="1">
        <v>2.85</v>
      </c>
      <c r="I2123" s="1">
        <v>0</v>
      </c>
      <c r="J2123" s="4">
        <v>41107</v>
      </c>
      <c r="K2123" s="4">
        <v>42933</v>
      </c>
      <c r="L2123">
        <f t="shared" si="33"/>
        <v>2.8149999999999999</v>
      </c>
    </row>
    <row r="2124" spans="1:12" x14ac:dyDescent="0.15">
      <c r="A2124" s="1">
        <v>2123</v>
      </c>
      <c r="B2124" s="4">
        <v>41106</v>
      </c>
      <c r="C2124" s="1" t="s">
        <v>21</v>
      </c>
      <c r="D2124" s="1" t="s">
        <v>26</v>
      </c>
      <c r="E2124" s="1">
        <v>0.67605324074074069</v>
      </c>
      <c r="F2124" s="1" t="s">
        <v>13</v>
      </c>
      <c r="G2124" s="1">
        <v>2.75</v>
      </c>
      <c r="H2124" s="1">
        <v>2.83</v>
      </c>
      <c r="I2124" s="1">
        <v>0</v>
      </c>
      <c r="J2124" s="4">
        <v>41107</v>
      </c>
      <c r="K2124" s="4">
        <v>43663</v>
      </c>
      <c r="L2124">
        <f t="shared" si="33"/>
        <v>2.79</v>
      </c>
    </row>
    <row r="2125" spans="1:12" x14ac:dyDescent="0.15">
      <c r="A2125" s="1">
        <v>2124</v>
      </c>
      <c r="B2125" s="4">
        <v>41106</v>
      </c>
      <c r="C2125" s="1" t="s">
        <v>22</v>
      </c>
      <c r="D2125" s="1" t="s">
        <v>26</v>
      </c>
      <c r="E2125" s="1">
        <v>0.67603009259259261</v>
      </c>
      <c r="F2125" s="1" t="s">
        <v>13</v>
      </c>
      <c r="G2125" s="1">
        <v>3.45</v>
      </c>
      <c r="H2125" s="1">
        <v>3.5</v>
      </c>
      <c r="I2125" s="1">
        <v>0</v>
      </c>
      <c r="J2125" s="4">
        <v>41107</v>
      </c>
      <c r="K2125" s="4">
        <v>41291</v>
      </c>
      <c r="L2125">
        <f t="shared" si="33"/>
        <v>3.4750000000000001</v>
      </c>
    </row>
    <row r="2126" spans="1:12" x14ac:dyDescent="0.15">
      <c r="A2126" s="1">
        <v>2125</v>
      </c>
      <c r="B2126" s="4">
        <v>41106</v>
      </c>
      <c r="C2126" s="1" t="s">
        <v>14</v>
      </c>
      <c r="D2126" s="1" t="s">
        <v>26</v>
      </c>
      <c r="E2126" s="1">
        <v>0.67605324074074069</v>
      </c>
      <c r="F2126" s="1" t="s">
        <v>13</v>
      </c>
      <c r="G2126" s="1">
        <v>3.08</v>
      </c>
      <c r="H2126" s="1">
        <v>3.15</v>
      </c>
      <c r="I2126" s="1">
        <v>0</v>
      </c>
      <c r="J2126" s="4">
        <v>41107</v>
      </c>
      <c r="K2126" s="4">
        <v>41472</v>
      </c>
      <c r="L2126">
        <f t="shared" si="33"/>
        <v>3.1150000000000002</v>
      </c>
    </row>
    <row r="2127" spans="1:12" x14ac:dyDescent="0.15">
      <c r="A2127" s="1">
        <v>2126</v>
      </c>
      <c r="B2127" s="4">
        <v>41106</v>
      </c>
      <c r="C2127" s="1" t="s">
        <v>19</v>
      </c>
      <c r="D2127" s="1" t="s">
        <v>26</v>
      </c>
      <c r="E2127" s="1">
        <v>0.67605324074074069</v>
      </c>
      <c r="F2127" s="1" t="s">
        <v>13</v>
      </c>
      <c r="G2127" s="1">
        <v>3.2</v>
      </c>
      <c r="H2127" s="1">
        <v>3.28</v>
      </c>
      <c r="I2127" s="1">
        <v>0</v>
      </c>
      <c r="J2127" s="4">
        <v>41107</v>
      </c>
      <c r="K2127" s="4">
        <v>41381</v>
      </c>
      <c r="L2127">
        <f t="shared" si="33"/>
        <v>3.24</v>
      </c>
    </row>
    <row r="2128" spans="1:12" x14ac:dyDescent="0.15">
      <c r="A2128" s="1">
        <v>2127</v>
      </c>
      <c r="B2128" s="4">
        <v>41103</v>
      </c>
      <c r="C2128" s="1" t="s">
        <v>14</v>
      </c>
      <c r="D2128" s="1" t="s">
        <v>26</v>
      </c>
      <c r="E2128" s="1">
        <v>0.49265046296296294</v>
      </c>
      <c r="F2128" s="1" t="s">
        <v>13</v>
      </c>
      <c r="G2128" s="1">
        <v>3.08</v>
      </c>
      <c r="H2128" s="1">
        <v>3.15</v>
      </c>
      <c r="I2128" s="1">
        <v>0</v>
      </c>
      <c r="J2128" s="4">
        <v>41104</v>
      </c>
      <c r="K2128" s="4">
        <v>41469</v>
      </c>
      <c r="L2128">
        <f t="shared" si="33"/>
        <v>3.1150000000000002</v>
      </c>
    </row>
    <row r="2129" spans="1:12" x14ac:dyDescent="0.15">
      <c r="A2129" s="1">
        <v>2128</v>
      </c>
      <c r="B2129" s="4">
        <v>41103</v>
      </c>
      <c r="C2129" s="1" t="s">
        <v>11</v>
      </c>
      <c r="D2129" s="1" t="s">
        <v>26</v>
      </c>
      <c r="E2129" s="1">
        <v>0.49265046296296294</v>
      </c>
      <c r="F2129" s="1" t="s">
        <v>13</v>
      </c>
      <c r="G2129" s="1">
        <v>2.78</v>
      </c>
      <c r="H2129" s="1">
        <v>2.85</v>
      </c>
      <c r="I2129" s="1">
        <v>0</v>
      </c>
      <c r="J2129" s="4">
        <v>41104</v>
      </c>
      <c r="K2129" s="4">
        <v>42199</v>
      </c>
      <c r="L2129">
        <f t="shared" si="33"/>
        <v>2.8149999999999999</v>
      </c>
    </row>
    <row r="2130" spans="1:12" x14ac:dyDescent="0.15">
      <c r="A2130" s="1">
        <v>2129</v>
      </c>
      <c r="B2130" s="4">
        <v>41103</v>
      </c>
      <c r="C2130" s="1" t="s">
        <v>20</v>
      </c>
      <c r="D2130" s="1" t="s">
        <v>26</v>
      </c>
      <c r="E2130" s="1">
        <v>0.49265046296296294</v>
      </c>
      <c r="F2130" s="1" t="s">
        <v>13</v>
      </c>
      <c r="G2130" s="1">
        <v>2.75</v>
      </c>
      <c r="H2130" s="1">
        <v>2.83</v>
      </c>
      <c r="I2130" s="1">
        <v>0</v>
      </c>
      <c r="J2130" s="4">
        <v>41104</v>
      </c>
      <c r="K2130" s="4">
        <v>44756</v>
      </c>
      <c r="L2130">
        <f t="shared" si="33"/>
        <v>2.79</v>
      </c>
    </row>
    <row r="2131" spans="1:12" x14ac:dyDescent="0.15">
      <c r="A2131" s="1">
        <v>2130</v>
      </c>
      <c r="B2131" s="4">
        <v>41103</v>
      </c>
      <c r="C2131" s="1" t="s">
        <v>16</v>
      </c>
      <c r="D2131" s="1" t="s">
        <v>26</v>
      </c>
      <c r="E2131" s="1">
        <v>0.49743055555555554</v>
      </c>
      <c r="F2131" s="1" t="s">
        <v>13</v>
      </c>
      <c r="G2131" s="1">
        <v>2.78</v>
      </c>
      <c r="H2131" s="1">
        <v>2.85</v>
      </c>
      <c r="I2131" s="1">
        <v>0</v>
      </c>
      <c r="J2131" s="4">
        <v>41104</v>
      </c>
      <c r="K2131" s="4">
        <v>42565</v>
      </c>
      <c r="L2131">
        <f t="shared" si="33"/>
        <v>2.8149999999999999</v>
      </c>
    </row>
    <row r="2132" spans="1:12" x14ac:dyDescent="0.15">
      <c r="A2132" s="1">
        <v>2131</v>
      </c>
      <c r="B2132" s="4">
        <v>41103</v>
      </c>
      <c r="C2132" s="1" t="s">
        <v>18</v>
      </c>
      <c r="D2132" s="1" t="s">
        <v>26</v>
      </c>
      <c r="E2132" s="1">
        <v>0.49266203703703698</v>
      </c>
      <c r="F2132" s="1" t="s">
        <v>13</v>
      </c>
      <c r="G2132" s="1">
        <v>2.8</v>
      </c>
      <c r="H2132" s="1">
        <v>2.9</v>
      </c>
      <c r="I2132" s="1">
        <v>0</v>
      </c>
      <c r="J2132" s="4">
        <v>41104</v>
      </c>
      <c r="K2132" s="4">
        <v>41834</v>
      </c>
      <c r="L2132">
        <f t="shared" si="33"/>
        <v>2.8499999999999996</v>
      </c>
    </row>
    <row r="2133" spans="1:12" x14ac:dyDescent="0.15">
      <c r="A2133" s="1">
        <v>2132</v>
      </c>
      <c r="B2133" s="4">
        <v>41103</v>
      </c>
      <c r="C2133" s="1" t="s">
        <v>19</v>
      </c>
      <c r="D2133" s="1" t="s">
        <v>26</v>
      </c>
      <c r="E2133" s="1">
        <v>0.49265046296296294</v>
      </c>
      <c r="F2133" s="1" t="s">
        <v>13</v>
      </c>
      <c r="G2133" s="1">
        <v>3.2</v>
      </c>
      <c r="H2133" s="1">
        <v>3.28</v>
      </c>
      <c r="I2133" s="1">
        <v>0</v>
      </c>
      <c r="J2133" s="4">
        <v>41104</v>
      </c>
      <c r="K2133" s="4">
        <v>41378</v>
      </c>
      <c r="L2133">
        <f t="shared" si="33"/>
        <v>3.24</v>
      </c>
    </row>
    <row r="2134" spans="1:12" x14ac:dyDescent="0.15">
      <c r="A2134" s="1">
        <v>2133</v>
      </c>
      <c r="B2134" s="4">
        <v>41103</v>
      </c>
      <c r="C2134" s="1" t="s">
        <v>25</v>
      </c>
      <c r="D2134" s="1" t="s">
        <v>26</v>
      </c>
      <c r="E2134" s="1">
        <v>0.49265046296296294</v>
      </c>
      <c r="F2134" s="1" t="s">
        <v>13</v>
      </c>
      <c r="G2134" s="1">
        <v>2.78</v>
      </c>
      <c r="H2134" s="1">
        <v>2.85</v>
      </c>
      <c r="I2134" s="1">
        <v>0</v>
      </c>
      <c r="J2134" s="4">
        <v>41104</v>
      </c>
      <c r="K2134" s="4">
        <v>42930</v>
      </c>
      <c r="L2134">
        <f t="shared" si="33"/>
        <v>2.8149999999999999</v>
      </c>
    </row>
    <row r="2135" spans="1:12" x14ac:dyDescent="0.15">
      <c r="A2135" s="1">
        <v>2134</v>
      </c>
      <c r="B2135" s="4">
        <v>41103</v>
      </c>
      <c r="C2135" s="1" t="s">
        <v>14</v>
      </c>
      <c r="D2135" s="1" t="s">
        <v>26</v>
      </c>
      <c r="E2135" s="1">
        <v>0.48956018518518518</v>
      </c>
      <c r="F2135" s="1" t="s">
        <v>13</v>
      </c>
      <c r="G2135" s="1">
        <v>3.08</v>
      </c>
      <c r="H2135" s="1">
        <v>3.15</v>
      </c>
      <c r="I2135" s="1">
        <v>0</v>
      </c>
      <c r="J2135" s="4">
        <v>41104</v>
      </c>
      <c r="K2135" s="4">
        <v>41469</v>
      </c>
      <c r="L2135">
        <f t="shared" si="33"/>
        <v>3.1150000000000002</v>
      </c>
    </row>
    <row r="2136" spans="1:12" x14ac:dyDescent="0.15">
      <c r="A2136" s="1">
        <v>2135</v>
      </c>
      <c r="B2136" s="4">
        <v>41103</v>
      </c>
      <c r="C2136" s="1" t="s">
        <v>22</v>
      </c>
      <c r="D2136" s="1" t="s">
        <v>26</v>
      </c>
      <c r="E2136" s="1">
        <v>0.49265046296296294</v>
      </c>
      <c r="F2136" s="1" t="s">
        <v>13</v>
      </c>
      <c r="G2136" s="1">
        <v>3.45</v>
      </c>
      <c r="H2136" s="1">
        <v>3.5</v>
      </c>
      <c r="I2136" s="1">
        <v>0</v>
      </c>
      <c r="J2136" s="4">
        <v>41104</v>
      </c>
      <c r="K2136" s="4">
        <v>41288</v>
      </c>
      <c r="L2136">
        <f t="shared" si="33"/>
        <v>3.4750000000000001</v>
      </c>
    </row>
    <row r="2137" spans="1:12" x14ac:dyDescent="0.15">
      <c r="A2137" s="1">
        <v>2136</v>
      </c>
      <c r="B2137" s="4">
        <v>41103</v>
      </c>
      <c r="C2137" s="1" t="s">
        <v>21</v>
      </c>
      <c r="D2137" s="1" t="s">
        <v>26</v>
      </c>
      <c r="E2137" s="1">
        <v>0.49265046296296294</v>
      </c>
      <c r="F2137" s="1" t="s">
        <v>13</v>
      </c>
      <c r="G2137" s="1">
        <v>2.75</v>
      </c>
      <c r="H2137" s="1">
        <v>2.83</v>
      </c>
      <c r="I2137" s="1">
        <v>0</v>
      </c>
      <c r="J2137" s="4">
        <v>41104</v>
      </c>
      <c r="K2137" s="4">
        <v>43660</v>
      </c>
      <c r="L2137">
        <f t="shared" si="33"/>
        <v>2.79</v>
      </c>
    </row>
    <row r="2138" spans="1:12" x14ac:dyDescent="0.15">
      <c r="A2138" s="1">
        <v>2137</v>
      </c>
      <c r="B2138" s="4">
        <v>41103</v>
      </c>
      <c r="C2138" s="1" t="s">
        <v>16</v>
      </c>
      <c r="D2138" s="1" t="s">
        <v>26</v>
      </c>
      <c r="E2138" s="1">
        <v>0.49265046296296294</v>
      </c>
      <c r="F2138" s="1" t="s">
        <v>13</v>
      </c>
      <c r="G2138" s="1">
        <v>2.78</v>
      </c>
      <c r="H2138" s="1">
        <v>2.85</v>
      </c>
      <c r="I2138" s="1">
        <v>0</v>
      </c>
      <c r="J2138" s="4">
        <v>41104</v>
      </c>
      <c r="K2138" s="4">
        <v>42565</v>
      </c>
      <c r="L2138">
        <f t="shared" si="33"/>
        <v>2.8149999999999999</v>
      </c>
    </row>
    <row r="2139" spans="1:12" x14ac:dyDescent="0.15">
      <c r="A2139" s="1">
        <v>2138</v>
      </c>
      <c r="B2139" s="4">
        <v>41103</v>
      </c>
      <c r="C2139" s="1" t="s">
        <v>21</v>
      </c>
      <c r="D2139" s="1" t="s">
        <v>26</v>
      </c>
      <c r="E2139" s="1">
        <v>0.49743055555555554</v>
      </c>
      <c r="F2139" s="1" t="s">
        <v>13</v>
      </c>
      <c r="G2139" s="1">
        <v>2.75</v>
      </c>
      <c r="H2139" s="1">
        <v>2.83</v>
      </c>
      <c r="I2139" s="1">
        <v>0</v>
      </c>
      <c r="J2139" s="4">
        <v>41104</v>
      </c>
      <c r="K2139" s="4">
        <v>43660</v>
      </c>
      <c r="L2139">
        <f t="shared" si="33"/>
        <v>2.79</v>
      </c>
    </row>
    <row r="2140" spans="1:12" x14ac:dyDescent="0.15">
      <c r="A2140" s="1">
        <v>2139</v>
      </c>
      <c r="B2140" s="4">
        <v>41103</v>
      </c>
      <c r="C2140" s="1" t="s">
        <v>16</v>
      </c>
      <c r="D2140" s="1" t="s">
        <v>37</v>
      </c>
      <c r="E2140" s="1">
        <v>0.60837962962962966</v>
      </c>
      <c r="F2140" s="1" t="s">
        <v>13</v>
      </c>
      <c r="G2140" s="1">
        <v>2.8</v>
      </c>
      <c r="H2140" s="1">
        <v>2.91</v>
      </c>
      <c r="I2140" s="1">
        <v>0</v>
      </c>
      <c r="J2140" s="4">
        <v>41104</v>
      </c>
      <c r="K2140" s="4">
        <v>42565</v>
      </c>
      <c r="L2140">
        <f t="shared" si="33"/>
        <v>2.855</v>
      </c>
    </row>
    <row r="2141" spans="1:12" x14ac:dyDescent="0.15">
      <c r="A2141" s="1">
        <v>2140</v>
      </c>
      <c r="B2141" s="4">
        <v>41103</v>
      </c>
      <c r="C2141" s="1" t="s">
        <v>22</v>
      </c>
      <c r="D2141" s="1" t="s">
        <v>26</v>
      </c>
      <c r="E2141" s="1">
        <v>0.49746527777777777</v>
      </c>
      <c r="F2141" s="1" t="s">
        <v>13</v>
      </c>
      <c r="G2141" s="1">
        <v>3.45</v>
      </c>
      <c r="H2141" s="1">
        <v>3.5</v>
      </c>
      <c r="I2141" s="1">
        <v>0</v>
      </c>
      <c r="J2141" s="4">
        <v>41104</v>
      </c>
      <c r="K2141" s="4">
        <v>41288</v>
      </c>
      <c r="L2141">
        <f t="shared" si="33"/>
        <v>3.4750000000000001</v>
      </c>
    </row>
    <row r="2142" spans="1:12" x14ac:dyDescent="0.15">
      <c r="A2142" s="1">
        <v>2141</v>
      </c>
      <c r="B2142" s="4">
        <v>41103</v>
      </c>
      <c r="C2142" s="1" t="s">
        <v>21</v>
      </c>
      <c r="D2142" s="1" t="s">
        <v>37</v>
      </c>
      <c r="E2142" s="1">
        <v>0.60837962962962966</v>
      </c>
      <c r="F2142" s="1" t="s">
        <v>13</v>
      </c>
      <c r="G2142" s="1">
        <v>2.88</v>
      </c>
      <c r="H2142" s="1">
        <v>2.97</v>
      </c>
      <c r="I2142" s="1">
        <v>0</v>
      </c>
      <c r="J2142" s="4">
        <v>41104</v>
      </c>
      <c r="K2142" s="4">
        <v>43660</v>
      </c>
      <c r="L2142">
        <f t="shared" si="33"/>
        <v>2.9249999999999998</v>
      </c>
    </row>
    <row r="2143" spans="1:12" x14ac:dyDescent="0.15">
      <c r="A2143" s="1">
        <v>2142</v>
      </c>
      <c r="B2143" s="4">
        <v>41103</v>
      </c>
      <c r="C2143" s="1" t="s">
        <v>19</v>
      </c>
      <c r="D2143" s="1" t="s">
        <v>37</v>
      </c>
      <c r="E2143" s="1">
        <v>0.60837962962962966</v>
      </c>
      <c r="F2143" s="1" t="s">
        <v>13</v>
      </c>
      <c r="G2143" s="1">
        <v>3.24</v>
      </c>
      <c r="H2143" s="1">
        <v>3.31</v>
      </c>
      <c r="I2143" s="1">
        <v>0</v>
      </c>
      <c r="J2143" s="4">
        <v>41104</v>
      </c>
      <c r="K2143" s="4">
        <v>41378</v>
      </c>
      <c r="L2143">
        <f t="shared" si="33"/>
        <v>3.2750000000000004</v>
      </c>
    </row>
    <row r="2144" spans="1:12" x14ac:dyDescent="0.15">
      <c r="A2144" s="1">
        <v>2143</v>
      </c>
      <c r="B2144" s="4">
        <v>41103</v>
      </c>
      <c r="C2144" s="1" t="s">
        <v>18</v>
      </c>
      <c r="D2144" s="1" t="s">
        <v>37</v>
      </c>
      <c r="E2144" s="1">
        <v>0.60837962962962966</v>
      </c>
      <c r="F2144" s="1" t="s">
        <v>13</v>
      </c>
      <c r="G2144" s="1">
        <v>2.84</v>
      </c>
      <c r="H2144" s="1">
        <v>2.91</v>
      </c>
      <c r="I2144" s="1">
        <v>0</v>
      </c>
      <c r="J2144" s="4">
        <v>41104</v>
      </c>
      <c r="K2144" s="4">
        <v>41834</v>
      </c>
      <c r="L2144">
        <f t="shared" si="33"/>
        <v>2.875</v>
      </c>
    </row>
    <row r="2145" spans="1:12" x14ac:dyDescent="0.15">
      <c r="A2145" s="1">
        <v>2144</v>
      </c>
      <c r="B2145" s="4">
        <v>41103</v>
      </c>
      <c r="C2145" s="1" t="s">
        <v>25</v>
      </c>
      <c r="D2145" s="1" t="s">
        <v>26</v>
      </c>
      <c r="E2145" s="1">
        <v>0.49746527777777777</v>
      </c>
      <c r="F2145" s="1" t="s">
        <v>13</v>
      </c>
      <c r="G2145" s="1">
        <v>2.78</v>
      </c>
      <c r="H2145" s="1">
        <v>2.85</v>
      </c>
      <c r="I2145" s="1">
        <v>0</v>
      </c>
      <c r="J2145" s="4">
        <v>41104</v>
      </c>
      <c r="K2145" s="4">
        <v>42930</v>
      </c>
      <c r="L2145">
        <f t="shared" si="33"/>
        <v>2.8149999999999999</v>
      </c>
    </row>
    <row r="2146" spans="1:12" x14ac:dyDescent="0.15">
      <c r="A2146" s="1">
        <v>2145</v>
      </c>
      <c r="B2146" s="4">
        <v>41103</v>
      </c>
      <c r="C2146" s="1" t="s">
        <v>11</v>
      </c>
      <c r="D2146" s="1" t="s">
        <v>26</v>
      </c>
      <c r="E2146" s="1">
        <v>0.49745370370370368</v>
      </c>
      <c r="F2146" s="1" t="s">
        <v>13</v>
      </c>
      <c r="G2146" s="1">
        <v>2.78</v>
      </c>
      <c r="H2146" s="1">
        <v>2.85</v>
      </c>
      <c r="I2146" s="1">
        <v>0</v>
      </c>
      <c r="J2146" s="4">
        <v>41104</v>
      </c>
      <c r="K2146" s="4">
        <v>42199</v>
      </c>
      <c r="L2146">
        <f t="shared" si="33"/>
        <v>2.8149999999999999</v>
      </c>
    </row>
    <row r="2147" spans="1:12" x14ac:dyDescent="0.15">
      <c r="A2147" s="1">
        <v>2146</v>
      </c>
      <c r="B2147" s="4">
        <v>41103</v>
      </c>
      <c r="C2147" s="1" t="s">
        <v>19</v>
      </c>
      <c r="D2147" s="1" t="s">
        <v>26</v>
      </c>
      <c r="E2147" s="1">
        <v>0.49743055555555554</v>
      </c>
      <c r="F2147" s="1" t="s">
        <v>13</v>
      </c>
      <c r="G2147" s="1">
        <v>3.2</v>
      </c>
      <c r="H2147" s="1">
        <v>3.28</v>
      </c>
      <c r="I2147" s="1">
        <v>0</v>
      </c>
      <c r="J2147" s="4">
        <v>41104</v>
      </c>
      <c r="K2147" s="4">
        <v>41378</v>
      </c>
      <c r="L2147">
        <f t="shared" si="33"/>
        <v>3.24</v>
      </c>
    </row>
    <row r="2148" spans="1:12" x14ac:dyDescent="0.15">
      <c r="A2148" s="1">
        <v>2147</v>
      </c>
      <c r="B2148" s="4">
        <v>41103</v>
      </c>
      <c r="C2148" s="1" t="s">
        <v>14</v>
      </c>
      <c r="D2148" s="1" t="s">
        <v>26</v>
      </c>
      <c r="E2148" s="1">
        <v>0.49745370370370368</v>
      </c>
      <c r="F2148" s="1" t="s">
        <v>13</v>
      </c>
      <c r="G2148" s="1">
        <v>3.08</v>
      </c>
      <c r="H2148" s="1">
        <v>3.15</v>
      </c>
      <c r="I2148" s="1">
        <v>0</v>
      </c>
      <c r="J2148" s="4">
        <v>41104</v>
      </c>
      <c r="K2148" s="4">
        <v>41469</v>
      </c>
      <c r="L2148">
        <f t="shared" si="33"/>
        <v>3.1150000000000002</v>
      </c>
    </row>
    <row r="2149" spans="1:12" x14ac:dyDescent="0.15">
      <c r="A2149" s="1">
        <v>2148</v>
      </c>
      <c r="B2149" s="4">
        <v>41103</v>
      </c>
      <c r="C2149" s="1" t="s">
        <v>18</v>
      </c>
      <c r="D2149" s="1" t="s">
        <v>26</v>
      </c>
      <c r="E2149" s="1">
        <v>0.49746527777777777</v>
      </c>
      <c r="F2149" s="1" t="s">
        <v>13</v>
      </c>
      <c r="G2149" s="1">
        <v>2.8</v>
      </c>
      <c r="H2149" s="1">
        <v>2.9</v>
      </c>
      <c r="I2149" s="1">
        <v>0</v>
      </c>
      <c r="J2149" s="4">
        <v>41104</v>
      </c>
      <c r="K2149" s="4">
        <v>41834</v>
      </c>
      <c r="L2149">
        <f t="shared" si="33"/>
        <v>2.8499999999999996</v>
      </c>
    </row>
    <row r="2150" spans="1:12" x14ac:dyDescent="0.15">
      <c r="A2150" s="1">
        <v>2149</v>
      </c>
      <c r="B2150" s="4">
        <v>41103</v>
      </c>
      <c r="C2150" s="1" t="s">
        <v>20</v>
      </c>
      <c r="D2150" s="1" t="s">
        <v>26</v>
      </c>
      <c r="E2150" s="1">
        <v>0.49745370370370368</v>
      </c>
      <c r="F2150" s="1" t="s">
        <v>13</v>
      </c>
      <c r="G2150" s="1">
        <v>2.75</v>
      </c>
      <c r="H2150" s="1">
        <v>2.83</v>
      </c>
      <c r="I2150" s="1">
        <v>0</v>
      </c>
      <c r="J2150" s="4">
        <v>41104</v>
      </c>
      <c r="K2150" s="4">
        <v>44756</v>
      </c>
      <c r="L2150">
        <f t="shared" si="33"/>
        <v>2.79</v>
      </c>
    </row>
    <row r="2151" spans="1:12" x14ac:dyDescent="0.15">
      <c r="A2151" s="1">
        <v>2150</v>
      </c>
      <c r="B2151" s="4">
        <v>41103</v>
      </c>
      <c r="C2151" s="1" t="s">
        <v>16</v>
      </c>
      <c r="D2151" s="1" t="s">
        <v>26</v>
      </c>
      <c r="E2151" s="1">
        <v>0.48956018518518518</v>
      </c>
      <c r="F2151" s="1" t="s">
        <v>13</v>
      </c>
      <c r="G2151" s="1">
        <v>2.78</v>
      </c>
      <c r="H2151" s="1">
        <v>2.85</v>
      </c>
      <c r="I2151" s="1">
        <v>0</v>
      </c>
      <c r="J2151" s="4">
        <v>41104</v>
      </c>
      <c r="K2151" s="4">
        <v>42565</v>
      </c>
      <c r="L2151">
        <f t="shared" si="33"/>
        <v>2.8149999999999999</v>
      </c>
    </row>
    <row r="2152" spans="1:12" x14ac:dyDescent="0.15">
      <c r="A2152" s="1">
        <v>2151</v>
      </c>
      <c r="B2152" s="4">
        <v>41103</v>
      </c>
      <c r="C2152" s="1" t="s">
        <v>19</v>
      </c>
      <c r="D2152" s="1" t="s">
        <v>15</v>
      </c>
      <c r="E2152" s="1">
        <v>0.48258101851851848</v>
      </c>
      <c r="F2152" s="1" t="s">
        <v>13</v>
      </c>
      <c r="G2152" s="1">
        <v>3.29</v>
      </c>
      <c r="H2152" s="1">
        <v>3.35</v>
      </c>
      <c r="I2152" s="1">
        <v>0</v>
      </c>
      <c r="J2152" s="4">
        <v>41104</v>
      </c>
      <c r="K2152" s="4">
        <v>41378</v>
      </c>
      <c r="L2152">
        <f t="shared" si="33"/>
        <v>3.3200000000000003</v>
      </c>
    </row>
    <row r="2153" spans="1:12" x14ac:dyDescent="0.15">
      <c r="A2153" s="1">
        <v>2152</v>
      </c>
      <c r="B2153" s="4">
        <v>41103</v>
      </c>
      <c r="C2153" s="1" t="s">
        <v>25</v>
      </c>
      <c r="D2153" s="1" t="s">
        <v>15</v>
      </c>
      <c r="E2153" s="1">
        <v>0.48258101851851848</v>
      </c>
      <c r="F2153" s="1" t="s">
        <v>13</v>
      </c>
      <c r="G2153" s="1">
        <v>2.85</v>
      </c>
      <c r="H2153" s="1">
        <v>2.91</v>
      </c>
      <c r="I2153" s="1">
        <v>0</v>
      </c>
      <c r="J2153" s="4">
        <v>41104</v>
      </c>
      <c r="K2153" s="4">
        <v>42930</v>
      </c>
      <c r="L2153">
        <f t="shared" si="33"/>
        <v>2.88</v>
      </c>
    </row>
    <row r="2154" spans="1:12" x14ac:dyDescent="0.15">
      <c r="A2154" s="1">
        <v>2153</v>
      </c>
      <c r="B2154" s="4">
        <v>41103</v>
      </c>
      <c r="C2154" s="1" t="s">
        <v>18</v>
      </c>
      <c r="D2154" s="1" t="s">
        <v>15</v>
      </c>
      <c r="E2154" s="1">
        <v>0.48258101851851848</v>
      </c>
      <c r="F2154" s="1" t="s">
        <v>13</v>
      </c>
      <c r="G2154" s="1">
        <v>2.89</v>
      </c>
      <c r="H2154" s="1">
        <v>2.95</v>
      </c>
      <c r="I2154" s="1">
        <v>0</v>
      </c>
      <c r="J2154" s="4">
        <v>41104</v>
      </c>
      <c r="K2154" s="4">
        <v>41834</v>
      </c>
      <c r="L2154">
        <f t="shared" si="33"/>
        <v>2.92</v>
      </c>
    </row>
    <row r="2155" spans="1:12" x14ac:dyDescent="0.15">
      <c r="A2155" s="1">
        <v>2154</v>
      </c>
      <c r="B2155" s="4">
        <v>41103</v>
      </c>
      <c r="C2155" s="1" t="s">
        <v>16</v>
      </c>
      <c r="D2155" s="1" t="s">
        <v>27</v>
      </c>
      <c r="E2155" s="1">
        <v>0.48873842592592592</v>
      </c>
      <c r="F2155" s="1" t="s">
        <v>13</v>
      </c>
      <c r="G2155" s="1">
        <v>2.83</v>
      </c>
      <c r="H2155" s="1">
        <v>2.9</v>
      </c>
      <c r="I2155" s="1">
        <v>0</v>
      </c>
      <c r="J2155" s="4">
        <v>41104</v>
      </c>
      <c r="K2155" s="4">
        <v>42565</v>
      </c>
      <c r="L2155">
        <f t="shared" si="33"/>
        <v>2.8650000000000002</v>
      </c>
    </row>
    <row r="2156" spans="1:12" x14ac:dyDescent="0.15">
      <c r="A2156" s="1">
        <v>2155</v>
      </c>
      <c r="B2156" s="4">
        <v>41103</v>
      </c>
      <c r="C2156" s="1" t="s">
        <v>22</v>
      </c>
      <c r="D2156" s="1" t="s">
        <v>27</v>
      </c>
      <c r="E2156" s="1">
        <v>0.48872685185185188</v>
      </c>
      <c r="F2156" s="1" t="s">
        <v>13</v>
      </c>
      <c r="G2156" s="1">
        <v>3.42</v>
      </c>
      <c r="H2156" s="1">
        <v>3.5</v>
      </c>
      <c r="I2156" s="1">
        <v>0</v>
      </c>
      <c r="J2156" s="4">
        <v>41104</v>
      </c>
      <c r="K2156" s="4">
        <v>41288</v>
      </c>
      <c r="L2156">
        <f t="shared" si="33"/>
        <v>3.46</v>
      </c>
    </row>
    <row r="2157" spans="1:12" x14ac:dyDescent="0.15">
      <c r="A2157" s="1">
        <v>2156</v>
      </c>
      <c r="B2157" s="4">
        <v>41103</v>
      </c>
      <c r="C2157" s="1" t="s">
        <v>21</v>
      </c>
      <c r="D2157" s="1" t="s">
        <v>15</v>
      </c>
      <c r="E2157" s="1">
        <v>0.48258101851851848</v>
      </c>
      <c r="F2157" s="1" t="s">
        <v>13</v>
      </c>
      <c r="G2157" s="1">
        <v>2.91</v>
      </c>
      <c r="H2157" s="1">
        <v>2.97</v>
      </c>
      <c r="I2157" s="1">
        <v>0</v>
      </c>
      <c r="J2157" s="4">
        <v>41104</v>
      </c>
      <c r="K2157" s="4">
        <v>43660</v>
      </c>
      <c r="L2157">
        <f t="shared" si="33"/>
        <v>2.9400000000000004</v>
      </c>
    </row>
    <row r="2158" spans="1:12" x14ac:dyDescent="0.15">
      <c r="A2158" s="1">
        <v>2157</v>
      </c>
      <c r="B2158" s="4">
        <v>41103</v>
      </c>
      <c r="C2158" s="1" t="s">
        <v>16</v>
      </c>
      <c r="D2158" s="1" t="s">
        <v>15</v>
      </c>
      <c r="E2158" s="1">
        <v>0.48258101851851848</v>
      </c>
      <c r="F2158" s="1" t="s">
        <v>13</v>
      </c>
      <c r="G2158" s="1">
        <v>2.85</v>
      </c>
      <c r="H2158" s="1">
        <v>2.91</v>
      </c>
      <c r="I2158" s="1">
        <v>0</v>
      </c>
      <c r="J2158" s="4">
        <v>41104</v>
      </c>
      <c r="K2158" s="4">
        <v>42565</v>
      </c>
      <c r="L2158">
        <f t="shared" si="33"/>
        <v>2.88</v>
      </c>
    </row>
    <row r="2159" spans="1:12" x14ac:dyDescent="0.15">
      <c r="A2159" s="1">
        <v>2158</v>
      </c>
      <c r="B2159" s="4">
        <v>41103</v>
      </c>
      <c r="C2159" s="1" t="s">
        <v>11</v>
      </c>
      <c r="D2159" s="1" t="s">
        <v>15</v>
      </c>
      <c r="E2159" s="1">
        <v>0.48258101851851848</v>
      </c>
      <c r="F2159" s="1" t="s">
        <v>13</v>
      </c>
      <c r="G2159" s="1">
        <v>2.85</v>
      </c>
      <c r="H2159" s="1">
        <v>2.91</v>
      </c>
      <c r="I2159" s="1">
        <v>0</v>
      </c>
      <c r="J2159" s="4">
        <v>41104</v>
      </c>
      <c r="K2159" s="4">
        <v>42199</v>
      </c>
      <c r="L2159">
        <f t="shared" si="33"/>
        <v>2.88</v>
      </c>
    </row>
    <row r="2160" spans="1:12" x14ac:dyDescent="0.15">
      <c r="A2160" s="1">
        <v>2159</v>
      </c>
      <c r="B2160" s="4">
        <v>41103</v>
      </c>
      <c r="C2160" s="1" t="s">
        <v>20</v>
      </c>
      <c r="D2160" s="1" t="s">
        <v>15</v>
      </c>
      <c r="E2160" s="1">
        <v>0.48258101851851848</v>
      </c>
      <c r="F2160" s="1" t="s">
        <v>13</v>
      </c>
      <c r="G2160" s="1">
        <v>3.1</v>
      </c>
      <c r="H2160" s="1">
        <v>3.16</v>
      </c>
      <c r="I2160" s="1">
        <v>0</v>
      </c>
      <c r="J2160" s="4">
        <v>41104</v>
      </c>
      <c r="K2160" s="4">
        <v>44756</v>
      </c>
      <c r="L2160">
        <f t="shared" si="33"/>
        <v>3.13</v>
      </c>
    </row>
    <row r="2161" spans="1:12" x14ac:dyDescent="0.15">
      <c r="A2161" s="1">
        <v>2160</v>
      </c>
      <c r="B2161" s="4">
        <v>41103</v>
      </c>
      <c r="C2161" s="1" t="s">
        <v>22</v>
      </c>
      <c r="D2161" s="1" t="s">
        <v>15</v>
      </c>
      <c r="E2161" s="1">
        <v>0.48258101851851848</v>
      </c>
      <c r="F2161" s="1" t="s">
        <v>13</v>
      </c>
      <c r="G2161" s="1">
        <v>3.49</v>
      </c>
      <c r="H2161" s="1">
        <v>3.55</v>
      </c>
      <c r="I2161" s="1">
        <v>0</v>
      </c>
      <c r="J2161" s="4">
        <v>41104</v>
      </c>
      <c r="K2161" s="4">
        <v>41288</v>
      </c>
      <c r="L2161">
        <f t="shared" si="33"/>
        <v>3.52</v>
      </c>
    </row>
    <row r="2162" spans="1:12" x14ac:dyDescent="0.15">
      <c r="A2162" s="1">
        <v>2161</v>
      </c>
      <c r="B2162" s="4">
        <v>41103</v>
      </c>
      <c r="C2162" s="1" t="s">
        <v>14</v>
      </c>
      <c r="D2162" s="1" t="s">
        <v>15</v>
      </c>
      <c r="E2162" s="1">
        <v>0.48258101851851848</v>
      </c>
      <c r="F2162" s="1" t="s">
        <v>13</v>
      </c>
      <c r="G2162" s="1">
        <v>3.14</v>
      </c>
      <c r="H2162" s="1">
        <v>3.2</v>
      </c>
      <c r="I2162" s="1">
        <v>0</v>
      </c>
      <c r="J2162" s="4">
        <v>41104</v>
      </c>
      <c r="K2162" s="4">
        <v>41469</v>
      </c>
      <c r="L2162">
        <f t="shared" si="33"/>
        <v>3.17</v>
      </c>
    </row>
    <row r="2163" spans="1:12" x14ac:dyDescent="0.15">
      <c r="A2163" s="1">
        <v>2162</v>
      </c>
      <c r="B2163" s="4">
        <v>41103</v>
      </c>
      <c r="C2163" s="1" t="s">
        <v>14</v>
      </c>
      <c r="D2163" s="1" t="s">
        <v>27</v>
      </c>
      <c r="E2163" s="1">
        <v>0.48873842592592592</v>
      </c>
      <c r="F2163" s="1" t="s">
        <v>13</v>
      </c>
      <c r="G2163" s="1">
        <v>3.09</v>
      </c>
      <c r="H2163" s="1">
        <v>3.16</v>
      </c>
      <c r="I2163" s="1">
        <v>0</v>
      </c>
      <c r="J2163" s="4">
        <v>41104</v>
      </c>
      <c r="K2163" s="4">
        <v>41469</v>
      </c>
      <c r="L2163">
        <f t="shared" si="33"/>
        <v>3.125</v>
      </c>
    </row>
    <row r="2164" spans="1:12" x14ac:dyDescent="0.15">
      <c r="A2164" s="1">
        <v>2163</v>
      </c>
      <c r="B2164" s="4">
        <v>41103</v>
      </c>
      <c r="C2164" s="1" t="s">
        <v>20</v>
      </c>
      <c r="D2164" s="1" t="s">
        <v>26</v>
      </c>
      <c r="E2164" s="1">
        <v>0.48956018518518518</v>
      </c>
      <c r="F2164" s="1" t="s">
        <v>13</v>
      </c>
      <c r="G2164" s="1">
        <v>2.75</v>
      </c>
      <c r="H2164" s="1">
        <v>2.83</v>
      </c>
      <c r="I2164" s="1">
        <v>0</v>
      </c>
      <c r="J2164" s="4">
        <v>41104</v>
      </c>
      <c r="K2164" s="4">
        <v>44756</v>
      </c>
      <c r="L2164">
        <f t="shared" si="33"/>
        <v>2.79</v>
      </c>
    </row>
    <row r="2165" spans="1:12" x14ac:dyDescent="0.15">
      <c r="A2165" s="1">
        <v>2164</v>
      </c>
      <c r="B2165" s="4">
        <v>41103</v>
      </c>
      <c r="C2165" s="1" t="s">
        <v>21</v>
      </c>
      <c r="D2165" s="1" t="s">
        <v>26</v>
      </c>
      <c r="E2165" s="1">
        <v>0.48953703703703705</v>
      </c>
      <c r="F2165" s="1" t="s">
        <v>13</v>
      </c>
      <c r="G2165" s="1">
        <v>2.75</v>
      </c>
      <c r="H2165" s="1">
        <v>2.83</v>
      </c>
      <c r="I2165" s="1">
        <v>0</v>
      </c>
      <c r="J2165" s="4">
        <v>41104</v>
      </c>
      <c r="K2165" s="4">
        <v>43660</v>
      </c>
      <c r="L2165">
        <f t="shared" si="33"/>
        <v>2.79</v>
      </c>
    </row>
    <row r="2166" spans="1:12" x14ac:dyDescent="0.15">
      <c r="A2166" s="1">
        <v>2165</v>
      </c>
      <c r="B2166" s="4">
        <v>41103</v>
      </c>
      <c r="C2166" s="1" t="s">
        <v>25</v>
      </c>
      <c r="D2166" s="1" t="s">
        <v>26</v>
      </c>
      <c r="E2166" s="1">
        <v>0.48956018518518518</v>
      </c>
      <c r="F2166" s="1" t="s">
        <v>13</v>
      </c>
      <c r="G2166" s="1">
        <v>2.78</v>
      </c>
      <c r="H2166" s="1">
        <v>2.85</v>
      </c>
      <c r="I2166" s="1">
        <v>0</v>
      </c>
      <c r="J2166" s="4">
        <v>41104</v>
      </c>
      <c r="K2166" s="4">
        <v>42930</v>
      </c>
      <c r="L2166">
        <f t="shared" si="33"/>
        <v>2.8149999999999999</v>
      </c>
    </row>
    <row r="2167" spans="1:12" x14ac:dyDescent="0.15">
      <c r="A2167" s="1">
        <v>2166</v>
      </c>
      <c r="B2167" s="4">
        <v>41103</v>
      </c>
      <c r="C2167" s="1" t="s">
        <v>11</v>
      </c>
      <c r="D2167" s="1" t="s">
        <v>26</v>
      </c>
      <c r="E2167" s="1">
        <v>0.48956018518518518</v>
      </c>
      <c r="F2167" s="1" t="s">
        <v>13</v>
      </c>
      <c r="G2167" s="1">
        <v>2.78</v>
      </c>
      <c r="H2167" s="1">
        <v>2.85</v>
      </c>
      <c r="I2167" s="1">
        <v>0</v>
      </c>
      <c r="J2167" s="4">
        <v>41104</v>
      </c>
      <c r="K2167" s="4">
        <v>42199</v>
      </c>
      <c r="L2167">
        <f t="shared" si="33"/>
        <v>2.8149999999999999</v>
      </c>
    </row>
    <row r="2168" spans="1:12" x14ac:dyDescent="0.15">
      <c r="A2168" s="1">
        <v>2167</v>
      </c>
      <c r="B2168" s="4">
        <v>41103</v>
      </c>
      <c r="C2168" s="1" t="s">
        <v>19</v>
      </c>
      <c r="D2168" s="1" t="s">
        <v>26</v>
      </c>
      <c r="E2168" s="1">
        <v>0.48956018518518518</v>
      </c>
      <c r="F2168" s="1" t="s">
        <v>13</v>
      </c>
      <c r="G2168" s="1">
        <v>3.2</v>
      </c>
      <c r="H2168" s="1">
        <v>3.28</v>
      </c>
      <c r="I2168" s="1">
        <v>0</v>
      </c>
      <c r="J2168" s="4">
        <v>41104</v>
      </c>
      <c r="K2168" s="4">
        <v>41378</v>
      </c>
      <c r="L2168">
        <f t="shared" si="33"/>
        <v>3.24</v>
      </c>
    </row>
    <row r="2169" spans="1:12" x14ac:dyDescent="0.15">
      <c r="A2169" s="1">
        <v>2168</v>
      </c>
      <c r="B2169" s="4">
        <v>41103</v>
      </c>
      <c r="C2169" s="1" t="s">
        <v>22</v>
      </c>
      <c r="D2169" s="1" t="s">
        <v>26</v>
      </c>
      <c r="E2169" s="1">
        <v>0.48953703703703705</v>
      </c>
      <c r="F2169" s="1" t="s">
        <v>13</v>
      </c>
      <c r="G2169" s="1">
        <v>3.45</v>
      </c>
      <c r="H2169" s="1">
        <v>3.5</v>
      </c>
      <c r="I2169" s="1">
        <v>0</v>
      </c>
      <c r="J2169" s="4">
        <v>41104</v>
      </c>
      <c r="K2169" s="4">
        <v>41288</v>
      </c>
      <c r="L2169">
        <f t="shared" si="33"/>
        <v>3.4750000000000001</v>
      </c>
    </row>
    <row r="2170" spans="1:12" x14ac:dyDescent="0.15">
      <c r="A2170" s="1">
        <v>2169</v>
      </c>
      <c r="B2170" s="4">
        <v>41103</v>
      </c>
      <c r="C2170" s="1" t="s">
        <v>19</v>
      </c>
      <c r="D2170" s="1" t="s">
        <v>27</v>
      </c>
      <c r="E2170" s="1">
        <v>0.48873842592592592</v>
      </c>
      <c r="F2170" s="1" t="s">
        <v>13</v>
      </c>
      <c r="G2170" s="1">
        <v>3.21</v>
      </c>
      <c r="H2170" s="1">
        <v>3.28</v>
      </c>
      <c r="I2170" s="1">
        <v>0</v>
      </c>
      <c r="J2170" s="4">
        <v>41104</v>
      </c>
      <c r="K2170" s="4">
        <v>41378</v>
      </c>
      <c r="L2170">
        <f t="shared" si="33"/>
        <v>3.2450000000000001</v>
      </c>
    </row>
    <row r="2171" spans="1:12" x14ac:dyDescent="0.15">
      <c r="A2171" s="1">
        <v>2170</v>
      </c>
      <c r="B2171" s="4">
        <v>41103</v>
      </c>
      <c r="C2171" s="1" t="s">
        <v>25</v>
      </c>
      <c r="D2171" s="1" t="s">
        <v>27</v>
      </c>
      <c r="E2171" s="1">
        <v>0.48873842592592592</v>
      </c>
      <c r="F2171" s="1" t="s">
        <v>13</v>
      </c>
      <c r="G2171" s="1">
        <v>2.85</v>
      </c>
      <c r="H2171" s="1">
        <v>2.9</v>
      </c>
      <c r="I2171" s="1">
        <v>0</v>
      </c>
      <c r="J2171" s="4">
        <v>41104</v>
      </c>
      <c r="K2171" s="4">
        <v>42930</v>
      </c>
      <c r="L2171">
        <f t="shared" si="33"/>
        <v>2.875</v>
      </c>
    </row>
    <row r="2172" spans="1:12" x14ac:dyDescent="0.15">
      <c r="A2172" s="1">
        <v>2171</v>
      </c>
      <c r="B2172" s="4">
        <v>41103</v>
      </c>
      <c r="C2172" s="1" t="s">
        <v>18</v>
      </c>
      <c r="D2172" s="1" t="s">
        <v>27</v>
      </c>
      <c r="E2172" s="1">
        <v>0.48873842592592592</v>
      </c>
      <c r="F2172" s="1" t="s">
        <v>13</v>
      </c>
      <c r="G2172" s="1">
        <v>2.83</v>
      </c>
      <c r="H2172" s="1">
        <v>2.91</v>
      </c>
      <c r="I2172" s="1">
        <v>0</v>
      </c>
      <c r="J2172" s="4">
        <v>41104</v>
      </c>
      <c r="K2172" s="4">
        <v>41834</v>
      </c>
      <c r="L2172">
        <f t="shared" si="33"/>
        <v>2.87</v>
      </c>
    </row>
    <row r="2173" spans="1:12" x14ac:dyDescent="0.15">
      <c r="A2173" s="1">
        <v>2172</v>
      </c>
      <c r="B2173" s="4">
        <v>41103</v>
      </c>
      <c r="C2173" s="1" t="s">
        <v>18</v>
      </c>
      <c r="D2173" s="1" t="s">
        <v>26</v>
      </c>
      <c r="E2173" s="1">
        <v>0.48953703703703705</v>
      </c>
      <c r="F2173" s="1" t="s">
        <v>13</v>
      </c>
      <c r="G2173" s="1">
        <v>2.8</v>
      </c>
      <c r="H2173" s="1">
        <v>2.9</v>
      </c>
      <c r="I2173" s="1">
        <v>0</v>
      </c>
      <c r="J2173" s="4">
        <v>41104</v>
      </c>
      <c r="K2173" s="4">
        <v>41834</v>
      </c>
      <c r="L2173">
        <f t="shared" si="33"/>
        <v>2.8499999999999996</v>
      </c>
    </row>
    <row r="2174" spans="1:12" x14ac:dyDescent="0.15">
      <c r="A2174" s="1">
        <v>2173</v>
      </c>
      <c r="B2174" s="4">
        <v>41103</v>
      </c>
      <c r="C2174" s="1" t="s">
        <v>11</v>
      </c>
      <c r="D2174" s="1" t="s">
        <v>27</v>
      </c>
      <c r="E2174" s="1">
        <v>0.48873842592592592</v>
      </c>
      <c r="F2174" s="1" t="s">
        <v>13</v>
      </c>
      <c r="G2174" s="1">
        <v>2.83</v>
      </c>
      <c r="H2174" s="1">
        <v>2.9</v>
      </c>
      <c r="I2174" s="1">
        <v>0</v>
      </c>
      <c r="J2174" s="4">
        <v>41104</v>
      </c>
      <c r="K2174" s="4">
        <v>42199</v>
      </c>
      <c r="L2174">
        <f t="shared" si="33"/>
        <v>2.8650000000000002</v>
      </c>
    </row>
    <row r="2175" spans="1:12" x14ac:dyDescent="0.15">
      <c r="A2175" s="1">
        <v>2174</v>
      </c>
      <c r="B2175" s="4">
        <v>41103</v>
      </c>
      <c r="C2175" s="1" t="s">
        <v>11</v>
      </c>
      <c r="D2175" s="1" t="s">
        <v>37</v>
      </c>
      <c r="E2175" s="1">
        <v>0.6083912037037037</v>
      </c>
      <c r="F2175" s="1" t="s">
        <v>13</v>
      </c>
      <c r="G2175" s="1">
        <v>2.83</v>
      </c>
      <c r="H2175" s="1">
        <v>2.92</v>
      </c>
      <c r="I2175" s="1">
        <v>0</v>
      </c>
      <c r="J2175" s="4">
        <v>41104</v>
      </c>
      <c r="K2175" s="4">
        <v>42199</v>
      </c>
      <c r="L2175">
        <f t="shared" si="33"/>
        <v>2.875</v>
      </c>
    </row>
    <row r="2176" spans="1:12" x14ac:dyDescent="0.15">
      <c r="A2176" s="1">
        <v>2175</v>
      </c>
      <c r="B2176" s="4">
        <v>41103</v>
      </c>
      <c r="C2176" s="1" t="s">
        <v>22</v>
      </c>
      <c r="D2176" s="1" t="s">
        <v>30</v>
      </c>
      <c r="E2176" s="1">
        <v>0.67957175925925928</v>
      </c>
      <c r="F2176" s="1" t="s">
        <v>13</v>
      </c>
      <c r="G2176" s="1">
        <v>3.45</v>
      </c>
      <c r="H2176" s="1">
        <v>3.55</v>
      </c>
      <c r="I2176" s="1">
        <v>0</v>
      </c>
      <c r="J2176" s="4">
        <v>41104</v>
      </c>
      <c r="K2176" s="4">
        <v>41288</v>
      </c>
      <c r="L2176">
        <f t="shared" si="33"/>
        <v>3.5</v>
      </c>
    </row>
    <row r="2177" spans="1:12" x14ac:dyDescent="0.15">
      <c r="A2177" s="1">
        <v>2176</v>
      </c>
      <c r="B2177" s="4">
        <v>41103</v>
      </c>
      <c r="C2177" s="1" t="s">
        <v>21</v>
      </c>
      <c r="D2177" s="1" t="s">
        <v>30</v>
      </c>
      <c r="E2177" s="1">
        <v>0.67957175925925928</v>
      </c>
      <c r="F2177" s="1" t="s">
        <v>13</v>
      </c>
      <c r="G2177" s="1">
        <v>2.89</v>
      </c>
      <c r="H2177" s="1">
        <v>2.99</v>
      </c>
      <c r="I2177" s="1">
        <v>0</v>
      </c>
      <c r="J2177" s="4">
        <v>41104</v>
      </c>
      <c r="K2177" s="4">
        <v>43660</v>
      </c>
      <c r="L2177">
        <f t="shared" si="33"/>
        <v>2.9400000000000004</v>
      </c>
    </row>
    <row r="2178" spans="1:12" x14ac:dyDescent="0.15">
      <c r="A2178" s="1">
        <v>2177</v>
      </c>
      <c r="B2178" s="4">
        <v>41103</v>
      </c>
      <c r="C2178" s="1" t="s">
        <v>25</v>
      </c>
      <c r="D2178" s="1" t="s">
        <v>30</v>
      </c>
      <c r="E2178" s="1">
        <v>0.67957175925925928</v>
      </c>
      <c r="F2178" s="1" t="s">
        <v>13</v>
      </c>
      <c r="G2178" s="1">
        <v>2.81</v>
      </c>
      <c r="H2178" s="1">
        <v>2.91</v>
      </c>
      <c r="I2178" s="1">
        <v>0</v>
      </c>
      <c r="J2178" s="4">
        <v>41104</v>
      </c>
      <c r="K2178" s="4">
        <v>42930</v>
      </c>
      <c r="L2178">
        <f t="shared" si="33"/>
        <v>2.8600000000000003</v>
      </c>
    </row>
    <row r="2179" spans="1:12" x14ac:dyDescent="0.15">
      <c r="A2179" s="1">
        <v>2178</v>
      </c>
      <c r="B2179" s="4">
        <v>41103</v>
      </c>
      <c r="C2179" s="1" t="s">
        <v>11</v>
      </c>
      <c r="D2179" s="1" t="s">
        <v>30</v>
      </c>
      <c r="E2179" s="1">
        <v>0.67958333333333332</v>
      </c>
      <c r="F2179" s="1" t="s">
        <v>13</v>
      </c>
      <c r="G2179" s="1">
        <v>2.81</v>
      </c>
      <c r="H2179" s="1">
        <v>2.91</v>
      </c>
      <c r="I2179" s="1">
        <v>0</v>
      </c>
      <c r="J2179" s="4">
        <v>41104</v>
      </c>
      <c r="K2179" s="4">
        <v>42199</v>
      </c>
      <c r="L2179">
        <f t="shared" ref="L2179:L2242" si="34">AVERAGE(G2179:H2179)</f>
        <v>2.8600000000000003</v>
      </c>
    </row>
    <row r="2180" spans="1:12" x14ac:dyDescent="0.15">
      <c r="A2180" s="1">
        <v>2179</v>
      </c>
      <c r="B2180" s="4">
        <v>41103</v>
      </c>
      <c r="C2180" s="1" t="s">
        <v>16</v>
      </c>
      <c r="D2180" s="1" t="s">
        <v>30</v>
      </c>
      <c r="E2180" s="1">
        <v>0.67958333333333332</v>
      </c>
      <c r="F2180" s="1" t="s">
        <v>13</v>
      </c>
      <c r="G2180" s="1">
        <v>2.81</v>
      </c>
      <c r="H2180" s="1">
        <v>2.91</v>
      </c>
      <c r="I2180" s="1">
        <v>0</v>
      </c>
      <c r="J2180" s="4">
        <v>41104</v>
      </c>
      <c r="K2180" s="4">
        <v>42565</v>
      </c>
      <c r="L2180">
        <f t="shared" si="34"/>
        <v>2.8600000000000003</v>
      </c>
    </row>
    <row r="2181" spans="1:12" x14ac:dyDescent="0.15">
      <c r="A2181" s="1">
        <v>2180</v>
      </c>
      <c r="B2181" s="4">
        <v>41103</v>
      </c>
      <c r="C2181" s="1" t="s">
        <v>19</v>
      </c>
      <c r="D2181" s="1" t="s">
        <v>30</v>
      </c>
      <c r="E2181" s="1">
        <v>0.67957175925925928</v>
      </c>
      <c r="F2181" s="1" t="s">
        <v>13</v>
      </c>
      <c r="G2181" s="1">
        <v>3.23</v>
      </c>
      <c r="H2181" s="1">
        <v>3.33</v>
      </c>
      <c r="I2181" s="1">
        <v>0</v>
      </c>
      <c r="J2181" s="4">
        <v>41104</v>
      </c>
      <c r="K2181" s="4">
        <v>41378</v>
      </c>
      <c r="L2181">
        <f t="shared" si="34"/>
        <v>3.2800000000000002</v>
      </c>
    </row>
    <row r="2182" spans="1:12" x14ac:dyDescent="0.15">
      <c r="A2182" s="1">
        <v>2181</v>
      </c>
      <c r="B2182" s="4">
        <v>41103</v>
      </c>
      <c r="C2182" s="1" t="s">
        <v>22</v>
      </c>
      <c r="D2182" s="1" t="s">
        <v>27</v>
      </c>
      <c r="E2182" s="1">
        <v>0.6743865740740741</v>
      </c>
      <c r="F2182" s="1" t="s">
        <v>13</v>
      </c>
      <c r="G2182" s="1">
        <v>3.45</v>
      </c>
      <c r="H2182" s="1">
        <v>3.5</v>
      </c>
      <c r="I2182" s="1">
        <v>0</v>
      </c>
      <c r="J2182" s="4">
        <v>41104</v>
      </c>
      <c r="K2182" s="4">
        <v>41288</v>
      </c>
      <c r="L2182">
        <f t="shared" si="34"/>
        <v>3.4750000000000001</v>
      </c>
    </row>
    <row r="2183" spans="1:12" x14ac:dyDescent="0.15">
      <c r="A2183" s="1">
        <v>2182</v>
      </c>
      <c r="B2183" s="4">
        <v>41103</v>
      </c>
      <c r="C2183" s="1" t="s">
        <v>18</v>
      </c>
      <c r="D2183" s="1" t="s">
        <v>27</v>
      </c>
      <c r="E2183" s="1">
        <v>0.6743865740740741</v>
      </c>
      <c r="F2183" s="1" t="s">
        <v>13</v>
      </c>
      <c r="G2183" s="1">
        <v>2.83</v>
      </c>
      <c r="H2183" s="1">
        <v>2.93</v>
      </c>
      <c r="I2183" s="1">
        <v>0</v>
      </c>
      <c r="J2183" s="4">
        <v>41104</v>
      </c>
      <c r="K2183" s="4">
        <v>41834</v>
      </c>
      <c r="L2183">
        <f t="shared" si="34"/>
        <v>2.88</v>
      </c>
    </row>
    <row r="2184" spans="1:12" x14ac:dyDescent="0.15">
      <c r="A2184" s="1">
        <v>2183</v>
      </c>
      <c r="B2184" s="4">
        <v>41103</v>
      </c>
      <c r="C2184" s="1" t="s">
        <v>14</v>
      </c>
      <c r="D2184" s="1" t="s">
        <v>27</v>
      </c>
      <c r="E2184" s="1">
        <v>0.67439814814814814</v>
      </c>
      <c r="F2184" s="1" t="s">
        <v>13</v>
      </c>
      <c r="G2184" s="1">
        <v>3.09</v>
      </c>
      <c r="H2184" s="1">
        <v>3.14</v>
      </c>
      <c r="I2184" s="1">
        <v>0</v>
      </c>
      <c r="J2184" s="4">
        <v>41104</v>
      </c>
      <c r="K2184" s="4">
        <v>41469</v>
      </c>
      <c r="L2184">
        <f t="shared" si="34"/>
        <v>3.1150000000000002</v>
      </c>
    </row>
    <row r="2185" spans="1:12" x14ac:dyDescent="0.15">
      <c r="A2185" s="1">
        <v>2184</v>
      </c>
      <c r="B2185" s="4">
        <v>41103</v>
      </c>
      <c r="C2185" s="1" t="s">
        <v>16</v>
      </c>
      <c r="D2185" s="1" t="s">
        <v>27</v>
      </c>
      <c r="E2185" s="1">
        <v>0.67439814814814814</v>
      </c>
      <c r="F2185" s="1" t="s">
        <v>13</v>
      </c>
      <c r="G2185" s="1">
        <v>2.83</v>
      </c>
      <c r="H2185" s="1">
        <v>2.92</v>
      </c>
      <c r="I2185" s="1">
        <v>0</v>
      </c>
      <c r="J2185" s="4">
        <v>41104</v>
      </c>
      <c r="K2185" s="4">
        <v>42565</v>
      </c>
      <c r="L2185">
        <f t="shared" si="34"/>
        <v>2.875</v>
      </c>
    </row>
    <row r="2186" spans="1:12" x14ac:dyDescent="0.15">
      <c r="A2186" s="1">
        <v>2185</v>
      </c>
      <c r="B2186" s="4">
        <v>41103</v>
      </c>
      <c r="C2186" s="1" t="s">
        <v>11</v>
      </c>
      <c r="D2186" s="1" t="s">
        <v>27</v>
      </c>
      <c r="E2186" s="1">
        <v>0.67439814814814814</v>
      </c>
      <c r="F2186" s="1" t="s">
        <v>13</v>
      </c>
      <c r="G2186" s="1">
        <v>2.83</v>
      </c>
      <c r="H2186" s="1">
        <v>2.93</v>
      </c>
      <c r="I2186" s="1">
        <v>0</v>
      </c>
      <c r="J2186" s="4">
        <v>41104</v>
      </c>
      <c r="K2186" s="4">
        <v>42199</v>
      </c>
      <c r="L2186">
        <f t="shared" si="34"/>
        <v>2.88</v>
      </c>
    </row>
    <row r="2187" spans="1:12" x14ac:dyDescent="0.15">
      <c r="A2187" s="1">
        <v>2186</v>
      </c>
      <c r="B2187" s="4">
        <v>41103</v>
      </c>
      <c r="C2187" s="1" t="s">
        <v>18</v>
      </c>
      <c r="D2187" s="1" t="s">
        <v>30</v>
      </c>
      <c r="E2187" s="1">
        <v>0.67958333333333332</v>
      </c>
      <c r="F2187" s="1" t="s">
        <v>13</v>
      </c>
      <c r="G2187" s="1">
        <v>2.82</v>
      </c>
      <c r="H2187" s="1">
        <v>2.92</v>
      </c>
      <c r="I2187" s="1">
        <v>0</v>
      </c>
      <c r="J2187" s="4">
        <v>41104</v>
      </c>
      <c r="K2187" s="4">
        <v>41834</v>
      </c>
      <c r="L2187">
        <f t="shared" si="34"/>
        <v>2.87</v>
      </c>
    </row>
    <row r="2188" spans="1:12" x14ac:dyDescent="0.15">
      <c r="A2188" s="1">
        <v>2187</v>
      </c>
      <c r="B2188" s="4">
        <v>41103</v>
      </c>
      <c r="C2188" s="1" t="s">
        <v>21</v>
      </c>
      <c r="D2188" s="1" t="s">
        <v>15</v>
      </c>
      <c r="E2188" s="1">
        <v>0.68350694444444438</v>
      </c>
      <c r="F2188" s="1" t="s">
        <v>13</v>
      </c>
      <c r="G2188" s="1">
        <v>2.91</v>
      </c>
      <c r="H2188" s="1">
        <v>2.97</v>
      </c>
      <c r="I2188" s="1">
        <v>0</v>
      </c>
      <c r="J2188" s="4">
        <v>41104</v>
      </c>
      <c r="K2188" s="4">
        <v>43660</v>
      </c>
      <c r="L2188">
        <f t="shared" si="34"/>
        <v>2.9400000000000004</v>
      </c>
    </row>
    <row r="2189" spans="1:12" x14ac:dyDescent="0.15">
      <c r="A2189" s="1">
        <v>2188</v>
      </c>
      <c r="B2189" s="4">
        <v>41103</v>
      </c>
      <c r="C2189" s="1" t="s">
        <v>22</v>
      </c>
      <c r="D2189" s="1" t="s">
        <v>15</v>
      </c>
      <c r="E2189" s="1">
        <v>0.68350694444444438</v>
      </c>
      <c r="F2189" s="1" t="s">
        <v>13</v>
      </c>
      <c r="G2189" s="1">
        <v>3.44</v>
      </c>
      <c r="H2189" s="1">
        <v>3.5</v>
      </c>
      <c r="I2189" s="1">
        <v>0</v>
      </c>
      <c r="J2189" s="4">
        <v>41104</v>
      </c>
      <c r="K2189" s="4">
        <v>41288</v>
      </c>
      <c r="L2189">
        <f t="shared" si="34"/>
        <v>3.4699999999999998</v>
      </c>
    </row>
    <row r="2190" spans="1:12" x14ac:dyDescent="0.15">
      <c r="A2190" s="1">
        <v>2189</v>
      </c>
      <c r="B2190" s="4">
        <v>41103</v>
      </c>
      <c r="C2190" s="1" t="s">
        <v>25</v>
      </c>
      <c r="D2190" s="1" t="s">
        <v>15</v>
      </c>
      <c r="E2190" s="1">
        <v>0.68350694444444438</v>
      </c>
      <c r="F2190" s="1" t="s">
        <v>13</v>
      </c>
      <c r="G2190" s="1">
        <v>2.84</v>
      </c>
      <c r="H2190" s="1">
        <v>2.9</v>
      </c>
      <c r="I2190" s="1">
        <v>0</v>
      </c>
      <c r="J2190" s="4">
        <v>41104</v>
      </c>
      <c r="K2190" s="4">
        <v>42930</v>
      </c>
      <c r="L2190">
        <f t="shared" si="34"/>
        <v>2.87</v>
      </c>
    </row>
    <row r="2191" spans="1:12" x14ac:dyDescent="0.15">
      <c r="A2191" s="1">
        <v>2190</v>
      </c>
      <c r="B2191" s="4">
        <v>41103</v>
      </c>
      <c r="C2191" s="1" t="s">
        <v>18</v>
      </c>
      <c r="D2191" s="1" t="s">
        <v>15</v>
      </c>
      <c r="E2191" s="1">
        <v>0.68350694444444438</v>
      </c>
      <c r="F2191" s="1" t="s">
        <v>13</v>
      </c>
      <c r="G2191" s="1">
        <v>2.86</v>
      </c>
      <c r="H2191" s="1">
        <v>2.92</v>
      </c>
      <c r="I2191" s="1">
        <v>0</v>
      </c>
      <c r="J2191" s="4">
        <v>41104</v>
      </c>
      <c r="K2191" s="4">
        <v>41834</v>
      </c>
      <c r="L2191">
        <f t="shared" si="34"/>
        <v>2.8899999999999997</v>
      </c>
    </row>
    <row r="2192" spans="1:12" x14ac:dyDescent="0.15">
      <c r="A2192" s="1">
        <v>2191</v>
      </c>
      <c r="B2192" s="4">
        <v>41103</v>
      </c>
      <c r="C2192" s="1" t="s">
        <v>19</v>
      </c>
      <c r="D2192" s="1" t="s">
        <v>15</v>
      </c>
      <c r="E2192" s="1">
        <v>0.68350694444444438</v>
      </c>
      <c r="F2192" s="1" t="s">
        <v>13</v>
      </c>
      <c r="G2192" s="1">
        <v>3.23</v>
      </c>
      <c r="H2192" s="1">
        <v>3.29</v>
      </c>
      <c r="I2192" s="1">
        <v>0</v>
      </c>
      <c r="J2192" s="4">
        <v>41104</v>
      </c>
      <c r="K2192" s="4">
        <v>41378</v>
      </c>
      <c r="L2192">
        <f t="shared" si="34"/>
        <v>3.26</v>
      </c>
    </row>
    <row r="2193" spans="1:12" x14ac:dyDescent="0.15">
      <c r="A2193" s="1">
        <v>2192</v>
      </c>
      <c r="B2193" s="4">
        <v>41103</v>
      </c>
      <c r="C2193" s="1" t="s">
        <v>14</v>
      </c>
      <c r="D2193" s="1" t="s">
        <v>15</v>
      </c>
      <c r="E2193" s="1">
        <v>0.68350694444444438</v>
      </c>
      <c r="F2193" s="1" t="s">
        <v>13</v>
      </c>
      <c r="G2193" s="1">
        <v>3.1</v>
      </c>
      <c r="H2193" s="1">
        <v>3.16</v>
      </c>
      <c r="I2193" s="1">
        <v>0</v>
      </c>
      <c r="J2193" s="4">
        <v>41104</v>
      </c>
      <c r="K2193" s="4">
        <v>41469</v>
      </c>
      <c r="L2193">
        <f t="shared" si="34"/>
        <v>3.13</v>
      </c>
    </row>
    <row r="2194" spans="1:12" x14ac:dyDescent="0.15">
      <c r="A2194" s="1">
        <v>2193</v>
      </c>
      <c r="B2194" s="4">
        <v>41103</v>
      </c>
      <c r="C2194" s="1" t="s">
        <v>20</v>
      </c>
      <c r="D2194" s="1" t="s">
        <v>30</v>
      </c>
      <c r="E2194" s="1">
        <v>0.67958333333333332</v>
      </c>
      <c r="F2194" s="1" t="s">
        <v>13</v>
      </c>
      <c r="G2194" s="1">
        <v>2.95</v>
      </c>
      <c r="H2194" s="1">
        <v>3.05</v>
      </c>
      <c r="I2194" s="1">
        <v>0</v>
      </c>
      <c r="J2194" s="4">
        <v>41104</v>
      </c>
      <c r="K2194" s="4">
        <v>44756</v>
      </c>
      <c r="L2194">
        <f t="shared" si="34"/>
        <v>3</v>
      </c>
    </row>
    <row r="2195" spans="1:12" x14ac:dyDescent="0.15">
      <c r="A2195" s="1">
        <v>2194</v>
      </c>
      <c r="B2195" s="4">
        <v>41103</v>
      </c>
      <c r="C2195" s="1" t="s">
        <v>14</v>
      </c>
      <c r="D2195" s="1" t="s">
        <v>30</v>
      </c>
      <c r="E2195" s="1">
        <v>0.67958333333333332</v>
      </c>
      <c r="F2195" s="1" t="s">
        <v>13</v>
      </c>
      <c r="G2195" s="1">
        <v>3.08</v>
      </c>
      <c r="H2195" s="1">
        <v>3.18</v>
      </c>
      <c r="I2195" s="1">
        <v>0</v>
      </c>
      <c r="J2195" s="4">
        <v>41104</v>
      </c>
      <c r="K2195" s="4">
        <v>41469</v>
      </c>
      <c r="L2195">
        <f t="shared" si="34"/>
        <v>3.13</v>
      </c>
    </row>
    <row r="2196" spans="1:12" x14ac:dyDescent="0.15">
      <c r="A2196" s="1">
        <v>2195</v>
      </c>
      <c r="B2196" s="4">
        <v>41103</v>
      </c>
      <c r="C2196" s="1" t="s">
        <v>11</v>
      </c>
      <c r="D2196" s="1" t="s">
        <v>15</v>
      </c>
      <c r="E2196" s="1">
        <v>0.68350694444444438</v>
      </c>
      <c r="F2196" s="1" t="s">
        <v>13</v>
      </c>
      <c r="G2196" s="1">
        <v>2.85</v>
      </c>
      <c r="H2196" s="1">
        <v>2.91</v>
      </c>
      <c r="I2196" s="1">
        <v>0</v>
      </c>
      <c r="J2196" s="4">
        <v>41104</v>
      </c>
      <c r="K2196" s="4">
        <v>42199</v>
      </c>
      <c r="L2196">
        <f t="shared" si="34"/>
        <v>2.88</v>
      </c>
    </row>
    <row r="2197" spans="1:12" x14ac:dyDescent="0.15">
      <c r="A2197" s="1">
        <v>2196</v>
      </c>
      <c r="B2197" s="4">
        <v>41103</v>
      </c>
      <c r="C2197" s="1" t="s">
        <v>20</v>
      </c>
      <c r="D2197" s="1" t="s">
        <v>15</v>
      </c>
      <c r="E2197" s="1">
        <v>0.68350694444444438</v>
      </c>
      <c r="F2197" s="1" t="s">
        <v>13</v>
      </c>
      <c r="G2197" s="1">
        <v>2.97</v>
      </c>
      <c r="H2197" s="1">
        <v>3.03</v>
      </c>
      <c r="I2197" s="1">
        <v>0</v>
      </c>
      <c r="J2197" s="4">
        <v>41104</v>
      </c>
      <c r="K2197" s="4">
        <v>44756</v>
      </c>
      <c r="L2197">
        <f t="shared" si="34"/>
        <v>3</v>
      </c>
    </row>
    <row r="2198" spans="1:12" x14ac:dyDescent="0.15">
      <c r="A2198" s="1">
        <v>2197</v>
      </c>
      <c r="B2198" s="4">
        <v>41103</v>
      </c>
      <c r="C2198" s="1" t="s">
        <v>16</v>
      </c>
      <c r="D2198" s="1" t="s">
        <v>15</v>
      </c>
      <c r="E2198" s="1">
        <v>0.68350694444444438</v>
      </c>
      <c r="F2198" s="1" t="s">
        <v>13</v>
      </c>
      <c r="G2198" s="1">
        <v>2.84</v>
      </c>
      <c r="H2198" s="1">
        <v>2.9</v>
      </c>
      <c r="I2198" s="1">
        <v>0</v>
      </c>
      <c r="J2198" s="4">
        <v>41104</v>
      </c>
      <c r="K2198" s="4">
        <v>42565</v>
      </c>
      <c r="L2198">
        <f t="shared" si="34"/>
        <v>2.87</v>
      </c>
    </row>
    <row r="2199" spans="1:12" x14ac:dyDescent="0.15">
      <c r="A2199" s="1">
        <v>2198</v>
      </c>
      <c r="B2199" s="4">
        <v>41103</v>
      </c>
      <c r="C2199" s="1" t="s">
        <v>19</v>
      </c>
      <c r="D2199" s="1" t="s">
        <v>27</v>
      </c>
      <c r="E2199" s="1">
        <v>0.6743865740740741</v>
      </c>
      <c r="F2199" s="1" t="s">
        <v>13</v>
      </c>
      <c r="G2199" s="1">
        <v>3.23</v>
      </c>
      <c r="H2199" s="1">
        <v>3.29</v>
      </c>
      <c r="I2199" s="1">
        <v>0</v>
      </c>
      <c r="J2199" s="4">
        <v>41104</v>
      </c>
      <c r="K2199" s="4">
        <v>41378</v>
      </c>
      <c r="L2199">
        <f t="shared" si="34"/>
        <v>3.26</v>
      </c>
    </row>
    <row r="2200" spans="1:12" x14ac:dyDescent="0.15">
      <c r="A2200" s="1">
        <v>2199</v>
      </c>
      <c r="B2200" s="4">
        <v>41103</v>
      </c>
      <c r="C2200" s="1" t="s">
        <v>18</v>
      </c>
      <c r="D2200" s="1" t="s">
        <v>38</v>
      </c>
      <c r="E2200" s="1">
        <v>0.66629629629629628</v>
      </c>
      <c r="F2200" s="1" t="s">
        <v>13</v>
      </c>
      <c r="G2200" s="1">
        <v>2.92</v>
      </c>
      <c r="H2200" s="1">
        <v>2.96</v>
      </c>
      <c r="I2200" s="1">
        <v>0</v>
      </c>
      <c r="J2200" s="4">
        <v>41104</v>
      </c>
      <c r="K2200" s="4">
        <v>41834</v>
      </c>
      <c r="L2200">
        <f t="shared" si="34"/>
        <v>2.94</v>
      </c>
    </row>
    <row r="2201" spans="1:12" x14ac:dyDescent="0.15">
      <c r="A2201" s="1">
        <v>2200</v>
      </c>
      <c r="B2201" s="4">
        <v>41103</v>
      </c>
      <c r="C2201" s="1" t="s">
        <v>14</v>
      </c>
      <c r="D2201" s="1" t="s">
        <v>38</v>
      </c>
      <c r="E2201" s="1">
        <v>0.66629629629629628</v>
      </c>
      <c r="F2201" s="1" t="s">
        <v>13</v>
      </c>
      <c r="G2201" s="1">
        <v>3.15</v>
      </c>
      <c r="H2201" s="1">
        <v>3.19</v>
      </c>
      <c r="I2201" s="1">
        <v>0</v>
      </c>
      <c r="J2201" s="4">
        <v>41104</v>
      </c>
      <c r="K2201" s="4">
        <v>41469</v>
      </c>
      <c r="L2201">
        <f t="shared" si="34"/>
        <v>3.17</v>
      </c>
    </row>
    <row r="2202" spans="1:12" x14ac:dyDescent="0.15">
      <c r="A2202" s="1">
        <v>2201</v>
      </c>
      <c r="B2202" s="4">
        <v>41103</v>
      </c>
      <c r="C2202" s="1" t="s">
        <v>11</v>
      </c>
      <c r="D2202" s="1" t="s">
        <v>38</v>
      </c>
      <c r="E2202" s="1">
        <v>0.66629629629629628</v>
      </c>
      <c r="F2202" s="1" t="s">
        <v>13</v>
      </c>
      <c r="G2202" s="1">
        <v>2.88</v>
      </c>
      <c r="H2202" s="1">
        <v>2.92</v>
      </c>
      <c r="I2202" s="1">
        <v>0</v>
      </c>
      <c r="J2202" s="4">
        <v>41104</v>
      </c>
      <c r="K2202" s="4">
        <v>42199</v>
      </c>
      <c r="L2202">
        <f t="shared" si="34"/>
        <v>2.9</v>
      </c>
    </row>
    <row r="2203" spans="1:12" x14ac:dyDescent="0.15">
      <c r="A2203" s="1">
        <v>2202</v>
      </c>
      <c r="B2203" s="4">
        <v>41103</v>
      </c>
      <c r="C2203" s="1" t="s">
        <v>25</v>
      </c>
      <c r="D2203" s="1" t="s">
        <v>38</v>
      </c>
      <c r="E2203" s="1">
        <v>0.66629629629629628</v>
      </c>
      <c r="F2203" s="1" t="s">
        <v>13</v>
      </c>
      <c r="G2203" s="1">
        <v>2.88</v>
      </c>
      <c r="H2203" s="1">
        <v>2.92</v>
      </c>
      <c r="I2203" s="1">
        <v>0</v>
      </c>
      <c r="J2203" s="4">
        <v>41104</v>
      </c>
      <c r="K2203" s="4">
        <v>42930</v>
      </c>
      <c r="L2203">
        <f t="shared" si="34"/>
        <v>2.9</v>
      </c>
    </row>
    <row r="2204" spans="1:12" x14ac:dyDescent="0.15">
      <c r="A2204" s="1">
        <v>2203</v>
      </c>
      <c r="B2204" s="4">
        <v>41103</v>
      </c>
      <c r="C2204" s="1" t="s">
        <v>16</v>
      </c>
      <c r="D2204" s="1" t="s">
        <v>38</v>
      </c>
      <c r="E2204" s="1">
        <v>0.66629629629629628</v>
      </c>
      <c r="F2204" s="1" t="s">
        <v>13</v>
      </c>
      <c r="G2204" s="1">
        <v>2.88</v>
      </c>
      <c r="H2204" s="1">
        <v>2.92</v>
      </c>
      <c r="I2204" s="1">
        <v>0</v>
      </c>
      <c r="J2204" s="4">
        <v>41104</v>
      </c>
      <c r="K2204" s="4">
        <v>42565</v>
      </c>
      <c r="L2204">
        <f t="shared" si="34"/>
        <v>2.9</v>
      </c>
    </row>
    <row r="2205" spans="1:12" x14ac:dyDescent="0.15">
      <c r="A2205" s="1">
        <v>2204</v>
      </c>
      <c r="B2205" s="4">
        <v>41103</v>
      </c>
      <c r="C2205" s="1" t="s">
        <v>19</v>
      </c>
      <c r="D2205" s="1" t="s">
        <v>38</v>
      </c>
      <c r="E2205" s="1">
        <v>0.66629629629629628</v>
      </c>
      <c r="F2205" s="1" t="s">
        <v>13</v>
      </c>
      <c r="G2205" s="1">
        <v>3.3</v>
      </c>
      <c r="H2205" s="1">
        <v>3.34</v>
      </c>
      <c r="I2205" s="1">
        <v>0</v>
      </c>
      <c r="J2205" s="4">
        <v>41104</v>
      </c>
      <c r="K2205" s="4">
        <v>41378</v>
      </c>
      <c r="L2205">
        <f t="shared" si="34"/>
        <v>3.32</v>
      </c>
    </row>
    <row r="2206" spans="1:12" x14ac:dyDescent="0.15">
      <c r="A2206" s="1">
        <v>2205</v>
      </c>
      <c r="B2206" s="4">
        <v>41103</v>
      </c>
      <c r="C2206" s="1" t="s">
        <v>20</v>
      </c>
      <c r="D2206" s="1" t="s">
        <v>37</v>
      </c>
      <c r="E2206" s="1">
        <v>0.6083912037037037</v>
      </c>
      <c r="F2206" s="1" t="s">
        <v>13</v>
      </c>
      <c r="G2206" s="1">
        <v>2.93</v>
      </c>
      <c r="H2206" s="1">
        <v>3.05</v>
      </c>
      <c r="I2206" s="1">
        <v>0</v>
      </c>
      <c r="J2206" s="4">
        <v>41104</v>
      </c>
      <c r="K2206" s="4">
        <v>44756</v>
      </c>
      <c r="L2206">
        <f t="shared" si="34"/>
        <v>2.99</v>
      </c>
    </row>
    <row r="2207" spans="1:12" x14ac:dyDescent="0.15">
      <c r="A2207" s="1">
        <v>2206</v>
      </c>
      <c r="B2207" s="4">
        <v>41103</v>
      </c>
      <c r="C2207" s="1" t="s">
        <v>14</v>
      </c>
      <c r="D2207" s="1" t="s">
        <v>37</v>
      </c>
      <c r="E2207" s="1">
        <v>0.6083912037037037</v>
      </c>
      <c r="F2207" s="1" t="s">
        <v>13</v>
      </c>
      <c r="G2207" s="1">
        <v>3.11</v>
      </c>
      <c r="H2207" s="1">
        <v>3.18</v>
      </c>
      <c r="I2207" s="1">
        <v>0</v>
      </c>
      <c r="J2207" s="4">
        <v>41104</v>
      </c>
      <c r="K2207" s="4">
        <v>41469</v>
      </c>
      <c r="L2207">
        <f t="shared" si="34"/>
        <v>3.145</v>
      </c>
    </row>
    <row r="2208" spans="1:12" x14ac:dyDescent="0.15">
      <c r="A2208" s="1">
        <v>2207</v>
      </c>
      <c r="B2208" s="4">
        <v>41103</v>
      </c>
      <c r="C2208" s="1" t="s">
        <v>25</v>
      </c>
      <c r="D2208" s="1" t="s">
        <v>37</v>
      </c>
      <c r="E2208" s="1">
        <v>0.6083912037037037</v>
      </c>
      <c r="F2208" s="1" t="s">
        <v>13</v>
      </c>
      <c r="G2208" s="1">
        <v>2.83</v>
      </c>
      <c r="H2208" s="1">
        <v>2.91</v>
      </c>
      <c r="I2208" s="1">
        <v>0</v>
      </c>
      <c r="J2208" s="4">
        <v>41104</v>
      </c>
      <c r="K2208" s="4">
        <v>42930</v>
      </c>
      <c r="L2208">
        <f t="shared" si="34"/>
        <v>2.87</v>
      </c>
    </row>
    <row r="2209" spans="1:12" x14ac:dyDescent="0.15">
      <c r="A2209" s="1">
        <v>2208</v>
      </c>
      <c r="B2209" s="4">
        <v>41103</v>
      </c>
      <c r="C2209" s="1" t="s">
        <v>22</v>
      </c>
      <c r="D2209" s="1" t="s">
        <v>38</v>
      </c>
      <c r="E2209" s="1">
        <v>0.66629629629629628</v>
      </c>
      <c r="F2209" s="1" t="s">
        <v>13</v>
      </c>
      <c r="G2209" s="1">
        <v>3.5</v>
      </c>
      <c r="H2209" s="1">
        <v>3.54</v>
      </c>
      <c r="I2209" s="1">
        <v>0</v>
      </c>
      <c r="J2209" s="4">
        <v>41104</v>
      </c>
      <c r="K2209" s="4">
        <v>41288</v>
      </c>
      <c r="L2209">
        <f t="shared" si="34"/>
        <v>3.52</v>
      </c>
    </row>
    <row r="2210" spans="1:12" x14ac:dyDescent="0.15">
      <c r="A2210" s="1">
        <v>2209</v>
      </c>
      <c r="B2210" s="4">
        <v>41103</v>
      </c>
      <c r="C2210" s="1" t="s">
        <v>22</v>
      </c>
      <c r="D2210" s="1" t="s">
        <v>37</v>
      </c>
      <c r="E2210" s="1">
        <v>0.6083912037037037</v>
      </c>
      <c r="F2210" s="1" t="s">
        <v>13</v>
      </c>
      <c r="G2210" s="1">
        <v>3.45</v>
      </c>
      <c r="H2210" s="1">
        <v>3.53</v>
      </c>
      <c r="I2210" s="1">
        <v>0</v>
      </c>
      <c r="J2210" s="4">
        <v>41104</v>
      </c>
      <c r="K2210" s="4">
        <v>41288</v>
      </c>
      <c r="L2210">
        <f t="shared" si="34"/>
        <v>3.49</v>
      </c>
    </row>
    <row r="2211" spans="1:12" x14ac:dyDescent="0.15">
      <c r="A2211" s="1">
        <v>2210</v>
      </c>
      <c r="B2211" s="4">
        <v>41103</v>
      </c>
      <c r="C2211" s="1" t="s">
        <v>21</v>
      </c>
      <c r="D2211" s="1" t="s">
        <v>38</v>
      </c>
      <c r="E2211" s="1">
        <v>0.66629629629629628</v>
      </c>
      <c r="F2211" s="1" t="s">
        <v>13</v>
      </c>
      <c r="G2211" s="1">
        <v>2.94</v>
      </c>
      <c r="H2211" s="1">
        <v>2.98</v>
      </c>
      <c r="I2211" s="1">
        <v>0</v>
      </c>
      <c r="J2211" s="4">
        <v>41104</v>
      </c>
      <c r="K2211" s="4">
        <v>43660</v>
      </c>
      <c r="L2211">
        <f t="shared" si="34"/>
        <v>2.96</v>
      </c>
    </row>
    <row r="2212" spans="1:12" x14ac:dyDescent="0.15">
      <c r="A2212" s="1">
        <v>2211</v>
      </c>
      <c r="B2212" s="4">
        <v>41103</v>
      </c>
      <c r="C2212" s="1" t="s">
        <v>19</v>
      </c>
      <c r="D2212" s="1" t="s">
        <v>26</v>
      </c>
      <c r="E2212" s="1">
        <v>0.67396990740740748</v>
      </c>
      <c r="F2212" s="1" t="s">
        <v>13</v>
      </c>
      <c r="G2212" s="1">
        <v>3.2</v>
      </c>
      <c r="H2212" s="1">
        <v>3.28</v>
      </c>
      <c r="I2212" s="1">
        <v>0</v>
      </c>
      <c r="J2212" s="4">
        <v>41104</v>
      </c>
      <c r="K2212" s="4">
        <v>41378</v>
      </c>
      <c r="L2212">
        <f t="shared" si="34"/>
        <v>3.24</v>
      </c>
    </row>
    <row r="2213" spans="1:12" x14ac:dyDescent="0.15">
      <c r="A2213" s="1">
        <v>2212</v>
      </c>
      <c r="B2213" s="4">
        <v>41103</v>
      </c>
      <c r="C2213" s="1" t="s">
        <v>22</v>
      </c>
      <c r="D2213" s="1" t="s">
        <v>26</v>
      </c>
      <c r="E2213" s="1">
        <v>0.67396990740740748</v>
      </c>
      <c r="F2213" s="1" t="s">
        <v>13</v>
      </c>
      <c r="G2213" s="1">
        <v>3.45</v>
      </c>
      <c r="H2213" s="1">
        <v>3.5</v>
      </c>
      <c r="I2213" s="1">
        <v>0</v>
      </c>
      <c r="J2213" s="4">
        <v>41104</v>
      </c>
      <c r="K2213" s="4">
        <v>41288</v>
      </c>
      <c r="L2213">
        <f t="shared" si="34"/>
        <v>3.4750000000000001</v>
      </c>
    </row>
    <row r="2214" spans="1:12" x14ac:dyDescent="0.15">
      <c r="A2214" s="1">
        <v>2213</v>
      </c>
      <c r="B2214" s="4">
        <v>41103</v>
      </c>
      <c r="C2214" s="1" t="s">
        <v>11</v>
      </c>
      <c r="D2214" s="1" t="s">
        <v>26</v>
      </c>
      <c r="E2214" s="1">
        <v>0.67396990740740748</v>
      </c>
      <c r="F2214" s="1" t="s">
        <v>13</v>
      </c>
      <c r="G2214" s="1">
        <v>2.78</v>
      </c>
      <c r="H2214" s="1">
        <v>2.85</v>
      </c>
      <c r="I2214" s="1">
        <v>0</v>
      </c>
      <c r="J2214" s="4">
        <v>41104</v>
      </c>
      <c r="K2214" s="4">
        <v>42199</v>
      </c>
      <c r="L2214">
        <f t="shared" si="34"/>
        <v>2.8149999999999999</v>
      </c>
    </row>
    <row r="2215" spans="1:12" x14ac:dyDescent="0.15">
      <c r="A2215" s="1">
        <v>2214</v>
      </c>
      <c r="B2215" s="4">
        <v>41103</v>
      </c>
      <c r="C2215" s="1" t="s">
        <v>25</v>
      </c>
      <c r="D2215" s="1" t="s">
        <v>27</v>
      </c>
      <c r="E2215" s="1">
        <v>0.6743865740740741</v>
      </c>
      <c r="F2215" s="1" t="s">
        <v>13</v>
      </c>
      <c r="G2215" s="1">
        <v>2.85</v>
      </c>
      <c r="H2215" s="1">
        <v>2.91</v>
      </c>
      <c r="I2215" s="1">
        <v>0</v>
      </c>
      <c r="J2215" s="4">
        <v>41104</v>
      </c>
      <c r="K2215" s="4">
        <v>42930</v>
      </c>
      <c r="L2215">
        <f t="shared" si="34"/>
        <v>2.88</v>
      </c>
    </row>
    <row r="2216" spans="1:12" x14ac:dyDescent="0.15">
      <c r="A2216" s="1">
        <v>2215</v>
      </c>
      <c r="B2216" s="4">
        <v>41103</v>
      </c>
      <c r="C2216" s="1" t="s">
        <v>18</v>
      </c>
      <c r="D2216" s="1" t="s">
        <v>26</v>
      </c>
      <c r="E2216" s="1">
        <v>0.6739814814814814</v>
      </c>
      <c r="F2216" s="1" t="s">
        <v>13</v>
      </c>
      <c r="G2216" s="1">
        <v>2.8</v>
      </c>
      <c r="H2216" s="1">
        <v>2.9</v>
      </c>
      <c r="I2216" s="1">
        <v>0</v>
      </c>
      <c r="J2216" s="4">
        <v>41104</v>
      </c>
      <c r="K2216" s="4">
        <v>41834</v>
      </c>
      <c r="L2216">
        <f t="shared" si="34"/>
        <v>2.8499999999999996</v>
      </c>
    </row>
    <row r="2217" spans="1:12" x14ac:dyDescent="0.15">
      <c r="A2217" s="1">
        <v>2216</v>
      </c>
      <c r="B2217" s="4">
        <v>41103</v>
      </c>
      <c r="C2217" s="1" t="s">
        <v>25</v>
      </c>
      <c r="D2217" s="1" t="s">
        <v>26</v>
      </c>
      <c r="E2217" s="1">
        <v>0.67396990740740748</v>
      </c>
      <c r="F2217" s="1" t="s">
        <v>13</v>
      </c>
      <c r="G2217" s="1">
        <v>2.78</v>
      </c>
      <c r="H2217" s="1">
        <v>2.85</v>
      </c>
      <c r="I2217" s="1">
        <v>0</v>
      </c>
      <c r="J2217" s="4">
        <v>41104</v>
      </c>
      <c r="K2217" s="4">
        <v>42930</v>
      </c>
      <c r="L2217">
        <f t="shared" si="34"/>
        <v>2.8149999999999999</v>
      </c>
    </row>
    <row r="2218" spans="1:12" x14ac:dyDescent="0.15">
      <c r="A2218" s="1">
        <v>2217</v>
      </c>
      <c r="B2218" s="4">
        <v>41103</v>
      </c>
      <c r="C2218" s="1" t="s">
        <v>16</v>
      </c>
      <c r="D2218" s="1" t="s">
        <v>26</v>
      </c>
      <c r="E2218" s="1">
        <v>0.67394675925925929</v>
      </c>
      <c r="F2218" s="1" t="s">
        <v>13</v>
      </c>
      <c r="G2218" s="1">
        <v>2.78</v>
      </c>
      <c r="H2218" s="1">
        <v>2.85</v>
      </c>
      <c r="I2218" s="1">
        <v>0</v>
      </c>
      <c r="J2218" s="4">
        <v>41104</v>
      </c>
      <c r="K2218" s="4">
        <v>42565</v>
      </c>
      <c r="L2218">
        <f t="shared" si="34"/>
        <v>2.8149999999999999</v>
      </c>
    </row>
    <row r="2219" spans="1:12" x14ac:dyDescent="0.15">
      <c r="A2219" s="1">
        <v>2218</v>
      </c>
      <c r="B2219" s="4">
        <v>41103</v>
      </c>
      <c r="C2219" s="1" t="s">
        <v>20</v>
      </c>
      <c r="D2219" s="1" t="s">
        <v>38</v>
      </c>
      <c r="E2219" s="1">
        <v>0.66629629629629628</v>
      </c>
      <c r="F2219" s="1" t="s">
        <v>13</v>
      </c>
      <c r="G2219" s="1">
        <v>3</v>
      </c>
      <c r="H2219" s="1">
        <v>3.04</v>
      </c>
      <c r="I2219" s="1">
        <v>0</v>
      </c>
      <c r="J2219" s="4">
        <v>41104</v>
      </c>
      <c r="K2219" s="4">
        <v>44756</v>
      </c>
      <c r="L2219">
        <f t="shared" si="34"/>
        <v>3.02</v>
      </c>
    </row>
    <row r="2220" spans="1:12" x14ac:dyDescent="0.15">
      <c r="A2220" s="1">
        <v>2219</v>
      </c>
      <c r="B2220" s="4">
        <v>41103</v>
      </c>
      <c r="C2220" s="1" t="s">
        <v>21</v>
      </c>
      <c r="D2220" s="1" t="s">
        <v>26</v>
      </c>
      <c r="E2220" s="1">
        <v>0.67394675925925929</v>
      </c>
      <c r="F2220" s="1" t="s">
        <v>13</v>
      </c>
      <c r="G2220" s="1">
        <v>2.75</v>
      </c>
      <c r="H2220" s="1">
        <v>2.83</v>
      </c>
      <c r="I2220" s="1">
        <v>0</v>
      </c>
      <c r="J2220" s="4">
        <v>41104</v>
      </c>
      <c r="K2220" s="4">
        <v>43660</v>
      </c>
      <c r="L2220">
        <f t="shared" si="34"/>
        <v>2.79</v>
      </c>
    </row>
    <row r="2221" spans="1:12" x14ac:dyDescent="0.15">
      <c r="A2221" s="1">
        <v>2220</v>
      </c>
      <c r="B2221" s="4">
        <v>41103</v>
      </c>
      <c r="C2221" s="1" t="s">
        <v>20</v>
      </c>
      <c r="D2221" s="1" t="s">
        <v>26</v>
      </c>
      <c r="E2221" s="1">
        <v>0.67396990740740748</v>
      </c>
      <c r="F2221" s="1" t="s">
        <v>13</v>
      </c>
      <c r="G2221" s="1">
        <v>2.75</v>
      </c>
      <c r="H2221" s="1">
        <v>2.83</v>
      </c>
      <c r="I2221" s="1">
        <v>0</v>
      </c>
      <c r="J2221" s="4">
        <v>41104</v>
      </c>
      <c r="K2221" s="4">
        <v>44756</v>
      </c>
      <c r="L2221">
        <f t="shared" si="34"/>
        <v>2.79</v>
      </c>
    </row>
    <row r="2222" spans="1:12" x14ac:dyDescent="0.15">
      <c r="A2222" s="1">
        <v>2221</v>
      </c>
      <c r="B2222" s="4">
        <v>41103</v>
      </c>
      <c r="C2222" s="1" t="s">
        <v>14</v>
      </c>
      <c r="D2222" s="1" t="s">
        <v>26</v>
      </c>
      <c r="E2222" s="1">
        <v>0.67396990740740748</v>
      </c>
      <c r="F2222" s="1" t="s">
        <v>13</v>
      </c>
      <c r="G2222" s="1">
        <v>3.08</v>
      </c>
      <c r="H2222" s="1">
        <v>3.15</v>
      </c>
      <c r="I2222" s="1">
        <v>0</v>
      </c>
      <c r="J2222" s="4">
        <v>41104</v>
      </c>
      <c r="K2222" s="4">
        <v>41469</v>
      </c>
      <c r="L2222">
        <f t="shared" si="34"/>
        <v>3.1150000000000002</v>
      </c>
    </row>
    <row r="2223" spans="1:12" x14ac:dyDescent="0.15">
      <c r="A2223" s="1">
        <v>2222</v>
      </c>
      <c r="B2223" s="4">
        <v>41102</v>
      </c>
      <c r="C2223" s="1" t="s">
        <v>19</v>
      </c>
      <c r="D2223" s="1" t="s">
        <v>30</v>
      </c>
      <c r="E2223" s="1">
        <v>0.49122685185185189</v>
      </c>
      <c r="F2223" s="1" t="s">
        <v>13</v>
      </c>
      <c r="G2223" s="1">
        <v>3.29</v>
      </c>
      <c r="H2223" s="1">
        <v>3.39</v>
      </c>
      <c r="I2223" s="1">
        <v>0</v>
      </c>
      <c r="J2223" s="4">
        <v>41103</v>
      </c>
      <c r="K2223" s="4">
        <v>41377</v>
      </c>
      <c r="L2223">
        <f t="shared" si="34"/>
        <v>3.34</v>
      </c>
    </row>
    <row r="2224" spans="1:12" x14ac:dyDescent="0.15">
      <c r="A2224" s="1">
        <v>2223</v>
      </c>
      <c r="B2224" s="4">
        <v>41102</v>
      </c>
      <c r="C2224" s="1" t="s">
        <v>11</v>
      </c>
      <c r="D2224" s="1" t="s">
        <v>27</v>
      </c>
      <c r="E2224" s="1">
        <v>0.48653935185185188</v>
      </c>
      <c r="F2224" s="1" t="s">
        <v>13</v>
      </c>
      <c r="G2224" s="1">
        <v>2.89</v>
      </c>
      <c r="H2224" s="1">
        <v>2.96</v>
      </c>
      <c r="I2224" s="1">
        <v>0</v>
      </c>
      <c r="J2224" s="4">
        <v>41103</v>
      </c>
      <c r="K2224" s="4">
        <v>42198</v>
      </c>
      <c r="L2224">
        <f t="shared" si="34"/>
        <v>2.9249999999999998</v>
      </c>
    </row>
    <row r="2225" spans="1:12" x14ac:dyDescent="0.15">
      <c r="A2225" s="1">
        <v>2224</v>
      </c>
      <c r="B2225" s="4">
        <v>41102</v>
      </c>
      <c r="C2225" s="1" t="s">
        <v>22</v>
      </c>
      <c r="D2225" s="1" t="s">
        <v>30</v>
      </c>
      <c r="E2225" s="1">
        <v>0.49122685185185189</v>
      </c>
      <c r="F2225" s="1" t="s">
        <v>13</v>
      </c>
      <c r="G2225" s="1">
        <v>3.5</v>
      </c>
      <c r="H2225" s="1">
        <v>3.6</v>
      </c>
      <c r="I2225" s="1">
        <v>0</v>
      </c>
      <c r="J2225" s="4">
        <v>41103</v>
      </c>
      <c r="K2225" s="4">
        <v>41287</v>
      </c>
      <c r="L2225">
        <f t="shared" si="34"/>
        <v>3.55</v>
      </c>
    </row>
    <row r="2226" spans="1:12" x14ac:dyDescent="0.15">
      <c r="A2226" s="1">
        <v>2225</v>
      </c>
      <c r="B2226" s="4">
        <v>41102</v>
      </c>
      <c r="C2226" s="1" t="s">
        <v>21</v>
      </c>
      <c r="D2226" s="1" t="s">
        <v>30</v>
      </c>
      <c r="E2226" s="1">
        <v>0.49122685185185189</v>
      </c>
      <c r="F2226" s="1" t="s">
        <v>13</v>
      </c>
      <c r="G2226" s="1">
        <v>3</v>
      </c>
      <c r="H2226" s="1">
        <v>3.1</v>
      </c>
      <c r="I2226" s="1">
        <v>0</v>
      </c>
      <c r="J2226" s="4">
        <v>41103</v>
      </c>
      <c r="K2226" s="4">
        <v>43659</v>
      </c>
      <c r="L2226">
        <f t="shared" si="34"/>
        <v>3.05</v>
      </c>
    </row>
    <row r="2227" spans="1:12" x14ac:dyDescent="0.15">
      <c r="A2227" s="1">
        <v>2226</v>
      </c>
      <c r="B2227" s="4">
        <v>41102</v>
      </c>
      <c r="C2227" s="1" t="s">
        <v>18</v>
      </c>
      <c r="D2227" s="1" t="s">
        <v>27</v>
      </c>
      <c r="E2227" s="1">
        <v>0.48653935185185188</v>
      </c>
      <c r="F2227" s="1" t="s">
        <v>13</v>
      </c>
      <c r="G2227" s="1">
        <v>2.91</v>
      </c>
      <c r="H2227" s="1">
        <v>2.98</v>
      </c>
      <c r="I2227" s="1">
        <v>0</v>
      </c>
      <c r="J2227" s="4">
        <v>41103</v>
      </c>
      <c r="K2227" s="4">
        <v>41833</v>
      </c>
      <c r="L2227">
        <f t="shared" si="34"/>
        <v>2.9450000000000003</v>
      </c>
    </row>
    <row r="2228" spans="1:12" x14ac:dyDescent="0.15">
      <c r="A2228" s="1">
        <v>2227</v>
      </c>
      <c r="B2228" s="4">
        <v>41102</v>
      </c>
      <c r="C2228" s="1" t="s">
        <v>19</v>
      </c>
      <c r="D2228" s="1" t="s">
        <v>27</v>
      </c>
      <c r="E2228" s="1">
        <v>0.48652777777777773</v>
      </c>
      <c r="F2228" s="1" t="s">
        <v>13</v>
      </c>
      <c r="G2228" s="1">
        <v>3.26</v>
      </c>
      <c r="H2228" s="1">
        <v>3.36</v>
      </c>
      <c r="I2228" s="1">
        <v>0</v>
      </c>
      <c r="J2228" s="4">
        <v>41103</v>
      </c>
      <c r="K2228" s="4">
        <v>41377</v>
      </c>
      <c r="L2228">
        <f t="shared" si="34"/>
        <v>3.3099999999999996</v>
      </c>
    </row>
    <row r="2229" spans="1:12" x14ac:dyDescent="0.15">
      <c r="A2229" s="1">
        <v>2228</v>
      </c>
      <c r="B2229" s="4">
        <v>41102</v>
      </c>
      <c r="C2229" s="1" t="s">
        <v>25</v>
      </c>
      <c r="D2229" s="1" t="s">
        <v>27</v>
      </c>
      <c r="E2229" s="1">
        <v>0.48652777777777773</v>
      </c>
      <c r="F2229" s="1" t="s">
        <v>13</v>
      </c>
      <c r="G2229" s="1">
        <v>2.92</v>
      </c>
      <c r="H2229" s="1">
        <v>2.97</v>
      </c>
      <c r="I2229" s="1">
        <v>0</v>
      </c>
      <c r="J2229" s="4">
        <v>41103</v>
      </c>
      <c r="K2229" s="4">
        <v>42929</v>
      </c>
      <c r="L2229">
        <f t="shared" si="34"/>
        <v>2.9450000000000003</v>
      </c>
    </row>
    <row r="2230" spans="1:12" x14ac:dyDescent="0.15">
      <c r="A2230" s="1">
        <v>2229</v>
      </c>
      <c r="B2230" s="4">
        <v>41102</v>
      </c>
      <c r="C2230" s="1" t="s">
        <v>14</v>
      </c>
      <c r="D2230" s="1" t="s">
        <v>27</v>
      </c>
      <c r="E2230" s="1">
        <v>0.48653935185185188</v>
      </c>
      <c r="F2230" s="1" t="s">
        <v>13</v>
      </c>
      <c r="G2230" s="1">
        <v>3.12</v>
      </c>
      <c r="H2230" s="1">
        <v>3.2</v>
      </c>
      <c r="I2230" s="1">
        <v>0</v>
      </c>
      <c r="J2230" s="4">
        <v>41103</v>
      </c>
      <c r="K2230" s="4">
        <v>41468</v>
      </c>
      <c r="L2230">
        <f t="shared" si="34"/>
        <v>3.16</v>
      </c>
    </row>
    <row r="2231" spans="1:12" x14ac:dyDescent="0.15">
      <c r="A2231" s="1">
        <v>2230</v>
      </c>
      <c r="B2231" s="4">
        <v>41102</v>
      </c>
      <c r="C2231" s="1" t="s">
        <v>16</v>
      </c>
      <c r="D2231" s="1" t="s">
        <v>27</v>
      </c>
      <c r="E2231" s="1">
        <v>0.48653935185185188</v>
      </c>
      <c r="F2231" s="1" t="s">
        <v>13</v>
      </c>
      <c r="G2231" s="1">
        <v>2.88</v>
      </c>
      <c r="H2231" s="1">
        <v>2.98</v>
      </c>
      <c r="I2231" s="1">
        <v>0</v>
      </c>
      <c r="J2231" s="4">
        <v>41103</v>
      </c>
      <c r="K2231" s="4">
        <v>42564</v>
      </c>
      <c r="L2231">
        <f t="shared" si="34"/>
        <v>2.9299999999999997</v>
      </c>
    </row>
    <row r="2232" spans="1:12" x14ac:dyDescent="0.15">
      <c r="A2232" s="1">
        <v>2231</v>
      </c>
      <c r="B2232" s="4">
        <v>41102</v>
      </c>
      <c r="C2232" s="1" t="s">
        <v>25</v>
      </c>
      <c r="D2232" s="1" t="s">
        <v>30</v>
      </c>
      <c r="E2232" s="1">
        <v>0.49123842592592593</v>
      </c>
      <c r="F2232" s="1" t="s">
        <v>13</v>
      </c>
      <c r="G2232" s="1">
        <v>2.9</v>
      </c>
      <c r="H2232" s="1">
        <v>3</v>
      </c>
      <c r="I2232" s="1">
        <v>0</v>
      </c>
      <c r="J2232" s="4">
        <v>41103</v>
      </c>
      <c r="K2232" s="4">
        <v>42929</v>
      </c>
      <c r="L2232">
        <f t="shared" si="34"/>
        <v>2.95</v>
      </c>
    </row>
    <row r="2233" spans="1:12" x14ac:dyDescent="0.15">
      <c r="A2233" s="1">
        <v>2232</v>
      </c>
      <c r="B2233" s="4">
        <v>41102</v>
      </c>
      <c r="C2233" s="1" t="s">
        <v>19</v>
      </c>
      <c r="D2233" s="1" t="s">
        <v>37</v>
      </c>
      <c r="E2233" s="1">
        <v>0.57446759259259261</v>
      </c>
      <c r="F2233" s="1" t="s">
        <v>13</v>
      </c>
      <c r="G2233" s="1">
        <v>3.29</v>
      </c>
      <c r="H2233" s="1">
        <v>3.35</v>
      </c>
      <c r="I2233" s="1">
        <v>0</v>
      </c>
      <c r="J2233" s="4">
        <v>41103</v>
      </c>
      <c r="K2233" s="4">
        <v>41377</v>
      </c>
      <c r="L2233">
        <f t="shared" si="34"/>
        <v>3.3200000000000003</v>
      </c>
    </row>
    <row r="2234" spans="1:12" x14ac:dyDescent="0.15">
      <c r="A2234" s="1">
        <v>2233</v>
      </c>
      <c r="B2234" s="4">
        <v>41102</v>
      </c>
      <c r="C2234" s="1" t="s">
        <v>18</v>
      </c>
      <c r="D2234" s="1" t="s">
        <v>37</v>
      </c>
      <c r="E2234" s="1">
        <v>0.57446759259259261</v>
      </c>
      <c r="F2234" s="1" t="s">
        <v>13</v>
      </c>
      <c r="G2234" s="1">
        <v>2.93</v>
      </c>
      <c r="H2234" s="1">
        <v>3.01</v>
      </c>
      <c r="I2234" s="1">
        <v>0</v>
      </c>
      <c r="J2234" s="4">
        <v>41103</v>
      </c>
      <c r="K2234" s="4">
        <v>41833</v>
      </c>
      <c r="L2234">
        <f t="shared" si="34"/>
        <v>2.9699999999999998</v>
      </c>
    </row>
    <row r="2235" spans="1:12" x14ac:dyDescent="0.15">
      <c r="A2235" s="1">
        <v>2234</v>
      </c>
      <c r="B2235" s="4">
        <v>41102</v>
      </c>
      <c r="C2235" s="1" t="s">
        <v>14</v>
      </c>
      <c r="D2235" s="1" t="s">
        <v>37</v>
      </c>
      <c r="E2235" s="1">
        <v>0.57446759259259261</v>
      </c>
      <c r="F2235" s="1" t="s">
        <v>13</v>
      </c>
      <c r="G2235" s="1">
        <v>3.14</v>
      </c>
      <c r="H2235" s="1">
        <v>3.22</v>
      </c>
      <c r="I2235" s="1">
        <v>0</v>
      </c>
      <c r="J2235" s="4">
        <v>41103</v>
      </c>
      <c r="K2235" s="4">
        <v>41468</v>
      </c>
      <c r="L2235">
        <f t="shared" si="34"/>
        <v>3.18</v>
      </c>
    </row>
    <row r="2236" spans="1:12" x14ac:dyDescent="0.15">
      <c r="A2236" s="1">
        <v>2235</v>
      </c>
      <c r="B2236" s="4">
        <v>41102</v>
      </c>
      <c r="C2236" s="1" t="s">
        <v>11</v>
      </c>
      <c r="D2236" s="1" t="s">
        <v>37</v>
      </c>
      <c r="E2236" s="1">
        <v>0.57446759259259261</v>
      </c>
      <c r="F2236" s="1" t="s">
        <v>13</v>
      </c>
      <c r="G2236" s="1">
        <v>2.91</v>
      </c>
      <c r="H2236" s="1">
        <v>2.99</v>
      </c>
      <c r="I2236" s="1">
        <v>0</v>
      </c>
      <c r="J2236" s="4">
        <v>41103</v>
      </c>
      <c r="K2236" s="4">
        <v>42198</v>
      </c>
      <c r="L2236">
        <f t="shared" si="34"/>
        <v>2.95</v>
      </c>
    </row>
    <row r="2237" spans="1:12" x14ac:dyDescent="0.15">
      <c r="A2237" s="1">
        <v>2236</v>
      </c>
      <c r="B2237" s="4">
        <v>41102</v>
      </c>
      <c r="C2237" s="1" t="s">
        <v>20</v>
      </c>
      <c r="D2237" s="1" t="s">
        <v>30</v>
      </c>
      <c r="E2237" s="1">
        <v>0.49123842592592593</v>
      </c>
      <c r="F2237" s="1" t="s">
        <v>13</v>
      </c>
      <c r="G2237" s="1">
        <v>3.05</v>
      </c>
      <c r="H2237" s="1">
        <v>3.15</v>
      </c>
      <c r="I2237" s="1">
        <v>0</v>
      </c>
      <c r="J2237" s="4">
        <v>41103</v>
      </c>
      <c r="K2237" s="4">
        <v>44755</v>
      </c>
      <c r="L2237">
        <f t="shared" si="34"/>
        <v>3.0999999999999996</v>
      </c>
    </row>
    <row r="2238" spans="1:12" x14ac:dyDescent="0.15">
      <c r="A2238" s="1">
        <v>2237</v>
      </c>
      <c r="B2238" s="4">
        <v>41102</v>
      </c>
      <c r="C2238" s="1" t="s">
        <v>11</v>
      </c>
      <c r="D2238" s="1" t="s">
        <v>30</v>
      </c>
      <c r="E2238" s="1">
        <v>0.49123842592592593</v>
      </c>
      <c r="F2238" s="1" t="s">
        <v>13</v>
      </c>
      <c r="G2238" s="1">
        <v>2.9</v>
      </c>
      <c r="H2238" s="1">
        <v>3</v>
      </c>
      <c r="I2238" s="1">
        <v>0</v>
      </c>
      <c r="J2238" s="4">
        <v>41103</v>
      </c>
      <c r="K2238" s="4">
        <v>42198</v>
      </c>
      <c r="L2238">
        <f t="shared" si="34"/>
        <v>2.95</v>
      </c>
    </row>
    <row r="2239" spans="1:12" x14ac:dyDescent="0.15">
      <c r="A2239" s="1">
        <v>2238</v>
      </c>
      <c r="B2239" s="4">
        <v>41102</v>
      </c>
      <c r="C2239" s="1" t="s">
        <v>16</v>
      </c>
      <c r="D2239" s="1" t="s">
        <v>30</v>
      </c>
      <c r="E2239" s="1">
        <v>0.49123842592592593</v>
      </c>
      <c r="F2239" s="1" t="s">
        <v>13</v>
      </c>
      <c r="G2239" s="1">
        <v>2.9</v>
      </c>
      <c r="H2239" s="1">
        <v>3</v>
      </c>
      <c r="I2239" s="1">
        <v>0</v>
      </c>
      <c r="J2239" s="4">
        <v>41103</v>
      </c>
      <c r="K2239" s="4">
        <v>42564</v>
      </c>
      <c r="L2239">
        <f t="shared" si="34"/>
        <v>2.95</v>
      </c>
    </row>
    <row r="2240" spans="1:12" x14ac:dyDescent="0.15">
      <c r="A2240" s="1">
        <v>2239</v>
      </c>
      <c r="B2240" s="4">
        <v>41102</v>
      </c>
      <c r="C2240" s="1" t="s">
        <v>14</v>
      </c>
      <c r="D2240" s="1" t="s">
        <v>30</v>
      </c>
      <c r="E2240" s="1">
        <v>0.49123842592592593</v>
      </c>
      <c r="F2240" s="1" t="s">
        <v>13</v>
      </c>
      <c r="G2240" s="1">
        <v>3.13</v>
      </c>
      <c r="H2240" s="1">
        <v>3.23</v>
      </c>
      <c r="I2240" s="1">
        <v>0</v>
      </c>
      <c r="J2240" s="4">
        <v>41103</v>
      </c>
      <c r="K2240" s="4">
        <v>41468</v>
      </c>
      <c r="L2240">
        <f t="shared" si="34"/>
        <v>3.1799999999999997</v>
      </c>
    </row>
    <row r="2241" spans="1:12" x14ac:dyDescent="0.15">
      <c r="A2241" s="1">
        <v>2240</v>
      </c>
      <c r="B2241" s="4">
        <v>41102</v>
      </c>
      <c r="C2241" s="1" t="s">
        <v>18</v>
      </c>
      <c r="D2241" s="1" t="s">
        <v>30</v>
      </c>
      <c r="E2241" s="1">
        <v>0.49123842592592593</v>
      </c>
      <c r="F2241" s="1" t="s">
        <v>13</v>
      </c>
      <c r="G2241" s="1">
        <v>2.91</v>
      </c>
      <c r="H2241" s="1">
        <v>3.01</v>
      </c>
      <c r="I2241" s="1">
        <v>0</v>
      </c>
      <c r="J2241" s="4">
        <v>41103</v>
      </c>
      <c r="K2241" s="4">
        <v>41833</v>
      </c>
      <c r="L2241">
        <f t="shared" si="34"/>
        <v>2.96</v>
      </c>
    </row>
    <row r="2242" spans="1:12" x14ac:dyDescent="0.15">
      <c r="A2242" s="1">
        <v>2241</v>
      </c>
      <c r="B2242" s="4">
        <v>41102</v>
      </c>
      <c r="C2242" s="1" t="s">
        <v>19</v>
      </c>
      <c r="D2242" s="1" t="s">
        <v>15</v>
      </c>
      <c r="E2242" s="1">
        <v>0.48145833333333332</v>
      </c>
      <c r="F2242" s="1" t="s">
        <v>13</v>
      </c>
      <c r="G2242" s="1">
        <v>3.3</v>
      </c>
      <c r="H2242" s="1">
        <v>3.36</v>
      </c>
      <c r="I2242" s="1">
        <v>0</v>
      </c>
      <c r="J2242" s="4">
        <v>41103</v>
      </c>
      <c r="K2242" s="4">
        <v>41377</v>
      </c>
      <c r="L2242">
        <f t="shared" si="34"/>
        <v>3.33</v>
      </c>
    </row>
    <row r="2243" spans="1:12" x14ac:dyDescent="0.15">
      <c r="A2243" s="1">
        <v>2242</v>
      </c>
      <c r="B2243" s="4">
        <v>41102</v>
      </c>
      <c r="C2243" s="1" t="s">
        <v>25</v>
      </c>
      <c r="D2243" s="1" t="s">
        <v>15</v>
      </c>
      <c r="E2243" s="1">
        <v>0.48145833333333332</v>
      </c>
      <c r="F2243" s="1" t="s">
        <v>13</v>
      </c>
      <c r="G2243" s="1">
        <v>2.94</v>
      </c>
      <c r="H2243" s="1">
        <v>3</v>
      </c>
      <c r="I2243" s="1">
        <v>0</v>
      </c>
      <c r="J2243" s="4">
        <v>41103</v>
      </c>
      <c r="K2243" s="4">
        <v>42929</v>
      </c>
      <c r="L2243">
        <f t="shared" ref="L2243:L2306" si="35">AVERAGE(G2243:H2243)</f>
        <v>2.9699999999999998</v>
      </c>
    </row>
    <row r="2244" spans="1:12" x14ac:dyDescent="0.15">
      <c r="A2244" s="1">
        <v>2243</v>
      </c>
      <c r="B2244" s="4">
        <v>41102</v>
      </c>
      <c r="C2244" s="1" t="s">
        <v>11</v>
      </c>
      <c r="D2244" s="1" t="s">
        <v>15</v>
      </c>
      <c r="E2244" s="1">
        <v>0.48145833333333332</v>
      </c>
      <c r="F2244" s="1" t="s">
        <v>13</v>
      </c>
      <c r="G2244" s="1">
        <v>2.94</v>
      </c>
      <c r="H2244" s="1">
        <v>3</v>
      </c>
      <c r="I2244" s="1">
        <v>0</v>
      </c>
      <c r="J2244" s="4">
        <v>41103</v>
      </c>
      <c r="K2244" s="4">
        <v>42198</v>
      </c>
      <c r="L2244">
        <f t="shared" si="35"/>
        <v>2.9699999999999998</v>
      </c>
    </row>
    <row r="2245" spans="1:12" x14ac:dyDescent="0.15">
      <c r="A2245" s="1">
        <v>2244</v>
      </c>
      <c r="B2245" s="4">
        <v>41102</v>
      </c>
      <c r="C2245" s="1" t="s">
        <v>18</v>
      </c>
      <c r="D2245" s="1" t="s">
        <v>15</v>
      </c>
      <c r="E2245" s="1">
        <v>0.48145833333333332</v>
      </c>
      <c r="F2245" s="1" t="s">
        <v>13</v>
      </c>
      <c r="G2245" s="1">
        <v>2.96</v>
      </c>
      <c r="H2245" s="1">
        <v>3.02</v>
      </c>
      <c r="I2245" s="1">
        <v>0</v>
      </c>
      <c r="J2245" s="4">
        <v>41103</v>
      </c>
      <c r="K2245" s="4">
        <v>41833</v>
      </c>
      <c r="L2245">
        <f t="shared" si="35"/>
        <v>2.99</v>
      </c>
    </row>
    <row r="2246" spans="1:12" x14ac:dyDescent="0.15">
      <c r="A2246" s="1">
        <v>2245</v>
      </c>
      <c r="B2246" s="4">
        <v>41102</v>
      </c>
      <c r="C2246" s="1" t="s">
        <v>14</v>
      </c>
      <c r="D2246" s="1" t="s">
        <v>15</v>
      </c>
      <c r="E2246" s="1">
        <v>0.48145833333333332</v>
      </c>
      <c r="F2246" s="1" t="s">
        <v>13</v>
      </c>
      <c r="G2246" s="1">
        <v>3.16</v>
      </c>
      <c r="H2246" s="1">
        <v>3.22</v>
      </c>
      <c r="I2246" s="1">
        <v>0</v>
      </c>
      <c r="J2246" s="4">
        <v>41103</v>
      </c>
      <c r="K2246" s="4">
        <v>41468</v>
      </c>
      <c r="L2246">
        <f t="shared" si="35"/>
        <v>3.1900000000000004</v>
      </c>
    </row>
    <row r="2247" spans="1:12" x14ac:dyDescent="0.15">
      <c r="A2247" s="1">
        <v>2246</v>
      </c>
      <c r="B2247" s="4">
        <v>41102</v>
      </c>
      <c r="C2247" s="1" t="s">
        <v>21</v>
      </c>
      <c r="D2247" s="1" t="s">
        <v>15</v>
      </c>
      <c r="E2247" s="1">
        <v>0.48144675925925928</v>
      </c>
      <c r="F2247" s="1" t="s">
        <v>13</v>
      </c>
      <c r="G2247" s="1">
        <v>3.01</v>
      </c>
      <c r="H2247" s="1">
        <v>3.07</v>
      </c>
      <c r="I2247" s="1">
        <v>0</v>
      </c>
      <c r="J2247" s="4">
        <v>41103</v>
      </c>
      <c r="K2247" s="4">
        <v>43659</v>
      </c>
      <c r="L2247">
        <f t="shared" si="35"/>
        <v>3.04</v>
      </c>
    </row>
    <row r="2248" spans="1:12" x14ac:dyDescent="0.15">
      <c r="A2248" s="1">
        <v>2247</v>
      </c>
      <c r="B2248" s="4">
        <v>41102</v>
      </c>
      <c r="C2248" s="1" t="s">
        <v>22</v>
      </c>
      <c r="D2248" s="1" t="s">
        <v>15</v>
      </c>
      <c r="E2248" s="1">
        <v>0.48144675925925928</v>
      </c>
      <c r="F2248" s="1" t="s">
        <v>13</v>
      </c>
      <c r="G2248" s="1">
        <v>3.51</v>
      </c>
      <c r="H2248" s="1">
        <v>3.57</v>
      </c>
      <c r="I2248" s="1">
        <v>0</v>
      </c>
      <c r="J2248" s="4">
        <v>41103</v>
      </c>
      <c r="K2248" s="4">
        <v>41287</v>
      </c>
      <c r="L2248">
        <f t="shared" si="35"/>
        <v>3.54</v>
      </c>
    </row>
    <row r="2249" spans="1:12" x14ac:dyDescent="0.15">
      <c r="A2249" s="1">
        <v>2248</v>
      </c>
      <c r="B2249" s="4">
        <v>41102</v>
      </c>
      <c r="C2249" s="1" t="s">
        <v>20</v>
      </c>
      <c r="D2249" s="1" t="s">
        <v>15</v>
      </c>
      <c r="E2249" s="1">
        <v>0.48145833333333332</v>
      </c>
      <c r="F2249" s="1" t="s">
        <v>13</v>
      </c>
      <c r="G2249" s="1">
        <v>3.06</v>
      </c>
      <c r="H2249" s="1">
        <v>3.12</v>
      </c>
      <c r="I2249" s="1">
        <v>0</v>
      </c>
      <c r="J2249" s="4">
        <v>41103</v>
      </c>
      <c r="K2249" s="4">
        <v>44755</v>
      </c>
      <c r="L2249">
        <f t="shared" si="35"/>
        <v>3.09</v>
      </c>
    </row>
    <row r="2250" spans="1:12" x14ac:dyDescent="0.15">
      <c r="A2250" s="1">
        <v>2249</v>
      </c>
      <c r="B2250" s="4">
        <v>41102</v>
      </c>
      <c r="C2250" s="1" t="s">
        <v>16</v>
      </c>
      <c r="D2250" s="1" t="s">
        <v>15</v>
      </c>
      <c r="E2250" s="1">
        <v>0.48145833333333332</v>
      </c>
      <c r="F2250" s="1" t="s">
        <v>13</v>
      </c>
      <c r="G2250" s="1">
        <v>2.94</v>
      </c>
      <c r="H2250" s="1">
        <v>3</v>
      </c>
      <c r="I2250" s="1">
        <v>0</v>
      </c>
      <c r="J2250" s="4">
        <v>41103</v>
      </c>
      <c r="K2250" s="4">
        <v>42564</v>
      </c>
      <c r="L2250">
        <f t="shared" si="35"/>
        <v>2.9699999999999998</v>
      </c>
    </row>
    <row r="2251" spans="1:12" x14ac:dyDescent="0.15">
      <c r="A2251" s="1">
        <v>2250</v>
      </c>
      <c r="B2251" s="4">
        <v>41102</v>
      </c>
      <c r="C2251" s="1" t="s">
        <v>21</v>
      </c>
      <c r="D2251" s="1" t="s">
        <v>26</v>
      </c>
      <c r="E2251" s="1">
        <v>0.48626157407407411</v>
      </c>
      <c r="F2251" s="1" t="s">
        <v>13</v>
      </c>
      <c r="G2251" s="1">
        <v>2.9</v>
      </c>
      <c r="H2251" s="1">
        <v>3</v>
      </c>
      <c r="I2251" s="1">
        <v>0</v>
      </c>
      <c r="J2251" s="4">
        <v>41103</v>
      </c>
      <c r="K2251" s="4">
        <v>43659</v>
      </c>
      <c r="L2251">
        <f t="shared" si="35"/>
        <v>2.95</v>
      </c>
    </row>
    <row r="2252" spans="1:12" x14ac:dyDescent="0.15">
      <c r="A2252" s="1">
        <v>2251</v>
      </c>
      <c r="B2252" s="4">
        <v>41102</v>
      </c>
      <c r="C2252" s="1" t="s">
        <v>22</v>
      </c>
      <c r="D2252" s="1" t="s">
        <v>26</v>
      </c>
      <c r="E2252" s="1">
        <v>0.48628472222222219</v>
      </c>
      <c r="F2252" s="1" t="s">
        <v>13</v>
      </c>
      <c r="G2252" s="1">
        <v>3.5</v>
      </c>
      <c r="H2252" s="1">
        <v>3.55</v>
      </c>
      <c r="I2252" s="1">
        <v>0</v>
      </c>
      <c r="J2252" s="4">
        <v>41103</v>
      </c>
      <c r="K2252" s="4">
        <v>41287</v>
      </c>
      <c r="L2252">
        <f t="shared" si="35"/>
        <v>3.5249999999999999</v>
      </c>
    </row>
    <row r="2253" spans="1:12" x14ac:dyDescent="0.15">
      <c r="A2253" s="1">
        <v>2252</v>
      </c>
      <c r="B2253" s="4">
        <v>41102</v>
      </c>
      <c r="C2253" s="1" t="s">
        <v>25</v>
      </c>
      <c r="D2253" s="1" t="s">
        <v>26</v>
      </c>
      <c r="E2253" s="1">
        <v>0.48627314814814815</v>
      </c>
      <c r="F2253" s="1" t="s">
        <v>13</v>
      </c>
      <c r="G2253" s="1">
        <v>2.9</v>
      </c>
      <c r="H2253" s="1">
        <v>3</v>
      </c>
      <c r="I2253" s="1">
        <v>0</v>
      </c>
      <c r="J2253" s="4">
        <v>41103</v>
      </c>
      <c r="K2253" s="4">
        <v>42929</v>
      </c>
      <c r="L2253">
        <f t="shared" si="35"/>
        <v>2.95</v>
      </c>
    </row>
    <row r="2254" spans="1:12" x14ac:dyDescent="0.15">
      <c r="A2254" s="1">
        <v>2253</v>
      </c>
      <c r="B2254" s="4">
        <v>41102</v>
      </c>
      <c r="C2254" s="1" t="s">
        <v>22</v>
      </c>
      <c r="D2254" s="1" t="s">
        <v>27</v>
      </c>
      <c r="E2254" s="1">
        <v>0.48652777777777773</v>
      </c>
      <c r="F2254" s="1" t="s">
        <v>13</v>
      </c>
      <c r="G2254" s="1">
        <v>3.5</v>
      </c>
      <c r="H2254" s="1">
        <v>3.55</v>
      </c>
      <c r="I2254" s="1">
        <v>0</v>
      </c>
      <c r="J2254" s="4">
        <v>41103</v>
      </c>
      <c r="K2254" s="4">
        <v>41287</v>
      </c>
      <c r="L2254">
        <f t="shared" si="35"/>
        <v>3.5249999999999999</v>
      </c>
    </row>
    <row r="2255" spans="1:12" x14ac:dyDescent="0.15">
      <c r="A2255" s="1">
        <v>2254</v>
      </c>
      <c r="B2255" s="4">
        <v>41102</v>
      </c>
      <c r="C2255" s="1" t="s">
        <v>18</v>
      </c>
      <c r="D2255" s="1" t="s">
        <v>26</v>
      </c>
      <c r="E2255" s="1">
        <v>0.48628472222222219</v>
      </c>
      <c r="F2255" s="1" t="s">
        <v>13</v>
      </c>
      <c r="G2255" s="1">
        <v>2.92</v>
      </c>
      <c r="H2255" s="1">
        <v>3</v>
      </c>
      <c r="I2255" s="1">
        <v>0</v>
      </c>
      <c r="J2255" s="4">
        <v>41103</v>
      </c>
      <c r="K2255" s="4">
        <v>41833</v>
      </c>
      <c r="L2255">
        <f t="shared" si="35"/>
        <v>2.96</v>
      </c>
    </row>
    <row r="2256" spans="1:12" x14ac:dyDescent="0.15">
      <c r="A2256" s="1">
        <v>2255</v>
      </c>
      <c r="B2256" s="4">
        <v>41102</v>
      </c>
      <c r="C2256" s="1" t="s">
        <v>16</v>
      </c>
      <c r="D2256" s="1" t="s">
        <v>26</v>
      </c>
      <c r="E2256" s="1">
        <v>0.48626157407407411</v>
      </c>
      <c r="F2256" s="1" t="s">
        <v>13</v>
      </c>
      <c r="G2256" s="1">
        <v>2.9</v>
      </c>
      <c r="H2256" s="1">
        <v>3</v>
      </c>
      <c r="I2256" s="1">
        <v>0</v>
      </c>
      <c r="J2256" s="4">
        <v>41103</v>
      </c>
      <c r="K2256" s="4">
        <v>42564</v>
      </c>
      <c r="L2256">
        <f t="shared" si="35"/>
        <v>2.95</v>
      </c>
    </row>
    <row r="2257" spans="1:12" x14ac:dyDescent="0.15">
      <c r="A2257" s="1">
        <v>2256</v>
      </c>
      <c r="B2257" s="4">
        <v>41102</v>
      </c>
      <c r="C2257" s="1" t="s">
        <v>11</v>
      </c>
      <c r="D2257" s="1" t="s">
        <v>26</v>
      </c>
      <c r="E2257" s="1">
        <v>0.48626157407407411</v>
      </c>
      <c r="F2257" s="1" t="s">
        <v>13</v>
      </c>
      <c r="G2257" s="1">
        <v>2.9</v>
      </c>
      <c r="H2257" s="1">
        <v>3</v>
      </c>
      <c r="I2257" s="1">
        <v>0</v>
      </c>
      <c r="J2257" s="4">
        <v>41103</v>
      </c>
      <c r="K2257" s="4">
        <v>42198</v>
      </c>
      <c r="L2257">
        <f t="shared" si="35"/>
        <v>2.95</v>
      </c>
    </row>
    <row r="2258" spans="1:12" x14ac:dyDescent="0.15">
      <c r="A2258" s="1">
        <v>2257</v>
      </c>
      <c r="B2258" s="4">
        <v>41102</v>
      </c>
      <c r="C2258" s="1" t="s">
        <v>19</v>
      </c>
      <c r="D2258" s="1" t="s">
        <v>26</v>
      </c>
      <c r="E2258" s="1">
        <v>0.48626157407407411</v>
      </c>
      <c r="F2258" s="1" t="s">
        <v>13</v>
      </c>
      <c r="G2258" s="1">
        <v>3.3</v>
      </c>
      <c r="H2258" s="1">
        <v>3</v>
      </c>
      <c r="I2258" s="1">
        <v>0</v>
      </c>
      <c r="J2258" s="4">
        <v>41103</v>
      </c>
      <c r="K2258" s="4">
        <v>41377</v>
      </c>
      <c r="L2258">
        <f t="shared" si="35"/>
        <v>3.15</v>
      </c>
    </row>
    <row r="2259" spans="1:12" x14ac:dyDescent="0.15">
      <c r="A2259" s="1">
        <v>2258</v>
      </c>
      <c r="B2259" s="4">
        <v>41102</v>
      </c>
      <c r="C2259" s="1" t="s">
        <v>20</v>
      </c>
      <c r="D2259" s="1" t="s">
        <v>26</v>
      </c>
      <c r="E2259" s="1">
        <v>0.48626157407407411</v>
      </c>
      <c r="F2259" s="1" t="s">
        <v>13</v>
      </c>
      <c r="G2259" s="1">
        <v>2.9</v>
      </c>
      <c r="H2259" s="1">
        <v>3</v>
      </c>
      <c r="I2259" s="1">
        <v>0</v>
      </c>
      <c r="J2259" s="4">
        <v>41103</v>
      </c>
      <c r="K2259" s="4">
        <v>44755</v>
      </c>
      <c r="L2259">
        <f t="shared" si="35"/>
        <v>2.95</v>
      </c>
    </row>
    <row r="2260" spans="1:12" x14ac:dyDescent="0.15">
      <c r="A2260" s="1">
        <v>2259</v>
      </c>
      <c r="B2260" s="4">
        <v>41102</v>
      </c>
      <c r="C2260" s="1" t="s">
        <v>14</v>
      </c>
      <c r="D2260" s="1" t="s">
        <v>26</v>
      </c>
      <c r="E2260" s="1">
        <v>0.48626157407407411</v>
      </c>
      <c r="F2260" s="1" t="s">
        <v>13</v>
      </c>
      <c r="G2260" s="1">
        <v>3.18</v>
      </c>
      <c r="H2260" s="1">
        <v>3.25</v>
      </c>
      <c r="I2260" s="1">
        <v>0</v>
      </c>
      <c r="J2260" s="4">
        <v>41103</v>
      </c>
      <c r="K2260" s="4">
        <v>41468</v>
      </c>
      <c r="L2260">
        <f t="shared" si="35"/>
        <v>3.2149999999999999</v>
      </c>
    </row>
    <row r="2261" spans="1:12" x14ac:dyDescent="0.15">
      <c r="A2261" s="1">
        <v>2260</v>
      </c>
      <c r="B2261" s="4">
        <v>41102</v>
      </c>
      <c r="C2261" s="1" t="s">
        <v>20</v>
      </c>
      <c r="D2261" s="1" t="s">
        <v>37</v>
      </c>
      <c r="E2261" s="1">
        <v>0.57446759259259261</v>
      </c>
      <c r="F2261" s="1" t="s">
        <v>13</v>
      </c>
      <c r="G2261" s="1">
        <v>3.01</v>
      </c>
      <c r="H2261" s="1">
        <v>3.13</v>
      </c>
      <c r="I2261" s="1">
        <v>0</v>
      </c>
      <c r="J2261" s="4">
        <v>41103</v>
      </c>
      <c r="K2261" s="4">
        <v>44755</v>
      </c>
      <c r="L2261">
        <f t="shared" si="35"/>
        <v>3.07</v>
      </c>
    </row>
    <row r="2262" spans="1:12" x14ac:dyDescent="0.15">
      <c r="A2262" s="1">
        <v>2261</v>
      </c>
      <c r="B2262" s="4">
        <v>41102</v>
      </c>
      <c r="C2262" s="1" t="s">
        <v>22</v>
      </c>
      <c r="D2262" s="1" t="s">
        <v>26</v>
      </c>
      <c r="E2262" s="1">
        <v>0.67467592592592596</v>
      </c>
      <c r="F2262" s="1" t="s">
        <v>13</v>
      </c>
      <c r="G2262" s="1">
        <v>3.5</v>
      </c>
      <c r="H2262" s="1">
        <v>3.55</v>
      </c>
      <c r="I2262" s="1">
        <v>0</v>
      </c>
      <c r="J2262" s="4">
        <v>41103</v>
      </c>
      <c r="K2262" s="4">
        <v>41287</v>
      </c>
      <c r="L2262">
        <f t="shared" si="35"/>
        <v>3.5249999999999999</v>
      </c>
    </row>
    <row r="2263" spans="1:12" x14ac:dyDescent="0.15">
      <c r="A2263" s="1">
        <v>2262</v>
      </c>
      <c r="B2263" s="4">
        <v>41102</v>
      </c>
      <c r="C2263" s="1" t="s">
        <v>19</v>
      </c>
      <c r="D2263" s="1" t="s">
        <v>26</v>
      </c>
      <c r="E2263" s="1">
        <v>0.67466435185185192</v>
      </c>
      <c r="F2263" s="1" t="s">
        <v>13</v>
      </c>
      <c r="G2263" s="1">
        <v>3.3</v>
      </c>
      <c r="H2263" s="1">
        <v>3</v>
      </c>
      <c r="I2263" s="1">
        <v>0</v>
      </c>
      <c r="J2263" s="4">
        <v>41103</v>
      </c>
      <c r="K2263" s="4">
        <v>41377</v>
      </c>
      <c r="L2263">
        <f t="shared" si="35"/>
        <v>3.15</v>
      </c>
    </row>
    <row r="2264" spans="1:12" x14ac:dyDescent="0.15">
      <c r="A2264" s="1">
        <v>2263</v>
      </c>
      <c r="B2264" s="4">
        <v>41102</v>
      </c>
      <c r="C2264" s="1" t="s">
        <v>11</v>
      </c>
      <c r="D2264" s="1" t="s">
        <v>26</v>
      </c>
      <c r="E2264" s="1">
        <v>0.67467592592592596</v>
      </c>
      <c r="F2264" s="1" t="s">
        <v>13</v>
      </c>
      <c r="G2264" s="1">
        <v>2.9</v>
      </c>
      <c r="H2264" s="1">
        <v>3</v>
      </c>
      <c r="I2264" s="1">
        <v>0</v>
      </c>
      <c r="J2264" s="4">
        <v>41103</v>
      </c>
      <c r="K2264" s="4">
        <v>42198</v>
      </c>
      <c r="L2264">
        <f t="shared" si="35"/>
        <v>2.95</v>
      </c>
    </row>
    <row r="2265" spans="1:12" x14ac:dyDescent="0.15">
      <c r="A2265" s="1">
        <v>2264</v>
      </c>
      <c r="B2265" s="4">
        <v>41102</v>
      </c>
      <c r="C2265" s="1" t="s">
        <v>18</v>
      </c>
      <c r="D2265" s="1" t="s">
        <v>26</v>
      </c>
      <c r="E2265" s="1">
        <v>0.67467592592592596</v>
      </c>
      <c r="F2265" s="1" t="s">
        <v>13</v>
      </c>
      <c r="G2265" s="1">
        <v>2.92</v>
      </c>
      <c r="H2265" s="1">
        <v>3</v>
      </c>
      <c r="I2265" s="1">
        <v>0</v>
      </c>
      <c r="J2265" s="4">
        <v>41103</v>
      </c>
      <c r="K2265" s="4">
        <v>41833</v>
      </c>
      <c r="L2265">
        <f t="shared" si="35"/>
        <v>2.96</v>
      </c>
    </row>
    <row r="2266" spans="1:12" x14ac:dyDescent="0.15">
      <c r="A2266" s="1">
        <v>2265</v>
      </c>
      <c r="B2266" s="4">
        <v>41102</v>
      </c>
      <c r="C2266" s="1" t="s">
        <v>21</v>
      </c>
      <c r="D2266" s="1" t="s">
        <v>26</v>
      </c>
      <c r="E2266" s="1">
        <v>0.67466435185185192</v>
      </c>
      <c r="F2266" s="1" t="s">
        <v>13</v>
      </c>
      <c r="G2266" s="1">
        <v>2.9</v>
      </c>
      <c r="H2266" s="1">
        <v>3</v>
      </c>
      <c r="I2266" s="1">
        <v>0</v>
      </c>
      <c r="J2266" s="4">
        <v>41103</v>
      </c>
      <c r="K2266" s="4">
        <v>43659</v>
      </c>
      <c r="L2266">
        <f t="shared" si="35"/>
        <v>2.95</v>
      </c>
    </row>
    <row r="2267" spans="1:12" x14ac:dyDescent="0.15">
      <c r="A2267" s="1">
        <v>2266</v>
      </c>
      <c r="B2267" s="4">
        <v>41102</v>
      </c>
      <c r="C2267" s="1" t="s">
        <v>20</v>
      </c>
      <c r="D2267" s="1" t="s">
        <v>15</v>
      </c>
      <c r="E2267" s="1">
        <v>0.66903935185185182</v>
      </c>
      <c r="F2267" s="1" t="s">
        <v>13</v>
      </c>
      <c r="G2267" s="1">
        <v>3.06</v>
      </c>
      <c r="H2267" s="1">
        <v>3.12</v>
      </c>
      <c r="I2267" s="1">
        <v>0</v>
      </c>
      <c r="J2267" s="4">
        <v>41103</v>
      </c>
      <c r="K2267" s="4">
        <v>44755</v>
      </c>
      <c r="L2267">
        <f t="shared" si="35"/>
        <v>3.09</v>
      </c>
    </row>
    <row r="2268" spans="1:12" x14ac:dyDescent="0.15">
      <c r="A2268" s="1">
        <v>2267</v>
      </c>
      <c r="B2268" s="4">
        <v>41102</v>
      </c>
      <c r="C2268" s="1" t="s">
        <v>16</v>
      </c>
      <c r="D2268" s="1" t="s">
        <v>15</v>
      </c>
      <c r="E2268" s="1">
        <v>0.66903935185185182</v>
      </c>
      <c r="F2268" s="1" t="s">
        <v>13</v>
      </c>
      <c r="G2268" s="1">
        <v>2.94</v>
      </c>
      <c r="H2268" s="1">
        <v>3</v>
      </c>
      <c r="I2268" s="1">
        <v>0</v>
      </c>
      <c r="J2268" s="4">
        <v>41103</v>
      </c>
      <c r="K2268" s="4">
        <v>42564</v>
      </c>
      <c r="L2268">
        <f t="shared" si="35"/>
        <v>2.9699999999999998</v>
      </c>
    </row>
    <row r="2269" spans="1:12" x14ac:dyDescent="0.15">
      <c r="A2269" s="1">
        <v>2268</v>
      </c>
      <c r="B2269" s="4">
        <v>41102</v>
      </c>
      <c r="C2269" s="1" t="s">
        <v>16</v>
      </c>
      <c r="D2269" s="1" t="s">
        <v>26</v>
      </c>
      <c r="E2269" s="1">
        <v>0.67466435185185192</v>
      </c>
      <c r="F2269" s="1" t="s">
        <v>13</v>
      </c>
      <c r="G2269" s="1">
        <v>2.9</v>
      </c>
      <c r="H2269" s="1">
        <v>3</v>
      </c>
      <c r="I2269" s="1">
        <v>0</v>
      </c>
      <c r="J2269" s="4">
        <v>41103</v>
      </c>
      <c r="K2269" s="4">
        <v>42564</v>
      </c>
      <c r="L2269">
        <f t="shared" si="35"/>
        <v>2.95</v>
      </c>
    </row>
    <row r="2270" spans="1:12" x14ac:dyDescent="0.15">
      <c r="A2270" s="1">
        <v>2269</v>
      </c>
      <c r="B2270" s="4">
        <v>41102</v>
      </c>
      <c r="C2270" s="1" t="s">
        <v>14</v>
      </c>
      <c r="D2270" s="1" t="s">
        <v>15</v>
      </c>
      <c r="E2270" s="1">
        <v>0.66903935185185182</v>
      </c>
      <c r="F2270" s="1" t="s">
        <v>13</v>
      </c>
      <c r="G2270" s="1">
        <v>3.16</v>
      </c>
      <c r="H2270" s="1">
        <v>3.22</v>
      </c>
      <c r="I2270" s="1">
        <v>0</v>
      </c>
      <c r="J2270" s="4">
        <v>41103</v>
      </c>
      <c r="K2270" s="4">
        <v>41468</v>
      </c>
      <c r="L2270">
        <f t="shared" si="35"/>
        <v>3.1900000000000004</v>
      </c>
    </row>
    <row r="2271" spans="1:12" x14ac:dyDescent="0.15">
      <c r="A2271" s="1">
        <v>2270</v>
      </c>
      <c r="B2271" s="4">
        <v>41102</v>
      </c>
      <c r="C2271" s="1" t="s">
        <v>14</v>
      </c>
      <c r="D2271" s="1" t="s">
        <v>26</v>
      </c>
      <c r="E2271" s="1">
        <v>0.67467592592592596</v>
      </c>
      <c r="F2271" s="1" t="s">
        <v>13</v>
      </c>
      <c r="G2271" s="1">
        <v>3.18</v>
      </c>
      <c r="H2271" s="1">
        <v>3.25</v>
      </c>
      <c r="I2271" s="1">
        <v>0</v>
      </c>
      <c r="J2271" s="4">
        <v>41103</v>
      </c>
      <c r="K2271" s="4">
        <v>41468</v>
      </c>
      <c r="L2271">
        <f t="shared" si="35"/>
        <v>3.2149999999999999</v>
      </c>
    </row>
    <row r="2272" spans="1:12" x14ac:dyDescent="0.15">
      <c r="A2272" s="1">
        <v>2271</v>
      </c>
      <c r="B2272" s="4">
        <v>41102</v>
      </c>
      <c r="C2272" s="1" t="s">
        <v>18</v>
      </c>
      <c r="D2272" s="1" t="s">
        <v>27</v>
      </c>
      <c r="E2272" s="1">
        <v>0.67511574074074077</v>
      </c>
      <c r="F2272" s="1" t="s">
        <v>13</v>
      </c>
      <c r="G2272" s="1">
        <v>2.85</v>
      </c>
      <c r="H2272" s="1">
        <v>2.95</v>
      </c>
      <c r="I2272" s="1">
        <v>0</v>
      </c>
      <c r="J2272" s="4">
        <v>41103</v>
      </c>
      <c r="K2272" s="4">
        <v>41833</v>
      </c>
      <c r="L2272">
        <f t="shared" si="35"/>
        <v>2.9000000000000004</v>
      </c>
    </row>
    <row r="2273" spans="1:12" x14ac:dyDescent="0.15">
      <c r="A2273" s="1">
        <v>2272</v>
      </c>
      <c r="B2273" s="4">
        <v>41102</v>
      </c>
      <c r="C2273" s="1" t="s">
        <v>19</v>
      </c>
      <c r="D2273" s="1" t="s">
        <v>27</v>
      </c>
      <c r="E2273" s="1">
        <v>0.67511574074074077</v>
      </c>
      <c r="F2273" s="1" t="s">
        <v>13</v>
      </c>
      <c r="G2273" s="1">
        <v>3.24</v>
      </c>
      <c r="H2273" s="1">
        <v>3.34</v>
      </c>
      <c r="I2273" s="1">
        <v>0</v>
      </c>
      <c r="J2273" s="4">
        <v>41103</v>
      </c>
      <c r="K2273" s="4">
        <v>41377</v>
      </c>
      <c r="L2273">
        <f t="shared" si="35"/>
        <v>3.29</v>
      </c>
    </row>
    <row r="2274" spans="1:12" x14ac:dyDescent="0.15">
      <c r="A2274" s="1">
        <v>2273</v>
      </c>
      <c r="B2274" s="4">
        <v>41102</v>
      </c>
      <c r="C2274" s="1" t="s">
        <v>14</v>
      </c>
      <c r="D2274" s="1" t="s">
        <v>27</v>
      </c>
      <c r="E2274" s="1">
        <v>0.67512731481481481</v>
      </c>
      <c r="F2274" s="1" t="s">
        <v>13</v>
      </c>
      <c r="G2274" s="1">
        <v>3.14</v>
      </c>
      <c r="H2274" s="1">
        <v>3.24</v>
      </c>
      <c r="I2274" s="1">
        <v>0</v>
      </c>
      <c r="J2274" s="4">
        <v>41103</v>
      </c>
      <c r="K2274" s="4">
        <v>41468</v>
      </c>
      <c r="L2274">
        <f t="shared" si="35"/>
        <v>3.1900000000000004</v>
      </c>
    </row>
    <row r="2275" spans="1:12" x14ac:dyDescent="0.15">
      <c r="A2275" s="1">
        <v>2274</v>
      </c>
      <c r="B2275" s="4">
        <v>41102</v>
      </c>
      <c r="C2275" s="1" t="s">
        <v>16</v>
      </c>
      <c r="D2275" s="1" t="s">
        <v>27</v>
      </c>
      <c r="E2275" s="1">
        <v>0.67512731481481481</v>
      </c>
      <c r="F2275" s="1" t="s">
        <v>13</v>
      </c>
      <c r="G2275" s="1">
        <v>2.82</v>
      </c>
      <c r="H2275" s="1">
        <v>2.92</v>
      </c>
      <c r="I2275" s="1">
        <v>0</v>
      </c>
      <c r="J2275" s="4">
        <v>41103</v>
      </c>
      <c r="K2275" s="4">
        <v>42564</v>
      </c>
      <c r="L2275">
        <f t="shared" si="35"/>
        <v>2.87</v>
      </c>
    </row>
    <row r="2276" spans="1:12" x14ac:dyDescent="0.15">
      <c r="A2276" s="1">
        <v>2275</v>
      </c>
      <c r="B2276" s="4">
        <v>41102</v>
      </c>
      <c r="C2276" s="1" t="s">
        <v>25</v>
      </c>
      <c r="D2276" s="1" t="s">
        <v>27</v>
      </c>
      <c r="E2276" s="1">
        <v>0.67511574074074077</v>
      </c>
      <c r="F2276" s="1" t="s">
        <v>13</v>
      </c>
      <c r="G2276" s="1">
        <v>2.82</v>
      </c>
      <c r="H2276" s="1">
        <v>2.87</v>
      </c>
      <c r="I2276" s="1">
        <v>0</v>
      </c>
      <c r="J2276" s="4">
        <v>41103</v>
      </c>
      <c r="K2276" s="4">
        <v>42929</v>
      </c>
      <c r="L2276">
        <f t="shared" si="35"/>
        <v>2.8449999999999998</v>
      </c>
    </row>
    <row r="2277" spans="1:12" x14ac:dyDescent="0.15">
      <c r="A2277" s="1">
        <v>2276</v>
      </c>
      <c r="B2277" s="4">
        <v>41102</v>
      </c>
      <c r="C2277" s="1" t="s">
        <v>25</v>
      </c>
      <c r="D2277" s="1" t="s">
        <v>26</v>
      </c>
      <c r="E2277" s="1">
        <v>0.67467592592592596</v>
      </c>
      <c r="F2277" s="1" t="s">
        <v>13</v>
      </c>
      <c r="G2277" s="1">
        <v>2.9</v>
      </c>
      <c r="H2277" s="1">
        <v>3</v>
      </c>
      <c r="I2277" s="1">
        <v>0</v>
      </c>
      <c r="J2277" s="4">
        <v>41103</v>
      </c>
      <c r="K2277" s="4">
        <v>42929</v>
      </c>
      <c r="L2277">
        <f t="shared" si="35"/>
        <v>2.95</v>
      </c>
    </row>
    <row r="2278" spans="1:12" x14ac:dyDescent="0.15">
      <c r="A2278" s="1">
        <v>2277</v>
      </c>
      <c r="B2278" s="4">
        <v>41102</v>
      </c>
      <c r="C2278" s="1" t="s">
        <v>20</v>
      </c>
      <c r="D2278" s="1" t="s">
        <v>26</v>
      </c>
      <c r="E2278" s="1">
        <v>0.67467592592592596</v>
      </c>
      <c r="F2278" s="1" t="s">
        <v>13</v>
      </c>
      <c r="G2278" s="1">
        <v>2.9</v>
      </c>
      <c r="H2278" s="1">
        <v>3</v>
      </c>
      <c r="I2278" s="1">
        <v>0</v>
      </c>
      <c r="J2278" s="4">
        <v>41103</v>
      </c>
      <c r="K2278" s="4">
        <v>44755</v>
      </c>
      <c r="L2278">
        <f t="shared" si="35"/>
        <v>2.95</v>
      </c>
    </row>
    <row r="2279" spans="1:12" x14ac:dyDescent="0.15">
      <c r="A2279" s="1">
        <v>2278</v>
      </c>
      <c r="B2279" s="4">
        <v>41102</v>
      </c>
      <c r="C2279" s="1" t="s">
        <v>11</v>
      </c>
      <c r="D2279" s="1" t="s">
        <v>27</v>
      </c>
      <c r="E2279" s="1">
        <v>0.67511574074074077</v>
      </c>
      <c r="F2279" s="1" t="s">
        <v>13</v>
      </c>
      <c r="G2279" s="1">
        <v>2.82</v>
      </c>
      <c r="H2279" s="1">
        <v>2.87</v>
      </c>
      <c r="I2279" s="1">
        <v>0</v>
      </c>
      <c r="J2279" s="4">
        <v>41103</v>
      </c>
      <c r="K2279" s="4">
        <v>42198</v>
      </c>
      <c r="L2279">
        <f t="shared" si="35"/>
        <v>2.8449999999999998</v>
      </c>
    </row>
    <row r="2280" spans="1:12" x14ac:dyDescent="0.15">
      <c r="A2280" s="1">
        <v>2279</v>
      </c>
      <c r="B2280" s="4">
        <v>41102</v>
      </c>
      <c r="C2280" s="1" t="s">
        <v>22</v>
      </c>
      <c r="D2280" s="1" t="s">
        <v>27</v>
      </c>
      <c r="E2280" s="1">
        <v>0.67510416666666673</v>
      </c>
      <c r="F2280" s="1" t="s">
        <v>13</v>
      </c>
      <c r="G2280" s="1">
        <v>3.46</v>
      </c>
      <c r="H2280" s="1">
        <v>3.56</v>
      </c>
      <c r="I2280" s="1">
        <v>0</v>
      </c>
      <c r="J2280" s="4">
        <v>41103</v>
      </c>
      <c r="K2280" s="4">
        <v>41287</v>
      </c>
      <c r="L2280">
        <f t="shared" si="35"/>
        <v>3.51</v>
      </c>
    </row>
    <row r="2281" spans="1:12" x14ac:dyDescent="0.15">
      <c r="A2281" s="1">
        <v>2280</v>
      </c>
      <c r="B2281" s="4">
        <v>41102</v>
      </c>
      <c r="C2281" s="1" t="s">
        <v>11</v>
      </c>
      <c r="D2281" s="1" t="s">
        <v>38</v>
      </c>
      <c r="E2281" s="1">
        <v>0.66641203703703711</v>
      </c>
      <c r="F2281" s="1" t="s">
        <v>13</v>
      </c>
      <c r="G2281" s="1">
        <v>3.12</v>
      </c>
      <c r="H2281" s="1">
        <v>3.16</v>
      </c>
      <c r="I2281" s="1">
        <v>0</v>
      </c>
      <c r="J2281" s="4">
        <v>41103</v>
      </c>
      <c r="K2281" s="4">
        <v>42198</v>
      </c>
      <c r="L2281">
        <f t="shared" si="35"/>
        <v>3.14</v>
      </c>
    </row>
    <row r="2282" spans="1:12" x14ac:dyDescent="0.15">
      <c r="A2282" s="1">
        <v>2281</v>
      </c>
      <c r="B2282" s="4">
        <v>41102</v>
      </c>
      <c r="C2282" s="1" t="s">
        <v>18</v>
      </c>
      <c r="D2282" s="1" t="s">
        <v>38</v>
      </c>
      <c r="E2282" s="1">
        <v>0.66641203703703711</v>
      </c>
      <c r="F2282" s="1" t="s">
        <v>13</v>
      </c>
      <c r="G2282" s="1">
        <v>3.14</v>
      </c>
      <c r="H2282" s="1">
        <v>3.18</v>
      </c>
      <c r="I2282" s="1">
        <v>0</v>
      </c>
      <c r="J2282" s="4">
        <v>41103</v>
      </c>
      <c r="K2282" s="4">
        <v>41833</v>
      </c>
      <c r="L2282">
        <f t="shared" si="35"/>
        <v>3.16</v>
      </c>
    </row>
    <row r="2283" spans="1:12" x14ac:dyDescent="0.15">
      <c r="A2283" s="1">
        <v>2282</v>
      </c>
      <c r="B2283" s="4">
        <v>41102</v>
      </c>
      <c r="C2283" s="1" t="s">
        <v>25</v>
      </c>
      <c r="D2283" s="1" t="s">
        <v>38</v>
      </c>
      <c r="E2283" s="1">
        <v>0.66641203703703711</v>
      </c>
      <c r="F2283" s="1" t="s">
        <v>13</v>
      </c>
      <c r="G2283" s="1">
        <v>3.12</v>
      </c>
      <c r="H2283" s="1">
        <v>3.16</v>
      </c>
      <c r="I2283" s="1">
        <v>0</v>
      </c>
      <c r="J2283" s="4">
        <v>41103</v>
      </c>
      <c r="K2283" s="4">
        <v>42929</v>
      </c>
      <c r="L2283">
        <f t="shared" si="35"/>
        <v>3.14</v>
      </c>
    </row>
    <row r="2284" spans="1:12" x14ac:dyDescent="0.15">
      <c r="A2284" s="1">
        <v>2283</v>
      </c>
      <c r="B2284" s="4">
        <v>41102</v>
      </c>
      <c r="C2284" s="1" t="s">
        <v>16</v>
      </c>
      <c r="D2284" s="1" t="s">
        <v>38</v>
      </c>
      <c r="E2284" s="1">
        <v>0.66641203703703711</v>
      </c>
      <c r="F2284" s="1" t="s">
        <v>13</v>
      </c>
      <c r="G2284" s="1">
        <v>3.12</v>
      </c>
      <c r="H2284" s="1">
        <v>3.16</v>
      </c>
      <c r="I2284" s="1">
        <v>0</v>
      </c>
      <c r="J2284" s="4">
        <v>41103</v>
      </c>
      <c r="K2284" s="4">
        <v>42564</v>
      </c>
      <c r="L2284">
        <f t="shared" si="35"/>
        <v>3.14</v>
      </c>
    </row>
    <row r="2285" spans="1:12" x14ac:dyDescent="0.15">
      <c r="A2285" s="1">
        <v>2284</v>
      </c>
      <c r="B2285" s="4">
        <v>41102</v>
      </c>
      <c r="C2285" s="1" t="s">
        <v>14</v>
      </c>
      <c r="D2285" s="1" t="s">
        <v>38</v>
      </c>
      <c r="E2285" s="1">
        <v>0.66641203703703711</v>
      </c>
      <c r="F2285" s="1" t="s">
        <v>13</v>
      </c>
      <c r="G2285" s="1">
        <v>3.3</v>
      </c>
      <c r="H2285" s="1">
        <v>3.34</v>
      </c>
      <c r="I2285" s="1">
        <v>0</v>
      </c>
      <c r="J2285" s="4">
        <v>41103</v>
      </c>
      <c r="K2285" s="4">
        <v>41468</v>
      </c>
      <c r="L2285">
        <f t="shared" si="35"/>
        <v>3.32</v>
      </c>
    </row>
    <row r="2286" spans="1:12" x14ac:dyDescent="0.15">
      <c r="A2286" s="1">
        <v>2285</v>
      </c>
      <c r="B2286" s="4">
        <v>41102</v>
      </c>
      <c r="C2286" s="1" t="s">
        <v>16</v>
      </c>
      <c r="D2286" s="1" t="s">
        <v>37</v>
      </c>
      <c r="E2286" s="1">
        <v>0.57446759259259261</v>
      </c>
      <c r="F2286" s="1" t="s">
        <v>13</v>
      </c>
      <c r="G2286" s="1">
        <v>2.9</v>
      </c>
      <c r="H2286" s="1">
        <v>2.99</v>
      </c>
      <c r="I2286" s="1">
        <v>0</v>
      </c>
      <c r="J2286" s="4">
        <v>41103</v>
      </c>
      <c r="K2286" s="4">
        <v>42564</v>
      </c>
      <c r="L2286">
        <f t="shared" si="35"/>
        <v>2.9450000000000003</v>
      </c>
    </row>
    <row r="2287" spans="1:12" x14ac:dyDescent="0.15">
      <c r="A2287" s="1">
        <v>2286</v>
      </c>
      <c r="B2287" s="4">
        <v>41102</v>
      </c>
      <c r="C2287" s="1" t="s">
        <v>25</v>
      </c>
      <c r="D2287" s="1" t="s">
        <v>37</v>
      </c>
      <c r="E2287" s="1">
        <v>0.57446759259259261</v>
      </c>
      <c r="F2287" s="1" t="s">
        <v>13</v>
      </c>
      <c r="G2287" s="1">
        <v>2.9</v>
      </c>
      <c r="H2287" s="1">
        <v>2.98</v>
      </c>
      <c r="I2287" s="1">
        <v>0</v>
      </c>
      <c r="J2287" s="4">
        <v>41103</v>
      </c>
      <c r="K2287" s="4">
        <v>42929</v>
      </c>
      <c r="L2287">
        <f t="shared" si="35"/>
        <v>2.94</v>
      </c>
    </row>
    <row r="2288" spans="1:12" x14ac:dyDescent="0.15">
      <c r="A2288" s="1">
        <v>2287</v>
      </c>
      <c r="B2288" s="4">
        <v>41102</v>
      </c>
      <c r="C2288" s="1" t="s">
        <v>22</v>
      </c>
      <c r="D2288" s="1" t="s">
        <v>37</v>
      </c>
      <c r="E2288" s="1">
        <v>0.57447916666666665</v>
      </c>
      <c r="F2288" s="1" t="s">
        <v>13</v>
      </c>
      <c r="G2288" s="1">
        <v>3.49</v>
      </c>
      <c r="H2288" s="1">
        <v>3.57</v>
      </c>
      <c r="I2288" s="1">
        <v>0</v>
      </c>
      <c r="J2288" s="4">
        <v>41103</v>
      </c>
      <c r="K2288" s="4">
        <v>41287</v>
      </c>
      <c r="L2288">
        <f t="shared" si="35"/>
        <v>3.5300000000000002</v>
      </c>
    </row>
    <row r="2289" spans="1:12" x14ac:dyDescent="0.15">
      <c r="A2289" s="1">
        <v>2288</v>
      </c>
      <c r="B2289" s="4">
        <v>41102</v>
      </c>
      <c r="C2289" s="1" t="s">
        <v>21</v>
      </c>
      <c r="D2289" s="1" t="s">
        <v>37</v>
      </c>
      <c r="E2289" s="1">
        <v>0.57446759259259261</v>
      </c>
      <c r="F2289" s="1" t="s">
        <v>13</v>
      </c>
      <c r="G2289" s="1">
        <v>2.96</v>
      </c>
      <c r="H2289" s="1">
        <v>3.07</v>
      </c>
      <c r="I2289" s="1">
        <v>0</v>
      </c>
      <c r="J2289" s="4">
        <v>41103</v>
      </c>
      <c r="K2289" s="4">
        <v>43659</v>
      </c>
      <c r="L2289">
        <f t="shared" si="35"/>
        <v>3.0149999999999997</v>
      </c>
    </row>
    <row r="2290" spans="1:12" x14ac:dyDescent="0.15">
      <c r="A2290" s="1">
        <v>2289</v>
      </c>
      <c r="B2290" s="4">
        <v>41102</v>
      </c>
      <c r="C2290" s="1" t="s">
        <v>21</v>
      </c>
      <c r="D2290" s="1" t="s">
        <v>38</v>
      </c>
      <c r="E2290" s="1">
        <v>0.66641203703703711</v>
      </c>
      <c r="F2290" s="1" t="s">
        <v>13</v>
      </c>
      <c r="G2290" s="1">
        <v>3.2</v>
      </c>
      <c r="H2290" s="1">
        <v>3.24</v>
      </c>
      <c r="I2290" s="1">
        <v>0</v>
      </c>
      <c r="J2290" s="4">
        <v>41103</v>
      </c>
      <c r="K2290" s="4">
        <v>43659</v>
      </c>
      <c r="L2290">
        <f t="shared" si="35"/>
        <v>3.22</v>
      </c>
    </row>
    <row r="2291" spans="1:12" x14ac:dyDescent="0.15">
      <c r="A2291" s="1">
        <v>2290</v>
      </c>
      <c r="B2291" s="4">
        <v>41102</v>
      </c>
      <c r="C2291" s="1" t="s">
        <v>19</v>
      </c>
      <c r="D2291" s="1" t="s">
        <v>15</v>
      </c>
      <c r="E2291" s="1">
        <v>0.66902777777777789</v>
      </c>
      <c r="F2291" s="1" t="s">
        <v>13</v>
      </c>
      <c r="G2291" s="1">
        <v>3.3</v>
      </c>
      <c r="H2291" s="1">
        <v>3.36</v>
      </c>
      <c r="I2291" s="1">
        <v>0</v>
      </c>
      <c r="J2291" s="4">
        <v>41103</v>
      </c>
      <c r="K2291" s="4">
        <v>41377</v>
      </c>
      <c r="L2291">
        <f t="shared" si="35"/>
        <v>3.33</v>
      </c>
    </row>
    <row r="2292" spans="1:12" x14ac:dyDescent="0.15">
      <c r="A2292" s="1">
        <v>2291</v>
      </c>
      <c r="B2292" s="4">
        <v>41102</v>
      </c>
      <c r="C2292" s="1" t="s">
        <v>25</v>
      </c>
      <c r="D2292" s="1" t="s">
        <v>15</v>
      </c>
      <c r="E2292" s="1">
        <v>0.66902777777777789</v>
      </c>
      <c r="F2292" s="1" t="s">
        <v>13</v>
      </c>
      <c r="G2292" s="1">
        <v>2.94</v>
      </c>
      <c r="H2292" s="1">
        <v>3</v>
      </c>
      <c r="I2292" s="1">
        <v>0</v>
      </c>
      <c r="J2292" s="4">
        <v>41103</v>
      </c>
      <c r="K2292" s="4">
        <v>42929</v>
      </c>
      <c r="L2292">
        <f t="shared" si="35"/>
        <v>2.9699999999999998</v>
      </c>
    </row>
    <row r="2293" spans="1:12" x14ac:dyDescent="0.15">
      <c r="A2293" s="1">
        <v>2292</v>
      </c>
      <c r="B2293" s="4">
        <v>41102</v>
      </c>
      <c r="C2293" s="1" t="s">
        <v>11</v>
      </c>
      <c r="D2293" s="1" t="s">
        <v>15</v>
      </c>
      <c r="E2293" s="1">
        <v>0.66903935185185182</v>
      </c>
      <c r="F2293" s="1" t="s">
        <v>13</v>
      </c>
      <c r="G2293" s="1">
        <v>2.94</v>
      </c>
      <c r="H2293" s="1">
        <v>3</v>
      </c>
      <c r="I2293" s="1">
        <v>0</v>
      </c>
      <c r="J2293" s="4">
        <v>41103</v>
      </c>
      <c r="K2293" s="4">
        <v>42198</v>
      </c>
      <c r="L2293">
        <f t="shared" si="35"/>
        <v>2.9699999999999998</v>
      </c>
    </row>
    <row r="2294" spans="1:12" x14ac:dyDescent="0.15">
      <c r="A2294" s="1">
        <v>2293</v>
      </c>
      <c r="B2294" s="4">
        <v>41102</v>
      </c>
      <c r="C2294" s="1" t="s">
        <v>18</v>
      </c>
      <c r="D2294" s="1" t="s">
        <v>15</v>
      </c>
      <c r="E2294" s="1">
        <v>0.66903935185185182</v>
      </c>
      <c r="F2294" s="1" t="s">
        <v>13</v>
      </c>
      <c r="G2294" s="1">
        <v>2.96</v>
      </c>
      <c r="H2294" s="1">
        <v>3.02</v>
      </c>
      <c r="I2294" s="1">
        <v>0</v>
      </c>
      <c r="J2294" s="4">
        <v>41103</v>
      </c>
      <c r="K2294" s="4">
        <v>41833</v>
      </c>
      <c r="L2294">
        <f t="shared" si="35"/>
        <v>2.99</v>
      </c>
    </row>
    <row r="2295" spans="1:12" x14ac:dyDescent="0.15">
      <c r="A2295" s="1">
        <v>2294</v>
      </c>
      <c r="B2295" s="4">
        <v>41102</v>
      </c>
      <c r="C2295" s="1" t="s">
        <v>21</v>
      </c>
      <c r="D2295" s="1" t="s">
        <v>15</v>
      </c>
      <c r="E2295" s="1">
        <v>0.66902777777777789</v>
      </c>
      <c r="F2295" s="1" t="s">
        <v>13</v>
      </c>
      <c r="G2295" s="1">
        <v>3.01</v>
      </c>
      <c r="H2295" s="1">
        <v>3.07</v>
      </c>
      <c r="I2295" s="1">
        <v>0</v>
      </c>
      <c r="J2295" s="4">
        <v>41103</v>
      </c>
      <c r="K2295" s="4">
        <v>43659</v>
      </c>
      <c r="L2295">
        <f t="shared" si="35"/>
        <v>3.04</v>
      </c>
    </row>
    <row r="2296" spans="1:12" x14ac:dyDescent="0.15">
      <c r="A2296" s="1">
        <v>2295</v>
      </c>
      <c r="B2296" s="4">
        <v>41102</v>
      </c>
      <c r="C2296" s="1" t="s">
        <v>22</v>
      </c>
      <c r="D2296" s="1" t="s">
        <v>38</v>
      </c>
      <c r="E2296" s="1">
        <v>0.66641203703703711</v>
      </c>
      <c r="F2296" s="1" t="s">
        <v>13</v>
      </c>
      <c r="G2296" s="1">
        <v>3.62</v>
      </c>
      <c r="H2296" s="1">
        <v>3.66</v>
      </c>
      <c r="I2296" s="1">
        <v>0</v>
      </c>
      <c r="J2296" s="4">
        <v>41103</v>
      </c>
      <c r="K2296" s="4">
        <v>41287</v>
      </c>
      <c r="L2296">
        <f t="shared" si="35"/>
        <v>3.64</v>
      </c>
    </row>
    <row r="2297" spans="1:12" x14ac:dyDescent="0.15">
      <c r="A2297" s="1">
        <v>2296</v>
      </c>
      <c r="B2297" s="4">
        <v>41102</v>
      </c>
      <c r="C2297" s="1" t="s">
        <v>20</v>
      </c>
      <c r="D2297" s="1" t="s">
        <v>38</v>
      </c>
      <c r="E2297" s="1">
        <v>0.66641203703703711</v>
      </c>
      <c r="F2297" s="1" t="s">
        <v>13</v>
      </c>
      <c r="G2297" s="1">
        <v>3.24</v>
      </c>
      <c r="H2297" s="1">
        <v>3.28</v>
      </c>
      <c r="I2297" s="1">
        <v>0</v>
      </c>
      <c r="J2297" s="4">
        <v>41103</v>
      </c>
      <c r="K2297" s="4">
        <v>44755</v>
      </c>
      <c r="L2297">
        <f t="shared" si="35"/>
        <v>3.26</v>
      </c>
    </row>
    <row r="2298" spans="1:12" x14ac:dyDescent="0.15">
      <c r="A2298" s="1">
        <v>2297</v>
      </c>
      <c r="B2298" s="4">
        <v>41102</v>
      </c>
      <c r="C2298" s="1" t="s">
        <v>22</v>
      </c>
      <c r="D2298" s="1" t="s">
        <v>15</v>
      </c>
      <c r="E2298" s="1">
        <v>0.66902777777777789</v>
      </c>
      <c r="F2298" s="1" t="s">
        <v>13</v>
      </c>
      <c r="G2298" s="1">
        <v>3.51</v>
      </c>
      <c r="H2298" s="1">
        <v>3.57</v>
      </c>
      <c r="I2298" s="1">
        <v>0</v>
      </c>
      <c r="J2298" s="4">
        <v>41103</v>
      </c>
      <c r="K2298" s="4">
        <v>41287</v>
      </c>
      <c r="L2298">
        <f t="shared" si="35"/>
        <v>3.54</v>
      </c>
    </row>
    <row r="2299" spans="1:12" x14ac:dyDescent="0.15">
      <c r="A2299" s="1">
        <v>2298</v>
      </c>
      <c r="B2299" s="4">
        <v>41102</v>
      </c>
      <c r="C2299" s="1" t="s">
        <v>19</v>
      </c>
      <c r="D2299" s="1" t="s">
        <v>38</v>
      </c>
      <c r="E2299" s="1">
        <v>0.66641203703703711</v>
      </c>
      <c r="F2299" s="1" t="s">
        <v>13</v>
      </c>
      <c r="G2299" s="1">
        <v>3.42</v>
      </c>
      <c r="H2299" s="1">
        <v>3.46</v>
      </c>
      <c r="I2299" s="1">
        <v>0</v>
      </c>
      <c r="J2299" s="4">
        <v>41103</v>
      </c>
      <c r="K2299" s="4">
        <v>41377</v>
      </c>
      <c r="L2299">
        <f t="shared" si="35"/>
        <v>3.44</v>
      </c>
    </row>
    <row r="2300" spans="1:12" x14ac:dyDescent="0.15">
      <c r="A2300" s="1">
        <v>2299</v>
      </c>
      <c r="B2300" s="4">
        <v>41101</v>
      </c>
      <c r="C2300" s="1" t="s">
        <v>22</v>
      </c>
      <c r="D2300" s="1" t="s">
        <v>30</v>
      </c>
      <c r="E2300" s="1">
        <v>0.48583333333333334</v>
      </c>
      <c r="F2300" s="1" t="s">
        <v>13</v>
      </c>
      <c r="G2300" s="1">
        <v>3.61</v>
      </c>
      <c r="H2300" s="1">
        <v>3.71</v>
      </c>
      <c r="I2300" s="1">
        <v>0</v>
      </c>
      <c r="J2300" s="4">
        <v>41102</v>
      </c>
      <c r="K2300" s="4">
        <v>41286</v>
      </c>
      <c r="L2300">
        <f t="shared" si="35"/>
        <v>3.66</v>
      </c>
    </row>
    <row r="2301" spans="1:12" x14ac:dyDescent="0.15">
      <c r="A2301" s="1">
        <v>2300</v>
      </c>
      <c r="B2301" s="4">
        <v>41101</v>
      </c>
      <c r="C2301" s="1" t="s">
        <v>14</v>
      </c>
      <c r="D2301" s="1" t="s">
        <v>27</v>
      </c>
      <c r="E2301" s="1">
        <v>0.48550925925925931</v>
      </c>
      <c r="F2301" s="1" t="s">
        <v>13</v>
      </c>
      <c r="G2301" s="1">
        <v>3.27</v>
      </c>
      <c r="H2301" s="1">
        <v>3.34</v>
      </c>
      <c r="I2301" s="1">
        <v>0</v>
      </c>
      <c r="J2301" s="4">
        <v>41102</v>
      </c>
      <c r="K2301" s="4">
        <v>41467</v>
      </c>
      <c r="L2301">
        <f t="shared" si="35"/>
        <v>3.3049999999999997</v>
      </c>
    </row>
    <row r="2302" spans="1:12" x14ac:dyDescent="0.15">
      <c r="A2302" s="1">
        <v>2301</v>
      </c>
      <c r="B2302" s="4">
        <v>41101</v>
      </c>
      <c r="C2302" s="1" t="s">
        <v>16</v>
      </c>
      <c r="D2302" s="1" t="s">
        <v>30</v>
      </c>
      <c r="E2302" s="1">
        <v>0.48583333333333334</v>
      </c>
      <c r="F2302" s="1" t="s">
        <v>13</v>
      </c>
      <c r="G2302" s="1">
        <v>3.06</v>
      </c>
      <c r="H2302" s="1">
        <v>3.16</v>
      </c>
      <c r="I2302" s="1">
        <v>0</v>
      </c>
      <c r="J2302" s="4">
        <v>41102</v>
      </c>
      <c r="K2302" s="4">
        <v>42563</v>
      </c>
      <c r="L2302">
        <f t="shared" si="35"/>
        <v>3.1100000000000003</v>
      </c>
    </row>
    <row r="2303" spans="1:12" x14ac:dyDescent="0.15">
      <c r="A2303" s="1">
        <v>2302</v>
      </c>
      <c r="B2303" s="4">
        <v>41101</v>
      </c>
      <c r="C2303" s="1" t="s">
        <v>25</v>
      </c>
      <c r="D2303" s="1" t="s">
        <v>30</v>
      </c>
      <c r="E2303" s="1">
        <v>0.48583333333333334</v>
      </c>
      <c r="F2303" s="1" t="s">
        <v>13</v>
      </c>
      <c r="G2303" s="1">
        <v>3.06</v>
      </c>
      <c r="H2303" s="1">
        <v>3.16</v>
      </c>
      <c r="I2303" s="1">
        <v>0</v>
      </c>
      <c r="J2303" s="4">
        <v>41102</v>
      </c>
      <c r="K2303" s="4">
        <v>42928</v>
      </c>
      <c r="L2303">
        <f t="shared" si="35"/>
        <v>3.1100000000000003</v>
      </c>
    </row>
    <row r="2304" spans="1:12" x14ac:dyDescent="0.15">
      <c r="A2304" s="1">
        <v>2303</v>
      </c>
      <c r="B2304" s="4">
        <v>41101</v>
      </c>
      <c r="C2304" s="1" t="s">
        <v>16</v>
      </c>
      <c r="D2304" s="1" t="s">
        <v>27</v>
      </c>
      <c r="E2304" s="1">
        <v>0.48550925925925931</v>
      </c>
      <c r="F2304" s="1" t="s">
        <v>13</v>
      </c>
      <c r="G2304" s="1">
        <v>3.04</v>
      </c>
      <c r="H2304" s="1">
        <v>3.14</v>
      </c>
      <c r="I2304" s="1">
        <v>0</v>
      </c>
      <c r="J2304" s="4">
        <v>41102</v>
      </c>
      <c r="K2304" s="4">
        <v>42563</v>
      </c>
      <c r="L2304">
        <f t="shared" si="35"/>
        <v>3.09</v>
      </c>
    </row>
    <row r="2305" spans="1:12" x14ac:dyDescent="0.15">
      <c r="A2305" s="1">
        <v>2304</v>
      </c>
      <c r="B2305" s="4">
        <v>41101</v>
      </c>
      <c r="C2305" s="1" t="s">
        <v>22</v>
      </c>
      <c r="D2305" s="1" t="s">
        <v>27</v>
      </c>
      <c r="E2305" s="1">
        <v>0.48549768518518516</v>
      </c>
      <c r="F2305" s="1" t="s">
        <v>13</v>
      </c>
      <c r="G2305" s="1">
        <v>3.6</v>
      </c>
      <c r="H2305" s="1">
        <v>3.68</v>
      </c>
      <c r="I2305" s="1">
        <v>0</v>
      </c>
      <c r="J2305" s="4">
        <v>41102</v>
      </c>
      <c r="K2305" s="4">
        <v>41286</v>
      </c>
      <c r="L2305">
        <f t="shared" si="35"/>
        <v>3.64</v>
      </c>
    </row>
    <row r="2306" spans="1:12" x14ac:dyDescent="0.15">
      <c r="A2306" s="1">
        <v>2305</v>
      </c>
      <c r="B2306" s="4">
        <v>41101</v>
      </c>
      <c r="C2306" s="1" t="s">
        <v>18</v>
      </c>
      <c r="D2306" s="1" t="s">
        <v>27</v>
      </c>
      <c r="E2306" s="1">
        <v>0.48549768518518516</v>
      </c>
      <c r="F2306" s="1" t="s">
        <v>13</v>
      </c>
      <c r="G2306" s="1">
        <v>3.05</v>
      </c>
      <c r="H2306" s="1">
        <v>3.14</v>
      </c>
      <c r="I2306" s="1">
        <v>0</v>
      </c>
      <c r="J2306" s="4">
        <v>41102</v>
      </c>
      <c r="K2306" s="4">
        <v>41832</v>
      </c>
      <c r="L2306">
        <f t="shared" si="35"/>
        <v>3.0949999999999998</v>
      </c>
    </row>
    <row r="2307" spans="1:12" x14ac:dyDescent="0.15">
      <c r="A2307" s="1">
        <v>2306</v>
      </c>
      <c r="B2307" s="4">
        <v>41101</v>
      </c>
      <c r="C2307" s="1" t="s">
        <v>11</v>
      </c>
      <c r="D2307" s="1" t="s">
        <v>27</v>
      </c>
      <c r="E2307" s="1">
        <v>0.48550925925925931</v>
      </c>
      <c r="F2307" s="1" t="s">
        <v>13</v>
      </c>
      <c r="G2307" s="1">
        <v>3.04</v>
      </c>
      <c r="H2307" s="1">
        <v>3.14</v>
      </c>
      <c r="I2307" s="1">
        <v>0</v>
      </c>
      <c r="J2307" s="4">
        <v>41102</v>
      </c>
      <c r="K2307" s="4">
        <v>42197</v>
      </c>
      <c r="L2307">
        <f t="shared" ref="L2307:L2370" si="36">AVERAGE(G2307:H2307)</f>
        <v>3.09</v>
      </c>
    </row>
    <row r="2308" spans="1:12" x14ac:dyDescent="0.15">
      <c r="A2308" s="1">
        <v>2307</v>
      </c>
      <c r="B2308" s="4">
        <v>41101</v>
      </c>
      <c r="C2308" s="1" t="s">
        <v>25</v>
      </c>
      <c r="D2308" s="1" t="s">
        <v>27</v>
      </c>
      <c r="E2308" s="1">
        <v>0.48549768518518516</v>
      </c>
      <c r="F2308" s="1" t="s">
        <v>13</v>
      </c>
      <c r="G2308" s="1">
        <v>3.06</v>
      </c>
      <c r="H2308" s="1">
        <v>3.12</v>
      </c>
      <c r="I2308" s="1">
        <v>0</v>
      </c>
      <c r="J2308" s="4">
        <v>41102</v>
      </c>
      <c r="K2308" s="4">
        <v>42928</v>
      </c>
      <c r="L2308">
        <f t="shared" si="36"/>
        <v>3.09</v>
      </c>
    </row>
    <row r="2309" spans="1:12" x14ac:dyDescent="0.15">
      <c r="A2309" s="1">
        <v>2308</v>
      </c>
      <c r="B2309" s="4">
        <v>41101</v>
      </c>
      <c r="C2309" s="1" t="s">
        <v>11</v>
      </c>
      <c r="D2309" s="1" t="s">
        <v>30</v>
      </c>
      <c r="E2309" s="1">
        <v>0.48583333333333334</v>
      </c>
      <c r="F2309" s="1" t="s">
        <v>13</v>
      </c>
      <c r="G2309" s="1">
        <v>3.07</v>
      </c>
      <c r="H2309" s="1">
        <v>3.17</v>
      </c>
      <c r="I2309" s="1">
        <v>0</v>
      </c>
      <c r="J2309" s="4">
        <v>41102</v>
      </c>
      <c r="K2309" s="4">
        <v>42197</v>
      </c>
      <c r="L2309">
        <f t="shared" si="36"/>
        <v>3.12</v>
      </c>
    </row>
    <row r="2310" spans="1:12" x14ac:dyDescent="0.15">
      <c r="A2310" s="1">
        <v>2309</v>
      </c>
      <c r="B2310" s="4">
        <v>41101</v>
      </c>
      <c r="C2310" s="1" t="s">
        <v>19</v>
      </c>
      <c r="D2310" s="1" t="s">
        <v>15</v>
      </c>
      <c r="E2310" s="1">
        <v>0.49083333333333329</v>
      </c>
      <c r="F2310" s="1" t="s">
        <v>13</v>
      </c>
      <c r="G2310" s="1">
        <v>3.42</v>
      </c>
      <c r="H2310" s="1">
        <v>3.48</v>
      </c>
      <c r="I2310" s="1">
        <v>0</v>
      </c>
      <c r="J2310" s="4">
        <v>41102</v>
      </c>
      <c r="K2310" s="4">
        <v>41376</v>
      </c>
      <c r="L2310">
        <f t="shared" si="36"/>
        <v>3.45</v>
      </c>
    </row>
    <row r="2311" spans="1:12" x14ac:dyDescent="0.15">
      <c r="A2311" s="1">
        <v>2310</v>
      </c>
      <c r="B2311" s="4">
        <v>41101</v>
      </c>
      <c r="C2311" s="1" t="s">
        <v>25</v>
      </c>
      <c r="D2311" s="1" t="s">
        <v>15</v>
      </c>
      <c r="E2311" s="1">
        <v>0.49083333333333329</v>
      </c>
      <c r="F2311" s="1" t="s">
        <v>13</v>
      </c>
      <c r="G2311" s="1">
        <v>3.08</v>
      </c>
      <c r="H2311" s="1">
        <v>3.14</v>
      </c>
      <c r="I2311" s="1">
        <v>0</v>
      </c>
      <c r="J2311" s="4">
        <v>41102</v>
      </c>
      <c r="K2311" s="4">
        <v>42928</v>
      </c>
      <c r="L2311">
        <f t="shared" si="36"/>
        <v>3.1100000000000003</v>
      </c>
    </row>
    <row r="2312" spans="1:12" x14ac:dyDescent="0.15">
      <c r="A2312" s="1">
        <v>2311</v>
      </c>
      <c r="B2312" s="4">
        <v>41101</v>
      </c>
      <c r="C2312" s="1" t="s">
        <v>22</v>
      </c>
      <c r="D2312" s="1" t="s">
        <v>15</v>
      </c>
      <c r="E2312" s="1">
        <v>0.49083333333333329</v>
      </c>
      <c r="F2312" s="1" t="s">
        <v>13</v>
      </c>
      <c r="G2312" s="1">
        <v>3.63</v>
      </c>
      <c r="H2312" s="1">
        <v>3.69</v>
      </c>
      <c r="I2312" s="1">
        <v>0</v>
      </c>
      <c r="J2312" s="4">
        <v>41102</v>
      </c>
      <c r="K2312" s="4">
        <v>41286</v>
      </c>
      <c r="L2312">
        <f t="shared" si="36"/>
        <v>3.66</v>
      </c>
    </row>
    <row r="2313" spans="1:12" x14ac:dyDescent="0.15">
      <c r="A2313" s="1">
        <v>2312</v>
      </c>
      <c r="B2313" s="4">
        <v>41101</v>
      </c>
      <c r="C2313" s="1" t="s">
        <v>18</v>
      </c>
      <c r="D2313" s="1" t="s">
        <v>15</v>
      </c>
      <c r="E2313" s="1">
        <v>0.49083333333333329</v>
      </c>
      <c r="F2313" s="1" t="s">
        <v>13</v>
      </c>
      <c r="G2313" s="1">
        <v>3.09</v>
      </c>
      <c r="H2313" s="1">
        <v>3.15</v>
      </c>
      <c r="I2313" s="1">
        <v>0</v>
      </c>
      <c r="J2313" s="4">
        <v>41102</v>
      </c>
      <c r="K2313" s="4">
        <v>41832</v>
      </c>
      <c r="L2313">
        <f t="shared" si="36"/>
        <v>3.12</v>
      </c>
    </row>
    <row r="2314" spans="1:12" x14ac:dyDescent="0.15">
      <c r="A2314" s="1">
        <v>2313</v>
      </c>
      <c r="B2314" s="4">
        <v>41101</v>
      </c>
      <c r="C2314" s="1" t="s">
        <v>20</v>
      </c>
      <c r="D2314" s="1" t="s">
        <v>30</v>
      </c>
      <c r="E2314" s="1">
        <v>0.48584490740740738</v>
      </c>
      <c r="F2314" s="1" t="s">
        <v>13</v>
      </c>
      <c r="G2314" s="1">
        <v>3.2</v>
      </c>
      <c r="H2314" s="1">
        <v>3.3</v>
      </c>
      <c r="I2314" s="1">
        <v>0</v>
      </c>
      <c r="J2314" s="4">
        <v>41102</v>
      </c>
      <c r="K2314" s="4">
        <v>44754</v>
      </c>
      <c r="L2314">
        <f t="shared" si="36"/>
        <v>3.25</v>
      </c>
    </row>
    <row r="2315" spans="1:12" x14ac:dyDescent="0.15">
      <c r="A2315" s="1">
        <v>2314</v>
      </c>
      <c r="B2315" s="4">
        <v>41101</v>
      </c>
      <c r="C2315" s="1" t="s">
        <v>14</v>
      </c>
      <c r="D2315" s="1" t="s">
        <v>30</v>
      </c>
      <c r="E2315" s="1">
        <v>0.48583333333333334</v>
      </c>
      <c r="F2315" s="1" t="s">
        <v>13</v>
      </c>
      <c r="G2315" s="1">
        <v>3.25</v>
      </c>
      <c r="H2315" s="1">
        <v>3.35</v>
      </c>
      <c r="I2315" s="1">
        <v>0</v>
      </c>
      <c r="J2315" s="4">
        <v>41102</v>
      </c>
      <c r="K2315" s="4">
        <v>41467</v>
      </c>
      <c r="L2315">
        <f t="shared" si="36"/>
        <v>3.3</v>
      </c>
    </row>
    <row r="2316" spans="1:12" x14ac:dyDescent="0.15">
      <c r="A2316" s="1">
        <v>2315</v>
      </c>
      <c r="B2316" s="4">
        <v>41101</v>
      </c>
      <c r="C2316" s="1" t="s">
        <v>18</v>
      </c>
      <c r="D2316" s="1" t="s">
        <v>30</v>
      </c>
      <c r="E2316" s="1">
        <v>0.48583333333333334</v>
      </c>
      <c r="F2316" s="1" t="s">
        <v>13</v>
      </c>
      <c r="G2316" s="1">
        <v>3.07</v>
      </c>
      <c r="H2316" s="1">
        <v>3.17</v>
      </c>
      <c r="I2316" s="1">
        <v>0</v>
      </c>
      <c r="J2316" s="4">
        <v>41102</v>
      </c>
      <c r="K2316" s="4">
        <v>41832</v>
      </c>
      <c r="L2316">
        <f t="shared" si="36"/>
        <v>3.12</v>
      </c>
    </row>
    <row r="2317" spans="1:12" x14ac:dyDescent="0.15">
      <c r="A2317" s="1">
        <v>2316</v>
      </c>
      <c r="B2317" s="4">
        <v>41101</v>
      </c>
      <c r="C2317" s="1" t="s">
        <v>21</v>
      </c>
      <c r="D2317" s="1" t="s">
        <v>30</v>
      </c>
      <c r="E2317" s="1">
        <v>0.48583333333333334</v>
      </c>
      <c r="F2317" s="1" t="s">
        <v>13</v>
      </c>
      <c r="G2317" s="1">
        <v>3.15</v>
      </c>
      <c r="H2317" s="1">
        <v>3.25</v>
      </c>
      <c r="I2317" s="1">
        <v>0</v>
      </c>
      <c r="J2317" s="4">
        <v>41102</v>
      </c>
      <c r="K2317" s="4">
        <v>43658</v>
      </c>
      <c r="L2317">
        <f t="shared" si="36"/>
        <v>3.2</v>
      </c>
    </row>
    <row r="2318" spans="1:12" x14ac:dyDescent="0.15">
      <c r="A2318" s="1">
        <v>2317</v>
      </c>
      <c r="B2318" s="4">
        <v>41101</v>
      </c>
      <c r="C2318" s="1" t="s">
        <v>19</v>
      </c>
      <c r="D2318" s="1" t="s">
        <v>30</v>
      </c>
      <c r="E2318" s="1">
        <v>0.48583333333333334</v>
      </c>
      <c r="F2318" s="1" t="s">
        <v>13</v>
      </c>
      <c r="G2318" s="1">
        <v>3.4</v>
      </c>
      <c r="H2318" s="1">
        <v>3.5</v>
      </c>
      <c r="I2318" s="1">
        <v>0</v>
      </c>
      <c r="J2318" s="4">
        <v>41102</v>
      </c>
      <c r="K2318" s="4">
        <v>41376</v>
      </c>
      <c r="L2318">
        <f t="shared" si="36"/>
        <v>3.45</v>
      </c>
    </row>
    <row r="2319" spans="1:12" x14ac:dyDescent="0.15">
      <c r="A2319" s="1">
        <v>2318</v>
      </c>
      <c r="B2319" s="4">
        <v>41101</v>
      </c>
      <c r="C2319" s="1" t="s">
        <v>18</v>
      </c>
      <c r="D2319" s="1" t="s">
        <v>39</v>
      </c>
      <c r="E2319" s="1">
        <v>0.47818287037037038</v>
      </c>
      <c r="F2319" s="1" t="s">
        <v>13</v>
      </c>
      <c r="G2319" s="1">
        <v>3.07</v>
      </c>
      <c r="H2319" s="1">
        <v>3.13</v>
      </c>
      <c r="I2319" s="1">
        <v>0</v>
      </c>
      <c r="J2319" s="4">
        <v>41102</v>
      </c>
      <c r="K2319" s="4">
        <v>41832</v>
      </c>
      <c r="L2319">
        <f t="shared" si="36"/>
        <v>3.0999999999999996</v>
      </c>
    </row>
    <row r="2320" spans="1:12" x14ac:dyDescent="0.15">
      <c r="A2320" s="1">
        <v>2319</v>
      </c>
      <c r="B2320" s="4">
        <v>41101</v>
      </c>
      <c r="C2320" s="1" t="s">
        <v>14</v>
      </c>
      <c r="D2320" s="1" t="s">
        <v>39</v>
      </c>
      <c r="E2320" s="1">
        <v>0.47818287037037038</v>
      </c>
      <c r="F2320" s="1" t="s">
        <v>13</v>
      </c>
      <c r="G2320" s="1">
        <v>3.28</v>
      </c>
      <c r="H2320" s="1">
        <v>3.34</v>
      </c>
      <c r="I2320" s="1">
        <v>0</v>
      </c>
      <c r="J2320" s="4">
        <v>41102</v>
      </c>
      <c r="K2320" s="4">
        <v>41467</v>
      </c>
      <c r="L2320">
        <f t="shared" si="36"/>
        <v>3.3099999999999996</v>
      </c>
    </row>
    <row r="2321" spans="1:12" x14ac:dyDescent="0.15">
      <c r="A2321" s="1">
        <v>2320</v>
      </c>
      <c r="B2321" s="4">
        <v>41101</v>
      </c>
      <c r="C2321" s="1" t="s">
        <v>16</v>
      </c>
      <c r="D2321" s="1" t="s">
        <v>39</v>
      </c>
      <c r="E2321" s="1">
        <v>0.47818287037037038</v>
      </c>
      <c r="F2321" s="1" t="s">
        <v>13</v>
      </c>
      <c r="G2321" s="1">
        <v>3.05</v>
      </c>
      <c r="H2321" s="1">
        <v>3.13</v>
      </c>
      <c r="I2321" s="1">
        <v>0</v>
      </c>
      <c r="J2321" s="4">
        <v>41102</v>
      </c>
      <c r="K2321" s="4">
        <v>42563</v>
      </c>
      <c r="L2321">
        <f t="shared" si="36"/>
        <v>3.09</v>
      </c>
    </row>
    <row r="2322" spans="1:12" x14ac:dyDescent="0.15">
      <c r="A2322" s="1">
        <v>2321</v>
      </c>
      <c r="B2322" s="4">
        <v>41101</v>
      </c>
      <c r="C2322" s="1" t="s">
        <v>11</v>
      </c>
      <c r="D2322" s="1" t="s">
        <v>39</v>
      </c>
      <c r="E2322" s="1">
        <v>0.47818287037037038</v>
      </c>
      <c r="F2322" s="1" t="s">
        <v>13</v>
      </c>
      <c r="G2322" s="1">
        <v>3.05</v>
      </c>
      <c r="H2322" s="1">
        <v>3.13</v>
      </c>
      <c r="I2322" s="1">
        <v>0</v>
      </c>
      <c r="J2322" s="4">
        <v>41102</v>
      </c>
      <c r="K2322" s="4">
        <v>42197</v>
      </c>
      <c r="L2322">
        <f t="shared" si="36"/>
        <v>3.09</v>
      </c>
    </row>
    <row r="2323" spans="1:12" x14ac:dyDescent="0.15">
      <c r="A2323" s="1">
        <v>2322</v>
      </c>
      <c r="B2323" s="4">
        <v>41101</v>
      </c>
      <c r="C2323" s="1" t="s">
        <v>19</v>
      </c>
      <c r="D2323" s="1" t="s">
        <v>39</v>
      </c>
      <c r="E2323" s="1">
        <v>0.47818287037037038</v>
      </c>
      <c r="F2323" s="1" t="s">
        <v>13</v>
      </c>
      <c r="G2323" s="1">
        <v>3.4</v>
      </c>
      <c r="H2323" s="1">
        <v>3.48</v>
      </c>
      <c r="I2323" s="1">
        <v>0</v>
      </c>
      <c r="J2323" s="4">
        <v>41102</v>
      </c>
      <c r="K2323" s="4">
        <v>41376</v>
      </c>
      <c r="L2323">
        <f t="shared" si="36"/>
        <v>3.44</v>
      </c>
    </row>
    <row r="2324" spans="1:12" x14ac:dyDescent="0.15">
      <c r="A2324" s="1">
        <v>2323</v>
      </c>
      <c r="B2324" s="4">
        <v>41101</v>
      </c>
      <c r="C2324" s="1" t="s">
        <v>21</v>
      </c>
      <c r="D2324" s="1" t="s">
        <v>39</v>
      </c>
      <c r="E2324" s="1">
        <v>0.47818287037037038</v>
      </c>
      <c r="F2324" s="1" t="s">
        <v>13</v>
      </c>
      <c r="G2324" s="1">
        <v>3.14</v>
      </c>
      <c r="H2324" s="1">
        <v>3.22</v>
      </c>
      <c r="I2324" s="1">
        <v>0</v>
      </c>
      <c r="J2324" s="4">
        <v>41102</v>
      </c>
      <c r="K2324" s="4">
        <v>43658</v>
      </c>
      <c r="L2324">
        <f t="shared" si="36"/>
        <v>3.18</v>
      </c>
    </row>
    <row r="2325" spans="1:12" x14ac:dyDescent="0.15">
      <c r="A2325" s="1">
        <v>2324</v>
      </c>
      <c r="B2325" s="4">
        <v>41101</v>
      </c>
      <c r="C2325" s="1" t="s">
        <v>25</v>
      </c>
      <c r="D2325" s="1" t="s">
        <v>39</v>
      </c>
      <c r="E2325" s="1">
        <v>0.47818287037037038</v>
      </c>
      <c r="F2325" s="1" t="s">
        <v>13</v>
      </c>
      <c r="G2325" s="1">
        <v>3.06</v>
      </c>
      <c r="H2325" s="1">
        <v>3.12</v>
      </c>
      <c r="I2325" s="1">
        <v>0</v>
      </c>
      <c r="J2325" s="4">
        <v>41102</v>
      </c>
      <c r="K2325" s="4">
        <v>42928</v>
      </c>
      <c r="L2325">
        <f t="shared" si="36"/>
        <v>3.09</v>
      </c>
    </row>
    <row r="2326" spans="1:12" x14ac:dyDescent="0.15">
      <c r="A2326" s="1">
        <v>2325</v>
      </c>
      <c r="B2326" s="4">
        <v>41101</v>
      </c>
      <c r="C2326" s="1" t="s">
        <v>22</v>
      </c>
      <c r="D2326" s="1" t="s">
        <v>39</v>
      </c>
      <c r="E2326" s="1">
        <v>0.47818287037037038</v>
      </c>
      <c r="F2326" s="1" t="s">
        <v>13</v>
      </c>
      <c r="G2326" s="1">
        <v>3.6</v>
      </c>
      <c r="H2326" s="1">
        <v>3.66</v>
      </c>
      <c r="I2326" s="1">
        <v>0</v>
      </c>
      <c r="J2326" s="4">
        <v>41102</v>
      </c>
      <c r="K2326" s="4">
        <v>41286</v>
      </c>
      <c r="L2326">
        <f t="shared" si="36"/>
        <v>3.63</v>
      </c>
    </row>
    <row r="2327" spans="1:12" x14ac:dyDescent="0.15">
      <c r="A2327" s="1">
        <v>2326</v>
      </c>
      <c r="B2327" s="4">
        <v>41101</v>
      </c>
      <c r="C2327" s="1" t="s">
        <v>20</v>
      </c>
      <c r="D2327" s="1" t="s">
        <v>39</v>
      </c>
      <c r="E2327" s="1">
        <v>0.47818287037037038</v>
      </c>
      <c r="F2327" s="1" t="s">
        <v>13</v>
      </c>
      <c r="G2327" s="1">
        <v>3.17</v>
      </c>
      <c r="H2327" s="1">
        <v>3.27</v>
      </c>
      <c r="I2327" s="1">
        <v>0</v>
      </c>
      <c r="J2327" s="4">
        <v>41102</v>
      </c>
      <c r="K2327" s="4">
        <v>44754</v>
      </c>
      <c r="L2327">
        <f t="shared" si="36"/>
        <v>3.2199999999999998</v>
      </c>
    </row>
    <row r="2328" spans="1:12" x14ac:dyDescent="0.15">
      <c r="A2328" s="1">
        <v>2327</v>
      </c>
      <c r="B2328" s="4">
        <v>41101</v>
      </c>
      <c r="C2328" s="1" t="s">
        <v>16</v>
      </c>
      <c r="D2328" s="1" t="s">
        <v>26</v>
      </c>
      <c r="E2328" s="1">
        <v>0.48253472222222221</v>
      </c>
      <c r="F2328" s="1" t="s">
        <v>13</v>
      </c>
      <c r="G2328" s="1">
        <v>3.15</v>
      </c>
      <c r="H2328" s="1">
        <v>3.2</v>
      </c>
      <c r="I2328" s="1">
        <v>0</v>
      </c>
      <c r="J2328" s="4">
        <v>41102</v>
      </c>
      <c r="K2328" s="4">
        <v>42563</v>
      </c>
      <c r="L2328">
        <f t="shared" si="36"/>
        <v>3.1749999999999998</v>
      </c>
    </row>
    <row r="2329" spans="1:12" x14ac:dyDescent="0.15">
      <c r="A2329" s="1">
        <v>2328</v>
      </c>
      <c r="B2329" s="4">
        <v>41101</v>
      </c>
      <c r="C2329" s="1" t="s">
        <v>22</v>
      </c>
      <c r="D2329" s="1" t="s">
        <v>26</v>
      </c>
      <c r="E2329" s="1">
        <v>0.48256944444444444</v>
      </c>
      <c r="F2329" s="1" t="s">
        <v>13</v>
      </c>
      <c r="G2329" s="1">
        <v>3.6</v>
      </c>
      <c r="H2329" s="1">
        <v>3.7</v>
      </c>
      <c r="I2329" s="1">
        <v>0</v>
      </c>
      <c r="J2329" s="4">
        <v>41102</v>
      </c>
      <c r="K2329" s="4">
        <v>41286</v>
      </c>
      <c r="L2329">
        <f t="shared" si="36"/>
        <v>3.6500000000000004</v>
      </c>
    </row>
    <row r="2330" spans="1:12" x14ac:dyDescent="0.15">
      <c r="A2330" s="1">
        <v>2329</v>
      </c>
      <c r="B2330" s="4">
        <v>41101</v>
      </c>
      <c r="C2330" s="1" t="s">
        <v>25</v>
      </c>
      <c r="D2330" s="1" t="s">
        <v>26</v>
      </c>
      <c r="E2330" s="1">
        <v>0.48255787037037035</v>
      </c>
      <c r="F2330" s="1" t="s">
        <v>13</v>
      </c>
      <c r="G2330" s="1">
        <v>3.15</v>
      </c>
      <c r="H2330" s="1">
        <v>3.2</v>
      </c>
      <c r="I2330" s="1">
        <v>0</v>
      </c>
      <c r="J2330" s="4">
        <v>41102</v>
      </c>
      <c r="K2330" s="4">
        <v>42928</v>
      </c>
      <c r="L2330">
        <f t="shared" si="36"/>
        <v>3.1749999999999998</v>
      </c>
    </row>
    <row r="2331" spans="1:12" x14ac:dyDescent="0.15">
      <c r="A2331" s="1">
        <v>2330</v>
      </c>
      <c r="B2331" s="4">
        <v>41101</v>
      </c>
      <c r="C2331" s="1" t="s">
        <v>19</v>
      </c>
      <c r="D2331" s="1" t="s">
        <v>27</v>
      </c>
      <c r="E2331" s="1">
        <v>0.48549768518518516</v>
      </c>
      <c r="F2331" s="1" t="s">
        <v>13</v>
      </c>
      <c r="G2331" s="1">
        <v>3.4</v>
      </c>
      <c r="H2331" s="1">
        <v>3.48</v>
      </c>
      <c r="I2331" s="1">
        <v>0</v>
      </c>
      <c r="J2331" s="4">
        <v>41102</v>
      </c>
      <c r="K2331" s="4">
        <v>41376</v>
      </c>
      <c r="L2331">
        <f t="shared" si="36"/>
        <v>3.44</v>
      </c>
    </row>
    <row r="2332" spans="1:12" x14ac:dyDescent="0.15">
      <c r="A2332" s="1">
        <v>2331</v>
      </c>
      <c r="B2332" s="4">
        <v>41101</v>
      </c>
      <c r="C2332" s="1" t="s">
        <v>18</v>
      </c>
      <c r="D2332" s="1" t="s">
        <v>26</v>
      </c>
      <c r="E2332" s="1">
        <v>0.48256944444444444</v>
      </c>
      <c r="F2332" s="1" t="s">
        <v>13</v>
      </c>
      <c r="G2332" s="1">
        <v>3.26</v>
      </c>
      <c r="H2332" s="1">
        <v>3.31</v>
      </c>
      <c r="I2332" s="1">
        <v>0</v>
      </c>
      <c r="J2332" s="4">
        <v>41102</v>
      </c>
      <c r="K2332" s="4">
        <v>41832</v>
      </c>
      <c r="L2332">
        <f t="shared" si="36"/>
        <v>3.2850000000000001</v>
      </c>
    </row>
    <row r="2333" spans="1:12" x14ac:dyDescent="0.15">
      <c r="A2333" s="1">
        <v>2332</v>
      </c>
      <c r="B2333" s="4">
        <v>41101</v>
      </c>
      <c r="C2333" s="1" t="s">
        <v>20</v>
      </c>
      <c r="D2333" s="1" t="s">
        <v>26</v>
      </c>
      <c r="E2333" s="1">
        <v>0.48255787037037035</v>
      </c>
      <c r="F2333" s="1" t="s">
        <v>13</v>
      </c>
      <c r="G2333" s="1">
        <v>3.15</v>
      </c>
      <c r="H2333" s="1">
        <v>3.2</v>
      </c>
      <c r="I2333" s="1">
        <v>0</v>
      </c>
      <c r="J2333" s="4">
        <v>41102</v>
      </c>
      <c r="K2333" s="4">
        <v>44754</v>
      </c>
      <c r="L2333">
        <f t="shared" si="36"/>
        <v>3.1749999999999998</v>
      </c>
    </row>
    <row r="2334" spans="1:12" x14ac:dyDescent="0.15">
      <c r="A2334" s="1">
        <v>2333</v>
      </c>
      <c r="B2334" s="4">
        <v>41101</v>
      </c>
      <c r="C2334" s="1" t="s">
        <v>19</v>
      </c>
      <c r="D2334" s="1" t="s">
        <v>26</v>
      </c>
      <c r="E2334" s="1">
        <v>0.48254629629629631</v>
      </c>
      <c r="F2334" s="1" t="s">
        <v>13</v>
      </c>
      <c r="G2334" s="1">
        <v>3.48</v>
      </c>
      <c r="H2334" s="1">
        <v>3.55</v>
      </c>
      <c r="I2334" s="1">
        <v>0</v>
      </c>
      <c r="J2334" s="4">
        <v>41102</v>
      </c>
      <c r="K2334" s="4">
        <v>41376</v>
      </c>
      <c r="L2334">
        <f t="shared" si="36"/>
        <v>3.5149999999999997</v>
      </c>
    </row>
    <row r="2335" spans="1:12" x14ac:dyDescent="0.15">
      <c r="A2335" s="1">
        <v>2334</v>
      </c>
      <c r="B2335" s="4">
        <v>41101</v>
      </c>
      <c r="C2335" s="1" t="s">
        <v>21</v>
      </c>
      <c r="D2335" s="1" t="s">
        <v>26</v>
      </c>
      <c r="E2335" s="1">
        <v>0.48253472222222221</v>
      </c>
      <c r="F2335" s="1" t="s">
        <v>13</v>
      </c>
      <c r="G2335" s="1">
        <v>3.15</v>
      </c>
      <c r="H2335" s="1">
        <v>3.2</v>
      </c>
      <c r="I2335" s="1">
        <v>0</v>
      </c>
      <c r="J2335" s="4">
        <v>41102</v>
      </c>
      <c r="K2335" s="4">
        <v>43658</v>
      </c>
      <c r="L2335">
        <f t="shared" si="36"/>
        <v>3.1749999999999998</v>
      </c>
    </row>
    <row r="2336" spans="1:12" x14ac:dyDescent="0.15">
      <c r="A2336" s="1">
        <v>2335</v>
      </c>
      <c r="B2336" s="4">
        <v>41101</v>
      </c>
      <c r="C2336" s="1" t="s">
        <v>14</v>
      </c>
      <c r="D2336" s="1" t="s">
        <v>26</v>
      </c>
      <c r="E2336" s="1">
        <v>0.48255787037037035</v>
      </c>
      <c r="F2336" s="1" t="s">
        <v>13</v>
      </c>
      <c r="G2336" s="1">
        <v>3.35</v>
      </c>
      <c r="H2336" s="1">
        <v>3.4</v>
      </c>
      <c r="I2336" s="1">
        <v>0</v>
      </c>
      <c r="J2336" s="4">
        <v>41102</v>
      </c>
      <c r="K2336" s="4">
        <v>41467</v>
      </c>
      <c r="L2336">
        <f t="shared" si="36"/>
        <v>3.375</v>
      </c>
    </row>
    <row r="2337" spans="1:12" x14ac:dyDescent="0.15">
      <c r="A2337" s="1">
        <v>2336</v>
      </c>
      <c r="B2337" s="4">
        <v>41101</v>
      </c>
      <c r="C2337" s="1" t="s">
        <v>11</v>
      </c>
      <c r="D2337" s="1" t="s">
        <v>26</v>
      </c>
      <c r="E2337" s="1">
        <v>0.48255787037037035</v>
      </c>
      <c r="F2337" s="1" t="s">
        <v>13</v>
      </c>
      <c r="G2337" s="1">
        <v>3.15</v>
      </c>
      <c r="H2337" s="1">
        <v>3.2</v>
      </c>
      <c r="I2337" s="1">
        <v>0</v>
      </c>
      <c r="J2337" s="4">
        <v>41102</v>
      </c>
      <c r="K2337" s="4">
        <v>42197</v>
      </c>
      <c r="L2337">
        <f t="shared" si="36"/>
        <v>3.1749999999999998</v>
      </c>
    </row>
    <row r="2338" spans="1:12" x14ac:dyDescent="0.15">
      <c r="A2338" s="1">
        <v>2337</v>
      </c>
      <c r="B2338" s="4">
        <v>41101</v>
      </c>
      <c r="C2338" s="1" t="s">
        <v>21</v>
      </c>
      <c r="D2338" s="1" t="s">
        <v>15</v>
      </c>
      <c r="E2338" s="1">
        <v>0.49083333333333329</v>
      </c>
      <c r="F2338" s="1" t="s">
        <v>13</v>
      </c>
      <c r="G2338" s="1">
        <v>3.17</v>
      </c>
      <c r="H2338" s="1">
        <v>3.23</v>
      </c>
      <c r="I2338" s="1">
        <v>0</v>
      </c>
      <c r="J2338" s="4">
        <v>41102</v>
      </c>
      <c r="K2338" s="4">
        <v>43658</v>
      </c>
      <c r="L2338">
        <f t="shared" si="36"/>
        <v>3.2</v>
      </c>
    </row>
    <row r="2339" spans="1:12" x14ac:dyDescent="0.15">
      <c r="A2339" s="1">
        <v>2338</v>
      </c>
      <c r="B2339" s="4">
        <v>41101</v>
      </c>
      <c r="C2339" s="1" t="s">
        <v>11</v>
      </c>
      <c r="D2339" s="1" t="s">
        <v>26</v>
      </c>
      <c r="E2339" s="1">
        <v>0.6746875</v>
      </c>
      <c r="F2339" s="1" t="s">
        <v>13</v>
      </c>
      <c r="G2339" s="1">
        <v>3.15</v>
      </c>
      <c r="H2339" s="1">
        <v>3.2</v>
      </c>
      <c r="I2339" s="1">
        <v>0</v>
      </c>
      <c r="J2339" s="4">
        <v>41102</v>
      </c>
      <c r="K2339" s="4">
        <v>42197</v>
      </c>
      <c r="L2339">
        <f t="shared" si="36"/>
        <v>3.1749999999999998</v>
      </c>
    </row>
    <row r="2340" spans="1:12" x14ac:dyDescent="0.15">
      <c r="A2340" s="1">
        <v>2339</v>
      </c>
      <c r="B2340" s="4">
        <v>41101</v>
      </c>
      <c r="C2340" s="1" t="s">
        <v>18</v>
      </c>
      <c r="D2340" s="1" t="s">
        <v>26</v>
      </c>
      <c r="E2340" s="1">
        <v>0.6746875</v>
      </c>
      <c r="F2340" s="1" t="s">
        <v>13</v>
      </c>
      <c r="G2340" s="1">
        <v>3.26</v>
      </c>
      <c r="H2340" s="1">
        <v>3.31</v>
      </c>
      <c r="I2340" s="1">
        <v>0</v>
      </c>
      <c r="J2340" s="4">
        <v>41102</v>
      </c>
      <c r="K2340" s="4">
        <v>41832</v>
      </c>
      <c r="L2340">
        <f t="shared" si="36"/>
        <v>3.2850000000000001</v>
      </c>
    </row>
    <row r="2341" spans="1:12" x14ac:dyDescent="0.15">
      <c r="A2341" s="1">
        <v>2340</v>
      </c>
      <c r="B2341" s="4">
        <v>41101</v>
      </c>
      <c r="C2341" s="1" t="s">
        <v>20</v>
      </c>
      <c r="D2341" s="1" t="s">
        <v>26</v>
      </c>
      <c r="E2341" s="1">
        <v>0.6746875</v>
      </c>
      <c r="F2341" s="1" t="s">
        <v>13</v>
      </c>
      <c r="G2341" s="1">
        <v>3.15</v>
      </c>
      <c r="H2341" s="1">
        <v>3.2</v>
      </c>
      <c r="I2341" s="1">
        <v>0</v>
      </c>
      <c r="J2341" s="4">
        <v>41102</v>
      </c>
      <c r="K2341" s="4">
        <v>44754</v>
      </c>
      <c r="L2341">
        <f t="shared" si="36"/>
        <v>3.1749999999999998</v>
      </c>
    </row>
    <row r="2342" spans="1:12" x14ac:dyDescent="0.15">
      <c r="A2342" s="1">
        <v>2341</v>
      </c>
      <c r="B2342" s="4">
        <v>41101</v>
      </c>
      <c r="C2342" s="1" t="s">
        <v>14</v>
      </c>
      <c r="D2342" s="1" t="s">
        <v>26</v>
      </c>
      <c r="E2342" s="1">
        <v>0.6746875</v>
      </c>
      <c r="F2342" s="1" t="s">
        <v>13</v>
      </c>
      <c r="G2342" s="1">
        <v>3.35</v>
      </c>
      <c r="H2342" s="1">
        <v>3.4</v>
      </c>
      <c r="I2342" s="1">
        <v>0</v>
      </c>
      <c r="J2342" s="4">
        <v>41102</v>
      </c>
      <c r="K2342" s="4">
        <v>41467</v>
      </c>
      <c r="L2342">
        <f t="shared" si="36"/>
        <v>3.375</v>
      </c>
    </row>
    <row r="2343" spans="1:12" x14ac:dyDescent="0.15">
      <c r="A2343" s="1">
        <v>2342</v>
      </c>
      <c r="B2343" s="4">
        <v>41101</v>
      </c>
      <c r="C2343" s="1" t="s">
        <v>22</v>
      </c>
      <c r="D2343" s="1" t="s">
        <v>26</v>
      </c>
      <c r="E2343" s="1">
        <v>0.6746875</v>
      </c>
      <c r="F2343" s="1" t="s">
        <v>13</v>
      </c>
      <c r="G2343" s="1">
        <v>3.6</v>
      </c>
      <c r="H2343" s="1">
        <v>3.7</v>
      </c>
      <c r="I2343" s="1">
        <v>0</v>
      </c>
      <c r="J2343" s="4">
        <v>41102</v>
      </c>
      <c r="K2343" s="4">
        <v>41286</v>
      </c>
      <c r="L2343">
        <f t="shared" si="36"/>
        <v>3.6500000000000004</v>
      </c>
    </row>
    <row r="2344" spans="1:12" x14ac:dyDescent="0.15">
      <c r="A2344" s="1">
        <v>2343</v>
      </c>
      <c r="B2344" s="4">
        <v>41101</v>
      </c>
      <c r="C2344" s="1" t="s">
        <v>16</v>
      </c>
      <c r="D2344" s="1" t="s">
        <v>26</v>
      </c>
      <c r="E2344" s="1">
        <v>0.67466435185185192</v>
      </c>
      <c r="F2344" s="1" t="s">
        <v>13</v>
      </c>
      <c r="G2344" s="1">
        <v>3.15</v>
      </c>
      <c r="H2344" s="1">
        <v>3.2</v>
      </c>
      <c r="I2344" s="1">
        <v>0</v>
      </c>
      <c r="J2344" s="4">
        <v>41102</v>
      </c>
      <c r="K2344" s="4">
        <v>42563</v>
      </c>
      <c r="L2344">
        <f t="shared" si="36"/>
        <v>3.1749999999999998</v>
      </c>
    </row>
    <row r="2345" spans="1:12" x14ac:dyDescent="0.15">
      <c r="A2345" s="1">
        <v>2344</v>
      </c>
      <c r="B2345" s="4">
        <v>41101</v>
      </c>
      <c r="C2345" s="1" t="s">
        <v>11</v>
      </c>
      <c r="D2345" s="1" t="s">
        <v>27</v>
      </c>
      <c r="E2345" s="1">
        <v>0.67126157407407405</v>
      </c>
      <c r="F2345" s="1" t="s">
        <v>13</v>
      </c>
      <c r="G2345" s="1">
        <v>3.01</v>
      </c>
      <c r="H2345" s="1">
        <v>3.07</v>
      </c>
      <c r="I2345" s="1">
        <v>0</v>
      </c>
      <c r="J2345" s="4">
        <v>41102</v>
      </c>
      <c r="K2345" s="4">
        <v>42197</v>
      </c>
      <c r="L2345">
        <f t="shared" si="36"/>
        <v>3.04</v>
      </c>
    </row>
    <row r="2346" spans="1:12" x14ac:dyDescent="0.15">
      <c r="A2346" s="1">
        <v>2345</v>
      </c>
      <c r="B2346" s="4">
        <v>41101</v>
      </c>
      <c r="C2346" s="1" t="s">
        <v>19</v>
      </c>
      <c r="D2346" s="1" t="s">
        <v>26</v>
      </c>
      <c r="E2346" s="1">
        <v>0.67467592592592596</v>
      </c>
      <c r="F2346" s="1" t="s">
        <v>13</v>
      </c>
      <c r="G2346" s="1">
        <v>3.48</v>
      </c>
      <c r="H2346" s="1">
        <v>3.55</v>
      </c>
      <c r="I2346" s="1">
        <v>0</v>
      </c>
      <c r="J2346" s="4">
        <v>41102</v>
      </c>
      <c r="K2346" s="4">
        <v>41376</v>
      </c>
      <c r="L2346">
        <f t="shared" si="36"/>
        <v>3.5149999999999997</v>
      </c>
    </row>
    <row r="2347" spans="1:12" x14ac:dyDescent="0.15">
      <c r="A2347" s="1">
        <v>2346</v>
      </c>
      <c r="B2347" s="4">
        <v>41101</v>
      </c>
      <c r="C2347" s="1" t="s">
        <v>21</v>
      </c>
      <c r="D2347" s="1" t="s">
        <v>26</v>
      </c>
      <c r="E2347" s="1">
        <v>0.67466435185185192</v>
      </c>
      <c r="F2347" s="1" t="s">
        <v>13</v>
      </c>
      <c r="G2347" s="1">
        <v>3.15</v>
      </c>
      <c r="H2347" s="1">
        <v>3.2</v>
      </c>
      <c r="I2347" s="1">
        <v>0</v>
      </c>
      <c r="J2347" s="4">
        <v>41102</v>
      </c>
      <c r="K2347" s="4">
        <v>43658</v>
      </c>
      <c r="L2347">
        <f t="shared" si="36"/>
        <v>3.1749999999999998</v>
      </c>
    </row>
    <row r="2348" spans="1:12" x14ac:dyDescent="0.15">
      <c r="A2348" s="1">
        <v>2347</v>
      </c>
      <c r="B2348" s="4">
        <v>41101</v>
      </c>
      <c r="C2348" s="1" t="s">
        <v>25</v>
      </c>
      <c r="D2348" s="1" t="s">
        <v>26</v>
      </c>
      <c r="E2348" s="1">
        <v>0.6746875</v>
      </c>
      <c r="F2348" s="1" t="s">
        <v>13</v>
      </c>
      <c r="G2348" s="1">
        <v>3.15</v>
      </c>
      <c r="H2348" s="1">
        <v>3.2</v>
      </c>
      <c r="I2348" s="1">
        <v>0</v>
      </c>
      <c r="J2348" s="4">
        <v>41102</v>
      </c>
      <c r="K2348" s="4">
        <v>42928</v>
      </c>
      <c r="L2348">
        <f t="shared" si="36"/>
        <v>3.1749999999999998</v>
      </c>
    </row>
    <row r="2349" spans="1:12" x14ac:dyDescent="0.15">
      <c r="A2349" s="1">
        <v>2348</v>
      </c>
      <c r="B2349" s="4">
        <v>41101</v>
      </c>
      <c r="C2349" s="1" t="s">
        <v>18</v>
      </c>
      <c r="D2349" s="1" t="s">
        <v>30</v>
      </c>
      <c r="E2349" s="1">
        <v>0.68184027777777778</v>
      </c>
      <c r="F2349" s="1" t="s">
        <v>13</v>
      </c>
      <c r="G2349" s="1">
        <v>3.02</v>
      </c>
      <c r="H2349" s="1">
        <v>3.12</v>
      </c>
      <c r="I2349" s="1">
        <v>0</v>
      </c>
      <c r="J2349" s="4">
        <v>41102</v>
      </c>
      <c r="K2349" s="4">
        <v>41832</v>
      </c>
      <c r="L2349">
        <f t="shared" si="36"/>
        <v>3.0700000000000003</v>
      </c>
    </row>
    <row r="2350" spans="1:12" x14ac:dyDescent="0.15">
      <c r="A2350" s="1">
        <v>2349</v>
      </c>
      <c r="B2350" s="4">
        <v>41101</v>
      </c>
      <c r="C2350" s="1" t="s">
        <v>11</v>
      </c>
      <c r="D2350" s="1" t="s">
        <v>30</v>
      </c>
      <c r="E2350" s="1">
        <v>0.68184027777777778</v>
      </c>
      <c r="F2350" s="1" t="s">
        <v>13</v>
      </c>
      <c r="G2350" s="1">
        <v>3</v>
      </c>
      <c r="H2350" s="1">
        <v>3.1</v>
      </c>
      <c r="I2350" s="1">
        <v>0</v>
      </c>
      <c r="J2350" s="4">
        <v>41102</v>
      </c>
      <c r="K2350" s="4">
        <v>42197</v>
      </c>
      <c r="L2350">
        <f t="shared" si="36"/>
        <v>3.05</v>
      </c>
    </row>
    <row r="2351" spans="1:12" x14ac:dyDescent="0.15">
      <c r="A2351" s="1">
        <v>2350</v>
      </c>
      <c r="B2351" s="4">
        <v>41101</v>
      </c>
      <c r="C2351" s="1" t="s">
        <v>20</v>
      </c>
      <c r="D2351" s="1" t="s">
        <v>30</v>
      </c>
      <c r="E2351" s="1">
        <v>0.68184027777777778</v>
      </c>
      <c r="F2351" s="1" t="s">
        <v>13</v>
      </c>
      <c r="G2351" s="1">
        <v>3.15</v>
      </c>
      <c r="H2351" s="1">
        <v>3.25</v>
      </c>
      <c r="I2351" s="1">
        <v>0</v>
      </c>
      <c r="J2351" s="4">
        <v>41102</v>
      </c>
      <c r="K2351" s="4">
        <v>44754</v>
      </c>
      <c r="L2351">
        <f t="shared" si="36"/>
        <v>3.2</v>
      </c>
    </row>
    <row r="2352" spans="1:12" x14ac:dyDescent="0.15">
      <c r="A2352" s="1">
        <v>2351</v>
      </c>
      <c r="B2352" s="4">
        <v>41101</v>
      </c>
      <c r="C2352" s="1" t="s">
        <v>14</v>
      </c>
      <c r="D2352" s="1" t="s">
        <v>30</v>
      </c>
      <c r="E2352" s="1">
        <v>0.68184027777777778</v>
      </c>
      <c r="F2352" s="1" t="s">
        <v>13</v>
      </c>
      <c r="G2352" s="1">
        <v>3.22</v>
      </c>
      <c r="H2352" s="1">
        <v>3.32</v>
      </c>
      <c r="I2352" s="1">
        <v>0</v>
      </c>
      <c r="J2352" s="4">
        <v>41102</v>
      </c>
      <c r="K2352" s="4">
        <v>41467</v>
      </c>
      <c r="L2352">
        <f t="shared" si="36"/>
        <v>3.27</v>
      </c>
    </row>
    <row r="2353" spans="1:12" x14ac:dyDescent="0.15">
      <c r="A2353" s="1">
        <v>2352</v>
      </c>
      <c r="B2353" s="4">
        <v>41101</v>
      </c>
      <c r="C2353" s="1" t="s">
        <v>16</v>
      </c>
      <c r="D2353" s="1" t="s">
        <v>30</v>
      </c>
      <c r="E2353" s="1">
        <v>0.68184027777777778</v>
      </c>
      <c r="F2353" s="1" t="s">
        <v>13</v>
      </c>
      <c r="G2353" s="1">
        <v>3</v>
      </c>
      <c r="H2353" s="1">
        <v>3.1</v>
      </c>
      <c r="I2353" s="1">
        <v>0</v>
      </c>
      <c r="J2353" s="4">
        <v>41102</v>
      </c>
      <c r="K2353" s="4">
        <v>42563</v>
      </c>
      <c r="L2353">
        <f t="shared" si="36"/>
        <v>3.05</v>
      </c>
    </row>
    <row r="2354" spans="1:12" x14ac:dyDescent="0.15">
      <c r="A2354" s="1">
        <v>2353</v>
      </c>
      <c r="B2354" s="4">
        <v>41101</v>
      </c>
      <c r="C2354" s="1" t="s">
        <v>21</v>
      </c>
      <c r="D2354" s="1" t="s">
        <v>30</v>
      </c>
      <c r="E2354" s="1">
        <v>0.68184027777777778</v>
      </c>
      <c r="F2354" s="1" t="s">
        <v>13</v>
      </c>
      <c r="G2354" s="1">
        <v>3.1</v>
      </c>
      <c r="H2354" s="1">
        <v>3.2</v>
      </c>
      <c r="I2354" s="1">
        <v>0</v>
      </c>
      <c r="J2354" s="4">
        <v>41102</v>
      </c>
      <c r="K2354" s="4">
        <v>43658</v>
      </c>
      <c r="L2354">
        <f t="shared" si="36"/>
        <v>3.1500000000000004</v>
      </c>
    </row>
    <row r="2355" spans="1:12" x14ac:dyDescent="0.15">
      <c r="A2355" s="1">
        <v>2354</v>
      </c>
      <c r="B2355" s="4">
        <v>41101</v>
      </c>
      <c r="C2355" s="1" t="s">
        <v>19</v>
      </c>
      <c r="D2355" s="1" t="s">
        <v>30</v>
      </c>
      <c r="E2355" s="1">
        <v>0.68184027777777778</v>
      </c>
      <c r="F2355" s="1" t="s">
        <v>13</v>
      </c>
      <c r="G2355" s="1">
        <v>3.35</v>
      </c>
      <c r="H2355" s="1">
        <v>3.45</v>
      </c>
      <c r="I2355" s="1">
        <v>0</v>
      </c>
      <c r="J2355" s="4">
        <v>41102</v>
      </c>
      <c r="K2355" s="4">
        <v>41376</v>
      </c>
      <c r="L2355">
        <f t="shared" si="36"/>
        <v>3.4000000000000004</v>
      </c>
    </row>
    <row r="2356" spans="1:12" x14ac:dyDescent="0.15">
      <c r="A2356" s="1">
        <v>2355</v>
      </c>
      <c r="B2356" s="4">
        <v>41101</v>
      </c>
      <c r="C2356" s="1" t="s">
        <v>25</v>
      </c>
      <c r="D2356" s="1" t="s">
        <v>30</v>
      </c>
      <c r="E2356" s="1">
        <v>0.68184027777777778</v>
      </c>
      <c r="F2356" s="1" t="s">
        <v>13</v>
      </c>
      <c r="G2356" s="1">
        <v>3</v>
      </c>
      <c r="H2356" s="1">
        <v>3.1</v>
      </c>
      <c r="I2356" s="1">
        <v>0</v>
      </c>
      <c r="J2356" s="4">
        <v>41102</v>
      </c>
      <c r="K2356" s="4">
        <v>42928</v>
      </c>
      <c r="L2356">
        <f t="shared" si="36"/>
        <v>3.05</v>
      </c>
    </row>
    <row r="2357" spans="1:12" x14ac:dyDescent="0.15">
      <c r="A2357" s="1">
        <v>2356</v>
      </c>
      <c r="B2357" s="4">
        <v>41101</v>
      </c>
      <c r="C2357" s="1" t="s">
        <v>22</v>
      </c>
      <c r="D2357" s="1" t="s">
        <v>30</v>
      </c>
      <c r="E2357" s="1">
        <v>0.68184027777777778</v>
      </c>
      <c r="F2357" s="1" t="s">
        <v>13</v>
      </c>
      <c r="G2357" s="1">
        <v>3.55</v>
      </c>
      <c r="H2357" s="1">
        <v>3.65</v>
      </c>
      <c r="I2357" s="1">
        <v>0</v>
      </c>
      <c r="J2357" s="4">
        <v>41102</v>
      </c>
      <c r="K2357" s="4">
        <v>41286</v>
      </c>
      <c r="L2357">
        <f t="shared" si="36"/>
        <v>3.5999999999999996</v>
      </c>
    </row>
    <row r="2358" spans="1:12" x14ac:dyDescent="0.15">
      <c r="A2358" s="1">
        <v>2357</v>
      </c>
      <c r="B2358" s="4">
        <v>41101</v>
      </c>
      <c r="C2358" s="1" t="s">
        <v>19</v>
      </c>
      <c r="D2358" s="1" t="s">
        <v>26</v>
      </c>
      <c r="E2358" s="1">
        <v>0.49444444444444446</v>
      </c>
      <c r="F2358" s="1" t="s">
        <v>13</v>
      </c>
      <c r="G2358" s="1">
        <v>3.48</v>
      </c>
      <c r="H2358" s="1">
        <v>3.55</v>
      </c>
      <c r="I2358" s="1">
        <v>0</v>
      </c>
      <c r="J2358" s="4">
        <v>41102</v>
      </c>
      <c r="K2358" s="4">
        <v>41376</v>
      </c>
      <c r="L2358">
        <f t="shared" si="36"/>
        <v>3.5149999999999997</v>
      </c>
    </row>
    <row r="2359" spans="1:12" x14ac:dyDescent="0.15">
      <c r="A2359" s="1">
        <v>2358</v>
      </c>
      <c r="B2359" s="4">
        <v>41101</v>
      </c>
      <c r="C2359" s="1" t="s">
        <v>21</v>
      </c>
      <c r="D2359" s="1" t="s">
        <v>26</v>
      </c>
      <c r="E2359" s="1">
        <v>0.49443287037037037</v>
      </c>
      <c r="F2359" s="1" t="s">
        <v>13</v>
      </c>
      <c r="G2359" s="1">
        <v>3.15</v>
      </c>
      <c r="H2359" s="1">
        <v>3.2</v>
      </c>
      <c r="I2359" s="1">
        <v>0</v>
      </c>
      <c r="J2359" s="4">
        <v>41102</v>
      </c>
      <c r="K2359" s="4">
        <v>43658</v>
      </c>
      <c r="L2359">
        <f t="shared" si="36"/>
        <v>3.1749999999999998</v>
      </c>
    </row>
    <row r="2360" spans="1:12" x14ac:dyDescent="0.15">
      <c r="A2360" s="1">
        <v>2359</v>
      </c>
      <c r="B2360" s="4">
        <v>41101</v>
      </c>
      <c r="C2360" s="1" t="s">
        <v>14</v>
      </c>
      <c r="D2360" s="1" t="s">
        <v>26</v>
      </c>
      <c r="E2360" s="1">
        <v>0.49444444444444446</v>
      </c>
      <c r="F2360" s="1" t="s">
        <v>13</v>
      </c>
      <c r="G2360" s="1">
        <v>3.35</v>
      </c>
      <c r="H2360" s="1">
        <v>3.4</v>
      </c>
      <c r="I2360" s="1">
        <v>0</v>
      </c>
      <c r="J2360" s="4">
        <v>41102</v>
      </c>
      <c r="K2360" s="4">
        <v>41467</v>
      </c>
      <c r="L2360">
        <f t="shared" si="36"/>
        <v>3.375</v>
      </c>
    </row>
    <row r="2361" spans="1:12" x14ac:dyDescent="0.15">
      <c r="A2361" s="1">
        <v>2360</v>
      </c>
      <c r="B2361" s="4">
        <v>41101</v>
      </c>
      <c r="C2361" s="1" t="s">
        <v>11</v>
      </c>
      <c r="D2361" s="1" t="s">
        <v>26</v>
      </c>
      <c r="E2361" s="1">
        <v>0.49444444444444446</v>
      </c>
      <c r="F2361" s="1" t="s">
        <v>13</v>
      </c>
      <c r="G2361" s="1">
        <v>3.15</v>
      </c>
      <c r="H2361" s="1">
        <v>3.2</v>
      </c>
      <c r="I2361" s="1">
        <v>0</v>
      </c>
      <c r="J2361" s="4">
        <v>41102</v>
      </c>
      <c r="K2361" s="4">
        <v>42197</v>
      </c>
      <c r="L2361">
        <f t="shared" si="36"/>
        <v>3.1749999999999998</v>
      </c>
    </row>
    <row r="2362" spans="1:12" x14ac:dyDescent="0.15">
      <c r="A2362" s="1">
        <v>2361</v>
      </c>
      <c r="B2362" s="4">
        <v>41101</v>
      </c>
      <c r="C2362" s="1" t="s">
        <v>16</v>
      </c>
      <c r="D2362" s="1" t="s">
        <v>26</v>
      </c>
      <c r="E2362" s="1">
        <v>0.49442129629629633</v>
      </c>
      <c r="F2362" s="1" t="s">
        <v>13</v>
      </c>
      <c r="G2362" s="1">
        <v>3.15</v>
      </c>
      <c r="H2362" s="1">
        <v>3.2</v>
      </c>
      <c r="I2362" s="1">
        <v>0</v>
      </c>
      <c r="J2362" s="4">
        <v>41102</v>
      </c>
      <c r="K2362" s="4">
        <v>42563</v>
      </c>
      <c r="L2362">
        <f t="shared" si="36"/>
        <v>3.1749999999999998</v>
      </c>
    </row>
    <row r="2363" spans="1:12" x14ac:dyDescent="0.15">
      <c r="A2363" s="1">
        <v>2362</v>
      </c>
      <c r="B2363" s="4">
        <v>41101</v>
      </c>
      <c r="C2363" s="1" t="s">
        <v>16</v>
      </c>
      <c r="D2363" s="1" t="s">
        <v>15</v>
      </c>
      <c r="E2363" s="1">
        <v>0.49084490740740744</v>
      </c>
      <c r="F2363" s="1" t="s">
        <v>13</v>
      </c>
      <c r="G2363" s="1">
        <v>3.08</v>
      </c>
      <c r="H2363" s="1">
        <v>3.14</v>
      </c>
      <c r="I2363" s="1">
        <v>0</v>
      </c>
      <c r="J2363" s="4">
        <v>41102</v>
      </c>
      <c r="K2363" s="4">
        <v>42563</v>
      </c>
      <c r="L2363">
        <f t="shared" si="36"/>
        <v>3.1100000000000003</v>
      </c>
    </row>
    <row r="2364" spans="1:12" x14ac:dyDescent="0.15">
      <c r="A2364" s="1">
        <v>2363</v>
      </c>
      <c r="B2364" s="4">
        <v>41101</v>
      </c>
      <c r="C2364" s="1" t="s">
        <v>11</v>
      </c>
      <c r="D2364" s="1" t="s">
        <v>15</v>
      </c>
      <c r="E2364" s="1">
        <v>0.49084490740740744</v>
      </c>
      <c r="F2364" s="1" t="s">
        <v>13</v>
      </c>
      <c r="G2364" s="1">
        <v>3.09</v>
      </c>
      <c r="H2364" s="1">
        <v>3.15</v>
      </c>
      <c r="I2364" s="1">
        <v>0</v>
      </c>
      <c r="J2364" s="4">
        <v>41102</v>
      </c>
      <c r="K2364" s="4">
        <v>42197</v>
      </c>
      <c r="L2364">
        <f t="shared" si="36"/>
        <v>3.12</v>
      </c>
    </row>
    <row r="2365" spans="1:12" x14ac:dyDescent="0.15">
      <c r="A2365" s="1">
        <v>2364</v>
      </c>
      <c r="B2365" s="4">
        <v>41101</v>
      </c>
      <c r="C2365" s="1" t="s">
        <v>14</v>
      </c>
      <c r="D2365" s="1" t="s">
        <v>15</v>
      </c>
      <c r="E2365" s="1">
        <v>0.49084490740740744</v>
      </c>
      <c r="F2365" s="1" t="s">
        <v>13</v>
      </c>
      <c r="G2365" s="1">
        <v>3.27</v>
      </c>
      <c r="H2365" s="1">
        <v>3.33</v>
      </c>
      <c r="I2365" s="1">
        <v>0</v>
      </c>
      <c r="J2365" s="4">
        <v>41102</v>
      </c>
      <c r="K2365" s="4">
        <v>41467</v>
      </c>
      <c r="L2365">
        <f t="shared" si="36"/>
        <v>3.3</v>
      </c>
    </row>
    <row r="2366" spans="1:12" x14ac:dyDescent="0.15">
      <c r="A2366" s="1">
        <v>2365</v>
      </c>
      <c r="B2366" s="4">
        <v>41101</v>
      </c>
      <c r="C2366" s="1" t="s">
        <v>20</v>
      </c>
      <c r="D2366" s="1" t="s">
        <v>15</v>
      </c>
      <c r="E2366" s="1">
        <v>0.49084490740740744</v>
      </c>
      <c r="F2366" s="1" t="s">
        <v>13</v>
      </c>
      <c r="G2366" s="1">
        <v>3.22</v>
      </c>
      <c r="H2366" s="1">
        <v>3.28</v>
      </c>
      <c r="I2366" s="1">
        <v>0</v>
      </c>
      <c r="J2366" s="4">
        <v>41102</v>
      </c>
      <c r="K2366" s="4">
        <v>44754</v>
      </c>
      <c r="L2366">
        <f t="shared" si="36"/>
        <v>3.25</v>
      </c>
    </row>
    <row r="2367" spans="1:12" x14ac:dyDescent="0.15">
      <c r="A2367" s="1">
        <v>2366</v>
      </c>
      <c r="B2367" s="4">
        <v>41101</v>
      </c>
      <c r="C2367" s="1" t="s">
        <v>20</v>
      </c>
      <c r="D2367" s="1" t="s">
        <v>26</v>
      </c>
      <c r="E2367" s="1">
        <v>0.49444444444444446</v>
      </c>
      <c r="F2367" s="1" t="s">
        <v>13</v>
      </c>
      <c r="G2367" s="1">
        <v>3.15</v>
      </c>
      <c r="H2367" s="1">
        <v>3.2</v>
      </c>
      <c r="I2367" s="1">
        <v>0</v>
      </c>
      <c r="J2367" s="4">
        <v>41102</v>
      </c>
      <c r="K2367" s="4">
        <v>44754</v>
      </c>
      <c r="L2367">
        <f t="shared" si="36"/>
        <v>3.1749999999999998</v>
      </c>
    </row>
    <row r="2368" spans="1:12" x14ac:dyDescent="0.15">
      <c r="A2368" s="1">
        <v>2367</v>
      </c>
      <c r="B2368" s="4">
        <v>41101</v>
      </c>
      <c r="C2368" s="1" t="s">
        <v>18</v>
      </c>
      <c r="D2368" s="1" t="s">
        <v>27</v>
      </c>
      <c r="E2368" s="1">
        <v>0.67125000000000001</v>
      </c>
      <c r="F2368" s="1" t="s">
        <v>13</v>
      </c>
      <c r="G2368" s="1">
        <v>3.03</v>
      </c>
      <c r="H2368" s="1">
        <v>3.13</v>
      </c>
      <c r="I2368" s="1">
        <v>0</v>
      </c>
      <c r="J2368" s="4">
        <v>41102</v>
      </c>
      <c r="K2368" s="4">
        <v>41832</v>
      </c>
      <c r="L2368">
        <f t="shared" si="36"/>
        <v>3.08</v>
      </c>
    </row>
    <row r="2369" spans="1:12" x14ac:dyDescent="0.15">
      <c r="A2369" s="1">
        <v>2368</v>
      </c>
      <c r="B2369" s="4">
        <v>41101</v>
      </c>
      <c r="C2369" s="1" t="s">
        <v>19</v>
      </c>
      <c r="D2369" s="1" t="s">
        <v>27</v>
      </c>
      <c r="E2369" s="1">
        <v>0.67123842592592586</v>
      </c>
      <c r="F2369" s="1" t="s">
        <v>13</v>
      </c>
      <c r="G2369" s="1">
        <v>3.37</v>
      </c>
      <c r="H2369" s="1">
        <v>3.45</v>
      </c>
      <c r="I2369" s="1">
        <v>0</v>
      </c>
      <c r="J2369" s="4">
        <v>41102</v>
      </c>
      <c r="K2369" s="4">
        <v>41376</v>
      </c>
      <c r="L2369">
        <f t="shared" si="36"/>
        <v>3.41</v>
      </c>
    </row>
    <row r="2370" spans="1:12" x14ac:dyDescent="0.15">
      <c r="A2370" s="1">
        <v>2369</v>
      </c>
      <c r="B2370" s="4">
        <v>41101</v>
      </c>
      <c r="C2370" s="1" t="s">
        <v>14</v>
      </c>
      <c r="D2370" s="1" t="s">
        <v>27</v>
      </c>
      <c r="E2370" s="1">
        <v>0.67126157407407405</v>
      </c>
      <c r="F2370" s="1" t="s">
        <v>13</v>
      </c>
      <c r="G2370" s="1">
        <v>3.25</v>
      </c>
      <c r="H2370" s="1">
        <v>3.33</v>
      </c>
      <c r="I2370" s="1">
        <v>0</v>
      </c>
      <c r="J2370" s="4">
        <v>41102</v>
      </c>
      <c r="K2370" s="4">
        <v>41467</v>
      </c>
      <c r="L2370">
        <f t="shared" si="36"/>
        <v>3.29</v>
      </c>
    </row>
    <row r="2371" spans="1:12" x14ac:dyDescent="0.15">
      <c r="A2371" s="1">
        <v>2370</v>
      </c>
      <c r="B2371" s="4">
        <v>41101</v>
      </c>
      <c r="C2371" s="1" t="s">
        <v>16</v>
      </c>
      <c r="D2371" s="1" t="s">
        <v>27</v>
      </c>
      <c r="E2371" s="1">
        <v>0.67126157407407405</v>
      </c>
      <c r="F2371" s="1" t="s">
        <v>13</v>
      </c>
      <c r="G2371" s="1">
        <v>3</v>
      </c>
      <c r="H2371" s="1">
        <v>3.09</v>
      </c>
      <c r="I2371" s="1">
        <v>0</v>
      </c>
      <c r="J2371" s="4">
        <v>41102</v>
      </c>
      <c r="K2371" s="4">
        <v>42563</v>
      </c>
      <c r="L2371">
        <f t="shared" ref="L2371:L2434" si="37">AVERAGE(G2371:H2371)</f>
        <v>3.0449999999999999</v>
      </c>
    </row>
    <row r="2372" spans="1:12" x14ac:dyDescent="0.15">
      <c r="A2372" s="1">
        <v>2371</v>
      </c>
      <c r="B2372" s="4">
        <v>41101</v>
      </c>
      <c r="C2372" s="1" t="s">
        <v>25</v>
      </c>
      <c r="D2372" s="1" t="s">
        <v>27</v>
      </c>
      <c r="E2372" s="1">
        <v>0.67123842592592586</v>
      </c>
      <c r="F2372" s="1" t="s">
        <v>13</v>
      </c>
      <c r="G2372" s="1">
        <v>3.01</v>
      </c>
      <c r="H2372" s="1">
        <v>3.06</v>
      </c>
      <c r="I2372" s="1">
        <v>0</v>
      </c>
      <c r="J2372" s="4">
        <v>41102</v>
      </c>
      <c r="K2372" s="4">
        <v>42928</v>
      </c>
      <c r="L2372">
        <f t="shared" si="37"/>
        <v>3.0350000000000001</v>
      </c>
    </row>
    <row r="2373" spans="1:12" x14ac:dyDescent="0.15">
      <c r="A2373" s="1">
        <v>2372</v>
      </c>
      <c r="B2373" s="4">
        <v>41101</v>
      </c>
      <c r="C2373" s="1" t="s">
        <v>22</v>
      </c>
      <c r="D2373" s="1" t="s">
        <v>26</v>
      </c>
      <c r="E2373" s="1">
        <v>0.4944560185185185</v>
      </c>
      <c r="F2373" s="1" t="s">
        <v>13</v>
      </c>
      <c r="G2373" s="1">
        <v>3.6</v>
      </c>
      <c r="H2373" s="1">
        <v>3.7</v>
      </c>
      <c r="I2373" s="1">
        <v>0</v>
      </c>
      <c r="J2373" s="4">
        <v>41102</v>
      </c>
      <c r="K2373" s="4">
        <v>41286</v>
      </c>
      <c r="L2373">
        <f t="shared" si="37"/>
        <v>3.6500000000000004</v>
      </c>
    </row>
    <row r="2374" spans="1:12" x14ac:dyDescent="0.15">
      <c r="A2374" s="1">
        <v>2373</v>
      </c>
      <c r="B2374" s="4">
        <v>41101</v>
      </c>
      <c r="C2374" s="1" t="s">
        <v>25</v>
      </c>
      <c r="D2374" s="1" t="s">
        <v>26</v>
      </c>
      <c r="E2374" s="1">
        <v>0.49444444444444446</v>
      </c>
      <c r="F2374" s="1" t="s">
        <v>13</v>
      </c>
      <c r="G2374" s="1">
        <v>3.15</v>
      </c>
      <c r="H2374" s="1">
        <v>3.2</v>
      </c>
      <c r="I2374" s="1">
        <v>0</v>
      </c>
      <c r="J2374" s="4">
        <v>41102</v>
      </c>
      <c r="K2374" s="4">
        <v>42928</v>
      </c>
      <c r="L2374">
        <f t="shared" si="37"/>
        <v>3.1749999999999998</v>
      </c>
    </row>
    <row r="2375" spans="1:12" x14ac:dyDescent="0.15">
      <c r="A2375" s="1">
        <v>2374</v>
      </c>
      <c r="B2375" s="4">
        <v>41101</v>
      </c>
      <c r="C2375" s="1" t="s">
        <v>22</v>
      </c>
      <c r="D2375" s="1" t="s">
        <v>27</v>
      </c>
      <c r="E2375" s="1">
        <v>0.67123842592592586</v>
      </c>
      <c r="F2375" s="1" t="s">
        <v>13</v>
      </c>
      <c r="G2375" s="1">
        <v>3.6</v>
      </c>
      <c r="H2375" s="1">
        <v>3.65</v>
      </c>
      <c r="I2375" s="1">
        <v>0</v>
      </c>
      <c r="J2375" s="4">
        <v>41102</v>
      </c>
      <c r="K2375" s="4">
        <v>41286</v>
      </c>
      <c r="L2375">
        <f t="shared" si="37"/>
        <v>3.625</v>
      </c>
    </row>
    <row r="2376" spans="1:12" x14ac:dyDescent="0.15">
      <c r="A2376" s="1">
        <v>2375</v>
      </c>
      <c r="B2376" s="4">
        <v>41101</v>
      </c>
      <c r="C2376" s="1" t="s">
        <v>18</v>
      </c>
      <c r="D2376" s="1" t="s">
        <v>26</v>
      </c>
      <c r="E2376" s="1">
        <v>0.4944560185185185</v>
      </c>
      <c r="F2376" s="1" t="s">
        <v>13</v>
      </c>
      <c r="G2376" s="1">
        <v>3.26</v>
      </c>
      <c r="H2376" s="1">
        <v>3.31</v>
      </c>
      <c r="I2376" s="1">
        <v>0</v>
      </c>
      <c r="J2376" s="4">
        <v>41102</v>
      </c>
      <c r="K2376" s="4">
        <v>41832</v>
      </c>
      <c r="L2376">
        <f t="shared" si="37"/>
        <v>3.2850000000000001</v>
      </c>
    </row>
    <row r="2377" spans="1:12" x14ac:dyDescent="0.15">
      <c r="A2377" s="1">
        <v>2376</v>
      </c>
      <c r="B2377" s="4">
        <v>41100</v>
      </c>
      <c r="C2377" s="1" t="s">
        <v>25</v>
      </c>
      <c r="D2377" s="1" t="s">
        <v>30</v>
      </c>
      <c r="E2377" s="1">
        <v>0.49621527777777774</v>
      </c>
      <c r="F2377" s="1" t="s">
        <v>13</v>
      </c>
      <c r="G2377" s="1">
        <v>3.1</v>
      </c>
      <c r="H2377" s="1">
        <v>3.2</v>
      </c>
      <c r="I2377" s="1">
        <v>0</v>
      </c>
      <c r="J2377" s="4">
        <v>41101</v>
      </c>
      <c r="K2377" s="4">
        <v>42927</v>
      </c>
      <c r="L2377">
        <f t="shared" si="37"/>
        <v>3.1500000000000004</v>
      </c>
    </row>
    <row r="2378" spans="1:12" x14ac:dyDescent="0.15">
      <c r="A2378" s="1">
        <v>2377</v>
      </c>
      <c r="B2378" s="4">
        <v>41100</v>
      </c>
      <c r="C2378" s="1" t="s">
        <v>22</v>
      </c>
      <c r="D2378" s="1" t="s">
        <v>30</v>
      </c>
      <c r="E2378" s="1">
        <v>0.49621527777777774</v>
      </c>
      <c r="F2378" s="1" t="s">
        <v>13</v>
      </c>
      <c r="G2378" s="1">
        <v>3.64</v>
      </c>
      <c r="H2378" s="1">
        <v>3.74</v>
      </c>
      <c r="I2378" s="1">
        <v>0</v>
      </c>
      <c r="J2378" s="4">
        <v>41101</v>
      </c>
      <c r="K2378" s="4">
        <v>41285</v>
      </c>
      <c r="L2378">
        <f t="shared" si="37"/>
        <v>3.6900000000000004</v>
      </c>
    </row>
    <row r="2379" spans="1:12" x14ac:dyDescent="0.15">
      <c r="A2379" s="1">
        <v>2378</v>
      </c>
      <c r="B2379" s="4">
        <v>41100</v>
      </c>
      <c r="C2379" s="1" t="s">
        <v>16</v>
      </c>
      <c r="D2379" s="1" t="s">
        <v>30</v>
      </c>
      <c r="E2379" s="1">
        <v>0.49621527777777774</v>
      </c>
      <c r="F2379" s="1" t="s">
        <v>13</v>
      </c>
      <c r="G2379" s="1">
        <v>3.1</v>
      </c>
      <c r="H2379" s="1">
        <v>3.2</v>
      </c>
      <c r="I2379" s="1">
        <v>0</v>
      </c>
      <c r="J2379" s="4">
        <v>41101</v>
      </c>
      <c r="K2379" s="4">
        <v>42562</v>
      </c>
      <c r="L2379">
        <f t="shared" si="37"/>
        <v>3.1500000000000004</v>
      </c>
    </row>
    <row r="2380" spans="1:12" x14ac:dyDescent="0.15">
      <c r="A2380" s="1">
        <v>2379</v>
      </c>
      <c r="B2380" s="4">
        <v>41100</v>
      </c>
      <c r="C2380" s="1" t="s">
        <v>18</v>
      </c>
      <c r="D2380" s="1" t="s">
        <v>30</v>
      </c>
      <c r="E2380" s="1">
        <v>0.49621527777777774</v>
      </c>
      <c r="F2380" s="1" t="s">
        <v>13</v>
      </c>
      <c r="G2380" s="1">
        <v>3.12</v>
      </c>
      <c r="H2380" s="1">
        <v>3.22</v>
      </c>
      <c r="I2380" s="1">
        <v>0</v>
      </c>
      <c r="J2380" s="4">
        <v>41101</v>
      </c>
      <c r="K2380" s="4">
        <v>41831</v>
      </c>
      <c r="L2380">
        <f t="shared" si="37"/>
        <v>3.17</v>
      </c>
    </row>
    <row r="2381" spans="1:12" x14ac:dyDescent="0.15">
      <c r="A2381" s="1">
        <v>2380</v>
      </c>
      <c r="B2381" s="4">
        <v>41100</v>
      </c>
      <c r="C2381" s="1" t="s">
        <v>11</v>
      </c>
      <c r="D2381" s="1" t="s">
        <v>30</v>
      </c>
      <c r="E2381" s="1">
        <v>0.49621527777777774</v>
      </c>
      <c r="F2381" s="1" t="s">
        <v>13</v>
      </c>
      <c r="G2381" s="1">
        <v>3.1</v>
      </c>
      <c r="H2381" s="1">
        <v>3.2</v>
      </c>
      <c r="I2381" s="1">
        <v>0</v>
      </c>
      <c r="J2381" s="4">
        <v>41101</v>
      </c>
      <c r="K2381" s="4">
        <v>42196</v>
      </c>
      <c r="L2381">
        <f t="shared" si="37"/>
        <v>3.1500000000000004</v>
      </c>
    </row>
    <row r="2382" spans="1:12" x14ac:dyDescent="0.15">
      <c r="A2382" s="1">
        <v>2381</v>
      </c>
      <c r="B2382" s="4">
        <v>41100</v>
      </c>
      <c r="C2382" s="1" t="s">
        <v>21</v>
      </c>
      <c r="D2382" s="1" t="s">
        <v>30</v>
      </c>
      <c r="E2382" s="1">
        <v>0.49621527777777774</v>
      </c>
      <c r="F2382" s="1" t="s">
        <v>13</v>
      </c>
      <c r="G2382" s="1">
        <v>3.17</v>
      </c>
      <c r="H2382" s="1">
        <v>3.27</v>
      </c>
      <c r="I2382" s="1">
        <v>0</v>
      </c>
      <c r="J2382" s="4">
        <v>41101</v>
      </c>
      <c r="K2382" s="4">
        <v>43657</v>
      </c>
      <c r="L2382">
        <f t="shared" si="37"/>
        <v>3.2199999999999998</v>
      </c>
    </row>
    <row r="2383" spans="1:12" x14ac:dyDescent="0.15">
      <c r="A2383" s="1">
        <v>2382</v>
      </c>
      <c r="B2383" s="4">
        <v>41100</v>
      </c>
      <c r="C2383" s="1" t="s">
        <v>25</v>
      </c>
      <c r="D2383" s="1" t="s">
        <v>26</v>
      </c>
      <c r="E2383" s="1">
        <v>0.48731481481481481</v>
      </c>
      <c r="F2383" s="1" t="s">
        <v>13</v>
      </c>
      <c r="G2383" s="1">
        <v>3.15</v>
      </c>
      <c r="H2383" s="1">
        <v>3.2</v>
      </c>
      <c r="I2383" s="1">
        <v>0</v>
      </c>
      <c r="J2383" s="4">
        <v>41101</v>
      </c>
      <c r="K2383" s="4">
        <v>42927</v>
      </c>
      <c r="L2383">
        <f t="shared" si="37"/>
        <v>3.1749999999999998</v>
      </c>
    </row>
    <row r="2384" spans="1:12" x14ac:dyDescent="0.15">
      <c r="A2384" s="1">
        <v>2383</v>
      </c>
      <c r="B2384" s="4">
        <v>41100</v>
      </c>
      <c r="C2384" s="1" t="s">
        <v>18</v>
      </c>
      <c r="D2384" s="1" t="s">
        <v>26</v>
      </c>
      <c r="E2384" s="1">
        <v>0.48731481481481481</v>
      </c>
      <c r="F2384" s="1" t="s">
        <v>13</v>
      </c>
      <c r="G2384" s="1">
        <v>3.26</v>
      </c>
      <c r="H2384" s="1">
        <v>3.31</v>
      </c>
      <c r="I2384" s="1">
        <v>0</v>
      </c>
      <c r="J2384" s="4">
        <v>41101</v>
      </c>
      <c r="K2384" s="4">
        <v>41831</v>
      </c>
      <c r="L2384">
        <f t="shared" si="37"/>
        <v>3.2850000000000001</v>
      </c>
    </row>
    <row r="2385" spans="1:12" x14ac:dyDescent="0.15">
      <c r="A2385" s="1">
        <v>2384</v>
      </c>
      <c r="B2385" s="4">
        <v>41100</v>
      </c>
      <c r="C2385" s="1" t="s">
        <v>22</v>
      </c>
      <c r="D2385" s="1" t="s">
        <v>26</v>
      </c>
      <c r="E2385" s="1">
        <v>0.48731481481481481</v>
      </c>
      <c r="F2385" s="1" t="s">
        <v>13</v>
      </c>
      <c r="G2385" s="1">
        <v>3.6</v>
      </c>
      <c r="H2385" s="1">
        <v>3.7</v>
      </c>
      <c r="I2385" s="1">
        <v>0</v>
      </c>
      <c r="J2385" s="4">
        <v>41101</v>
      </c>
      <c r="K2385" s="4">
        <v>41285</v>
      </c>
      <c r="L2385">
        <f t="shared" si="37"/>
        <v>3.6500000000000004</v>
      </c>
    </row>
    <row r="2386" spans="1:12" x14ac:dyDescent="0.15">
      <c r="A2386" s="1">
        <v>2385</v>
      </c>
      <c r="B2386" s="4">
        <v>41100</v>
      </c>
      <c r="C2386" s="1" t="s">
        <v>19</v>
      </c>
      <c r="D2386" s="1" t="s">
        <v>30</v>
      </c>
      <c r="E2386" s="1">
        <v>0.49621527777777774</v>
      </c>
      <c r="F2386" s="1" t="s">
        <v>13</v>
      </c>
      <c r="G2386" s="1">
        <v>3.42</v>
      </c>
      <c r="H2386" s="1">
        <v>3.52</v>
      </c>
      <c r="I2386" s="1">
        <v>0</v>
      </c>
      <c r="J2386" s="4">
        <v>41101</v>
      </c>
      <c r="K2386" s="4">
        <v>41375</v>
      </c>
      <c r="L2386">
        <f t="shared" si="37"/>
        <v>3.4699999999999998</v>
      </c>
    </row>
    <row r="2387" spans="1:12" x14ac:dyDescent="0.15">
      <c r="A2387" s="1">
        <v>2386</v>
      </c>
      <c r="B2387" s="4">
        <v>41100</v>
      </c>
      <c r="C2387" s="1" t="s">
        <v>20</v>
      </c>
      <c r="D2387" s="1" t="s">
        <v>30</v>
      </c>
      <c r="E2387" s="1">
        <v>0.49621527777777774</v>
      </c>
      <c r="F2387" s="1" t="s">
        <v>13</v>
      </c>
      <c r="G2387" s="1">
        <v>3.22</v>
      </c>
      <c r="H2387" s="1">
        <v>3.32</v>
      </c>
      <c r="I2387" s="1">
        <v>0</v>
      </c>
      <c r="J2387" s="4">
        <v>41101</v>
      </c>
      <c r="K2387" s="4">
        <v>44753</v>
      </c>
      <c r="L2387">
        <f t="shared" si="37"/>
        <v>3.27</v>
      </c>
    </row>
    <row r="2388" spans="1:12" x14ac:dyDescent="0.15">
      <c r="A2388" s="1">
        <v>2387</v>
      </c>
      <c r="B2388" s="4">
        <v>41100</v>
      </c>
      <c r="C2388" s="1" t="s">
        <v>16</v>
      </c>
      <c r="D2388" s="1" t="s">
        <v>15</v>
      </c>
      <c r="E2388" s="1">
        <v>0.4990046296296296</v>
      </c>
      <c r="F2388" s="1" t="s">
        <v>13</v>
      </c>
      <c r="G2388" s="1">
        <v>3.12</v>
      </c>
      <c r="H2388" s="1">
        <v>3.18</v>
      </c>
      <c r="I2388" s="1">
        <v>0</v>
      </c>
      <c r="J2388" s="4">
        <v>41101</v>
      </c>
      <c r="K2388" s="4">
        <v>42562</v>
      </c>
      <c r="L2388">
        <f t="shared" si="37"/>
        <v>3.1500000000000004</v>
      </c>
    </row>
    <row r="2389" spans="1:12" x14ac:dyDescent="0.15">
      <c r="A2389" s="1">
        <v>2388</v>
      </c>
      <c r="B2389" s="4">
        <v>41100</v>
      </c>
      <c r="C2389" s="1" t="s">
        <v>11</v>
      </c>
      <c r="D2389" s="1" t="s">
        <v>15</v>
      </c>
      <c r="E2389" s="1">
        <v>0.4990046296296296</v>
      </c>
      <c r="F2389" s="1" t="s">
        <v>13</v>
      </c>
      <c r="G2389" s="1">
        <v>3.12</v>
      </c>
      <c r="H2389" s="1">
        <v>3.18</v>
      </c>
      <c r="I2389" s="1">
        <v>0</v>
      </c>
      <c r="J2389" s="4">
        <v>41101</v>
      </c>
      <c r="K2389" s="4">
        <v>42196</v>
      </c>
      <c r="L2389">
        <f t="shared" si="37"/>
        <v>3.1500000000000004</v>
      </c>
    </row>
    <row r="2390" spans="1:12" x14ac:dyDescent="0.15">
      <c r="A2390" s="1">
        <v>2389</v>
      </c>
      <c r="B2390" s="4">
        <v>41100</v>
      </c>
      <c r="C2390" s="1" t="s">
        <v>20</v>
      </c>
      <c r="D2390" s="1" t="s">
        <v>15</v>
      </c>
      <c r="E2390" s="1">
        <v>0.4990046296296296</v>
      </c>
      <c r="F2390" s="1" t="s">
        <v>13</v>
      </c>
      <c r="G2390" s="1">
        <v>3.25</v>
      </c>
      <c r="H2390" s="1">
        <v>3.31</v>
      </c>
      <c r="I2390" s="1">
        <v>0</v>
      </c>
      <c r="J2390" s="4">
        <v>41101</v>
      </c>
      <c r="K2390" s="4">
        <v>44753</v>
      </c>
      <c r="L2390">
        <f t="shared" si="37"/>
        <v>3.2800000000000002</v>
      </c>
    </row>
    <row r="2391" spans="1:12" x14ac:dyDescent="0.15">
      <c r="A2391" s="1">
        <v>2390</v>
      </c>
      <c r="B2391" s="4">
        <v>41100</v>
      </c>
      <c r="C2391" s="1" t="s">
        <v>19</v>
      </c>
      <c r="D2391" s="1" t="s">
        <v>40</v>
      </c>
      <c r="E2391" s="1">
        <v>0.60614583333333327</v>
      </c>
      <c r="F2391" s="1" t="s">
        <v>13</v>
      </c>
      <c r="G2391" s="1">
        <v>3.49</v>
      </c>
      <c r="H2391" s="1">
        <v>3.55</v>
      </c>
      <c r="I2391" s="1">
        <v>0</v>
      </c>
      <c r="J2391" s="4">
        <v>41101</v>
      </c>
      <c r="K2391" s="4">
        <v>41375</v>
      </c>
      <c r="L2391">
        <f t="shared" si="37"/>
        <v>3.52</v>
      </c>
    </row>
    <row r="2392" spans="1:12" x14ac:dyDescent="0.15">
      <c r="A2392" s="1">
        <v>2391</v>
      </c>
      <c r="B2392" s="4">
        <v>41100</v>
      </c>
      <c r="C2392" s="1" t="s">
        <v>14</v>
      </c>
      <c r="D2392" s="1" t="s">
        <v>15</v>
      </c>
      <c r="E2392" s="1">
        <v>0.4990046296296296</v>
      </c>
      <c r="F2392" s="1" t="s">
        <v>13</v>
      </c>
      <c r="G2392" s="1">
        <v>3.31</v>
      </c>
      <c r="H2392" s="1">
        <v>3.37</v>
      </c>
      <c r="I2392" s="1">
        <v>0</v>
      </c>
      <c r="J2392" s="4">
        <v>41101</v>
      </c>
      <c r="K2392" s="4">
        <v>41466</v>
      </c>
      <c r="L2392">
        <f t="shared" si="37"/>
        <v>3.34</v>
      </c>
    </row>
    <row r="2393" spans="1:12" x14ac:dyDescent="0.15">
      <c r="A2393" s="1">
        <v>2392</v>
      </c>
      <c r="B2393" s="4">
        <v>41100</v>
      </c>
      <c r="C2393" s="1" t="s">
        <v>18</v>
      </c>
      <c r="D2393" s="1" t="s">
        <v>15</v>
      </c>
      <c r="E2393" s="1">
        <v>0.4990046296296296</v>
      </c>
      <c r="F2393" s="1" t="s">
        <v>13</v>
      </c>
      <c r="G2393" s="1">
        <v>3.15</v>
      </c>
      <c r="H2393" s="1">
        <v>3.21</v>
      </c>
      <c r="I2393" s="1">
        <v>0</v>
      </c>
      <c r="J2393" s="4">
        <v>41101</v>
      </c>
      <c r="K2393" s="4">
        <v>41831</v>
      </c>
      <c r="L2393">
        <f t="shared" si="37"/>
        <v>3.1799999999999997</v>
      </c>
    </row>
    <row r="2394" spans="1:12" x14ac:dyDescent="0.15">
      <c r="A2394" s="1">
        <v>2393</v>
      </c>
      <c r="B2394" s="4">
        <v>41100</v>
      </c>
      <c r="C2394" s="1" t="s">
        <v>22</v>
      </c>
      <c r="D2394" s="1" t="s">
        <v>15</v>
      </c>
      <c r="E2394" s="1">
        <v>0.49899305555555556</v>
      </c>
      <c r="F2394" s="1" t="s">
        <v>13</v>
      </c>
      <c r="G2394" s="1">
        <v>3.65</v>
      </c>
      <c r="H2394" s="1">
        <v>3.71</v>
      </c>
      <c r="I2394" s="1">
        <v>0</v>
      </c>
      <c r="J2394" s="4">
        <v>41101</v>
      </c>
      <c r="K2394" s="4">
        <v>41285</v>
      </c>
      <c r="L2394">
        <f t="shared" si="37"/>
        <v>3.6799999999999997</v>
      </c>
    </row>
    <row r="2395" spans="1:12" x14ac:dyDescent="0.15">
      <c r="A2395" s="1">
        <v>2394</v>
      </c>
      <c r="B2395" s="4">
        <v>41100</v>
      </c>
      <c r="C2395" s="1" t="s">
        <v>14</v>
      </c>
      <c r="D2395" s="1" t="s">
        <v>30</v>
      </c>
      <c r="E2395" s="1">
        <v>0.49621527777777774</v>
      </c>
      <c r="F2395" s="1" t="s">
        <v>13</v>
      </c>
      <c r="G2395" s="1">
        <v>3.28</v>
      </c>
      <c r="H2395" s="1">
        <v>3.38</v>
      </c>
      <c r="I2395" s="1">
        <v>0</v>
      </c>
      <c r="J2395" s="4">
        <v>41101</v>
      </c>
      <c r="K2395" s="4">
        <v>41466</v>
      </c>
      <c r="L2395">
        <f t="shared" si="37"/>
        <v>3.33</v>
      </c>
    </row>
    <row r="2396" spans="1:12" x14ac:dyDescent="0.15">
      <c r="A2396" s="1">
        <v>2395</v>
      </c>
      <c r="B2396" s="4">
        <v>41100</v>
      </c>
      <c r="C2396" s="1" t="s">
        <v>21</v>
      </c>
      <c r="D2396" s="1" t="s">
        <v>15</v>
      </c>
      <c r="E2396" s="1">
        <v>0.49899305555555556</v>
      </c>
      <c r="F2396" s="1" t="s">
        <v>13</v>
      </c>
      <c r="G2396" s="1">
        <v>3.19</v>
      </c>
      <c r="H2396" s="1">
        <v>3.25</v>
      </c>
      <c r="I2396" s="1">
        <v>0</v>
      </c>
      <c r="J2396" s="4">
        <v>41101</v>
      </c>
      <c r="K2396" s="4">
        <v>43657</v>
      </c>
      <c r="L2396">
        <f t="shared" si="37"/>
        <v>3.2199999999999998</v>
      </c>
    </row>
    <row r="2397" spans="1:12" x14ac:dyDescent="0.15">
      <c r="A2397" s="1">
        <v>2396</v>
      </c>
      <c r="B2397" s="4">
        <v>41100</v>
      </c>
      <c r="C2397" s="1" t="s">
        <v>19</v>
      </c>
      <c r="D2397" s="1" t="s">
        <v>15</v>
      </c>
      <c r="E2397" s="1">
        <v>0.4990046296296296</v>
      </c>
      <c r="F2397" s="1" t="s">
        <v>13</v>
      </c>
      <c r="G2397" s="1">
        <v>3.43</v>
      </c>
      <c r="H2397" s="1">
        <v>3.49</v>
      </c>
      <c r="I2397" s="1">
        <v>0</v>
      </c>
      <c r="J2397" s="4">
        <v>41101</v>
      </c>
      <c r="K2397" s="4">
        <v>41375</v>
      </c>
      <c r="L2397">
        <f t="shared" si="37"/>
        <v>3.46</v>
      </c>
    </row>
    <row r="2398" spans="1:12" x14ac:dyDescent="0.15">
      <c r="A2398" s="1">
        <v>2397</v>
      </c>
      <c r="B2398" s="4">
        <v>41100</v>
      </c>
      <c r="C2398" s="1" t="s">
        <v>25</v>
      </c>
      <c r="D2398" s="1" t="s">
        <v>15</v>
      </c>
      <c r="E2398" s="1">
        <v>0.49899305555555556</v>
      </c>
      <c r="F2398" s="1" t="s">
        <v>13</v>
      </c>
      <c r="G2398" s="1">
        <v>3.12</v>
      </c>
      <c r="H2398" s="1">
        <v>3.18</v>
      </c>
      <c r="I2398" s="1">
        <v>0</v>
      </c>
      <c r="J2398" s="4">
        <v>41101</v>
      </c>
      <c r="K2398" s="4">
        <v>42927</v>
      </c>
      <c r="L2398">
        <f t="shared" si="37"/>
        <v>3.1500000000000004</v>
      </c>
    </row>
    <row r="2399" spans="1:12" x14ac:dyDescent="0.15">
      <c r="A2399" s="1">
        <v>2398</v>
      </c>
      <c r="B2399" s="4">
        <v>41100</v>
      </c>
      <c r="C2399" s="1" t="s">
        <v>20</v>
      </c>
      <c r="D2399" s="1" t="s">
        <v>26</v>
      </c>
      <c r="E2399" s="1">
        <v>0.48280092592592588</v>
      </c>
      <c r="F2399" s="1" t="s">
        <v>13</v>
      </c>
      <c r="G2399" s="1">
        <v>3.15</v>
      </c>
      <c r="H2399" s="1">
        <v>3.2</v>
      </c>
      <c r="I2399" s="1">
        <v>0</v>
      </c>
      <c r="J2399" s="4">
        <v>41101</v>
      </c>
      <c r="K2399" s="4">
        <v>44753</v>
      </c>
      <c r="L2399">
        <f t="shared" si="37"/>
        <v>3.1749999999999998</v>
      </c>
    </row>
    <row r="2400" spans="1:12" x14ac:dyDescent="0.15">
      <c r="A2400" s="1">
        <v>2399</v>
      </c>
      <c r="B2400" s="4">
        <v>41100</v>
      </c>
      <c r="C2400" s="1" t="s">
        <v>14</v>
      </c>
      <c r="D2400" s="1" t="s">
        <v>26</v>
      </c>
      <c r="E2400" s="1">
        <v>0.48280092592592588</v>
      </c>
      <c r="F2400" s="1" t="s">
        <v>13</v>
      </c>
      <c r="G2400" s="1">
        <v>3.35</v>
      </c>
      <c r="H2400" s="1">
        <v>3.4</v>
      </c>
      <c r="I2400" s="1">
        <v>0</v>
      </c>
      <c r="J2400" s="4">
        <v>41101</v>
      </c>
      <c r="K2400" s="4">
        <v>41466</v>
      </c>
      <c r="L2400">
        <f t="shared" si="37"/>
        <v>3.375</v>
      </c>
    </row>
    <row r="2401" spans="1:12" x14ac:dyDescent="0.15">
      <c r="A2401" s="1">
        <v>2400</v>
      </c>
      <c r="B2401" s="4">
        <v>41100</v>
      </c>
      <c r="C2401" s="1" t="s">
        <v>25</v>
      </c>
      <c r="D2401" s="1" t="s">
        <v>26</v>
      </c>
      <c r="E2401" s="1">
        <v>0.48280092592592588</v>
      </c>
      <c r="F2401" s="1" t="s">
        <v>13</v>
      </c>
      <c r="G2401" s="1">
        <v>3.15</v>
      </c>
      <c r="H2401" s="1">
        <v>3.2</v>
      </c>
      <c r="I2401" s="1">
        <v>0</v>
      </c>
      <c r="J2401" s="4">
        <v>41101</v>
      </c>
      <c r="K2401" s="4">
        <v>42927</v>
      </c>
      <c r="L2401">
        <f t="shared" si="37"/>
        <v>3.1749999999999998</v>
      </c>
    </row>
    <row r="2402" spans="1:12" x14ac:dyDescent="0.15">
      <c r="A2402" s="1">
        <v>2401</v>
      </c>
      <c r="B2402" s="4">
        <v>41100</v>
      </c>
      <c r="C2402" s="1" t="s">
        <v>11</v>
      </c>
      <c r="D2402" s="1" t="s">
        <v>27</v>
      </c>
      <c r="E2402" s="1">
        <v>0.48700231481481482</v>
      </c>
      <c r="F2402" s="1" t="s">
        <v>13</v>
      </c>
      <c r="G2402" s="1">
        <v>3.11</v>
      </c>
      <c r="H2402" s="1">
        <v>3.21</v>
      </c>
      <c r="I2402" s="1">
        <v>0</v>
      </c>
      <c r="J2402" s="4">
        <v>41101</v>
      </c>
      <c r="K2402" s="4">
        <v>42196</v>
      </c>
      <c r="L2402">
        <f t="shared" si="37"/>
        <v>3.16</v>
      </c>
    </row>
    <row r="2403" spans="1:12" x14ac:dyDescent="0.15">
      <c r="A2403" s="1">
        <v>2402</v>
      </c>
      <c r="B2403" s="4">
        <v>41100</v>
      </c>
      <c r="C2403" s="1" t="s">
        <v>18</v>
      </c>
      <c r="D2403" s="1" t="s">
        <v>27</v>
      </c>
      <c r="E2403" s="1">
        <v>0.48700231481481482</v>
      </c>
      <c r="F2403" s="1" t="s">
        <v>13</v>
      </c>
      <c r="G2403" s="1">
        <v>3.15</v>
      </c>
      <c r="H2403" s="1">
        <v>3.25</v>
      </c>
      <c r="I2403" s="1">
        <v>0</v>
      </c>
      <c r="J2403" s="4">
        <v>41101</v>
      </c>
      <c r="K2403" s="4">
        <v>41831</v>
      </c>
      <c r="L2403">
        <f t="shared" si="37"/>
        <v>3.2</v>
      </c>
    </row>
    <row r="2404" spans="1:12" x14ac:dyDescent="0.15">
      <c r="A2404" s="1">
        <v>2403</v>
      </c>
      <c r="B2404" s="4">
        <v>41100</v>
      </c>
      <c r="C2404" s="1" t="s">
        <v>11</v>
      </c>
      <c r="D2404" s="1" t="s">
        <v>26</v>
      </c>
      <c r="E2404" s="1">
        <v>0.48280092592592588</v>
      </c>
      <c r="F2404" s="1" t="s">
        <v>13</v>
      </c>
      <c r="G2404" s="1">
        <v>3.15</v>
      </c>
      <c r="H2404" s="1">
        <v>3.2</v>
      </c>
      <c r="I2404" s="1">
        <v>0</v>
      </c>
      <c r="J2404" s="4">
        <v>41101</v>
      </c>
      <c r="K2404" s="4">
        <v>42196</v>
      </c>
      <c r="L2404">
        <f t="shared" si="37"/>
        <v>3.1749999999999998</v>
      </c>
    </row>
    <row r="2405" spans="1:12" x14ac:dyDescent="0.15">
      <c r="A2405" s="1">
        <v>2404</v>
      </c>
      <c r="B2405" s="4">
        <v>41100</v>
      </c>
      <c r="C2405" s="1" t="s">
        <v>21</v>
      </c>
      <c r="D2405" s="1" t="s">
        <v>26</v>
      </c>
      <c r="E2405" s="1">
        <v>0.48278935185185184</v>
      </c>
      <c r="F2405" s="1" t="s">
        <v>13</v>
      </c>
      <c r="G2405" s="1">
        <v>3.15</v>
      </c>
      <c r="H2405" s="1">
        <v>3.2</v>
      </c>
      <c r="I2405" s="1">
        <v>0</v>
      </c>
      <c r="J2405" s="4">
        <v>41101</v>
      </c>
      <c r="K2405" s="4">
        <v>43657</v>
      </c>
      <c r="L2405">
        <f t="shared" si="37"/>
        <v>3.1749999999999998</v>
      </c>
    </row>
    <row r="2406" spans="1:12" x14ac:dyDescent="0.15">
      <c r="A2406" s="1">
        <v>2405</v>
      </c>
      <c r="B2406" s="4">
        <v>41100</v>
      </c>
      <c r="C2406" s="1" t="s">
        <v>16</v>
      </c>
      <c r="D2406" s="1" t="s">
        <v>26</v>
      </c>
      <c r="E2406" s="1">
        <v>0.48278935185185184</v>
      </c>
      <c r="F2406" s="1" t="s">
        <v>13</v>
      </c>
      <c r="G2406" s="1">
        <v>3.15</v>
      </c>
      <c r="H2406" s="1">
        <v>3.2</v>
      </c>
      <c r="I2406" s="1">
        <v>0</v>
      </c>
      <c r="J2406" s="4">
        <v>41101</v>
      </c>
      <c r="K2406" s="4">
        <v>42562</v>
      </c>
      <c r="L2406">
        <f t="shared" si="37"/>
        <v>3.1749999999999998</v>
      </c>
    </row>
    <row r="2407" spans="1:12" x14ac:dyDescent="0.15">
      <c r="A2407" s="1">
        <v>2406</v>
      </c>
      <c r="B2407" s="4">
        <v>41100</v>
      </c>
      <c r="C2407" s="1" t="s">
        <v>22</v>
      </c>
      <c r="D2407" s="1" t="s">
        <v>26</v>
      </c>
      <c r="E2407" s="1">
        <v>0.48280092592592588</v>
      </c>
      <c r="F2407" s="1" t="s">
        <v>13</v>
      </c>
      <c r="G2407" s="1">
        <v>3.6</v>
      </c>
      <c r="H2407" s="1">
        <v>3.7</v>
      </c>
      <c r="I2407" s="1">
        <v>0</v>
      </c>
      <c r="J2407" s="4">
        <v>41101</v>
      </c>
      <c r="K2407" s="4">
        <v>41285</v>
      </c>
      <c r="L2407">
        <f t="shared" si="37"/>
        <v>3.6500000000000004</v>
      </c>
    </row>
    <row r="2408" spans="1:12" x14ac:dyDescent="0.15">
      <c r="A2408" s="1">
        <v>2407</v>
      </c>
      <c r="B2408" s="4">
        <v>41100</v>
      </c>
      <c r="C2408" s="1" t="s">
        <v>19</v>
      </c>
      <c r="D2408" s="1" t="s">
        <v>26</v>
      </c>
      <c r="E2408" s="1">
        <v>0.48280092592592588</v>
      </c>
      <c r="F2408" s="1" t="s">
        <v>13</v>
      </c>
      <c r="G2408" s="1">
        <v>3.48</v>
      </c>
      <c r="H2408" s="1">
        <v>3.55</v>
      </c>
      <c r="I2408" s="1">
        <v>0</v>
      </c>
      <c r="J2408" s="4">
        <v>41101</v>
      </c>
      <c r="K2408" s="4">
        <v>41375</v>
      </c>
      <c r="L2408">
        <f t="shared" si="37"/>
        <v>3.5149999999999997</v>
      </c>
    </row>
    <row r="2409" spans="1:12" x14ac:dyDescent="0.15">
      <c r="A2409" s="1">
        <v>2408</v>
      </c>
      <c r="B2409" s="4">
        <v>41100</v>
      </c>
      <c r="C2409" s="1" t="s">
        <v>18</v>
      </c>
      <c r="D2409" s="1" t="s">
        <v>26</v>
      </c>
      <c r="E2409" s="1">
        <v>0.48280092592592588</v>
      </c>
      <c r="F2409" s="1" t="s">
        <v>13</v>
      </c>
      <c r="G2409" s="1">
        <v>3.26</v>
      </c>
      <c r="H2409" s="1">
        <v>3.31</v>
      </c>
      <c r="I2409" s="1">
        <v>0</v>
      </c>
      <c r="J2409" s="4">
        <v>41101</v>
      </c>
      <c r="K2409" s="4">
        <v>41831</v>
      </c>
      <c r="L2409">
        <f t="shared" si="37"/>
        <v>3.2850000000000001</v>
      </c>
    </row>
    <row r="2410" spans="1:12" x14ac:dyDescent="0.15">
      <c r="A2410" s="1">
        <v>2409</v>
      </c>
      <c r="B2410" s="4">
        <v>41100</v>
      </c>
      <c r="C2410" s="1" t="s">
        <v>19</v>
      </c>
      <c r="D2410" s="1" t="s">
        <v>26</v>
      </c>
      <c r="E2410" s="1">
        <v>0.48730324074074072</v>
      </c>
      <c r="F2410" s="1" t="s">
        <v>13</v>
      </c>
      <c r="G2410" s="1">
        <v>3.48</v>
      </c>
      <c r="H2410" s="1">
        <v>3.55</v>
      </c>
      <c r="I2410" s="1">
        <v>0</v>
      </c>
      <c r="J2410" s="4">
        <v>41101</v>
      </c>
      <c r="K2410" s="4">
        <v>41375</v>
      </c>
      <c r="L2410">
        <f t="shared" si="37"/>
        <v>3.5149999999999997</v>
      </c>
    </row>
    <row r="2411" spans="1:12" x14ac:dyDescent="0.15">
      <c r="A2411" s="1">
        <v>2410</v>
      </c>
      <c r="B2411" s="4">
        <v>41100</v>
      </c>
      <c r="C2411" s="1" t="s">
        <v>21</v>
      </c>
      <c r="D2411" s="1" t="s">
        <v>26</v>
      </c>
      <c r="E2411" s="1">
        <v>0.48730324074074072</v>
      </c>
      <c r="F2411" s="1" t="s">
        <v>13</v>
      </c>
      <c r="G2411" s="1">
        <v>3.15</v>
      </c>
      <c r="H2411" s="1">
        <v>3.2</v>
      </c>
      <c r="I2411" s="1">
        <v>0</v>
      </c>
      <c r="J2411" s="4">
        <v>41101</v>
      </c>
      <c r="K2411" s="4">
        <v>43657</v>
      </c>
      <c r="L2411">
        <f t="shared" si="37"/>
        <v>3.1749999999999998</v>
      </c>
    </row>
    <row r="2412" spans="1:12" x14ac:dyDescent="0.15">
      <c r="A2412" s="1">
        <v>2411</v>
      </c>
      <c r="B2412" s="4">
        <v>41100</v>
      </c>
      <c r="C2412" s="1" t="s">
        <v>11</v>
      </c>
      <c r="D2412" s="1" t="s">
        <v>26</v>
      </c>
      <c r="E2412" s="1">
        <v>0.48730324074074072</v>
      </c>
      <c r="F2412" s="1" t="s">
        <v>13</v>
      </c>
      <c r="G2412" s="1">
        <v>3.15</v>
      </c>
      <c r="H2412" s="1">
        <v>3.2</v>
      </c>
      <c r="I2412" s="1">
        <v>0</v>
      </c>
      <c r="J2412" s="4">
        <v>41101</v>
      </c>
      <c r="K2412" s="4">
        <v>42196</v>
      </c>
      <c r="L2412">
        <f t="shared" si="37"/>
        <v>3.1749999999999998</v>
      </c>
    </row>
    <row r="2413" spans="1:12" x14ac:dyDescent="0.15">
      <c r="A2413" s="1">
        <v>2412</v>
      </c>
      <c r="B2413" s="4">
        <v>41100</v>
      </c>
      <c r="C2413" s="1" t="s">
        <v>20</v>
      </c>
      <c r="D2413" s="1" t="s">
        <v>26</v>
      </c>
      <c r="E2413" s="1">
        <v>0.48730324074074072</v>
      </c>
      <c r="F2413" s="1" t="s">
        <v>13</v>
      </c>
      <c r="G2413" s="1">
        <v>3.15</v>
      </c>
      <c r="H2413" s="1">
        <v>3.2</v>
      </c>
      <c r="I2413" s="1">
        <v>0</v>
      </c>
      <c r="J2413" s="4">
        <v>41101</v>
      </c>
      <c r="K2413" s="4">
        <v>44753</v>
      </c>
      <c r="L2413">
        <f t="shared" si="37"/>
        <v>3.1749999999999998</v>
      </c>
    </row>
    <row r="2414" spans="1:12" x14ac:dyDescent="0.15">
      <c r="A2414" s="1">
        <v>2413</v>
      </c>
      <c r="B2414" s="4">
        <v>41100</v>
      </c>
      <c r="C2414" s="1" t="s">
        <v>14</v>
      </c>
      <c r="D2414" s="1" t="s">
        <v>26</v>
      </c>
      <c r="E2414" s="1">
        <v>0.48730324074074072</v>
      </c>
      <c r="F2414" s="1" t="s">
        <v>13</v>
      </c>
      <c r="G2414" s="1">
        <v>3.35</v>
      </c>
      <c r="H2414" s="1">
        <v>3.4</v>
      </c>
      <c r="I2414" s="1">
        <v>0</v>
      </c>
      <c r="J2414" s="4">
        <v>41101</v>
      </c>
      <c r="K2414" s="4">
        <v>41466</v>
      </c>
      <c r="L2414">
        <f t="shared" si="37"/>
        <v>3.375</v>
      </c>
    </row>
    <row r="2415" spans="1:12" x14ac:dyDescent="0.15">
      <c r="A2415" s="1">
        <v>2414</v>
      </c>
      <c r="B2415" s="4">
        <v>41100</v>
      </c>
      <c r="C2415" s="1" t="s">
        <v>16</v>
      </c>
      <c r="D2415" s="1" t="s">
        <v>26</v>
      </c>
      <c r="E2415" s="1">
        <v>0.48730324074074072</v>
      </c>
      <c r="F2415" s="1" t="s">
        <v>13</v>
      </c>
      <c r="G2415" s="1">
        <v>3.15</v>
      </c>
      <c r="H2415" s="1">
        <v>3.2</v>
      </c>
      <c r="I2415" s="1">
        <v>0</v>
      </c>
      <c r="J2415" s="4">
        <v>41101</v>
      </c>
      <c r="K2415" s="4">
        <v>42562</v>
      </c>
      <c r="L2415">
        <f t="shared" si="37"/>
        <v>3.1749999999999998</v>
      </c>
    </row>
    <row r="2416" spans="1:12" x14ac:dyDescent="0.15">
      <c r="A2416" s="1">
        <v>2415</v>
      </c>
      <c r="B2416" s="4">
        <v>41100</v>
      </c>
      <c r="C2416" s="1" t="s">
        <v>14</v>
      </c>
      <c r="D2416" s="1" t="s">
        <v>27</v>
      </c>
      <c r="E2416" s="1">
        <v>0.48700231481481482</v>
      </c>
      <c r="F2416" s="1" t="s">
        <v>13</v>
      </c>
      <c r="G2416" s="1">
        <v>3.3</v>
      </c>
      <c r="H2416" s="1">
        <v>3.35</v>
      </c>
      <c r="I2416" s="1">
        <v>0</v>
      </c>
      <c r="J2416" s="4">
        <v>41101</v>
      </c>
      <c r="K2416" s="4">
        <v>41466</v>
      </c>
      <c r="L2416">
        <f t="shared" si="37"/>
        <v>3.3250000000000002</v>
      </c>
    </row>
    <row r="2417" spans="1:12" x14ac:dyDescent="0.15">
      <c r="A2417" s="1">
        <v>2416</v>
      </c>
      <c r="B2417" s="4">
        <v>41100</v>
      </c>
      <c r="C2417" s="1" t="s">
        <v>16</v>
      </c>
      <c r="D2417" s="1" t="s">
        <v>27</v>
      </c>
      <c r="E2417" s="1">
        <v>0.48700231481481482</v>
      </c>
      <c r="F2417" s="1" t="s">
        <v>13</v>
      </c>
      <c r="G2417" s="1">
        <v>3.11</v>
      </c>
      <c r="H2417" s="1">
        <v>3.21</v>
      </c>
      <c r="I2417" s="1">
        <v>0</v>
      </c>
      <c r="J2417" s="4">
        <v>41101</v>
      </c>
      <c r="K2417" s="4">
        <v>42562</v>
      </c>
      <c r="L2417">
        <f t="shared" si="37"/>
        <v>3.16</v>
      </c>
    </row>
    <row r="2418" spans="1:12" x14ac:dyDescent="0.15">
      <c r="A2418" s="1">
        <v>2417</v>
      </c>
      <c r="B2418" s="4">
        <v>41100</v>
      </c>
      <c r="C2418" s="1" t="s">
        <v>22</v>
      </c>
      <c r="D2418" s="1" t="s">
        <v>27</v>
      </c>
      <c r="E2418" s="1">
        <v>0.48700231481481482</v>
      </c>
      <c r="F2418" s="1" t="s">
        <v>13</v>
      </c>
      <c r="G2418" s="1">
        <v>3.64</v>
      </c>
      <c r="H2418" s="1">
        <v>3.7</v>
      </c>
      <c r="I2418" s="1">
        <v>0</v>
      </c>
      <c r="J2418" s="4">
        <v>41101</v>
      </c>
      <c r="K2418" s="4">
        <v>41285</v>
      </c>
      <c r="L2418">
        <f t="shared" si="37"/>
        <v>3.67</v>
      </c>
    </row>
    <row r="2419" spans="1:12" x14ac:dyDescent="0.15">
      <c r="A2419" s="1">
        <v>2418</v>
      </c>
      <c r="B2419" s="4">
        <v>41100</v>
      </c>
      <c r="C2419" s="1" t="s">
        <v>19</v>
      </c>
      <c r="D2419" s="1" t="s">
        <v>27</v>
      </c>
      <c r="E2419" s="1">
        <v>0.48700231481481482</v>
      </c>
      <c r="F2419" s="1" t="s">
        <v>13</v>
      </c>
      <c r="G2419" s="1">
        <v>3.41</v>
      </c>
      <c r="H2419" s="1">
        <v>3.5</v>
      </c>
      <c r="I2419" s="1">
        <v>0</v>
      </c>
      <c r="J2419" s="4">
        <v>41101</v>
      </c>
      <c r="K2419" s="4">
        <v>41375</v>
      </c>
      <c r="L2419">
        <f t="shared" si="37"/>
        <v>3.4550000000000001</v>
      </c>
    </row>
    <row r="2420" spans="1:12" x14ac:dyDescent="0.15">
      <c r="A2420" s="1">
        <v>2419</v>
      </c>
      <c r="B2420" s="4">
        <v>41100</v>
      </c>
      <c r="C2420" s="1" t="s">
        <v>25</v>
      </c>
      <c r="D2420" s="1" t="s">
        <v>27</v>
      </c>
      <c r="E2420" s="1">
        <v>0.48700231481481482</v>
      </c>
      <c r="F2420" s="1" t="s">
        <v>13</v>
      </c>
      <c r="G2420" s="1">
        <v>3.14</v>
      </c>
      <c r="H2420" s="1">
        <v>3.2</v>
      </c>
      <c r="I2420" s="1">
        <v>0</v>
      </c>
      <c r="J2420" s="4">
        <v>41101</v>
      </c>
      <c r="K2420" s="4">
        <v>42927</v>
      </c>
      <c r="L2420">
        <f t="shared" si="37"/>
        <v>3.17</v>
      </c>
    </row>
    <row r="2421" spans="1:12" x14ac:dyDescent="0.15">
      <c r="A2421" s="1">
        <v>2420</v>
      </c>
      <c r="B2421" s="4">
        <v>41100</v>
      </c>
      <c r="C2421" s="1" t="s">
        <v>11</v>
      </c>
      <c r="D2421" s="1" t="s">
        <v>40</v>
      </c>
      <c r="E2421" s="1">
        <v>0.60614583333333327</v>
      </c>
      <c r="F2421" s="1" t="s">
        <v>13</v>
      </c>
      <c r="G2421" s="1">
        <v>3.17</v>
      </c>
      <c r="H2421" s="1">
        <v>3.23</v>
      </c>
      <c r="I2421" s="1">
        <v>0</v>
      </c>
      <c r="J2421" s="4">
        <v>41101</v>
      </c>
      <c r="K2421" s="4">
        <v>42196</v>
      </c>
      <c r="L2421">
        <f t="shared" si="37"/>
        <v>3.2</v>
      </c>
    </row>
    <row r="2422" spans="1:12" x14ac:dyDescent="0.15">
      <c r="A2422" s="1">
        <v>2421</v>
      </c>
      <c r="B2422" s="4">
        <v>41100</v>
      </c>
      <c r="C2422" s="1" t="s">
        <v>19</v>
      </c>
      <c r="D2422" s="1" t="s">
        <v>15</v>
      </c>
      <c r="E2422" s="1">
        <v>0.67554398148148154</v>
      </c>
      <c r="F2422" s="1" t="s">
        <v>13</v>
      </c>
      <c r="G2422" s="1">
        <v>3.42</v>
      </c>
      <c r="H2422" s="1">
        <v>3.48</v>
      </c>
      <c r="I2422" s="1">
        <v>0</v>
      </c>
      <c r="J2422" s="4">
        <v>41101</v>
      </c>
      <c r="K2422" s="4">
        <v>41375</v>
      </c>
      <c r="L2422">
        <f t="shared" si="37"/>
        <v>3.45</v>
      </c>
    </row>
    <row r="2423" spans="1:12" x14ac:dyDescent="0.15">
      <c r="A2423" s="1">
        <v>2422</v>
      </c>
      <c r="B2423" s="4">
        <v>41100</v>
      </c>
      <c r="C2423" s="1" t="s">
        <v>25</v>
      </c>
      <c r="D2423" s="1" t="s">
        <v>15</v>
      </c>
      <c r="E2423" s="1">
        <v>0.67554398148148154</v>
      </c>
      <c r="F2423" s="1" t="s">
        <v>13</v>
      </c>
      <c r="G2423" s="1">
        <v>3.12</v>
      </c>
      <c r="H2423" s="1">
        <v>3.18</v>
      </c>
      <c r="I2423" s="1">
        <v>0</v>
      </c>
      <c r="J2423" s="4">
        <v>41101</v>
      </c>
      <c r="K2423" s="4">
        <v>42927</v>
      </c>
      <c r="L2423">
        <f t="shared" si="37"/>
        <v>3.1500000000000004</v>
      </c>
    </row>
    <row r="2424" spans="1:12" x14ac:dyDescent="0.15">
      <c r="A2424" s="1">
        <v>2423</v>
      </c>
      <c r="B2424" s="4">
        <v>41100</v>
      </c>
      <c r="C2424" s="1" t="s">
        <v>18</v>
      </c>
      <c r="D2424" s="1" t="s">
        <v>15</v>
      </c>
      <c r="E2424" s="1">
        <v>0.67555555555555558</v>
      </c>
      <c r="F2424" s="1" t="s">
        <v>13</v>
      </c>
      <c r="G2424" s="1">
        <v>3.13</v>
      </c>
      <c r="H2424" s="1">
        <v>3.19</v>
      </c>
      <c r="I2424" s="1">
        <v>0</v>
      </c>
      <c r="J2424" s="4">
        <v>41101</v>
      </c>
      <c r="K2424" s="4">
        <v>41831</v>
      </c>
      <c r="L2424">
        <f t="shared" si="37"/>
        <v>3.16</v>
      </c>
    </row>
    <row r="2425" spans="1:12" x14ac:dyDescent="0.15">
      <c r="A2425" s="1">
        <v>2424</v>
      </c>
      <c r="B2425" s="4">
        <v>41100</v>
      </c>
      <c r="C2425" s="1" t="s">
        <v>16</v>
      </c>
      <c r="D2425" s="1" t="s">
        <v>15</v>
      </c>
      <c r="E2425" s="1">
        <v>0.67555555555555558</v>
      </c>
      <c r="F2425" s="1" t="s">
        <v>13</v>
      </c>
      <c r="G2425" s="1">
        <v>3.12</v>
      </c>
      <c r="H2425" s="1">
        <v>3.18</v>
      </c>
      <c r="I2425" s="1">
        <v>0</v>
      </c>
      <c r="J2425" s="4">
        <v>41101</v>
      </c>
      <c r="K2425" s="4">
        <v>42562</v>
      </c>
      <c r="L2425">
        <f t="shared" si="37"/>
        <v>3.1500000000000004</v>
      </c>
    </row>
    <row r="2426" spans="1:12" x14ac:dyDescent="0.15">
      <c r="A2426" s="1">
        <v>2425</v>
      </c>
      <c r="B2426" s="4">
        <v>41100</v>
      </c>
      <c r="C2426" s="1" t="s">
        <v>11</v>
      </c>
      <c r="D2426" s="1" t="s">
        <v>15</v>
      </c>
      <c r="E2426" s="1">
        <v>0.67555555555555558</v>
      </c>
      <c r="F2426" s="1" t="s">
        <v>13</v>
      </c>
      <c r="G2426" s="1">
        <v>3.12</v>
      </c>
      <c r="H2426" s="1">
        <v>3.18</v>
      </c>
      <c r="I2426" s="1">
        <v>0</v>
      </c>
      <c r="J2426" s="4">
        <v>41101</v>
      </c>
      <c r="K2426" s="4">
        <v>42196</v>
      </c>
      <c r="L2426">
        <f t="shared" si="37"/>
        <v>3.1500000000000004</v>
      </c>
    </row>
    <row r="2427" spans="1:12" x14ac:dyDescent="0.15">
      <c r="A2427" s="1">
        <v>2426</v>
      </c>
      <c r="B2427" s="4">
        <v>41100</v>
      </c>
      <c r="C2427" s="1" t="s">
        <v>21</v>
      </c>
      <c r="D2427" s="1" t="s">
        <v>15</v>
      </c>
      <c r="E2427" s="1">
        <v>0.67553240740740739</v>
      </c>
      <c r="F2427" s="1" t="s">
        <v>13</v>
      </c>
      <c r="G2427" s="1">
        <v>3.19</v>
      </c>
      <c r="H2427" s="1">
        <v>3.25</v>
      </c>
      <c r="I2427" s="1">
        <v>0</v>
      </c>
      <c r="J2427" s="4">
        <v>41101</v>
      </c>
      <c r="K2427" s="4">
        <v>43657</v>
      </c>
      <c r="L2427">
        <f t="shared" si="37"/>
        <v>3.2199999999999998</v>
      </c>
    </row>
    <row r="2428" spans="1:12" x14ac:dyDescent="0.15">
      <c r="A2428" s="1">
        <v>2427</v>
      </c>
      <c r="B2428" s="4">
        <v>41100</v>
      </c>
      <c r="C2428" s="1" t="s">
        <v>14</v>
      </c>
      <c r="D2428" s="1" t="s">
        <v>27</v>
      </c>
      <c r="E2428" s="1">
        <v>0.67516203703703714</v>
      </c>
      <c r="F2428" s="1" t="s">
        <v>13</v>
      </c>
      <c r="G2428" s="1">
        <v>3.31</v>
      </c>
      <c r="H2428" s="1">
        <v>3.36</v>
      </c>
      <c r="I2428" s="1">
        <v>0</v>
      </c>
      <c r="J2428" s="4">
        <v>41101</v>
      </c>
      <c r="K2428" s="4">
        <v>41466</v>
      </c>
      <c r="L2428">
        <f t="shared" si="37"/>
        <v>3.335</v>
      </c>
    </row>
    <row r="2429" spans="1:12" x14ac:dyDescent="0.15">
      <c r="A2429" s="1">
        <v>2428</v>
      </c>
      <c r="B2429" s="4">
        <v>41100</v>
      </c>
      <c r="C2429" s="1" t="s">
        <v>16</v>
      </c>
      <c r="D2429" s="1" t="s">
        <v>27</v>
      </c>
      <c r="E2429" s="1">
        <v>0.67516203703703714</v>
      </c>
      <c r="F2429" s="1" t="s">
        <v>13</v>
      </c>
      <c r="G2429" s="1">
        <v>3.11</v>
      </c>
      <c r="H2429" s="1">
        <v>3.2</v>
      </c>
      <c r="I2429" s="1">
        <v>0</v>
      </c>
      <c r="J2429" s="4">
        <v>41101</v>
      </c>
      <c r="K2429" s="4">
        <v>42562</v>
      </c>
      <c r="L2429">
        <f t="shared" si="37"/>
        <v>3.1550000000000002</v>
      </c>
    </row>
    <row r="2430" spans="1:12" x14ac:dyDescent="0.15">
      <c r="A2430" s="1">
        <v>2429</v>
      </c>
      <c r="B2430" s="4">
        <v>41100</v>
      </c>
      <c r="C2430" s="1" t="s">
        <v>18</v>
      </c>
      <c r="D2430" s="1" t="s">
        <v>27</v>
      </c>
      <c r="E2430" s="1">
        <v>0.67516203703703714</v>
      </c>
      <c r="F2430" s="1" t="s">
        <v>13</v>
      </c>
      <c r="G2430" s="1">
        <v>3.1</v>
      </c>
      <c r="H2430" s="1">
        <v>3.2</v>
      </c>
      <c r="I2430" s="1">
        <v>0</v>
      </c>
      <c r="J2430" s="4">
        <v>41101</v>
      </c>
      <c r="K2430" s="4">
        <v>41831</v>
      </c>
      <c r="L2430">
        <f t="shared" si="37"/>
        <v>3.1500000000000004</v>
      </c>
    </row>
    <row r="2431" spans="1:12" x14ac:dyDescent="0.15">
      <c r="A2431" s="1">
        <v>2430</v>
      </c>
      <c r="B2431" s="4">
        <v>41100</v>
      </c>
      <c r="C2431" s="1" t="s">
        <v>22</v>
      </c>
      <c r="D2431" s="1" t="s">
        <v>15</v>
      </c>
      <c r="E2431" s="1">
        <v>0.67553240740740739</v>
      </c>
      <c r="F2431" s="1" t="s">
        <v>13</v>
      </c>
      <c r="G2431" s="1">
        <v>3.64</v>
      </c>
      <c r="H2431" s="1">
        <v>3.7</v>
      </c>
      <c r="I2431" s="1">
        <v>0</v>
      </c>
      <c r="J2431" s="4">
        <v>41101</v>
      </c>
      <c r="K2431" s="4">
        <v>41285</v>
      </c>
      <c r="L2431">
        <f t="shared" si="37"/>
        <v>3.67</v>
      </c>
    </row>
    <row r="2432" spans="1:12" x14ac:dyDescent="0.15">
      <c r="A2432" s="1">
        <v>2431</v>
      </c>
      <c r="B2432" s="4">
        <v>41100</v>
      </c>
      <c r="C2432" s="1" t="s">
        <v>11</v>
      </c>
      <c r="D2432" s="1" t="s">
        <v>27</v>
      </c>
      <c r="E2432" s="1">
        <v>0.67516203703703714</v>
      </c>
      <c r="F2432" s="1" t="s">
        <v>13</v>
      </c>
      <c r="G2432" s="1">
        <v>3.11</v>
      </c>
      <c r="H2432" s="1">
        <v>3.2</v>
      </c>
      <c r="I2432" s="1">
        <v>0</v>
      </c>
      <c r="J2432" s="4">
        <v>41101</v>
      </c>
      <c r="K2432" s="4">
        <v>42196</v>
      </c>
      <c r="L2432">
        <f t="shared" si="37"/>
        <v>3.1550000000000002</v>
      </c>
    </row>
    <row r="2433" spans="1:12" x14ac:dyDescent="0.15">
      <c r="A2433" s="1">
        <v>2432</v>
      </c>
      <c r="B2433" s="4">
        <v>41100</v>
      </c>
      <c r="C2433" s="1" t="s">
        <v>25</v>
      </c>
      <c r="D2433" s="1" t="s">
        <v>26</v>
      </c>
      <c r="E2433" s="1">
        <v>0.68155092592592592</v>
      </c>
      <c r="F2433" s="1" t="s">
        <v>13</v>
      </c>
      <c r="G2433" s="1">
        <v>3.15</v>
      </c>
      <c r="H2433" s="1">
        <v>3.2</v>
      </c>
      <c r="I2433" s="1">
        <v>0</v>
      </c>
      <c r="J2433" s="4">
        <v>41101</v>
      </c>
      <c r="K2433" s="4">
        <v>42927</v>
      </c>
      <c r="L2433">
        <f t="shared" si="37"/>
        <v>3.1749999999999998</v>
      </c>
    </row>
    <row r="2434" spans="1:12" x14ac:dyDescent="0.15">
      <c r="A2434" s="1">
        <v>2433</v>
      </c>
      <c r="B2434" s="4">
        <v>41100</v>
      </c>
      <c r="C2434" s="1" t="s">
        <v>20</v>
      </c>
      <c r="D2434" s="1" t="s">
        <v>26</v>
      </c>
      <c r="E2434" s="1">
        <v>0.68155092592592592</v>
      </c>
      <c r="F2434" s="1" t="s">
        <v>13</v>
      </c>
      <c r="G2434" s="1">
        <v>3.15</v>
      </c>
      <c r="H2434" s="1">
        <v>3.2</v>
      </c>
      <c r="I2434" s="1">
        <v>0</v>
      </c>
      <c r="J2434" s="4">
        <v>41101</v>
      </c>
      <c r="K2434" s="4">
        <v>44753</v>
      </c>
      <c r="L2434">
        <f t="shared" si="37"/>
        <v>3.1749999999999998</v>
      </c>
    </row>
    <row r="2435" spans="1:12" x14ac:dyDescent="0.15">
      <c r="A2435" s="1">
        <v>2434</v>
      </c>
      <c r="B2435" s="4">
        <v>41100</v>
      </c>
      <c r="C2435" s="1" t="s">
        <v>16</v>
      </c>
      <c r="D2435" s="1" t="s">
        <v>26</v>
      </c>
      <c r="E2435" s="1">
        <v>0.68155092592592592</v>
      </c>
      <c r="F2435" s="1" t="s">
        <v>13</v>
      </c>
      <c r="G2435" s="1">
        <v>3.15</v>
      </c>
      <c r="H2435" s="1">
        <v>3.2</v>
      </c>
      <c r="I2435" s="1">
        <v>0</v>
      </c>
      <c r="J2435" s="4">
        <v>41101</v>
      </c>
      <c r="K2435" s="4">
        <v>42562</v>
      </c>
      <c r="L2435">
        <f t="shared" ref="L2435:L2498" si="38">AVERAGE(G2435:H2435)</f>
        <v>3.1749999999999998</v>
      </c>
    </row>
    <row r="2436" spans="1:12" x14ac:dyDescent="0.15">
      <c r="A2436" s="1">
        <v>2435</v>
      </c>
      <c r="B2436" s="4">
        <v>41100</v>
      </c>
      <c r="C2436" s="1" t="s">
        <v>22</v>
      </c>
      <c r="D2436" s="1" t="s">
        <v>26</v>
      </c>
      <c r="E2436" s="1">
        <v>0.68156250000000007</v>
      </c>
      <c r="F2436" s="1" t="s">
        <v>13</v>
      </c>
      <c r="G2436" s="1">
        <v>3.6</v>
      </c>
      <c r="H2436" s="1">
        <v>3.7</v>
      </c>
      <c r="I2436" s="1">
        <v>0</v>
      </c>
      <c r="J2436" s="4">
        <v>41101</v>
      </c>
      <c r="K2436" s="4">
        <v>41285</v>
      </c>
      <c r="L2436">
        <f t="shared" si="38"/>
        <v>3.6500000000000004</v>
      </c>
    </row>
    <row r="2437" spans="1:12" x14ac:dyDescent="0.15">
      <c r="A2437" s="1">
        <v>2436</v>
      </c>
      <c r="B2437" s="4">
        <v>41100</v>
      </c>
      <c r="C2437" s="1" t="s">
        <v>18</v>
      </c>
      <c r="D2437" s="1" t="s">
        <v>26</v>
      </c>
      <c r="E2437" s="1">
        <v>0.68156250000000007</v>
      </c>
      <c r="F2437" s="1" t="s">
        <v>13</v>
      </c>
      <c r="G2437" s="1">
        <v>3.26</v>
      </c>
      <c r="H2437" s="1">
        <v>3.31</v>
      </c>
      <c r="I2437" s="1">
        <v>0</v>
      </c>
      <c r="J2437" s="4">
        <v>41101</v>
      </c>
      <c r="K2437" s="4">
        <v>41831</v>
      </c>
      <c r="L2437">
        <f t="shared" si="38"/>
        <v>3.2850000000000001</v>
      </c>
    </row>
    <row r="2438" spans="1:12" x14ac:dyDescent="0.15">
      <c r="A2438" s="1">
        <v>2437</v>
      </c>
      <c r="B2438" s="4">
        <v>41100</v>
      </c>
      <c r="C2438" s="1" t="s">
        <v>14</v>
      </c>
      <c r="D2438" s="1" t="s">
        <v>26</v>
      </c>
      <c r="E2438" s="1">
        <v>0.68155092592592592</v>
      </c>
      <c r="F2438" s="1" t="s">
        <v>13</v>
      </c>
      <c r="G2438" s="1">
        <v>3.35</v>
      </c>
      <c r="H2438" s="1">
        <v>3.4</v>
      </c>
      <c r="I2438" s="1">
        <v>0</v>
      </c>
      <c r="J2438" s="4">
        <v>41101</v>
      </c>
      <c r="K2438" s="4">
        <v>41466</v>
      </c>
      <c r="L2438">
        <f t="shared" si="38"/>
        <v>3.375</v>
      </c>
    </row>
    <row r="2439" spans="1:12" x14ac:dyDescent="0.15">
      <c r="A2439" s="1">
        <v>2438</v>
      </c>
      <c r="B2439" s="4">
        <v>41100</v>
      </c>
      <c r="C2439" s="1" t="s">
        <v>14</v>
      </c>
      <c r="D2439" s="1" t="s">
        <v>15</v>
      </c>
      <c r="E2439" s="1">
        <v>0.67555555555555558</v>
      </c>
      <c r="F2439" s="1" t="s">
        <v>13</v>
      </c>
      <c r="G2439" s="1">
        <v>3.3</v>
      </c>
      <c r="H2439" s="1">
        <v>3.36</v>
      </c>
      <c r="I2439" s="1">
        <v>0</v>
      </c>
      <c r="J2439" s="4">
        <v>41101</v>
      </c>
      <c r="K2439" s="4">
        <v>41466</v>
      </c>
      <c r="L2439">
        <f t="shared" si="38"/>
        <v>3.33</v>
      </c>
    </row>
    <row r="2440" spans="1:12" x14ac:dyDescent="0.15">
      <c r="A2440" s="1">
        <v>2439</v>
      </c>
      <c r="B2440" s="4">
        <v>41100</v>
      </c>
      <c r="C2440" s="1" t="s">
        <v>20</v>
      </c>
      <c r="D2440" s="1" t="s">
        <v>15</v>
      </c>
      <c r="E2440" s="1">
        <v>0.67555555555555558</v>
      </c>
      <c r="F2440" s="1" t="s">
        <v>13</v>
      </c>
      <c r="G2440" s="1">
        <v>3.24</v>
      </c>
      <c r="H2440" s="1">
        <v>3.3</v>
      </c>
      <c r="I2440" s="1">
        <v>0</v>
      </c>
      <c r="J2440" s="4">
        <v>41101</v>
      </c>
      <c r="K2440" s="4">
        <v>44753</v>
      </c>
      <c r="L2440">
        <f t="shared" si="38"/>
        <v>3.27</v>
      </c>
    </row>
    <row r="2441" spans="1:12" x14ac:dyDescent="0.15">
      <c r="A2441" s="1">
        <v>2440</v>
      </c>
      <c r="B2441" s="4">
        <v>41100</v>
      </c>
      <c r="C2441" s="1" t="s">
        <v>21</v>
      </c>
      <c r="D2441" s="1" t="s">
        <v>26</v>
      </c>
      <c r="E2441" s="1">
        <v>0.68155092592592592</v>
      </c>
      <c r="F2441" s="1" t="s">
        <v>13</v>
      </c>
      <c r="G2441" s="1">
        <v>3.15</v>
      </c>
      <c r="H2441" s="1">
        <v>3.2</v>
      </c>
      <c r="I2441" s="1">
        <v>0</v>
      </c>
      <c r="J2441" s="4">
        <v>41101</v>
      </c>
      <c r="K2441" s="4">
        <v>43657</v>
      </c>
      <c r="L2441">
        <f t="shared" si="38"/>
        <v>3.1749999999999998</v>
      </c>
    </row>
    <row r="2442" spans="1:12" x14ac:dyDescent="0.15">
      <c r="A2442" s="1">
        <v>2441</v>
      </c>
      <c r="B2442" s="4">
        <v>41100</v>
      </c>
      <c r="C2442" s="1" t="s">
        <v>11</v>
      </c>
      <c r="D2442" s="1" t="s">
        <v>26</v>
      </c>
      <c r="E2442" s="1">
        <v>0.68155092592592592</v>
      </c>
      <c r="F2442" s="1" t="s">
        <v>13</v>
      </c>
      <c r="G2442" s="1">
        <v>3.15</v>
      </c>
      <c r="H2442" s="1">
        <v>3.2</v>
      </c>
      <c r="I2442" s="1">
        <v>0</v>
      </c>
      <c r="J2442" s="4">
        <v>41101</v>
      </c>
      <c r="K2442" s="4">
        <v>42196</v>
      </c>
      <c r="L2442">
        <f t="shared" si="38"/>
        <v>3.1749999999999998</v>
      </c>
    </row>
    <row r="2443" spans="1:12" x14ac:dyDescent="0.15">
      <c r="A2443" s="1">
        <v>2442</v>
      </c>
      <c r="B2443" s="4">
        <v>41100</v>
      </c>
      <c r="C2443" s="1" t="s">
        <v>19</v>
      </c>
      <c r="D2443" s="1" t="s">
        <v>26</v>
      </c>
      <c r="E2443" s="1">
        <v>0.68155092592592592</v>
      </c>
      <c r="F2443" s="1" t="s">
        <v>13</v>
      </c>
      <c r="G2443" s="1">
        <v>3.48</v>
      </c>
      <c r="H2443" s="1">
        <v>3.55</v>
      </c>
      <c r="I2443" s="1">
        <v>0</v>
      </c>
      <c r="J2443" s="4">
        <v>41101</v>
      </c>
      <c r="K2443" s="4">
        <v>41375</v>
      </c>
      <c r="L2443">
        <f t="shared" si="38"/>
        <v>3.5149999999999997</v>
      </c>
    </row>
    <row r="2444" spans="1:12" x14ac:dyDescent="0.15">
      <c r="A2444" s="1">
        <v>2443</v>
      </c>
      <c r="B2444" s="4">
        <v>41100</v>
      </c>
      <c r="C2444" s="1" t="s">
        <v>17</v>
      </c>
      <c r="D2444" s="1" t="s">
        <v>40</v>
      </c>
      <c r="E2444" s="1">
        <v>0.60615740740740742</v>
      </c>
      <c r="F2444" s="1" t="s">
        <v>13</v>
      </c>
      <c r="G2444" s="1">
        <v>3.2450000000000001</v>
      </c>
      <c r="H2444" s="1">
        <v>3.3050000000000002</v>
      </c>
      <c r="I2444" s="1">
        <v>0</v>
      </c>
      <c r="J2444" s="4">
        <v>41101</v>
      </c>
      <c r="K2444" s="4">
        <v>44388</v>
      </c>
      <c r="L2444">
        <f t="shared" si="38"/>
        <v>3.2750000000000004</v>
      </c>
    </row>
    <row r="2445" spans="1:12" x14ac:dyDescent="0.15">
      <c r="A2445" s="1">
        <v>2444</v>
      </c>
      <c r="B2445" s="4">
        <v>41100</v>
      </c>
      <c r="C2445" s="1" t="s">
        <v>25</v>
      </c>
      <c r="D2445" s="1" t="s">
        <v>40</v>
      </c>
      <c r="E2445" s="1">
        <v>0.60615740740740742</v>
      </c>
      <c r="F2445" s="1" t="s">
        <v>13</v>
      </c>
      <c r="G2445" s="1">
        <v>3.19</v>
      </c>
      <c r="H2445" s="1">
        <v>3.25</v>
      </c>
      <c r="I2445" s="1">
        <v>0</v>
      </c>
      <c r="J2445" s="4">
        <v>41101</v>
      </c>
      <c r="K2445" s="4">
        <v>42927</v>
      </c>
      <c r="L2445">
        <f t="shared" si="38"/>
        <v>3.2199999999999998</v>
      </c>
    </row>
    <row r="2446" spans="1:12" x14ac:dyDescent="0.15">
      <c r="A2446" s="1">
        <v>2445</v>
      </c>
      <c r="B2446" s="4">
        <v>41100</v>
      </c>
      <c r="C2446" s="1" t="s">
        <v>22</v>
      </c>
      <c r="D2446" s="1" t="s">
        <v>40</v>
      </c>
      <c r="E2446" s="1">
        <v>0.60615740740740742</v>
      </c>
      <c r="F2446" s="1" t="s">
        <v>13</v>
      </c>
      <c r="G2446" s="1">
        <v>3.63</v>
      </c>
      <c r="H2446" s="1">
        <v>3.73</v>
      </c>
      <c r="I2446" s="1">
        <v>0</v>
      </c>
      <c r="J2446" s="4">
        <v>41101</v>
      </c>
      <c r="K2446" s="4">
        <v>41285</v>
      </c>
      <c r="L2446">
        <f t="shared" si="38"/>
        <v>3.6799999999999997</v>
      </c>
    </row>
    <row r="2447" spans="1:12" x14ac:dyDescent="0.15">
      <c r="A2447" s="1">
        <v>2446</v>
      </c>
      <c r="B2447" s="4">
        <v>41100</v>
      </c>
      <c r="C2447" s="1" t="s">
        <v>19</v>
      </c>
      <c r="D2447" s="1" t="s">
        <v>30</v>
      </c>
      <c r="E2447" s="1">
        <v>0.67162037037037037</v>
      </c>
      <c r="F2447" s="1" t="s">
        <v>13</v>
      </c>
      <c r="G2447" s="1">
        <v>3.42</v>
      </c>
      <c r="H2447" s="1">
        <v>3.52</v>
      </c>
      <c r="I2447" s="1">
        <v>0</v>
      </c>
      <c r="J2447" s="4">
        <v>41101</v>
      </c>
      <c r="K2447" s="4">
        <v>41375</v>
      </c>
      <c r="L2447">
        <f t="shared" si="38"/>
        <v>3.4699999999999998</v>
      </c>
    </row>
    <row r="2448" spans="1:12" x14ac:dyDescent="0.15">
      <c r="A2448" s="1">
        <v>2447</v>
      </c>
      <c r="B2448" s="4">
        <v>41100</v>
      </c>
      <c r="C2448" s="1" t="s">
        <v>18</v>
      </c>
      <c r="D2448" s="1" t="s">
        <v>40</v>
      </c>
      <c r="E2448" s="1">
        <v>0.60615740740740742</v>
      </c>
      <c r="F2448" s="1" t="s">
        <v>13</v>
      </c>
      <c r="G2448" s="1">
        <v>3.17</v>
      </c>
      <c r="H2448" s="1">
        <v>3.23</v>
      </c>
      <c r="I2448" s="1">
        <v>0</v>
      </c>
      <c r="J2448" s="4">
        <v>41101</v>
      </c>
      <c r="K2448" s="4">
        <v>41831</v>
      </c>
      <c r="L2448">
        <f t="shared" si="38"/>
        <v>3.2</v>
      </c>
    </row>
    <row r="2449" spans="1:12" x14ac:dyDescent="0.15">
      <c r="A2449" s="1">
        <v>2448</v>
      </c>
      <c r="B2449" s="4">
        <v>41100</v>
      </c>
      <c r="C2449" s="1" t="s">
        <v>23</v>
      </c>
      <c r="D2449" s="1" t="s">
        <v>40</v>
      </c>
      <c r="E2449" s="1">
        <v>0.60615740740740742</v>
      </c>
      <c r="F2449" s="1" t="s">
        <v>13</v>
      </c>
      <c r="G2449" s="1">
        <v>3.21</v>
      </c>
      <c r="H2449" s="1">
        <v>3.27</v>
      </c>
      <c r="I2449" s="1">
        <v>0</v>
      </c>
      <c r="J2449" s="4">
        <v>41101</v>
      </c>
      <c r="K2449" s="4">
        <v>43292</v>
      </c>
      <c r="L2449">
        <f t="shared" si="38"/>
        <v>3.24</v>
      </c>
    </row>
    <row r="2450" spans="1:12" x14ac:dyDescent="0.15">
      <c r="A2450" s="1">
        <v>2449</v>
      </c>
      <c r="B2450" s="4">
        <v>41100</v>
      </c>
      <c r="C2450" s="1" t="s">
        <v>20</v>
      </c>
      <c r="D2450" s="1" t="s">
        <v>40</v>
      </c>
      <c r="E2450" s="1">
        <v>0.60614583333333327</v>
      </c>
      <c r="F2450" s="1" t="s">
        <v>13</v>
      </c>
      <c r="G2450" s="1">
        <v>3.25</v>
      </c>
      <c r="H2450" s="1">
        <v>3.31</v>
      </c>
      <c r="I2450" s="1">
        <v>0</v>
      </c>
      <c r="J2450" s="4">
        <v>41101</v>
      </c>
      <c r="K2450" s="4">
        <v>44753</v>
      </c>
      <c r="L2450">
        <f t="shared" si="38"/>
        <v>3.2800000000000002</v>
      </c>
    </row>
    <row r="2451" spans="1:12" x14ac:dyDescent="0.15">
      <c r="A2451" s="1">
        <v>2450</v>
      </c>
      <c r="B2451" s="4">
        <v>41100</v>
      </c>
      <c r="C2451" s="1" t="s">
        <v>14</v>
      </c>
      <c r="D2451" s="1" t="s">
        <v>40</v>
      </c>
      <c r="E2451" s="1">
        <v>0.60614583333333327</v>
      </c>
      <c r="F2451" s="1" t="s">
        <v>13</v>
      </c>
      <c r="G2451" s="1">
        <v>3.36</v>
      </c>
      <c r="H2451" s="1">
        <v>3.42</v>
      </c>
      <c r="I2451" s="1">
        <v>0</v>
      </c>
      <c r="J2451" s="4">
        <v>41101</v>
      </c>
      <c r="K2451" s="4">
        <v>41466</v>
      </c>
      <c r="L2451">
        <f t="shared" si="38"/>
        <v>3.3899999999999997</v>
      </c>
    </row>
    <row r="2452" spans="1:12" x14ac:dyDescent="0.15">
      <c r="A2452" s="1">
        <v>2451</v>
      </c>
      <c r="B2452" s="4">
        <v>41100</v>
      </c>
      <c r="C2452" s="1" t="s">
        <v>16</v>
      </c>
      <c r="D2452" s="1" t="s">
        <v>40</v>
      </c>
      <c r="E2452" s="1">
        <v>0.60614583333333327</v>
      </c>
      <c r="F2452" s="1" t="s">
        <v>13</v>
      </c>
      <c r="G2452" s="1">
        <v>3.18</v>
      </c>
      <c r="H2452" s="1">
        <v>3.24</v>
      </c>
      <c r="I2452" s="1">
        <v>0</v>
      </c>
      <c r="J2452" s="4">
        <v>41101</v>
      </c>
      <c r="K2452" s="4">
        <v>42562</v>
      </c>
      <c r="L2452">
        <f t="shared" si="38"/>
        <v>3.21</v>
      </c>
    </row>
    <row r="2453" spans="1:12" x14ac:dyDescent="0.15">
      <c r="A2453" s="1">
        <v>2452</v>
      </c>
      <c r="B2453" s="4">
        <v>41100</v>
      </c>
      <c r="C2453" s="1" t="s">
        <v>21</v>
      </c>
      <c r="D2453" s="1" t="s">
        <v>40</v>
      </c>
      <c r="E2453" s="1">
        <v>0.60614583333333327</v>
      </c>
      <c r="F2453" s="1" t="s">
        <v>13</v>
      </c>
      <c r="G2453" s="1">
        <v>3.23</v>
      </c>
      <c r="H2453" s="1">
        <v>3.29</v>
      </c>
      <c r="I2453" s="1">
        <v>0</v>
      </c>
      <c r="J2453" s="4">
        <v>41101</v>
      </c>
      <c r="K2453" s="4">
        <v>43657</v>
      </c>
      <c r="L2453">
        <f t="shared" si="38"/>
        <v>3.26</v>
      </c>
    </row>
    <row r="2454" spans="1:12" x14ac:dyDescent="0.15">
      <c r="A2454" s="1">
        <v>2453</v>
      </c>
      <c r="B2454" s="4">
        <v>41100</v>
      </c>
      <c r="C2454" s="1" t="s">
        <v>24</v>
      </c>
      <c r="D2454" s="1" t="s">
        <v>40</v>
      </c>
      <c r="E2454" s="1">
        <v>0.60614583333333327</v>
      </c>
      <c r="F2454" s="1" t="s">
        <v>13</v>
      </c>
      <c r="G2454" s="1">
        <v>3.24</v>
      </c>
      <c r="H2454" s="1">
        <v>3.3</v>
      </c>
      <c r="I2454" s="1">
        <v>0</v>
      </c>
      <c r="J2454" s="4">
        <v>41101</v>
      </c>
      <c r="K2454" s="4">
        <v>44023</v>
      </c>
      <c r="L2454">
        <f t="shared" si="38"/>
        <v>3.27</v>
      </c>
    </row>
    <row r="2455" spans="1:12" x14ac:dyDescent="0.15">
      <c r="A2455" s="1">
        <v>2454</v>
      </c>
      <c r="B2455" s="4">
        <v>41100</v>
      </c>
      <c r="C2455" s="1" t="s">
        <v>20</v>
      </c>
      <c r="D2455" s="1" t="s">
        <v>30</v>
      </c>
      <c r="E2455" s="1">
        <v>0.67164351851851845</v>
      </c>
      <c r="F2455" s="1" t="s">
        <v>13</v>
      </c>
      <c r="G2455" s="1">
        <v>3.22</v>
      </c>
      <c r="H2455" s="1">
        <v>3.32</v>
      </c>
      <c r="I2455" s="1">
        <v>0</v>
      </c>
      <c r="J2455" s="4">
        <v>41101</v>
      </c>
      <c r="K2455" s="4">
        <v>44753</v>
      </c>
      <c r="L2455">
        <f t="shared" si="38"/>
        <v>3.27</v>
      </c>
    </row>
    <row r="2456" spans="1:12" x14ac:dyDescent="0.15">
      <c r="A2456" s="1">
        <v>2455</v>
      </c>
      <c r="B2456" s="4">
        <v>41100</v>
      </c>
      <c r="C2456" s="1" t="s">
        <v>14</v>
      </c>
      <c r="D2456" s="1" t="s">
        <v>30</v>
      </c>
      <c r="E2456" s="1">
        <v>0.67164351851851845</v>
      </c>
      <c r="F2456" s="1" t="s">
        <v>13</v>
      </c>
      <c r="G2456" s="1">
        <v>3.28</v>
      </c>
      <c r="H2456" s="1">
        <v>3.38</v>
      </c>
      <c r="I2456" s="1">
        <v>0</v>
      </c>
      <c r="J2456" s="4">
        <v>41101</v>
      </c>
      <c r="K2456" s="4">
        <v>41466</v>
      </c>
      <c r="L2456">
        <f t="shared" si="38"/>
        <v>3.33</v>
      </c>
    </row>
    <row r="2457" spans="1:12" x14ac:dyDescent="0.15">
      <c r="A2457" s="1">
        <v>2456</v>
      </c>
      <c r="B2457" s="4">
        <v>41100</v>
      </c>
      <c r="C2457" s="1" t="s">
        <v>22</v>
      </c>
      <c r="D2457" s="1" t="s">
        <v>27</v>
      </c>
      <c r="E2457" s="1">
        <v>0.67515046296296299</v>
      </c>
      <c r="F2457" s="1" t="s">
        <v>13</v>
      </c>
      <c r="G2457" s="1">
        <v>3.64</v>
      </c>
      <c r="H2457" s="1">
        <v>3.7</v>
      </c>
      <c r="I2457" s="1">
        <v>0</v>
      </c>
      <c r="J2457" s="4">
        <v>41101</v>
      </c>
      <c r="K2457" s="4">
        <v>41285</v>
      </c>
      <c r="L2457">
        <f t="shared" si="38"/>
        <v>3.67</v>
      </c>
    </row>
    <row r="2458" spans="1:12" x14ac:dyDescent="0.15">
      <c r="A2458" s="1">
        <v>2457</v>
      </c>
      <c r="B2458" s="4">
        <v>41100</v>
      </c>
      <c r="C2458" s="1" t="s">
        <v>19</v>
      </c>
      <c r="D2458" s="1" t="s">
        <v>27</v>
      </c>
      <c r="E2458" s="1">
        <v>0.67515046296296299</v>
      </c>
      <c r="F2458" s="1" t="s">
        <v>13</v>
      </c>
      <c r="G2458" s="1">
        <v>3.42</v>
      </c>
      <c r="H2458" s="1">
        <v>3.5</v>
      </c>
      <c r="I2458" s="1">
        <v>0</v>
      </c>
      <c r="J2458" s="4">
        <v>41101</v>
      </c>
      <c r="K2458" s="4">
        <v>41375</v>
      </c>
      <c r="L2458">
        <f t="shared" si="38"/>
        <v>3.46</v>
      </c>
    </row>
    <row r="2459" spans="1:12" x14ac:dyDescent="0.15">
      <c r="A2459" s="1">
        <v>2458</v>
      </c>
      <c r="B2459" s="4">
        <v>41100</v>
      </c>
      <c r="C2459" s="1" t="s">
        <v>25</v>
      </c>
      <c r="D2459" s="1" t="s">
        <v>27</v>
      </c>
      <c r="E2459" s="1">
        <v>0.67515046296296299</v>
      </c>
      <c r="F2459" s="1" t="s">
        <v>13</v>
      </c>
      <c r="G2459" s="1">
        <v>3.06</v>
      </c>
      <c r="H2459" s="1">
        <v>3.16</v>
      </c>
      <c r="I2459" s="1">
        <v>0</v>
      </c>
      <c r="J2459" s="4">
        <v>41101</v>
      </c>
      <c r="K2459" s="4">
        <v>42927</v>
      </c>
      <c r="L2459">
        <f t="shared" si="38"/>
        <v>3.1100000000000003</v>
      </c>
    </row>
    <row r="2460" spans="1:12" x14ac:dyDescent="0.15">
      <c r="A2460" s="1">
        <v>2459</v>
      </c>
      <c r="B2460" s="4">
        <v>41100</v>
      </c>
      <c r="C2460" s="1" t="s">
        <v>18</v>
      </c>
      <c r="D2460" s="1" t="s">
        <v>30</v>
      </c>
      <c r="E2460" s="1">
        <v>0.67164351851851845</v>
      </c>
      <c r="F2460" s="1" t="s">
        <v>13</v>
      </c>
      <c r="G2460" s="1">
        <v>3.12</v>
      </c>
      <c r="H2460" s="1">
        <v>3.22</v>
      </c>
      <c r="I2460" s="1">
        <v>0</v>
      </c>
      <c r="J2460" s="4">
        <v>41101</v>
      </c>
      <c r="K2460" s="4">
        <v>41831</v>
      </c>
      <c r="L2460">
        <f t="shared" si="38"/>
        <v>3.17</v>
      </c>
    </row>
    <row r="2461" spans="1:12" x14ac:dyDescent="0.15">
      <c r="A2461" s="1">
        <v>2460</v>
      </c>
      <c r="B2461" s="4">
        <v>41100</v>
      </c>
      <c r="C2461" s="1" t="s">
        <v>22</v>
      </c>
      <c r="D2461" s="1" t="s">
        <v>30</v>
      </c>
      <c r="E2461" s="1">
        <v>0.67164351851851845</v>
      </c>
      <c r="F2461" s="1" t="s">
        <v>13</v>
      </c>
      <c r="G2461" s="1">
        <v>3.64</v>
      </c>
      <c r="H2461" s="1">
        <v>3.74</v>
      </c>
      <c r="I2461" s="1">
        <v>0</v>
      </c>
      <c r="J2461" s="4">
        <v>41101</v>
      </c>
      <c r="K2461" s="4">
        <v>41285</v>
      </c>
      <c r="L2461">
        <f t="shared" si="38"/>
        <v>3.6900000000000004</v>
      </c>
    </row>
    <row r="2462" spans="1:12" x14ac:dyDescent="0.15">
      <c r="A2462" s="1">
        <v>2461</v>
      </c>
      <c r="B2462" s="4">
        <v>41100</v>
      </c>
      <c r="C2462" s="1" t="s">
        <v>21</v>
      </c>
      <c r="D2462" s="1" t="s">
        <v>30</v>
      </c>
      <c r="E2462" s="1">
        <v>0.67163194444444452</v>
      </c>
      <c r="F2462" s="1" t="s">
        <v>13</v>
      </c>
      <c r="G2462" s="1">
        <v>3.17</v>
      </c>
      <c r="H2462" s="1">
        <v>3.27</v>
      </c>
      <c r="I2462" s="1">
        <v>0</v>
      </c>
      <c r="J2462" s="4">
        <v>41101</v>
      </c>
      <c r="K2462" s="4">
        <v>43657</v>
      </c>
      <c r="L2462">
        <f t="shared" si="38"/>
        <v>3.2199999999999998</v>
      </c>
    </row>
    <row r="2463" spans="1:12" x14ac:dyDescent="0.15">
      <c r="A2463" s="1">
        <v>2462</v>
      </c>
      <c r="B2463" s="4">
        <v>41100</v>
      </c>
      <c r="C2463" s="1" t="s">
        <v>25</v>
      </c>
      <c r="D2463" s="1" t="s">
        <v>30</v>
      </c>
      <c r="E2463" s="1">
        <v>0.67164351851851845</v>
      </c>
      <c r="F2463" s="1" t="s">
        <v>13</v>
      </c>
      <c r="G2463" s="1">
        <v>3.1</v>
      </c>
      <c r="H2463" s="1">
        <v>3.2</v>
      </c>
      <c r="I2463" s="1">
        <v>0</v>
      </c>
      <c r="J2463" s="4">
        <v>41101</v>
      </c>
      <c r="K2463" s="4">
        <v>42927</v>
      </c>
      <c r="L2463">
        <f t="shared" si="38"/>
        <v>3.1500000000000004</v>
      </c>
    </row>
    <row r="2464" spans="1:12" x14ac:dyDescent="0.15">
      <c r="A2464" s="1">
        <v>2463</v>
      </c>
      <c r="B2464" s="4">
        <v>41100</v>
      </c>
      <c r="C2464" s="1" t="s">
        <v>11</v>
      </c>
      <c r="D2464" s="1" t="s">
        <v>30</v>
      </c>
      <c r="E2464" s="1">
        <v>0.67164351851851845</v>
      </c>
      <c r="F2464" s="1" t="s">
        <v>13</v>
      </c>
      <c r="G2464" s="1">
        <v>3.1</v>
      </c>
      <c r="H2464" s="1">
        <v>3.2</v>
      </c>
      <c r="I2464" s="1">
        <v>0</v>
      </c>
      <c r="J2464" s="4">
        <v>41101</v>
      </c>
      <c r="K2464" s="4">
        <v>42196</v>
      </c>
      <c r="L2464">
        <f t="shared" si="38"/>
        <v>3.1500000000000004</v>
      </c>
    </row>
    <row r="2465" spans="1:12" x14ac:dyDescent="0.15">
      <c r="A2465" s="1">
        <v>2464</v>
      </c>
      <c r="B2465" s="4">
        <v>41100</v>
      </c>
      <c r="C2465" s="1" t="s">
        <v>16</v>
      </c>
      <c r="D2465" s="1" t="s">
        <v>30</v>
      </c>
      <c r="E2465" s="1">
        <v>0.67164351851851845</v>
      </c>
      <c r="F2465" s="1" t="s">
        <v>13</v>
      </c>
      <c r="G2465" s="1">
        <v>3.1</v>
      </c>
      <c r="H2465" s="1">
        <v>3.2</v>
      </c>
      <c r="I2465" s="1">
        <v>0</v>
      </c>
      <c r="J2465" s="4">
        <v>41101</v>
      </c>
      <c r="K2465" s="4">
        <v>42562</v>
      </c>
      <c r="L2465">
        <f t="shared" si="38"/>
        <v>3.1500000000000004</v>
      </c>
    </row>
    <row r="2466" spans="1:12" x14ac:dyDescent="0.15">
      <c r="A2466" s="1">
        <v>2465</v>
      </c>
      <c r="B2466" s="4">
        <v>41099</v>
      </c>
      <c r="C2466" s="1" t="s">
        <v>11</v>
      </c>
      <c r="D2466" s="1" t="s">
        <v>27</v>
      </c>
      <c r="E2466" s="1">
        <v>0.48736111111111113</v>
      </c>
      <c r="F2466" s="1" t="s">
        <v>13</v>
      </c>
      <c r="G2466" s="1">
        <v>3.11</v>
      </c>
      <c r="H2466" s="1">
        <v>3.21</v>
      </c>
      <c r="I2466" s="1">
        <v>0</v>
      </c>
      <c r="J2466" s="4">
        <v>41100</v>
      </c>
      <c r="K2466" s="4">
        <v>42195</v>
      </c>
      <c r="L2466">
        <f t="shared" si="38"/>
        <v>3.16</v>
      </c>
    </row>
    <row r="2467" spans="1:12" x14ac:dyDescent="0.15">
      <c r="A2467" s="1">
        <v>2466</v>
      </c>
      <c r="B2467" s="4">
        <v>41099</v>
      </c>
      <c r="C2467" s="1" t="s">
        <v>18</v>
      </c>
      <c r="D2467" s="1" t="s">
        <v>27</v>
      </c>
      <c r="E2467" s="1">
        <v>0.48736111111111113</v>
      </c>
      <c r="F2467" s="1" t="s">
        <v>13</v>
      </c>
      <c r="G2467" s="1">
        <v>3.12</v>
      </c>
      <c r="H2467" s="1">
        <v>3.22</v>
      </c>
      <c r="I2467" s="1">
        <v>0</v>
      </c>
      <c r="J2467" s="4">
        <v>41100</v>
      </c>
      <c r="K2467" s="4">
        <v>41830</v>
      </c>
      <c r="L2467">
        <f t="shared" si="38"/>
        <v>3.17</v>
      </c>
    </row>
    <row r="2468" spans="1:12" x14ac:dyDescent="0.15">
      <c r="A2468" s="1">
        <v>2467</v>
      </c>
      <c r="B2468" s="4">
        <v>41099</v>
      </c>
      <c r="C2468" s="1" t="s">
        <v>14</v>
      </c>
      <c r="D2468" s="1" t="s">
        <v>27</v>
      </c>
      <c r="E2468" s="1">
        <v>0.48737268518518517</v>
      </c>
      <c r="F2468" s="1" t="s">
        <v>13</v>
      </c>
      <c r="G2468" s="1">
        <v>3.3</v>
      </c>
      <c r="H2468" s="1">
        <v>3.35</v>
      </c>
      <c r="I2468" s="1">
        <v>0</v>
      </c>
      <c r="J2468" s="4">
        <v>41100</v>
      </c>
      <c r="K2468" s="4">
        <v>41465</v>
      </c>
      <c r="L2468">
        <f t="shared" si="38"/>
        <v>3.3250000000000002</v>
      </c>
    </row>
    <row r="2469" spans="1:12" x14ac:dyDescent="0.15">
      <c r="A2469" s="1">
        <v>2468</v>
      </c>
      <c r="B2469" s="4">
        <v>41099</v>
      </c>
      <c r="C2469" s="1" t="s">
        <v>16</v>
      </c>
      <c r="D2469" s="1" t="s">
        <v>27</v>
      </c>
      <c r="E2469" s="1">
        <v>0.48736111111111113</v>
      </c>
      <c r="F2469" s="1" t="s">
        <v>13</v>
      </c>
      <c r="G2469" s="1">
        <v>3.11</v>
      </c>
      <c r="H2469" s="1">
        <v>3.2</v>
      </c>
      <c r="I2469" s="1">
        <v>0</v>
      </c>
      <c r="J2469" s="4">
        <v>41100</v>
      </c>
      <c r="K2469" s="4">
        <v>42561</v>
      </c>
      <c r="L2469">
        <f t="shared" si="38"/>
        <v>3.1550000000000002</v>
      </c>
    </row>
    <row r="2470" spans="1:12" x14ac:dyDescent="0.15">
      <c r="A2470" s="1">
        <v>2469</v>
      </c>
      <c r="B2470" s="4">
        <v>41099</v>
      </c>
      <c r="C2470" s="1" t="s">
        <v>22</v>
      </c>
      <c r="D2470" s="1" t="s">
        <v>27</v>
      </c>
      <c r="E2470" s="1">
        <v>0.487337962962963</v>
      </c>
      <c r="F2470" s="1" t="s">
        <v>13</v>
      </c>
      <c r="G2470" s="1">
        <v>3.67</v>
      </c>
      <c r="H2470" s="1">
        <v>3.71</v>
      </c>
      <c r="I2470" s="1">
        <v>0</v>
      </c>
      <c r="J2470" s="4">
        <v>41100</v>
      </c>
      <c r="K2470" s="4">
        <v>41284</v>
      </c>
      <c r="L2470">
        <f t="shared" si="38"/>
        <v>3.69</v>
      </c>
    </row>
    <row r="2471" spans="1:12" x14ac:dyDescent="0.15">
      <c r="A2471" s="1">
        <v>2470</v>
      </c>
      <c r="B2471" s="4">
        <v>41099</v>
      </c>
      <c r="C2471" s="1" t="s">
        <v>18</v>
      </c>
      <c r="D2471" s="1" t="s">
        <v>26</v>
      </c>
      <c r="E2471" s="1">
        <v>0.48403935185185182</v>
      </c>
      <c r="F2471" s="1" t="s">
        <v>13</v>
      </c>
      <c r="G2471" s="1">
        <v>3.26</v>
      </c>
      <c r="H2471" s="1">
        <v>3.31</v>
      </c>
      <c r="I2471" s="1">
        <v>0</v>
      </c>
      <c r="J2471" s="4">
        <v>41100</v>
      </c>
      <c r="K2471" s="4">
        <v>41830</v>
      </c>
      <c r="L2471">
        <f t="shared" si="38"/>
        <v>3.2850000000000001</v>
      </c>
    </row>
    <row r="2472" spans="1:12" x14ac:dyDescent="0.15">
      <c r="A2472" s="1">
        <v>2471</v>
      </c>
      <c r="B2472" s="4">
        <v>41099</v>
      </c>
      <c r="C2472" s="1" t="s">
        <v>19</v>
      </c>
      <c r="D2472" s="1" t="s">
        <v>27</v>
      </c>
      <c r="E2472" s="1">
        <v>0.48734953703703704</v>
      </c>
      <c r="F2472" s="1" t="s">
        <v>13</v>
      </c>
      <c r="G2472" s="1">
        <v>3.41</v>
      </c>
      <c r="H2472" s="1">
        <v>3.48</v>
      </c>
      <c r="I2472" s="1">
        <v>0</v>
      </c>
      <c r="J2472" s="4">
        <v>41100</v>
      </c>
      <c r="K2472" s="4">
        <v>41374</v>
      </c>
      <c r="L2472">
        <f t="shared" si="38"/>
        <v>3.4450000000000003</v>
      </c>
    </row>
    <row r="2473" spans="1:12" x14ac:dyDescent="0.15">
      <c r="A2473" s="1">
        <v>2472</v>
      </c>
      <c r="B2473" s="4">
        <v>41099</v>
      </c>
      <c r="C2473" s="1" t="s">
        <v>25</v>
      </c>
      <c r="D2473" s="1" t="s">
        <v>27</v>
      </c>
      <c r="E2473" s="1">
        <v>0.48734953703703704</v>
      </c>
      <c r="F2473" s="1" t="s">
        <v>13</v>
      </c>
      <c r="G2473" s="1">
        <v>3.14</v>
      </c>
      <c r="H2473" s="1">
        <v>3.21</v>
      </c>
      <c r="I2473" s="1">
        <v>0</v>
      </c>
      <c r="J2473" s="4">
        <v>41100</v>
      </c>
      <c r="K2473" s="4">
        <v>42926</v>
      </c>
      <c r="L2473">
        <f t="shared" si="38"/>
        <v>3.1749999999999998</v>
      </c>
    </row>
    <row r="2474" spans="1:12" x14ac:dyDescent="0.15">
      <c r="A2474" s="1">
        <v>2473</v>
      </c>
      <c r="B2474" s="4">
        <v>41099</v>
      </c>
      <c r="C2474" s="1" t="s">
        <v>21</v>
      </c>
      <c r="D2474" s="1" t="s">
        <v>30</v>
      </c>
      <c r="E2474" s="1">
        <v>0.49060185185185184</v>
      </c>
      <c r="F2474" s="1" t="s">
        <v>13</v>
      </c>
      <c r="G2474" s="1">
        <v>3.18</v>
      </c>
      <c r="H2474" s="1">
        <v>3.28</v>
      </c>
      <c r="I2474" s="1">
        <v>0</v>
      </c>
      <c r="J2474" s="4">
        <v>41100</v>
      </c>
      <c r="K2474" s="4">
        <v>43656</v>
      </c>
      <c r="L2474">
        <f t="shared" si="38"/>
        <v>3.23</v>
      </c>
    </row>
    <row r="2475" spans="1:12" x14ac:dyDescent="0.15">
      <c r="A2475" s="1">
        <v>2474</v>
      </c>
      <c r="B2475" s="4">
        <v>41099</v>
      </c>
      <c r="C2475" s="1" t="s">
        <v>14</v>
      </c>
      <c r="D2475" s="1" t="s">
        <v>30</v>
      </c>
      <c r="E2475" s="1">
        <v>0.49060185185185184</v>
      </c>
      <c r="F2475" s="1" t="s">
        <v>13</v>
      </c>
      <c r="G2475" s="1">
        <v>3.29</v>
      </c>
      <c r="H2475" s="1">
        <v>3.39</v>
      </c>
      <c r="I2475" s="1">
        <v>0</v>
      </c>
      <c r="J2475" s="4">
        <v>41100</v>
      </c>
      <c r="K2475" s="4">
        <v>41465</v>
      </c>
      <c r="L2475">
        <f t="shared" si="38"/>
        <v>3.34</v>
      </c>
    </row>
    <row r="2476" spans="1:12" x14ac:dyDescent="0.15">
      <c r="A2476" s="1">
        <v>2475</v>
      </c>
      <c r="B2476" s="4">
        <v>41099</v>
      </c>
      <c r="C2476" s="1" t="s">
        <v>18</v>
      </c>
      <c r="D2476" s="1" t="s">
        <v>30</v>
      </c>
      <c r="E2476" s="1">
        <v>0.49060185185185184</v>
      </c>
      <c r="F2476" s="1" t="s">
        <v>13</v>
      </c>
      <c r="G2476" s="1">
        <v>3.13</v>
      </c>
      <c r="H2476" s="1">
        <v>3.23</v>
      </c>
      <c r="I2476" s="1">
        <v>0</v>
      </c>
      <c r="J2476" s="4">
        <v>41100</v>
      </c>
      <c r="K2476" s="4">
        <v>41830</v>
      </c>
      <c r="L2476">
        <f t="shared" si="38"/>
        <v>3.1799999999999997</v>
      </c>
    </row>
    <row r="2477" spans="1:12" x14ac:dyDescent="0.15">
      <c r="A2477" s="1">
        <v>2476</v>
      </c>
      <c r="B2477" s="4">
        <v>41099</v>
      </c>
      <c r="C2477" s="1" t="s">
        <v>19</v>
      </c>
      <c r="D2477" s="1" t="s">
        <v>30</v>
      </c>
      <c r="E2477" s="1">
        <v>0.49060185185185184</v>
      </c>
      <c r="F2477" s="1" t="s">
        <v>13</v>
      </c>
      <c r="G2477" s="1">
        <v>3.43</v>
      </c>
      <c r="H2477" s="1">
        <v>3.53</v>
      </c>
      <c r="I2477" s="1">
        <v>0</v>
      </c>
      <c r="J2477" s="4">
        <v>41100</v>
      </c>
      <c r="K2477" s="4">
        <v>41374</v>
      </c>
      <c r="L2477">
        <f t="shared" si="38"/>
        <v>3.48</v>
      </c>
    </row>
    <row r="2478" spans="1:12" x14ac:dyDescent="0.15">
      <c r="A2478" s="1">
        <v>2477</v>
      </c>
      <c r="B2478" s="4">
        <v>41099</v>
      </c>
      <c r="C2478" s="1" t="s">
        <v>20</v>
      </c>
      <c r="D2478" s="1" t="s">
        <v>30</v>
      </c>
      <c r="E2478" s="1">
        <v>0.49060185185185184</v>
      </c>
      <c r="F2478" s="1" t="s">
        <v>13</v>
      </c>
      <c r="G2478" s="1">
        <v>3.23</v>
      </c>
      <c r="H2478" s="1">
        <v>3.33</v>
      </c>
      <c r="I2478" s="1">
        <v>0</v>
      </c>
      <c r="J2478" s="4">
        <v>41100</v>
      </c>
      <c r="K2478" s="4">
        <v>44752</v>
      </c>
      <c r="L2478">
        <f t="shared" si="38"/>
        <v>3.2800000000000002</v>
      </c>
    </row>
    <row r="2479" spans="1:12" x14ac:dyDescent="0.15">
      <c r="A2479" s="1">
        <v>2478</v>
      </c>
      <c r="B2479" s="4">
        <v>41099</v>
      </c>
      <c r="C2479" s="1" t="s">
        <v>25</v>
      </c>
      <c r="D2479" s="1" t="s">
        <v>30</v>
      </c>
      <c r="E2479" s="1">
        <v>0.49060185185185184</v>
      </c>
      <c r="F2479" s="1" t="s">
        <v>13</v>
      </c>
      <c r="G2479" s="1">
        <v>3.11</v>
      </c>
      <c r="H2479" s="1">
        <v>3.21</v>
      </c>
      <c r="I2479" s="1">
        <v>0</v>
      </c>
      <c r="J2479" s="4">
        <v>41100</v>
      </c>
      <c r="K2479" s="4">
        <v>42926</v>
      </c>
      <c r="L2479">
        <f t="shared" si="38"/>
        <v>3.16</v>
      </c>
    </row>
    <row r="2480" spans="1:12" x14ac:dyDescent="0.15">
      <c r="A2480" s="1">
        <v>2479</v>
      </c>
      <c r="B2480" s="4">
        <v>41099</v>
      </c>
      <c r="C2480" s="1" t="s">
        <v>22</v>
      </c>
      <c r="D2480" s="1" t="s">
        <v>30</v>
      </c>
      <c r="E2480" s="1">
        <v>0.49060185185185184</v>
      </c>
      <c r="F2480" s="1" t="s">
        <v>13</v>
      </c>
      <c r="G2480" s="1">
        <v>3.63</v>
      </c>
      <c r="H2480" s="1">
        <v>3.73</v>
      </c>
      <c r="I2480" s="1">
        <v>0</v>
      </c>
      <c r="J2480" s="4">
        <v>41100</v>
      </c>
      <c r="K2480" s="4">
        <v>41284</v>
      </c>
      <c r="L2480">
        <f t="shared" si="38"/>
        <v>3.6799999999999997</v>
      </c>
    </row>
    <row r="2481" spans="1:12" x14ac:dyDescent="0.15">
      <c r="A2481" s="1">
        <v>2480</v>
      </c>
      <c r="B2481" s="4">
        <v>41099</v>
      </c>
      <c r="C2481" s="1" t="s">
        <v>11</v>
      </c>
      <c r="D2481" s="1" t="s">
        <v>30</v>
      </c>
      <c r="E2481" s="1">
        <v>0.49060185185185184</v>
      </c>
      <c r="F2481" s="1" t="s">
        <v>13</v>
      </c>
      <c r="G2481" s="1">
        <v>3.11</v>
      </c>
      <c r="H2481" s="1">
        <v>3.21</v>
      </c>
      <c r="I2481" s="1">
        <v>0</v>
      </c>
      <c r="J2481" s="4">
        <v>41100</v>
      </c>
      <c r="K2481" s="4">
        <v>42195</v>
      </c>
      <c r="L2481">
        <f t="shared" si="38"/>
        <v>3.16</v>
      </c>
    </row>
    <row r="2482" spans="1:12" x14ac:dyDescent="0.15">
      <c r="A2482" s="1">
        <v>2481</v>
      </c>
      <c r="B2482" s="4">
        <v>41099</v>
      </c>
      <c r="C2482" s="1" t="s">
        <v>16</v>
      </c>
      <c r="D2482" s="1" t="s">
        <v>30</v>
      </c>
      <c r="E2482" s="1">
        <v>0.49060185185185184</v>
      </c>
      <c r="F2482" s="1" t="s">
        <v>13</v>
      </c>
      <c r="G2482" s="1">
        <v>3.11</v>
      </c>
      <c r="H2482" s="1">
        <v>3.21</v>
      </c>
      <c r="I2482" s="1">
        <v>0</v>
      </c>
      <c r="J2482" s="4">
        <v>41100</v>
      </c>
      <c r="K2482" s="4">
        <v>42561</v>
      </c>
      <c r="L2482">
        <f t="shared" si="38"/>
        <v>3.16</v>
      </c>
    </row>
    <row r="2483" spans="1:12" x14ac:dyDescent="0.15">
      <c r="A2483" s="1">
        <v>2482</v>
      </c>
      <c r="B2483" s="4">
        <v>41099</v>
      </c>
      <c r="C2483" s="1" t="s">
        <v>22</v>
      </c>
      <c r="D2483" s="1" t="s">
        <v>41</v>
      </c>
      <c r="E2483" s="1">
        <v>0.47759259259259257</v>
      </c>
      <c r="F2483" s="1" t="s">
        <v>13</v>
      </c>
      <c r="G2483" s="1">
        <v>3.65</v>
      </c>
      <c r="H2483" s="1">
        <v>3.7</v>
      </c>
      <c r="I2483" s="1">
        <v>0</v>
      </c>
      <c r="J2483" s="4">
        <v>41100</v>
      </c>
      <c r="K2483" s="4">
        <v>41284</v>
      </c>
      <c r="L2483">
        <f t="shared" si="38"/>
        <v>3.6749999999999998</v>
      </c>
    </row>
    <row r="2484" spans="1:12" x14ac:dyDescent="0.15">
      <c r="A2484" s="1">
        <v>2483</v>
      </c>
      <c r="B2484" s="4">
        <v>41099</v>
      </c>
      <c r="C2484" s="1" t="s">
        <v>20</v>
      </c>
      <c r="D2484" s="1" t="s">
        <v>41</v>
      </c>
      <c r="E2484" s="1">
        <v>0.47759259259259257</v>
      </c>
      <c r="F2484" s="1" t="s">
        <v>13</v>
      </c>
      <c r="G2484" s="1">
        <v>3.31</v>
      </c>
      <c r="H2484" s="1">
        <v>3.43</v>
      </c>
      <c r="I2484" s="1">
        <v>0</v>
      </c>
      <c r="J2484" s="4">
        <v>41100</v>
      </c>
      <c r="K2484" s="4">
        <v>44752</v>
      </c>
      <c r="L2484">
        <f t="shared" si="38"/>
        <v>3.37</v>
      </c>
    </row>
    <row r="2485" spans="1:12" x14ac:dyDescent="0.15">
      <c r="A2485" s="1">
        <v>2484</v>
      </c>
      <c r="B2485" s="4">
        <v>41099</v>
      </c>
      <c r="C2485" s="1" t="s">
        <v>14</v>
      </c>
      <c r="D2485" s="1" t="s">
        <v>41</v>
      </c>
      <c r="E2485" s="1">
        <v>0.47759259259259257</v>
      </c>
      <c r="F2485" s="1" t="s">
        <v>13</v>
      </c>
      <c r="G2485" s="1">
        <v>3.32</v>
      </c>
      <c r="H2485" s="1">
        <v>3.38</v>
      </c>
      <c r="I2485" s="1">
        <v>0</v>
      </c>
      <c r="J2485" s="4">
        <v>41100</v>
      </c>
      <c r="K2485" s="4">
        <v>41465</v>
      </c>
      <c r="L2485">
        <f t="shared" si="38"/>
        <v>3.3499999999999996</v>
      </c>
    </row>
    <row r="2486" spans="1:12" x14ac:dyDescent="0.15">
      <c r="A2486" s="1">
        <v>2485</v>
      </c>
      <c r="B2486" s="4">
        <v>41099</v>
      </c>
      <c r="C2486" s="1" t="s">
        <v>19</v>
      </c>
      <c r="D2486" s="1" t="s">
        <v>41</v>
      </c>
      <c r="E2486" s="1">
        <v>0.47759259259259257</v>
      </c>
      <c r="F2486" s="1" t="s">
        <v>13</v>
      </c>
      <c r="G2486" s="1">
        <v>3.43</v>
      </c>
      <c r="H2486" s="1">
        <v>3.51</v>
      </c>
      <c r="I2486" s="1">
        <v>0</v>
      </c>
      <c r="J2486" s="4">
        <v>41100</v>
      </c>
      <c r="K2486" s="4">
        <v>41374</v>
      </c>
      <c r="L2486">
        <f t="shared" si="38"/>
        <v>3.4699999999999998</v>
      </c>
    </row>
    <row r="2487" spans="1:12" x14ac:dyDescent="0.15">
      <c r="A2487" s="1">
        <v>2486</v>
      </c>
      <c r="B2487" s="4">
        <v>41099</v>
      </c>
      <c r="C2487" s="1" t="s">
        <v>16</v>
      </c>
      <c r="D2487" s="1" t="s">
        <v>41</v>
      </c>
      <c r="E2487" s="1">
        <v>0.47759259259259257</v>
      </c>
      <c r="F2487" s="1" t="s">
        <v>13</v>
      </c>
      <c r="G2487" s="1">
        <v>3.1</v>
      </c>
      <c r="H2487" s="1">
        <v>3.17</v>
      </c>
      <c r="I2487" s="1">
        <v>0</v>
      </c>
      <c r="J2487" s="4">
        <v>41100</v>
      </c>
      <c r="K2487" s="4">
        <v>42561</v>
      </c>
      <c r="L2487">
        <f t="shared" si="38"/>
        <v>3.1349999999999998</v>
      </c>
    </row>
    <row r="2488" spans="1:12" x14ac:dyDescent="0.15">
      <c r="A2488" s="1">
        <v>2487</v>
      </c>
      <c r="B2488" s="4">
        <v>41099</v>
      </c>
      <c r="C2488" s="1" t="s">
        <v>11</v>
      </c>
      <c r="D2488" s="1" t="s">
        <v>41</v>
      </c>
      <c r="E2488" s="1">
        <v>0.47759259259259257</v>
      </c>
      <c r="F2488" s="1" t="s">
        <v>13</v>
      </c>
      <c r="G2488" s="1">
        <v>3.12</v>
      </c>
      <c r="H2488" s="1">
        <v>3.18</v>
      </c>
      <c r="I2488" s="1">
        <v>0</v>
      </c>
      <c r="J2488" s="4">
        <v>41100</v>
      </c>
      <c r="K2488" s="4">
        <v>42195</v>
      </c>
      <c r="L2488">
        <f t="shared" si="38"/>
        <v>3.1500000000000004</v>
      </c>
    </row>
    <row r="2489" spans="1:12" x14ac:dyDescent="0.15">
      <c r="A2489" s="1">
        <v>2488</v>
      </c>
      <c r="B2489" s="4">
        <v>41099</v>
      </c>
      <c r="C2489" s="1" t="s">
        <v>21</v>
      </c>
      <c r="D2489" s="1" t="s">
        <v>41</v>
      </c>
      <c r="E2489" s="1">
        <v>0.47759259259259257</v>
      </c>
      <c r="F2489" s="1" t="s">
        <v>13</v>
      </c>
      <c r="G2489" s="1">
        <v>3.25</v>
      </c>
      <c r="H2489" s="1">
        <v>3.38</v>
      </c>
      <c r="I2489" s="1">
        <v>0</v>
      </c>
      <c r="J2489" s="4">
        <v>41100</v>
      </c>
      <c r="K2489" s="4">
        <v>43656</v>
      </c>
      <c r="L2489">
        <f t="shared" si="38"/>
        <v>3.3149999999999999</v>
      </c>
    </row>
    <row r="2490" spans="1:12" x14ac:dyDescent="0.15">
      <c r="A2490" s="1">
        <v>2489</v>
      </c>
      <c r="B2490" s="4">
        <v>41099</v>
      </c>
      <c r="C2490" s="1" t="s">
        <v>25</v>
      </c>
      <c r="D2490" s="1" t="s">
        <v>41</v>
      </c>
      <c r="E2490" s="1">
        <v>0.47759259259259257</v>
      </c>
      <c r="F2490" s="1" t="s">
        <v>13</v>
      </c>
      <c r="G2490" s="1">
        <v>3.13</v>
      </c>
      <c r="H2490" s="1">
        <v>3.18</v>
      </c>
      <c r="I2490" s="1">
        <v>0</v>
      </c>
      <c r="J2490" s="4">
        <v>41100</v>
      </c>
      <c r="K2490" s="4">
        <v>42926</v>
      </c>
      <c r="L2490">
        <f t="shared" si="38"/>
        <v>3.1550000000000002</v>
      </c>
    </row>
    <row r="2491" spans="1:12" x14ac:dyDescent="0.15">
      <c r="A2491" s="1">
        <v>2490</v>
      </c>
      <c r="B2491" s="4">
        <v>41099</v>
      </c>
      <c r="C2491" s="1" t="s">
        <v>18</v>
      </c>
      <c r="D2491" s="1" t="s">
        <v>41</v>
      </c>
      <c r="E2491" s="1">
        <v>0.47759259259259257</v>
      </c>
      <c r="F2491" s="1" t="s">
        <v>13</v>
      </c>
      <c r="G2491" s="1">
        <v>3.12</v>
      </c>
      <c r="H2491" s="1">
        <v>3.2</v>
      </c>
      <c r="I2491" s="1">
        <v>0</v>
      </c>
      <c r="J2491" s="4">
        <v>41100</v>
      </c>
      <c r="K2491" s="4">
        <v>41830</v>
      </c>
      <c r="L2491">
        <f t="shared" si="38"/>
        <v>3.16</v>
      </c>
    </row>
    <row r="2492" spans="1:12" x14ac:dyDescent="0.15">
      <c r="A2492" s="1">
        <v>2491</v>
      </c>
      <c r="B2492" s="4">
        <v>41099</v>
      </c>
      <c r="C2492" s="1" t="s">
        <v>22</v>
      </c>
      <c r="D2492" s="1" t="s">
        <v>26</v>
      </c>
      <c r="E2492" s="1">
        <v>0.48402777777777778</v>
      </c>
      <c r="F2492" s="1" t="s">
        <v>13</v>
      </c>
      <c r="G2492" s="1">
        <v>3.6</v>
      </c>
      <c r="H2492" s="1">
        <v>3.7</v>
      </c>
      <c r="I2492" s="1">
        <v>0</v>
      </c>
      <c r="J2492" s="4">
        <v>41100</v>
      </c>
      <c r="K2492" s="4">
        <v>41284</v>
      </c>
      <c r="L2492">
        <f t="shared" si="38"/>
        <v>3.6500000000000004</v>
      </c>
    </row>
    <row r="2493" spans="1:12" x14ac:dyDescent="0.15">
      <c r="A2493" s="1">
        <v>2492</v>
      </c>
      <c r="B2493" s="4">
        <v>41099</v>
      </c>
      <c r="C2493" s="1" t="s">
        <v>25</v>
      </c>
      <c r="D2493" s="1" t="s">
        <v>26</v>
      </c>
      <c r="E2493" s="1">
        <v>0.48402777777777778</v>
      </c>
      <c r="F2493" s="1" t="s">
        <v>13</v>
      </c>
      <c r="G2493" s="1">
        <v>3.15</v>
      </c>
      <c r="H2493" s="1">
        <v>3.2</v>
      </c>
      <c r="I2493" s="1">
        <v>0</v>
      </c>
      <c r="J2493" s="4">
        <v>41100</v>
      </c>
      <c r="K2493" s="4">
        <v>42926</v>
      </c>
      <c r="L2493">
        <f t="shared" si="38"/>
        <v>3.1749999999999998</v>
      </c>
    </row>
    <row r="2494" spans="1:12" x14ac:dyDescent="0.15">
      <c r="A2494" s="1">
        <v>2493</v>
      </c>
      <c r="B2494" s="4">
        <v>41099</v>
      </c>
      <c r="C2494" s="1" t="s">
        <v>11</v>
      </c>
      <c r="D2494" s="1" t="s">
        <v>26</v>
      </c>
      <c r="E2494" s="1">
        <v>0.48402777777777778</v>
      </c>
      <c r="F2494" s="1" t="s">
        <v>13</v>
      </c>
      <c r="G2494" s="1">
        <v>3.15</v>
      </c>
      <c r="H2494" s="1">
        <v>3.2</v>
      </c>
      <c r="I2494" s="1">
        <v>0</v>
      </c>
      <c r="J2494" s="4">
        <v>41100</v>
      </c>
      <c r="K2494" s="4">
        <v>42195</v>
      </c>
      <c r="L2494">
        <f t="shared" si="38"/>
        <v>3.1749999999999998</v>
      </c>
    </row>
    <row r="2495" spans="1:12" x14ac:dyDescent="0.15">
      <c r="A2495" s="1">
        <v>2494</v>
      </c>
      <c r="B2495" s="4">
        <v>41099</v>
      </c>
      <c r="C2495" s="1" t="s">
        <v>19</v>
      </c>
      <c r="D2495" s="1" t="s">
        <v>26</v>
      </c>
      <c r="E2495" s="1">
        <v>0.48402777777777778</v>
      </c>
      <c r="F2495" s="1" t="s">
        <v>13</v>
      </c>
      <c r="G2495" s="1">
        <v>3.48</v>
      </c>
      <c r="H2495" s="1">
        <v>3.55</v>
      </c>
      <c r="I2495" s="1">
        <v>0</v>
      </c>
      <c r="J2495" s="4">
        <v>41100</v>
      </c>
      <c r="K2495" s="4">
        <v>41374</v>
      </c>
      <c r="L2495">
        <f t="shared" si="38"/>
        <v>3.5149999999999997</v>
      </c>
    </row>
    <row r="2496" spans="1:12" x14ac:dyDescent="0.15">
      <c r="A2496" s="1">
        <v>2495</v>
      </c>
      <c r="B2496" s="4">
        <v>41099</v>
      </c>
      <c r="C2496" s="1" t="s">
        <v>21</v>
      </c>
      <c r="D2496" s="1" t="s">
        <v>26</v>
      </c>
      <c r="E2496" s="1">
        <v>0.48401620370370368</v>
      </c>
      <c r="F2496" s="1" t="s">
        <v>13</v>
      </c>
      <c r="G2496" s="1">
        <v>3.15</v>
      </c>
      <c r="H2496" s="1">
        <v>3.2</v>
      </c>
      <c r="I2496" s="1">
        <v>0</v>
      </c>
      <c r="J2496" s="4">
        <v>41100</v>
      </c>
      <c r="K2496" s="4">
        <v>43656</v>
      </c>
      <c r="L2496">
        <f t="shared" si="38"/>
        <v>3.1749999999999998</v>
      </c>
    </row>
    <row r="2497" spans="1:12" x14ac:dyDescent="0.15">
      <c r="A2497" s="1">
        <v>2496</v>
      </c>
      <c r="B2497" s="4">
        <v>41099</v>
      </c>
      <c r="C2497" s="1" t="s">
        <v>16</v>
      </c>
      <c r="D2497" s="1" t="s">
        <v>26</v>
      </c>
      <c r="E2497" s="1">
        <v>0.48401620370370368</v>
      </c>
      <c r="F2497" s="1" t="s">
        <v>13</v>
      </c>
      <c r="G2497" s="1">
        <v>3.15</v>
      </c>
      <c r="H2497" s="1">
        <v>3.2</v>
      </c>
      <c r="I2497" s="1">
        <v>0</v>
      </c>
      <c r="J2497" s="4">
        <v>41100</v>
      </c>
      <c r="K2497" s="4">
        <v>42561</v>
      </c>
      <c r="L2497">
        <f t="shared" si="38"/>
        <v>3.1749999999999998</v>
      </c>
    </row>
    <row r="2498" spans="1:12" x14ac:dyDescent="0.15">
      <c r="A2498" s="1">
        <v>2497</v>
      </c>
      <c r="B2498" s="4">
        <v>41099</v>
      </c>
      <c r="C2498" s="1" t="s">
        <v>20</v>
      </c>
      <c r="D2498" s="1" t="s">
        <v>26</v>
      </c>
      <c r="E2498" s="1">
        <v>0.48402777777777778</v>
      </c>
      <c r="F2498" s="1" t="s">
        <v>13</v>
      </c>
      <c r="G2498" s="1">
        <v>3.15</v>
      </c>
      <c r="H2498" s="1">
        <v>3.2</v>
      </c>
      <c r="I2498" s="1">
        <v>0</v>
      </c>
      <c r="J2498" s="4">
        <v>41100</v>
      </c>
      <c r="K2498" s="4">
        <v>44752</v>
      </c>
      <c r="L2498">
        <f t="shared" si="38"/>
        <v>3.1749999999999998</v>
      </c>
    </row>
    <row r="2499" spans="1:12" x14ac:dyDescent="0.15">
      <c r="A2499" s="1">
        <v>2498</v>
      </c>
      <c r="B2499" s="4">
        <v>41099</v>
      </c>
      <c r="C2499" s="1" t="s">
        <v>14</v>
      </c>
      <c r="D2499" s="1" t="s">
        <v>26</v>
      </c>
      <c r="E2499" s="1">
        <v>0.48402777777777778</v>
      </c>
      <c r="F2499" s="1" t="s">
        <v>13</v>
      </c>
      <c r="G2499" s="1">
        <v>3.35</v>
      </c>
      <c r="H2499" s="1">
        <v>3.4</v>
      </c>
      <c r="I2499" s="1">
        <v>0</v>
      </c>
      <c r="J2499" s="4">
        <v>41100</v>
      </c>
      <c r="K2499" s="4">
        <v>41465</v>
      </c>
      <c r="L2499">
        <f t="shared" ref="L2499:L2562" si="39">AVERAGE(G2499:H2499)</f>
        <v>3.375</v>
      </c>
    </row>
    <row r="2500" spans="1:12" x14ac:dyDescent="0.15">
      <c r="A2500" s="1">
        <v>2499</v>
      </c>
      <c r="B2500" s="4">
        <v>41099</v>
      </c>
      <c r="C2500" s="1" t="s">
        <v>11</v>
      </c>
      <c r="D2500" s="1" t="s">
        <v>27</v>
      </c>
      <c r="E2500" s="1">
        <v>0.67444444444444451</v>
      </c>
      <c r="F2500" s="1" t="s">
        <v>13</v>
      </c>
      <c r="G2500" s="1">
        <v>3.11</v>
      </c>
      <c r="H2500" s="1">
        <v>3.21</v>
      </c>
      <c r="I2500" s="1">
        <v>0</v>
      </c>
      <c r="J2500" s="4">
        <v>41100</v>
      </c>
      <c r="K2500" s="4">
        <v>42195</v>
      </c>
      <c r="L2500">
        <f t="shared" si="39"/>
        <v>3.16</v>
      </c>
    </row>
    <row r="2501" spans="1:12" x14ac:dyDescent="0.15">
      <c r="A2501" s="1">
        <v>2500</v>
      </c>
      <c r="B2501" s="4">
        <v>41099</v>
      </c>
      <c r="C2501" s="1" t="s">
        <v>25</v>
      </c>
      <c r="D2501" s="1" t="s">
        <v>27</v>
      </c>
      <c r="E2501" s="1">
        <v>0.67443287037037036</v>
      </c>
      <c r="F2501" s="1" t="s">
        <v>13</v>
      </c>
      <c r="G2501" s="1">
        <v>3.1</v>
      </c>
      <c r="H2501" s="1">
        <v>3.2</v>
      </c>
      <c r="I2501" s="1">
        <v>0</v>
      </c>
      <c r="J2501" s="4">
        <v>41100</v>
      </c>
      <c r="K2501" s="4">
        <v>42926</v>
      </c>
      <c r="L2501">
        <f t="shared" si="39"/>
        <v>3.1500000000000004</v>
      </c>
    </row>
    <row r="2502" spans="1:12" x14ac:dyDescent="0.15">
      <c r="A2502" s="1">
        <v>2501</v>
      </c>
      <c r="B2502" s="4">
        <v>41099</v>
      </c>
      <c r="C2502" s="1" t="s">
        <v>14</v>
      </c>
      <c r="D2502" s="1" t="s">
        <v>27</v>
      </c>
      <c r="E2502" s="1">
        <v>0.67444444444444451</v>
      </c>
      <c r="F2502" s="1" t="s">
        <v>13</v>
      </c>
      <c r="G2502" s="1">
        <v>3.32</v>
      </c>
      <c r="H2502" s="1">
        <v>3.38</v>
      </c>
      <c r="I2502" s="1">
        <v>0</v>
      </c>
      <c r="J2502" s="4">
        <v>41100</v>
      </c>
      <c r="K2502" s="4">
        <v>41465</v>
      </c>
      <c r="L2502">
        <f t="shared" si="39"/>
        <v>3.3499999999999996</v>
      </c>
    </row>
    <row r="2503" spans="1:12" x14ac:dyDescent="0.15">
      <c r="A2503" s="1">
        <v>2502</v>
      </c>
      <c r="B2503" s="4">
        <v>41099</v>
      </c>
      <c r="C2503" s="1" t="s">
        <v>16</v>
      </c>
      <c r="D2503" s="1" t="s">
        <v>27</v>
      </c>
      <c r="E2503" s="1">
        <v>0.67444444444444451</v>
      </c>
      <c r="F2503" s="1" t="s">
        <v>13</v>
      </c>
      <c r="G2503" s="1">
        <v>3.1</v>
      </c>
      <c r="H2503" s="1">
        <v>3.2</v>
      </c>
      <c r="I2503" s="1">
        <v>0</v>
      </c>
      <c r="J2503" s="4">
        <v>41100</v>
      </c>
      <c r="K2503" s="4">
        <v>42561</v>
      </c>
      <c r="L2503">
        <f t="shared" si="39"/>
        <v>3.1500000000000004</v>
      </c>
    </row>
    <row r="2504" spans="1:12" x14ac:dyDescent="0.15">
      <c r="A2504" s="1">
        <v>2503</v>
      </c>
      <c r="B2504" s="4">
        <v>41099</v>
      </c>
      <c r="C2504" s="1" t="s">
        <v>19</v>
      </c>
      <c r="D2504" s="1" t="s">
        <v>27</v>
      </c>
      <c r="E2504" s="1">
        <v>0.67443287037037036</v>
      </c>
      <c r="F2504" s="1" t="s">
        <v>13</v>
      </c>
      <c r="G2504" s="1">
        <v>3.43</v>
      </c>
      <c r="H2504" s="1">
        <v>3.53</v>
      </c>
      <c r="I2504" s="1">
        <v>0</v>
      </c>
      <c r="J2504" s="4">
        <v>41100</v>
      </c>
      <c r="K2504" s="4">
        <v>41374</v>
      </c>
      <c r="L2504">
        <f t="shared" si="39"/>
        <v>3.48</v>
      </c>
    </row>
    <row r="2505" spans="1:12" x14ac:dyDescent="0.15">
      <c r="A2505" s="1">
        <v>2504</v>
      </c>
      <c r="B2505" s="4">
        <v>41099</v>
      </c>
      <c r="C2505" s="1" t="s">
        <v>18</v>
      </c>
      <c r="D2505" s="1" t="s">
        <v>26</v>
      </c>
      <c r="E2505" s="1">
        <v>0.67327546296296292</v>
      </c>
      <c r="F2505" s="1" t="s">
        <v>13</v>
      </c>
      <c r="G2505" s="1">
        <v>3.26</v>
      </c>
      <c r="H2505" s="1">
        <v>3.31</v>
      </c>
      <c r="I2505" s="1">
        <v>0</v>
      </c>
      <c r="J2505" s="4">
        <v>41100</v>
      </c>
      <c r="K2505" s="4">
        <v>41830</v>
      </c>
      <c r="L2505">
        <f t="shared" si="39"/>
        <v>3.2850000000000001</v>
      </c>
    </row>
    <row r="2506" spans="1:12" x14ac:dyDescent="0.15">
      <c r="A2506" s="1">
        <v>2505</v>
      </c>
      <c r="B2506" s="4">
        <v>41099</v>
      </c>
      <c r="C2506" s="1" t="s">
        <v>22</v>
      </c>
      <c r="D2506" s="1" t="s">
        <v>27</v>
      </c>
      <c r="E2506" s="1">
        <v>0.67443287037037036</v>
      </c>
      <c r="F2506" s="1" t="s">
        <v>13</v>
      </c>
      <c r="G2506" s="1">
        <v>3.65</v>
      </c>
      <c r="H2506" s="1">
        <v>3.75</v>
      </c>
      <c r="I2506" s="1">
        <v>0</v>
      </c>
      <c r="J2506" s="4">
        <v>41100</v>
      </c>
      <c r="K2506" s="4">
        <v>41284</v>
      </c>
      <c r="L2506">
        <f t="shared" si="39"/>
        <v>3.7</v>
      </c>
    </row>
    <row r="2507" spans="1:12" x14ac:dyDescent="0.15">
      <c r="A2507" s="1">
        <v>2506</v>
      </c>
      <c r="B2507" s="4">
        <v>41099</v>
      </c>
      <c r="C2507" s="1" t="s">
        <v>18</v>
      </c>
      <c r="D2507" s="1" t="s">
        <v>27</v>
      </c>
      <c r="E2507" s="1">
        <v>0.67443287037037036</v>
      </c>
      <c r="F2507" s="1" t="s">
        <v>13</v>
      </c>
      <c r="G2507" s="1">
        <v>3.13</v>
      </c>
      <c r="H2507" s="1">
        <v>3.23</v>
      </c>
      <c r="I2507" s="1">
        <v>0</v>
      </c>
      <c r="J2507" s="4">
        <v>41100</v>
      </c>
      <c r="K2507" s="4">
        <v>41830</v>
      </c>
      <c r="L2507">
        <f t="shared" si="39"/>
        <v>3.1799999999999997</v>
      </c>
    </row>
    <row r="2508" spans="1:12" x14ac:dyDescent="0.15">
      <c r="A2508" s="1">
        <v>2507</v>
      </c>
      <c r="B2508" s="4">
        <v>41099</v>
      </c>
      <c r="C2508" s="1" t="s">
        <v>19</v>
      </c>
      <c r="D2508" s="1" t="s">
        <v>30</v>
      </c>
      <c r="E2508" s="1">
        <v>0.68603009259259251</v>
      </c>
      <c r="F2508" s="1" t="s">
        <v>13</v>
      </c>
      <c r="G2508" s="1">
        <v>3.43</v>
      </c>
      <c r="H2508" s="1">
        <v>3.53</v>
      </c>
      <c r="I2508" s="1">
        <v>0</v>
      </c>
      <c r="J2508" s="4">
        <v>41100</v>
      </c>
      <c r="K2508" s="4">
        <v>41374</v>
      </c>
      <c r="L2508">
        <f t="shared" si="39"/>
        <v>3.48</v>
      </c>
    </row>
    <row r="2509" spans="1:12" x14ac:dyDescent="0.15">
      <c r="A2509" s="1">
        <v>2508</v>
      </c>
      <c r="B2509" s="4">
        <v>41099</v>
      </c>
      <c r="C2509" s="1" t="s">
        <v>18</v>
      </c>
      <c r="D2509" s="1" t="s">
        <v>30</v>
      </c>
      <c r="E2509" s="1">
        <v>0.68603009259259251</v>
      </c>
      <c r="F2509" s="1" t="s">
        <v>13</v>
      </c>
      <c r="G2509" s="1">
        <v>3.13</v>
      </c>
      <c r="H2509" s="1">
        <v>3.23</v>
      </c>
      <c r="I2509" s="1">
        <v>0</v>
      </c>
      <c r="J2509" s="4">
        <v>41100</v>
      </c>
      <c r="K2509" s="4">
        <v>41830</v>
      </c>
      <c r="L2509">
        <f t="shared" si="39"/>
        <v>3.1799999999999997</v>
      </c>
    </row>
    <row r="2510" spans="1:12" x14ac:dyDescent="0.15">
      <c r="A2510" s="1">
        <v>2509</v>
      </c>
      <c r="B2510" s="4">
        <v>41099</v>
      </c>
      <c r="C2510" s="1" t="s">
        <v>11</v>
      </c>
      <c r="D2510" s="1" t="s">
        <v>30</v>
      </c>
      <c r="E2510" s="1">
        <v>0.68603009259259251</v>
      </c>
      <c r="F2510" s="1" t="s">
        <v>13</v>
      </c>
      <c r="G2510" s="1">
        <v>3.11</v>
      </c>
      <c r="H2510" s="1">
        <v>3.21</v>
      </c>
      <c r="I2510" s="1">
        <v>0</v>
      </c>
      <c r="J2510" s="4">
        <v>41100</v>
      </c>
      <c r="K2510" s="4">
        <v>42195</v>
      </c>
      <c r="L2510">
        <f t="shared" si="39"/>
        <v>3.16</v>
      </c>
    </row>
    <row r="2511" spans="1:12" x14ac:dyDescent="0.15">
      <c r="A2511" s="1">
        <v>2510</v>
      </c>
      <c r="B2511" s="4">
        <v>41099</v>
      </c>
      <c r="C2511" s="1" t="s">
        <v>20</v>
      </c>
      <c r="D2511" s="1" t="s">
        <v>30</v>
      </c>
      <c r="E2511" s="1">
        <v>0.68603009259259251</v>
      </c>
      <c r="F2511" s="1" t="s">
        <v>13</v>
      </c>
      <c r="G2511" s="1">
        <v>3.23</v>
      </c>
      <c r="H2511" s="1">
        <v>3.33</v>
      </c>
      <c r="I2511" s="1">
        <v>0</v>
      </c>
      <c r="J2511" s="4">
        <v>41100</v>
      </c>
      <c r="K2511" s="4">
        <v>44752</v>
      </c>
      <c r="L2511">
        <f t="shared" si="39"/>
        <v>3.2800000000000002</v>
      </c>
    </row>
    <row r="2512" spans="1:12" x14ac:dyDescent="0.15">
      <c r="A2512" s="1">
        <v>2511</v>
      </c>
      <c r="B2512" s="4">
        <v>41099</v>
      </c>
      <c r="C2512" s="1" t="s">
        <v>14</v>
      </c>
      <c r="D2512" s="1" t="s">
        <v>30</v>
      </c>
      <c r="E2512" s="1">
        <v>0.68603009259259251</v>
      </c>
      <c r="F2512" s="1" t="s">
        <v>13</v>
      </c>
      <c r="G2512" s="1">
        <v>3.29</v>
      </c>
      <c r="H2512" s="1">
        <v>3.39</v>
      </c>
      <c r="I2512" s="1">
        <v>0</v>
      </c>
      <c r="J2512" s="4">
        <v>41100</v>
      </c>
      <c r="K2512" s="4">
        <v>41465</v>
      </c>
      <c r="L2512">
        <f t="shared" si="39"/>
        <v>3.34</v>
      </c>
    </row>
    <row r="2513" spans="1:12" x14ac:dyDescent="0.15">
      <c r="A2513" s="1">
        <v>2512</v>
      </c>
      <c r="B2513" s="4">
        <v>41099</v>
      </c>
      <c r="C2513" s="1" t="s">
        <v>22</v>
      </c>
      <c r="D2513" s="1" t="s">
        <v>30</v>
      </c>
      <c r="E2513" s="1">
        <v>0.68603009259259251</v>
      </c>
      <c r="F2513" s="1" t="s">
        <v>13</v>
      </c>
      <c r="G2513" s="1">
        <v>3.65</v>
      </c>
      <c r="H2513" s="1">
        <v>3.75</v>
      </c>
      <c r="I2513" s="1">
        <v>0</v>
      </c>
      <c r="J2513" s="4">
        <v>41100</v>
      </c>
      <c r="K2513" s="4">
        <v>41284</v>
      </c>
      <c r="L2513">
        <f t="shared" si="39"/>
        <v>3.7</v>
      </c>
    </row>
    <row r="2514" spans="1:12" x14ac:dyDescent="0.15">
      <c r="A2514" s="1">
        <v>2513</v>
      </c>
      <c r="B2514" s="4">
        <v>41099</v>
      </c>
      <c r="C2514" s="1" t="s">
        <v>21</v>
      </c>
      <c r="D2514" s="1" t="s">
        <v>30</v>
      </c>
      <c r="E2514" s="1">
        <v>0.68603009259259251</v>
      </c>
      <c r="F2514" s="1" t="s">
        <v>13</v>
      </c>
      <c r="G2514" s="1">
        <v>3.18</v>
      </c>
      <c r="H2514" s="1">
        <v>3.28</v>
      </c>
      <c r="I2514" s="1">
        <v>0</v>
      </c>
      <c r="J2514" s="4">
        <v>41100</v>
      </c>
      <c r="K2514" s="4">
        <v>43656</v>
      </c>
      <c r="L2514">
        <f t="shared" si="39"/>
        <v>3.23</v>
      </c>
    </row>
    <row r="2515" spans="1:12" x14ac:dyDescent="0.15">
      <c r="A2515" s="1">
        <v>2514</v>
      </c>
      <c r="B2515" s="4">
        <v>41099</v>
      </c>
      <c r="C2515" s="1" t="s">
        <v>16</v>
      </c>
      <c r="D2515" s="1" t="s">
        <v>30</v>
      </c>
      <c r="E2515" s="1">
        <v>0.68603009259259251</v>
      </c>
      <c r="F2515" s="1" t="s">
        <v>13</v>
      </c>
      <c r="G2515" s="1">
        <v>3.11</v>
      </c>
      <c r="H2515" s="1">
        <v>3.21</v>
      </c>
      <c r="I2515" s="1">
        <v>0</v>
      </c>
      <c r="J2515" s="4">
        <v>41100</v>
      </c>
      <c r="K2515" s="4">
        <v>42561</v>
      </c>
      <c r="L2515">
        <f t="shared" si="39"/>
        <v>3.16</v>
      </c>
    </row>
    <row r="2516" spans="1:12" x14ac:dyDescent="0.15">
      <c r="A2516" s="1">
        <v>2515</v>
      </c>
      <c r="B2516" s="4">
        <v>41099</v>
      </c>
      <c r="C2516" s="1" t="s">
        <v>25</v>
      </c>
      <c r="D2516" s="1" t="s">
        <v>30</v>
      </c>
      <c r="E2516" s="1">
        <v>0.68603009259259251</v>
      </c>
      <c r="F2516" s="1" t="s">
        <v>13</v>
      </c>
      <c r="G2516" s="1">
        <v>3.11</v>
      </c>
      <c r="H2516" s="1">
        <v>3.21</v>
      </c>
      <c r="I2516" s="1">
        <v>0</v>
      </c>
      <c r="J2516" s="4">
        <v>41100</v>
      </c>
      <c r="K2516" s="4">
        <v>42926</v>
      </c>
      <c r="L2516">
        <f t="shared" si="39"/>
        <v>3.16</v>
      </c>
    </row>
    <row r="2517" spans="1:12" x14ac:dyDescent="0.15">
      <c r="A2517" s="1">
        <v>2516</v>
      </c>
      <c r="B2517" s="4">
        <v>41099</v>
      </c>
      <c r="C2517" s="1" t="s">
        <v>11</v>
      </c>
      <c r="D2517" s="1" t="s">
        <v>15</v>
      </c>
      <c r="E2517" s="1">
        <v>0.49429398148148151</v>
      </c>
      <c r="F2517" s="1" t="s">
        <v>13</v>
      </c>
      <c r="G2517" s="1">
        <v>3.14</v>
      </c>
      <c r="H2517" s="1">
        <v>3.2</v>
      </c>
      <c r="I2517" s="1">
        <v>0</v>
      </c>
      <c r="J2517" s="4">
        <v>41100</v>
      </c>
      <c r="K2517" s="4">
        <v>42195</v>
      </c>
      <c r="L2517">
        <f t="shared" si="39"/>
        <v>3.17</v>
      </c>
    </row>
    <row r="2518" spans="1:12" x14ac:dyDescent="0.15">
      <c r="A2518" s="1">
        <v>2517</v>
      </c>
      <c r="B2518" s="4">
        <v>41099</v>
      </c>
      <c r="C2518" s="1" t="s">
        <v>18</v>
      </c>
      <c r="D2518" s="1" t="s">
        <v>15</v>
      </c>
      <c r="E2518" s="1">
        <v>0.49429398148148151</v>
      </c>
      <c r="F2518" s="1" t="s">
        <v>13</v>
      </c>
      <c r="G2518" s="1">
        <v>3.15</v>
      </c>
      <c r="H2518" s="1">
        <v>3.21</v>
      </c>
      <c r="I2518" s="1">
        <v>0</v>
      </c>
      <c r="J2518" s="4">
        <v>41100</v>
      </c>
      <c r="K2518" s="4">
        <v>41830</v>
      </c>
      <c r="L2518">
        <f t="shared" si="39"/>
        <v>3.1799999999999997</v>
      </c>
    </row>
    <row r="2519" spans="1:12" x14ac:dyDescent="0.15">
      <c r="A2519" s="1">
        <v>2518</v>
      </c>
      <c r="B2519" s="4">
        <v>41099</v>
      </c>
      <c r="C2519" s="1" t="s">
        <v>20</v>
      </c>
      <c r="D2519" s="1" t="s">
        <v>15</v>
      </c>
      <c r="E2519" s="1">
        <v>0.49430555555555555</v>
      </c>
      <c r="F2519" s="1" t="s">
        <v>13</v>
      </c>
      <c r="G2519" s="1">
        <v>3.25</v>
      </c>
      <c r="H2519" s="1">
        <v>3.31</v>
      </c>
      <c r="I2519" s="1">
        <v>0</v>
      </c>
      <c r="J2519" s="4">
        <v>41100</v>
      </c>
      <c r="K2519" s="4">
        <v>44752</v>
      </c>
      <c r="L2519">
        <f t="shared" si="39"/>
        <v>3.2800000000000002</v>
      </c>
    </row>
    <row r="2520" spans="1:12" x14ac:dyDescent="0.15">
      <c r="A2520" s="1">
        <v>2519</v>
      </c>
      <c r="B2520" s="4">
        <v>41099</v>
      </c>
      <c r="C2520" s="1" t="s">
        <v>16</v>
      </c>
      <c r="D2520" s="1" t="s">
        <v>15</v>
      </c>
      <c r="E2520" s="1">
        <v>0.49430555555555555</v>
      </c>
      <c r="F2520" s="1" t="s">
        <v>13</v>
      </c>
      <c r="G2520" s="1">
        <v>3.14</v>
      </c>
      <c r="H2520" s="1">
        <v>3.2</v>
      </c>
      <c r="I2520" s="1">
        <v>0</v>
      </c>
      <c r="J2520" s="4">
        <v>41100</v>
      </c>
      <c r="K2520" s="4">
        <v>42561</v>
      </c>
      <c r="L2520">
        <f t="shared" si="39"/>
        <v>3.17</v>
      </c>
    </row>
    <row r="2521" spans="1:12" x14ac:dyDescent="0.15">
      <c r="A2521" s="1">
        <v>2520</v>
      </c>
      <c r="B2521" s="4">
        <v>41099</v>
      </c>
      <c r="C2521" s="1" t="s">
        <v>21</v>
      </c>
      <c r="D2521" s="1" t="s">
        <v>15</v>
      </c>
      <c r="E2521" s="1">
        <v>0.49429398148148151</v>
      </c>
      <c r="F2521" s="1" t="s">
        <v>13</v>
      </c>
      <c r="G2521" s="1">
        <v>3.21</v>
      </c>
      <c r="H2521" s="1">
        <v>3.27</v>
      </c>
      <c r="I2521" s="1">
        <v>0</v>
      </c>
      <c r="J2521" s="4">
        <v>41100</v>
      </c>
      <c r="K2521" s="4">
        <v>43656</v>
      </c>
      <c r="L2521">
        <f t="shared" si="39"/>
        <v>3.24</v>
      </c>
    </row>
    <row r="2522" spans="1:12" x14ac:dyDescent="0.15">
      <c r="A2522" s="1">
        <v>2521</v>
      </c>
      <c r="B2522" s="4">
        <v>41099</v>
      </c>
      <c r="C2522" s="1" t="s">
        <v>22</v>
      </c>
      <c r="D2522" s="1" t="s">
        <v>15</v>
      </c>
      <c r="E2522" s="1">
        <v>0.49429398148148151</v>
      </c>
      <c r="F2522" s="1" t="s">
        <v>13</v>
      </c>
      <c r="G2522" s="1">
        <v>3.65</v>
      </c>
      <c r="H2522" s="1">
        <v>3.71</v>
      </c>
      <c r="I2522" s="1">
        <v>0</v>
      </c>
      <c r="J2522" s="4">
        <v>41100</v>
      </c>
      <c r="K2522" s="4">
        <v>41284</v>
      </c>
      <c r="L2522">
        <f t="shared" si="39"/>
        <v>3.6799999999999997</v>
      </c>
    </row>
    <row r="2523" spans="1:12" x14ac:dyDescent="0.15">
      <c r="A2523" s="1">
        <v>2522</v>
      </c>
      <c r="B2523" s="4">
        <v>41099</v>
      </c>
      <c r="C2523" s="1" t="s">
        <v>19</v>
      </c>
      <c r="D2523" s="1" t="s">
        <v>15</v>
      </c>
      <c r="E2523" s="1">
        <v>0.49429398148148151</v>
      </c>
      <c r="F2523" s="1" t="s">
        <v>13</v>
      </c>
      <c r="G2523" s="1">
        <v>3.47</v>
      </c>
      <c r="H2523" s="1">
        <v>3.53</v>
      </c>
      <c r="I2523" s="1">
        <v>0</v>
      </c>
      <c r="J2523" s="4">
        <v>41100</v>
      </c>
      <c r="K2523" s="4">
        <v>41374</v>
      </c>
      <c r="L2523">
        <f t="shared" si="39"/>
        <v>3.5</v>
      </c>
    </row>
    <row r="2524" spans="1:12" x14ac:dyDescent="0.15">
      <c r="A2524" s="1">
        <v>2523</v>
      </c>
      <c r="B2524" s="4">
        <v>41099</v>
      </c>
      <c r="C2524" s="1" t="s">
        <v>25</v>
      </c>
      <c r="D2524" s="1" t="s">
        <v>15</v>
      </c>
      <c r="E2524" s="1">
        <v>0.49429398148148151</v>
      </c>
      <c r="F2524" s="1" t="s">
        <v>13</v>
      </c>
      <c r="G2524" s="1">
        <v>3.14</v>
      </c>
      <c r="H2524" s="1">
        <v>3.2</v>
      </c>
      <c r="I2524" s="1">
        <v>0</v>
      </c>
      <c r="J2524" s="4">
        <v>41100</v>
      </c>
      <c r="K2524" s="4">
        <v>42926</v>
      </c>
      <c r="L2524">
        <f t="shared" si="39"/>
        <v>3.17</v>
      </c>
    </row>
    <row r="2525" spans="1:12" x14ac:dyDescent="0.15">
      <c r="A2525" s="1">
        <v>2524</v>
      </c>
      <c r="B2525" s="4">
        <v>41099</v>
      </c>
      <c r="C2525" s="1" t="s">
        <v>14</v>
      </c>
      <c r="D2525" s="1" t="s">
        <v>15</v>
      </c>
      <c r="E2525" s="1">
        <v>0.49430555555555555</v>
      </c>
      <c r="F2525" s="1" t="s">
        <v>13</v>
      </c>
      <c r="G2525" s="1">
        <v>3.31</v>
      </c>
      <c r="H2525" s="1">
        <v>3.37</v>
      </c>
      <c r="I2525" s="1">
        <v>0</v>
      </c>
      <c r="J2525" s="4">
        <v>41100</v>
      </c>
      <c r="K2525" s="4">
        <v>41465</v>
      </c>
      <c r="L2525">
        <f t="shared" si="39"/>
        <v>3.34</v>
      </c>
    </row>
    <row r="2526" spans="1:12" x14ac:dyDescent="0.15">
      <c r="A2526" s="1">
        <v>2525</v>
      </c>
      <c r="B2526" s="4">
        <v>41099</v>
      </c>
      <c r="C2526" s="1" t="s">
        <v>16</v>
      </c>
      <c r="D2526" s="1" t="s">
        <v>26</v>
      </c>
      <c r="E2526" s="1">
        <v>0.67326388888888899</v>
      </c>
      <c r="F2526" s="1" t="s">
        <v>13</v>
      </c>
      <c r="G2526" s="1">
        <v>3.15</v>
      </c>
      <c r="H2526" s="1">
        <v>3.2</v>
      </c>
      <c r="I2526" s="1">
        <v>0</v>
      </c>
      <c r="J2526" s="4">
        <v>41100</v>
      </c>
      <c r="K2526" s="4">
        <v>42561</v>
      </c>
      <c r="L2526">
        <f t="shared" si="39"/>
        <v>3.1749999999999998</v>
      </c>
    </row>
    <row r="2527" spans="1:12" x14ac:dyDescent="0.15">
      <c r="A2527" s="1">
        <v>2526</v>
      </c>
      <c r="B2527" s="4">
        <v>41099</v>
      </c>
      <c r="C2527" s="1" t="s">
        <v>25</v>
      </c>
      <c r="D2527" s="1" t="s">
        <v>26</v>
      </c>
      <c r="E2527" s="1">
        <v>0.67326388888888899</v>
      </c>
      <c r="F2527" s="1" t="s">
        <v>13</v>
      </c>
      <c r="G2527" s="1">
        <v>3.15</v>
      </c>
      <c r="H2527" s="1">
        <v>3.2</v>
      </c>
      <c r="I2527" s="1">
        <v>0</v>
      </c>
      <c r="J2527" s="4">
        <v>41100</v>
      </c>
      <c r="K2527" s="4">
        <v>42926</v>
      </c>
      <c r="L2527">
        <f t="shared" si="39"/>
        <v>3.1749999999999998</v>
      </c>
    </row>
    <row r="2528" spans="1:12" x14ac:dyDescent="0.15">
      <c r="A2528" s="1">
        <v>2527</v>
      </c>
      <c r="B2528" s="4">
        <v>41099</v>
      </c>
      <c r="C2528" s="1" t="s">
        <v>22</v>
      </c>
      <c r="D2528" s="1" t="s">
        <v>26</v>
      </c>
      <c r="E2528" s="1">
        <v>0.67327546296296292</v>
      </c>
      <c r="F2528" s="1" t="s">
        <v>13</v>
      </c>
      <c r="G2528" s="1">
        <v>3.6</v>
      </c>
      <c r="H2528" s="1">
        <v>3.7</v>
      </c>
      <c r="I2528" s="1">
        <v>0</v>
      </c>
      <c r="J2528" s="4">
        <v>41100</v>
      </c>
      <c r="K2528" s="4">
        <v>41284</v>
      </c>
      <c r="L2528">
        <f t="shared" si="39"/>
        <v>3.6500000000000004</v>
      </c>
    </row>
    <row r="2529" spans="1:12" x14ac:dyDescent="0.15">
      <c r="A2529" s="1">
        <v>2528</v>
      </c>
      <c r="B2529" s="4">
        <v>41099</v>
      </c>
      <c r="C2529" s="1" t="s">
        <v>21</v>
      </c>
      <c r="D2529" s="1" t="s">
        <v>26</v>
      </c>
      <c r="E2529" s="1">
        <v>0.67326388888888899</v>
      </c>
      <c r="F2529" s="1" t="s">
        <v>13</v>
      </c>
      <c r="G2529" s="1">
        <v>3.15</v>
      </c>
      <c r="H2529" s="1">
        <v>3.2</v>
      </c>
      <c r="I2529" s="1">
        <v>0</v>
      </c>
      <c r="J2529" s="4">
        <v>41100</v>
      </c>
      <c r="K2529" s="4">
        <v>43656</v>
      </c>
      <c r="L2529">
        <f t="shared" si="39"/>
        <v>3.1749999999999998</v>
      </c>
    </row>
    <row r="2530" spans="1:12" x14ac:dyDescent="0.15">
      <c r="A2530" s="1">
        <v>2529</v>
      </c>
      <c r="B2530" s="4">
        <v>41099</v>
      </c>
      <c r="C2530" s="1" t="s">
        <v>11</v>
      </c>
      <c r="D2530" s="1" t="s">
        <v>26</v>
      </c>
      <c r="E2530" s="1">
        <v>0.67326388888888899</v>
      </c>
      <c r="F2530" s="1" t="s">
        <v>13</v>
      </c>
      <c r="G2530" s="1">
        <v>3.15</v>
      </c>
      <c r="H2530" s="1">
        <v>3.2</v>
      </c>
      <c r="I2530" s="1">
        <v>0</v>
      </c>
      <c r="J2530" s="4">
        <v>41100</v>
      </c>
      <c r="K2530" s="4">
        <v>42195</v>
      </c>
      <c r="L2530">
        <f t="shared" si="39"/>
        <v>3.1749999999999998</v>
      </c>
    </row>
    <row r="2531" spans="1:12" x14ac:dyDescent="0.15">
      <c r="A2531" s="1">
        <v>2530</v>
      </c>
      <c r="B2531" s="4">
        <v>41099</v>
      </c>
      <c r="C2531" s="1" t="s">
        <v>19</v>
      </c>
      <c r="D2531" s="1" t="s">
        <v>26</v>
      </c>
      <c r="E2531" s="1">
        <v>0.67326388888888899</v>
      </c>
      <c r="F2531" s="1" t="s">
        <v>13</v>
      </c>
      <c r="G2531" s="1">
        <v>3.48</v>
      </c>
      <c r="H2531" s="1">
        <v>3.55</v>
      </c>
      <c r="I2531" s="1">
        <v>0</v>
      </c>
      <c r="J2531" s="4">
        <v>41100</v>
      </c>
      <c r="K2531" s="4">
        <v>41374</v>
      </c>
      <c r="L2531">
        <f t="shared" si="39"/>
        <v>3.5149999999999997</v>
      </c>
    </row>
    <row r="2532" spans="1:12" x14ac:dyDescent="0.15">
      <c r="A2532" s="1">
        <v>2531</v>
      </c>
      <c r="B2532" s="4">
        <v>41099</v>
      </c>
      <c r="C2532" s="1" t="s">
        <v>20</v>
      </c>
      <c r="D2532" s="1" t="s">
        <v>26</v>
      </c>
      <c r="E2532" s="1">
        <v>0.67326388888888899</v>
      </c>
      <c r="F2532" s="1" t="s">
        <v>13</v>
      </c>
      <c r="G2532" s="1">
        <v>3.15</v>
      </c>
      <c r="H2532" s="1">
        <v>3.2</v>
      </c>
      <c r="I2532" s="1">
        <v>0</v>
      </c>
      <c r="J2532" s="4">
        <v>41100</v>
      </c>
      <c r="K2532" s="4">
        <v>44752</v>
      </c>
      <c r="L2532">
        <f t="shared" si="39"/>
        <v>3.1749999999999998</v>
      </c>
    </row>
    <row r="2533" spans="1:12" x14ac:dyDescent="0.15">
      <c r="A2533" s="1">
        <v>2532</v>
      </c>
      <c r="B2533" s="4">
        <v>41099</v>
      </c>
      <c r="C2533" s="1" t="s">
        <v>14</v>
      </c>
      <c r="D2533" s="1" t="s">
        <v>26</v>
      </c>
      <c r="E2533" s="1">
        <v>0.67326388888888899</v>
      </c>
      <c r="F2533" s="1" t="s">
        <v>13</v>
      </c>
      <c r="G2533" s="1">
        <v>3.35</v>
      </c>
      <c r="H2533" s="1">
        <v>3.4</v>
      </c>
      <c r="I2533" s="1">
        <v>0</v>
      </c>
      <c r="J2533" s="4">
        <v>41100</v>
      </c>
      <c r="K2533" s="4">
        <v>41465</v>
      </c>
      <c r="L2533">
        <f t="shared" si="39"/>
        <v>3.375</v>
      </c>
    </row>
    <row r="2534" spans="1:12" x14ac:dyDescent="0.15">
      <c r="A2534" s="1">
        <v>2533</v>
      </c>
      <c r="B2534" s="4">
        <v>41096</v>
      </c>
      <c r="C2534" s="1" t="s">
        <v>16</v>
      </c>
      <c r="D2534" s="1" t="s">
        <v>26</v>
      </c>
      <c r="E2534" s="1">
        <v>0.49069444444444449</v>
      </c>
      <c r="F2534" s="1" t="s">
        <v>13</v>
      </c>
      <c r="G2534" s="1">
        <v>3.15</v>
      </c>
      <c r="H2534" s="1">
        <v>3.2</v>
      </c>
      <c r="I2534" s="1">
        <v>0</v>
      </c>
      <c r="J2534" s="4">
        <v>41097</v>
      </c>
      <c r="K2534" s="4">
        <v>42558</v>
      </c>
      <c r="L2534">
        <f t="shared" si="39"/>
        <v>3.1749999999999998</v>
      </c>
    </row>
    <row r="2535" spans="1:12" x14ac:dyDescent="0.15">
      <c r="A2535" s="1">
        <v>2534</v>
      </c>
      <c r="B2535" s="4">
        <v>41096</v>
      </c>
      <c r="C2535" s="1" t="s">
        <v>20</v>
      </c>
      <c r="D2535" s="1" t="s">
        <v>30</v>
      </c>
      <c r="E2535" s="1">
        <v>0.48778935185185185</v>
      </c>
      <c r="F2535" s="1" t="s">
        <v>13</v>
      </c>
      <c r="G2535" s="1">
        <v>3.25</v>
      </c>
      <c r="H2535" s="1">
        <v>3.35</v>
      </c>
      <c r="I2535" s="1">
        <v>0</v>
      </c>
      <c r="J2535" s="4">
        <v>41097</v>
      </c>
      <c r="K2535" s="4">
        <v>44749</v>
      </c>
      <c r="L2535">
        <f t="shared" si="39"/>
        <v>3.3</v>
      </c>
    </row>
    <row r="2536" spans="1:12" x14ac:dyDescent="0.15">
      <c r="A2536" s="1">
        <v>2535</v>
      </c>
      <c r="B2536" s="4">
        <v>41096</v>
      </c>
      <c r="C2536" s="1" t="s">
        <v>25</v>
      </c>
      <c r="D2536" s="1" t="s">
        <v>26</v>
      </c>
      <c r="E2536" s="1">
        <v>0.49071759259259262</v>
      </c>
      <c r="F2536" s="1" t="s">
        <v>13</v>
      </c>
      <c r="G2536" s="1">
        <v>3.15</v>
      </c>
      <c r="H2536" s="1">
        <v>3.2</v>
      </c>
      <c r="I2536" s="1">
        <v>0</v>
      </c>
      <c r="J2536" s="4">
        <v>41097</v>
      </c>
      <c r="K2536" s="4">
        <v>42923</v>
      </c>
      <c r="L2536">
        <f t="shared" si="39"/>
        <v>3.1749999999999998</v>
      </c>
    </row>
    <row r="2537" spans="1:12" x14ac:dyDescent="0.15">
      <c r="A2537" s="1">
        <v>2536</v>
      </c>
      <c r="B2537" s="4">
        <v>41096</v>
      </c>
      <c r="C2537" s="1" t="s">
        <v>21</v>
      </c>
      <c r="D2537" s="1" t="s">
        <v>26</v>
      </c>
      <c r="E2537" s="1">
        <v>0.49069444444444449</v>
      </c>
      <c r="F2537" s="1" t="s">
        <v>13</v>
      </c>
      <c r="G2537" s="1">
        <v>3.15</v>
      </c>
      <c r="H2537" s="1">
        <v>3.2</v>
      </c>
      <c r="I2537" s="1">
        <v>0</v>
      </c>
      <c r="J2537" s="4">
        <v>41097</v>
      </c>
      <c r="K2537" s="4">
        <v>43653</v>
      </c>
      <c r="L2537">
        <f t="shared" si="39"/>
        <v>3.1749999999999998</v>
      </c>
    </row>
    <row r="2538" spans="1:12" x14ac:dyDescent="0.15">
      <c r="A2538" s="1">
        <v>2537</v>
      </c>
      <c r="B2538" s="4">
        <v>41096</v>
      </c>
      <c r="C2538" s="1" t="s">
        <v>14</v>
      </c>
      <c r="D2538" s="1" t="s">
        <v>30</v>
      </c>
      <c r="E2538" s="1">
        <v>0.48778935185185185</v>
      </c>
      <c r="F2538" s="1" t="s">
        <v>13</v>
      </c>
      <c r="G2538" s="1">
        <v>3.32</v>
      </c>
      <c r="H2538" s="1">
        <v>3.42</v>
      </c>
      <c r="I2538" s="1">
        <v>0</v>
      </c>
      <c r="J2538" s="4">
        <v>41097</v>
      </c>
      <c r="K2538" s="4">
        <v>41462</v>
      </c>
      <c r="L2538">
        <f t="shared" si="39"/>
        <v>3.37</v>
      </c>
    </row>
    <row r="2539" spans="1:12" x14ac:dyDescent="0.15">
      <c r="A2539" s="1">
        <v>2538</v>
      </c>
      <c r="B2539" s="4">
        <v>41096</v>
      </c>
      <c r="C2539" s="1" t="s">
        <v>16</v>
      </c>
      <c r="D2539" s="1" t="s">
        <v>30</v>
      </c>
      <c r="E2539" s="1">
        <v>0.48778935185185185</v>
      </c>
      <c r="F2539" s="1" t="s">
        <v>13</v>
      </c>
      <c r="G2539" s="1">
        <v>3.13</v>
      </c>
      <c r="H2539" s="1">
        <v>3.23</v>
      </c>
      <c r="I2539" s="1">
        <v>0</v>
      </c>
      <c r="J2539" s="4">
        <v>41097</v>
      </c>
      <c r="K2539" s="4">
        <v>42558</v>
      </c>
      <c r="L2539">
        <f t="shared" si="39"/>
        <v>3.1799999999999997</v>
      </c>
    </row>
    <row r="2540" spans="1:12" x14ac:dyDescent="0.15">
      <c r="A2540" s="1">
        <v>2539</v>
      </c>
      <c r="B2540" s="4">
        <v>41096</v>
      </c>
      <c r="C2540" s="1" t="s">
        <v>25</v>
      </c>
      <c r="D2540" s="1" t="s">
        <v>30</v>
      </c>
      <c r="E2540" s="1">
        <v>0.48778935185185185</v>
      </c>
      <c r="F2540" s="1" t="s">
        <v>13</v>
      </c>
      <c r="G2540" s="1">
        <v>3.13</v>
      </c>
      <c r="H2540" s="1">
        <v>3.23</v>
      </c>
      <c r="I2540" s="1">
        <v>0</v>
      </c>
      <c r="J2540" s="4">
        <v>41097</v>
      </c>
      <c r="K2540" s="4">
        <v>42923</v>
      </c>
      <c r="L2540">
        <f t="shared" si="39"/>
        <v>3.1799999999999997</v>
      </c>
    </row>
    <row r="2541" spans="1:12" x14ac:dyDescent="0.15">
      <c r="A2541" s="1">
        <v>2540</v>
      </c>
      <c r="B2541" s="4">
        <v>41096</v>
      </c>
      <c r="C2541" s="1" t="s">
        <v>18</v>
      </c>
      <c r="D2541" s="1" t="s">
        <v>30</v>
      </c>
      <c r="E2541" s="1">
        <v>0.48778935185185185</v>
      </c>
      <c r="F2541" s="1" t="s">
        <v>13</v>
      </c>
      <c r="G2541" s="1">
        <v>3.15</v>
      </c>
      <c r="H2541" s="1">
        <v>3.25</v>
      </c>
      <c r="I2541" s="1">
        <v>0</v>
      </c>
      <c r="J2541" s="4">
        <v>41097</v>
      </c>
      <c r="K2541" s="4">
        <v>41827</v>
      </c>
      <c r="L2541">
        <f t="shared" si="39"/>
        <v>3.2</v>
      </c>
    </row>
    <row r="2542" spans="1:12" x14ac:dyDescent="0.15">
      <c r="A2542" s="1">
        <v>2541</v>
      </c>
      <c r="B2542" s="4">
        <v>41096</v>
      </c>
      <c r="C2542" s="1" t="s">
        <v>11</v>
      </c>
      <c r="D2542" s="1" t="s">
        <v>30</v>
      </c>
      <c r="E2542" s="1">
        <v>0.48778935185185185</v>
      </c>
      <c r="F2542" s="1" t="s">
        <v>13</v>
      </c>
      <c r="G2542" s="1">
        <v>3.13</v>
      </c>
      <c r="H2542" s="1">
        <v>3.23</v>
      </c>
      <c r="I2542" s="1">
        <v>0</v>
      </c>
      <c r="J2542" s="4">
        <v>41097</v>
      </c>
      <c r="K2542" s="4">
        <v>42192</v>
      </c>
      <c r="L2542">
        <f t="shared" si="39"/>
        <v>3.1799999999999997</v>
      </c>
    </row>
    <row r="2543" spans="1:12" x14ac:dyDescent="0.15">
      <c r="A2543" s="1">
        <v>2542</v>
      </c>
      <c r="B2543" s="4">
        <v>41096</v>
      </c>
      <c r="C2543" s="1" t="s">
        <v>22</v>
      </c>
      <c r="D2543" s="1" t="s">
        <v>26</v>
      </c>
      <c r="E2543" s="1">
        <v>0.49071759259259262</v>
      </c>
      <c r="F2543" s="1" t="s">
        <v>13</v>
      </c>
      <c r="G2543" s="1">
        <v>3.6</v>
      </c>
      <c r="H2543" s="1">
        <v>3.7</v>
      </c>
      <c r="I2543" s="1">
        <v>0</v>
      </c>
      <c r="J2543" s="4">
        <v>41097</v>
      </c>
      <c r="K2543" s="4">
        <v>41281</v>
      </c>
      <c r="L2543">
        <f t="shared" si="39"/>
        <v>3.6500000000000004</v>
      </c>
    </row>
    <row r="2544" spans="1:12" x14ac:dyDescent="0.15">
      <c r="A2544" s="1">
        <v>2543</v>
      </c>
      <c r="B2544" s="4">
        <v>41096</v>
      </c>
      <c r="C2544" s="1" t="s">
        <v>22</v>
      </c>
      <c r="D2544" s="1" t="s">
        <v>37</v>
      </c>
      <c r="E2544" s="1">
        <v>0.64469907407407401</v>
      </c>
      <c r="F2544" s="1" t="s">
        <v>13</v>
      </c>
      <c r="G2544" s="1">
        <v>3.64</v>
      </c>
      <c r="H2544" s="1">
        <v>3.72</v>
      </c>
      <c r="I2544" s="1">
        <v>0</v>
      </c>
      <c r="J2544" s="4">
        <v>41097</v>
      </c>
      <c r="K2544" s="4">
        <v>41281</v>
      </c>
      <c r="L2544">
        <f t="shared" si="39"/>
        <v>3.68</v>
      </c>
    </row>
    <row r="2545" spans="1:12" x14ac:dyDescent="0.15">
      <c r="A2545" s="1">
        <v>2544</v>
      </c>
      <c r="B2545" s="4">
        <v>41096</v>
      </c>
      <c r="C2545" s="1" t="s">
        <v>16</v>
      </c>
      <c r="D2545" s="1" t="s">
        <v>37</v>
      </c>
      <c r="E2545" s="1">
        <v>0.64468749999999997</v>
      </c>
      <c r="F2545" s="1" t="s">
        <v>13</v>
      </c>
      <c r="G2545" s="1">
        <v>3.13</v>
      </c>
      <c r="H2545" s="1">
        <v>3.22</v>
      </c>
      <c r="I2545" s="1">
        <v>0</v>
      </c>
      <c r="J2545" s="4">
        <v>41097</v>
      </c>
      <c r="K2545" s="4">
        <v>42558</v>
      </c>
      <c r="L2545">
        <f t="shared" si="39"/>
        <v>3.1749999999999998</v>
      </c>
    </row>
    <row r="2546" spans="1:12" x14ac:dyDescent="0.15">
      <c r="A2546" s="1">
        <v>2545</v>
      </c>
      <c r="B2546" s="4">
        <v>41096</v>
      </c>
      <c r="C2546" s="1" t="s">
        <v>18</v>
      </c>
      <c r="D2546" s="1" t="s">
        <v>37</v>
      </c>
      <c r="E2546" s="1">
        <v>0.64469907407407401</v>
      </c>
      <c r="F2546" s="1" t="s">
        <v>13</v>
      </c>
      <c r="G2546" s="1">
        <v>3.15</v>
      </c>
      <c r="H2546" s="1">
        <v>3.22</v>
      </c>
      <c r="I2546" s="1">
        <v>0</v>
      </c>
      <c r="J2546" s="4">
        <v>41097</v>
      </c>
      <c r="K2546" s="4">
        <v>41827</v>
      </c>
      <c r="L2546">
        <f t="shared" si="39"/>
        <v>3.1850000000000001</v>
      </c>
    </row>
    <row r="2547" spans="1:12" x14ac:dyDescent="0.15">
      <c r="A2547" s="1">
        <v>2546</v>
      </c>
      <c r="B2547" s="4">
        <v>41096</v>
      </c>
      <c r="C2547" s="1" t="s">
        <v>21</v>
      </c>
      <c r="D2547" s="1" t="s">
        <v>37</v>
      </c>
      <c r="E2547" s="1">
        <v>0.64469907407407401</v>
      </c>
      <c r="F2547" s="1" t="s">
        <v>13</v>
      </c>
      <c r="G2547" s="1">
        <v>3.19</v>
      </c>
      <c r="H2547" s="1">
        <v>3.3</v>
      </c>
      <c r="I2547" s="1">
        <v>0</v>
      </c>
      <c r="J2547" s="4">
        <v>41097</v>
      </c>
      <c r="K2547" s="4">
        <v>43653</v>
      </c>
      <c r="L2547">
        <f t="shared" si="39"/>
        <v>3.2450000000000001</v>
      </c>
    </row>
    <row r="2548" spans="1:12" x14ac:dyDescent="0.15">
      <c r="A2548" s="1">
        <v>2547</v>
      </c>
      <c r="B2548" s="4">
        <v>41096</v>
      </c>
      <c r="C2548" s="1" t="s">
        <v>18</v>
      </c>
      <c r="D2548" s="1" t="s">
        <v>26</v>
      </c>
      <c r="E2548" s="1">
        <v>0.49072916666666666</v>
      </c>
      <c r="F2548" s="1" t="s">
        <v>13</v>
      </c>
      <c r="G2548" s="1">
        <v>3.26</v>
      </c>
      <c r="H2548" s="1">
        <v>3.35</v>
      </c>
      <c r="I2548" s="1">
        <v>0</v>
      </c>
      <c r="J2548" s="4">
        <v>41097</v>
      </c>
      <c r="K2548" s="4">
        <v>41827</v>
      </c>
      <c r="L2548">
        <f t="shared" si="39"/>
        <v>3.3049999999999997</v>
      </c>
    </row>
    <row r="2549" spans="1:12" x14ac:dyDescent="0.15">
      <c r="A2549" s="1">
        <v>2548</v>
      </c>
      <c r="B2549" s="4">
        <v>41096</v>
      </c>
      <c r="C2549" s="1" t="s">
        <v>11</v>
      </c>
      <c r="D2549" s="1" t="s">
        <v>26</v>
      </c>
      <c r="E2549" s="1">
        <v>0.49071759259259262</v>
      </c>
      <c r="F2549" s="1" t="s">
        <v>13</v>
      </c>
      <c r="G2549" s="1">
        <v>3.15</v>
      </c>
      <c r="H2549" s="1">
        <v>3.2</v>
      </c>
      <c r="I2549" s="1">
        <v>0</v>
      </c>
      <c r="J2549" s="4">
        <v>41097</v>
      </c>
      <c r="K2549" s="4">
        <v>42192</v>
      </c>
      <c r="L2549">
        <f t="shared" si="39"/>
        <v>3.1749999999999998</v>
      </c>
    </row>
    <row r="2550" spans="1:12" x14ac:dyDescent="0.15">
      <c r="A2550" s="1">
        <v>2549</v>
      </c>
      <c r="B2550" s="4">
        <v>41096</v>
      </c>
      <c r="C2550" s="1" t="s">
        <v>19</v>
      </c>
      <c r="D2550" s="1" t="s">
        <v>26</v>
      </c>
      <c r="E2550" s="1">
        <v>0.49071759259259262</v>
      </c>
      <c r="F2550" s="1" t="s">
        <v>13</v>
      </c>
      <c r="G2550" s="1">
        <v>3.48</v>
      </c>
      <c r="H2550" s="1">
        <v>3.55</v>
      </c>
      <c r="I2550" s="1">
        <v>0</v>
      </c>
      <c r="J2550" s="4">
        <v>41097</v>
      </c>
      <c r="K2550" s="4">
        <v>41371</v>
      </c>
      <c r="L2550">
        <f t="shared" si="39"/>
        <v>3.5149999999999997</v>
      </c>
    </row>
    <row r="2551" spans="1:12" x14ac:dyDescent="0.15">
      <c r="A2551" s="1">
        <v>2550</v>
      </c>
      <c r="B2551" s="4">
        <v>41096</v>
      </c>
      <c r="C2551" s="1" t="s">
        <v>20</v>
      </c>
      <c r="D2551" s="1" t="s">
        <v>26</v>
      </c>
      <c r="E2551" s="1">
        <v>0.49071759259259262</v>
      </c>
      <c r="F2551" s="1" t="s">
        <v>13</v>
      </c>
      <c r="G2551" s="1">
        <v>3.15</v>
      </c>
      <c r="H2551" s="1">
        <v>3.2</v>
      </c>
      <c r="I2551" s="1">
        <v>0</v>
      </c>
      <c r="J2551" s="4">
        <v>41097</v>
      </c>
      <c r="K2551" s="4">
        <v>44749</v>
      </c>
      <c r="L2551">
        <f t="shared" si="39"/>
        <v>3.1749999999999998</v>
      </c>
    </row>
    <row r="2552" spans="1:12" x14ac:dyDescent="0.15">
      <c r="A2552" s="1">
        <v>2551</v>
      </c>
      <c r="B2552" s="4">
        <v>41096</v>
      </c>
      <c r="C2552" s="1" t="s">
        <v>14</v>
      </c>
      <c r="D2552" s="1" t="s">
        <v>26</v>
      </c>
      <c r="E2552" s="1">
        <v>0.49071759259259262</v>
      </c>
      <c r="F2552" s="1" t="s">
        <v>13</v>
      </c>
      <c r="G2552" s="1">
        <v>3.35</v>
      </c>
      <c r="H2552" s="1">
        <v>3.45</v>
      </c>
      <c r="I2552" s="1">
        <v>0</v>
      </c>
      <c r="J2552" s="4">
        <v>41097</v>
      </c>
      <c r="K2552" s="4">
        <v>41462</v>
      </c>
      <c r="L2552">
        <f t="shared" si="39"/>
        <v>3.4000000000000004</v>
      </c>
    </row>
    <row r="2553" spans="1:12" x14ac:dyDescent="0.15">
      <c r="A2553" s="1">
        <v>2552</v>
      </c>
      <c r="B2553" s="4">
        <v>41096</v>
      </c>
      <c r="C2553" s="1" t="s">
        <v>21</v>
      </c>
      <c r="D2553" s="1" t="s">
        <v>15</v>
      </c>
      <c r="E2553" s="1">
        <v>0.4836805555555555</v>
      </c>
      <c r="F2553" s="1" t="s">
        <v>13</v>
      </c>
      <c r="G2553" s="1">
        <v>3.22</v>
      </c>
      <c r="H2553" s="1">
        <v>3.28</v>
      </c>
      <c r="I2553" s="1">
        <v>0</v>
      </c>
      <c r="J2553" s="4">
        <v>41097</v>
      </c>
      <c r="K2553" s="4">
        <v>43653</v>
      </c>
      <c r="L2553">
        <f t="shared" si="39"/>
        <v>3.25</v>
      </c>
    </row>
    <row r="2554" spans="1:12" x14ac:dyDescent="0.15">
      <c r="A2554" s="1">
        <v>2553</v>
      </c>
      <c r="B2554" s="4">
        <v>41096</v>
      </c>
      <c r="C2554" s="1" t="s">
        <v>22</v>
      </c>
      <c r="D2554" s="1" t="s">
        <v>15</v>
      </c>
      <c r="E2554" s="1">
        <v>0.4836805555555555</v>
      </c>
      <c r="F2554" s="1" t="s">
        <v>13</v>
      </c>
      <c r="G2554" s="1">
        <v>3.67</v>
      </c>
      <c r="H2554" s="1">
        <v>3.73</v>
      </c>
      <c r="I2554" s="1">
        <v>0</v>
      </c>
      <c r="J2554" s="4">
        <v>41097</v>
      </c>
      <c r="K2554" s="4">
        <v>41281</v>
      </c>
      <c r="L2554">
        <f t="shared" si="39"/>
        <v>3.7</v>
      </c>
    </row>
    <row r="2555" spans="1:12" x14ac:dyDescent="0.15">
      <c r="A2555" s="1">
        <v>2554</v>
      </c>
      <c r="B2555" s="4">
        <v>41096</v>
      </c>
      <c r="C2555" s="1" t="s">
        <v>19</v>
      </c>
      <c r="D2555" s="1" t="s">
        <v>15</v>
      </c>
      <c r="E2555" s="1">
        <v>0.4836805555555555</v>
      </c>
      <c r="F2555" s="1" t="s">
        <v>13</v>
      </c>
      <c r="G2555" s="1">
        <v>3.46</v>
      </c>
      <c r="H2555" s="1">
        <v>3.52</v>
      </c>
      <c r="I2555" s="1">
        <v>0</v>
      </c>
      <c r="J2555" s="4">
        <v>41097</v>
      </c>
      <c r="K2555" s="4">
        <v>41371</v>
      </c>
      <c r="L2555">
        <f t="shared" si="39"/>
        <v>3.49</v>
      </c>
    </row>
    <row r="2556" spans="1:12" x14ac:dyDescent="0.15">
      <c r="A2556" s="1">
        <v>2555</v>
      </c>
      <c r="B2556" s="4">
        <v>41096</v>
      </c>
      <c r="C2556" s="1" t="s">
        <v>25</v>
      </c>
      <c r="D2556" s="1" t="s">
        <v>15</v>
      </c>
      <c r="E2556" s="1">
        <v>0.4836805555555555</v>
      </c>
      <c r="F2556" s="1" t="s">
        <v>13</v>
      </c>
      <c r="G2556" s="1">
        <v>3.15</v>
      </c>
      <c r="H2556" s="1">
        <v>3.21</v>
      </c>
      <c r="I2556" s="1">
        <v>0</v>
      </c>
      <c r="J2556" s="4">
        <v>41097</v>
      </c>
      <c r="K2556" s="4">
        <v>42923</v>
      </c>
      <c r="L2556">
        <f t="shared" si="39"/>
        <v>3.1799999999999997</v>
      </c>
    </row>
    <row r="2557" spans="1:12" x14ac:dyDescent="0.15">
      <c r="A2557" s="1">
        <v>2556</v>
      </c>
      <c r="B2557" s="4">
        <v>41096</v>
      </c>
      <c r="C2557" s="1" t="s">
        <v>14</v>
      </c>
      <c r="D2557" s="1" t="s">
        <v>15</v>
      </c>
      <c r="E2557" s="1">
        <v>0.4836805555555555</v>
      </c>
      <c r="F2557" s="1" t="s">
        <v>13</v>
      </c>
      <c r="G2557" s="1">
        <v>3.34</v>
      </c>
      <c r="H2557" s="1">
        <v>3.4</v>
      </c>
      <c r="I2557" s="1">
        <v>0</v>
      </c>
      <c r="J2557" s="4">
        <v>41097</v>
      </c>
      <c r="K2557" s="4">
        <v>41462</v>
      </c>
      <c r="L2557">
        <f t="shared" si="39"/>
        <v>3.37</v>
      </c>
    </row>
    <row r="2558" spans="1:12" x14ac:dyDescent="0.15">
      <c r="A2558" s="1">
        <v>2557</v>
      </c>
      <c r="B2558" s="4">
        <v>41096</v>
      </c>
      <c r="C2558" s="1" t="s">
        <v>11</v>
      </c>
      <c r="D2558" s="1" t="s">
        <v>15</v>
      </c>
      <c r="E2558" s="1">
        <v>0.4836805555555555</v>
      </c>
      <c r="F2558" s="1" t="s">
        <v>13</v>
      </c>
      <c r="G2558" s="1">
        <v>3.15</v>
      </c>
      <c r="H2558" s="1">
        <v>3.21</v>
      </c>
      <c r="I2558" s="1">
        <v>0</v>
      </c>
      <c r="J2558" s="4">
        <v>41097</v>
      </c>
      <c r="K2558" s="4">
        <v>42192</v>
      </c>
      <c r="L2558">
        <f t="shared" si="39"/>
        <v>3.1799999999999997</v>
      </c>
    </row>
    <row r="2559" spans="1:12" x14ac:dyDescent="0.15">
      <c r="A2559" s="1">
        <v>2558</v>
      </c>
      <c r="B2559" s="4">
        <v>41096</v>
      </c>
      <c r="C2559" s="1" t="s">
        <v>18</v>
      </c>
      <c r="D2559" s="1" t="s">
        <v>15</v>
      </c>
      <c r="E2559" s="1">
        <v>0.4836805555555555</v>
      </c>
      <c r="F2559" s="1" t="s">
        <v>13</v>
      </c>
      <c r="G2559" s="1">
        <v>3.15</v>
      </c>
      <c r="H2559" s="1">
        <v>3.21</v>
      </c>
      <c r="I2559" s="1">
        <v>0</v>
      </c>
      <c r="J2559" s="4">
        <v>41097</v>
      </c>
      <c r="K2559" s="4">
        <v>41827</v>
      </c>
      <c r="L2559">
        <f t="shared" si="39"/>
        <v>3.1799999999999997</v>
      </c>
    </row>
    <row r="2560" spans="1:12" x14ac:dyDescent="0.15">
      <c r="A2560" s="1">
        <v>2559</v>
      </c>
      <c r="B2560" s="4">
        <v>41096</v>
      </c>
      <c r="C2560" s="1" t="s">
        <v>20</v>
      </c>
      <c r="D2560" s="1" t="s">
        <v>15</v>
      </c>
      <c r="E2560" s="1">
        <v>0.4836805555555555</v>
      </c>
      <c r="F2560" s="1" t="s">
        <v>13</v>
      </c>
      <c r="G2560" s="1">
        <v>3.27</v>
      </c>
      <c r="H2560" s="1">
        <v>3.33</v>
      </c>
      <c r="I2560" s="1">
        <v>0</v>
      </c>
      <c r="J2560" s="4">
        <v>41097</v>
      </c>
      <c r="K2560" s="4">
        <v>44749</v>
      </c>
      <c r="L2560">
        <f t="shared" si="39"/>
        <v>3.3</v>
      </c>
    </row>
    <row r="2561" spans="1:12" x14ac:dyDescent="0.15">
      <c r="A2561" s="1">
        <v>2560</v>
      </c>
      <c r="B2561" s="4">
        <v>41096</v>
      </c>
      <c r="C2561" s="1" t="s">
        <v>16</v>
      </c>
      <c r="D2561" s="1" t="s">
        <v>15</v>
      </c>
      <c r="E2561" s="1">
        <v>0.4836805555555555</v>
      </c>
      <c r="F2561" s="1" t="s">
        <v>13</v>
      </c>
      <c r="G2561" s="1">
        <v>3.15</v>
      </c>
      <c r="H2561" s="1">
        <v>3.21</v>
      </c>
      <c r="I2561" s="1">
        <v>0</v>
      </c>
      <c r="J2561" s="4">
        <v>41097</v>
      </c>
      <c r="K2561" s="4">
        <v>42558</v>
      </c>
      <c r="L2561">
        <f t="shared" si="39"/>
        <v>3.1799999999999997</v>
      </c>
    </row>
    <row r="2562" spans="1:12" x14ac:dyDescent="0.15">
      <c r="A2562" s="1">
        <v>2561</v>
      </c>
      <c r="B2562" s="4">
        <v>41096</v>
      </c>
      <c r="C2562" s="1" t="s">
        <v>22</v>
      </c>
      <c r="D2562" s="1" t="s">
        <v>27</v>
      </c>
      <c r="E2562" s="1">
        <v>0.48578703703703702</v>
      </c>
      <c r="F2562" s="1" t="s">
        <v>13</v>
      </c>
      <c r="G2562" s="1">
        <v>3.65</v>
      </c>
      <c r="H2562" s="1">
        <v>3.7</v>
      </c>
      <c r="I2562" s="1">
        <v>0</v>
      </c>
      <c r="J2562" s="4">
        <v>41097</v>
      </c>
      <c r="K2562" s="4">
        <v>41281</v>
      </c>
      <c r="L2562">
        <f t="shared" si="39"/>
        <v>3.6749999999999998</v>
      </c>
    </row>
    <row r="2563" spans="1:12" x14ac:dyDescent="0.15">
      <c r="A2563" s="1">
        <v>2562</v>
      </c>
      <c r="B2563" s="4">
        <v>41096</v>
      </c>
      <c r="C2563" s="1" t="s">
        <v>19</v>
      </c>
      <c r="D2563" s="1" t="s">
        <v>30</v>
      </c>
      <c r="E2563" s="1">
        <v>0.48777777777777781</v>
      </c>
      <c r="F2563" s="1" t="s">
        <v>13</v>
      </c>
      <c r="G2563" s="1">
        <v>3.45</v>
      </c>
      <c r="H2563" s="1">
        <v>3.55</v>
      </c>
      <c r="I2563" s="1">
        <v>0</v>
      </c>
      <c r="J2563" s="4">
        <v>41097</v>
      </c>
      <c r="K2563" s="4">
        <v>41371</v>
      </c>
      <c r="L2563">
        <f t="shared" ref="L2563:L2626" si="40">AVERAGE(G2563:H2563)</f>
        <v>3.5</v>
      </c>
    </row>
    <row r="2564" spans="1:12" x14ac:dyDescent="0.15">
      <c r="A2564" s="1">
        <v>2563</v>
      </c>
      <c r="B2564" s="4">
        <v>41096</v>
      </c>
      <c r="C2564" s="1" t="s">
        <v>19</v>
      </c>
      <c r="D2564" s="1" t="s">
        <v>27</v>
      </c>
      <c r="E2564" s="1">
        <v>0.48579861111111106</v>
      </c>
      <c r="F2564" s="1" t="s">
        <v>13</v>
      </c>
      <c r="G2564" s="1">
        <v>3.48</v>
      </c>
      <c r="H2564" s="1">
        <v>3.58</v>
      </c>
      <c r="I2564" s="1">
        <v>0</v>
      </c>
      <c r="J2564" s="4">
        <v>41097</v>
      </c>
      <c r="K2564" s="4">
        <v>41371</v>
      </c>
      <c r="L2564">
        <f t="shared" si="40"/>
        <v>3.5300000000000002</v>
      </c>
    </row>
    <row r="2565" spans="1:12" x14ac:dyDescent="0.15">
      <c r="A2565" s="1">
        <v>2564</v>
      </c>
      <c r="B2565" s="4">
        <v>41096</v>
      </c>
      <c r="C2565" s="1" t="s">
        <v>22</v>
      </c>
      <c r="D2565" s="1" t="s">
        <v>30</v>
      </c>
      <c r="E2565" s="1">
        <v>0.48777777777777781</v>
      </c>
      <c r="F2565" s="1" t="s">
        <v>13</v>
      </c>
      <c r="G2565" s="1">
        <v>3.65</v>
      </c>
      <c r="H2565" s="1">
        <v>3.75</v>
      </c>
      <c r="I2565" s="1">
        <v>0</v>
      </c>
      <c r="J2565" s="4">
        <v>41097</v>
      </c>
      <c r="K2565" s="4">
        <v>41281</v>
      </c>
      <c r="L2565">
        <f t="shared" si="40"/>
        <v>3.7</v>
      </c>
    </row>
    <row r="2566" spans="1:12" x14ac:dyDescent="0.15">
      <c r="A2566" s="1">
        <v>2565</v>
      </c>
      <c r="B2566" s="4">
        <v>41096</v>
      </c>
      <c r="C2566" s="1" t="s">
        <v>21</v>
      </c>
      <c r="D2566" s="1" t="s">
        <v>30</v>
      </c>
      <c r="E2566" s="1">
        <v>0.48777777777777781</v>
      </c>
      <c r="F2566" s="1" t="s">
        <v>13</v>
      </c>
      <c r="G2566" s="1">
        <v>3.2</v>
      </c>
      <c r="H2566" s="1">
        <v>3.3</v>
      </c>
      <c r="I2566" s="1">
        <v>0</v>
      </c>
      <c r="J2566" s="4">
        <v>41097</v>
      </c>
      <c r="K2566" s="4">
        <v>43653</v>
      </c>
      <c r="L2566">
        <f t="shared" si="40"/>
        <v>3.25</v>
      </c>
    </row>
    <row r="2567" spans="1:12" x14ac:dyDescent="0.15">
      <c r="A2567" s="1">
        <v>2566</v>
      </c>
      <c r="B2567" s="4">
        <v>41096</v>
      </c>
      <c r="C2567" s="1" t="s">
        <v>25</v>
      </c>
      <c r="D2567" s="1" t="s">
        <v>27</v>
      </c>
      <c r="E2567" s="1">
        <v>0.48579861111111106</v>
      </c>
      <c r="F2567" s="1" t="s">
        <v>13</v>
      </c>
      <c r="G2567" s="1">
        <v>3.11</v>
      </c>
      <c r="H2567" s="1">
        <v>3.21</v>
      </c>
      <c r="I2567" s="1">
        <v>0</v>
      </c>
      <c r="J2567" s="4">
        <v>41097</v>
      </c>
      <c r="K2567" s="4">
        <v>42923</v>
      </c>
      <c r="L2567">
        <f t="shared" si="40"/>
        <v>3.16</v>
      </c>
    </row>
    <row r="2568" spans="1:12" x14ac:dyDescent="0.15">
      <c r="A2568" s="1">
        <v>2567</v>
      </c>
      <c r="B2568" s="4">
        <v>41096</v>
      </c>
      <c r="C2568" s="1" t="s">
        <v>11</v>
      </c>
      <c r="D2568" s="1" t="s">
        <v>27</v>
      </c>
      <c r="E2568" s="1">
        <v>0.48579861111111106</v>
      </c>
      <c r="F2568" s="1" t="s">
        <v>13</v>
      </c>
      <c r="G2568" s="1">
        <v>3.11</v>
      </c>
      <c r="H2568" s="1">
        <v>3.21</v>
      </c>
      <c r="I2568" s="1">
        <v>0</v>
      </c>
      <c r="J2568" s="4">
        <v>41097</v>
      </c>
      <c r="K2568" s="4">
        <v>42192</v>
      </c>
      <c r="L2568">
        <f t="shared" si="40"/>
        <v>3.16</v>
      </c>
    </row>
    <row r="2569" spans="1:12" x14ac:dyDescent="0.15">
      <c r="A2569" s="1">
        <v>2568</v>
      </c>
      <c r="B2569" s="4">
        <v>41096</v>
      </c>
      <c r="C2569" s="1" t="s">
        <v>18</v>
      </c>
      <c r="D2569" s="1" t="s">
        <v>27</v>
      </c>
      <c r="E2569" s="1">
        <v>0.48579861111111106</v>
      </c>
      <c r="F2569" s="1" t="s">
        <v>13</v>
      </c>
      <c r="G2569" s="1">
        <v>3.11</v>
      </c>
      <c r="H2569" s="1">
        <v>3.21</v>
      </c>
      <c r="I2569" s="1">
        <v>0</v>
      </c>
      <c r="J2569" s="4">
        <v>41097</v>
      </c>
      <c r="K2569" s="4">
        <v>41827</v>
      </c>
      <c r="L2569">
        <f t="shared" si="40"/>
        <v>3.16</v>
      </c>
    </row>
    <row r="2570" spans="1:12" x14ac:dyDescent="0.15">
      <c r="A2570" s="1">
        <v>2569</v>
      </c>
      <c r="B2570" s="4">
        <v>41096</v>
      </c>
      <c r="C2570" s="1" t="s">
        <v>14</v>
      </c>
      <c r="D2570" s="1" t="s">
        <v>27</v>
      </c>
      <c r="E2570" s="1">
        <v>0.48579861111111106</v>
      </c>
      <c r="F2570" s="1" t="s">
        <v>13</v>
      </c>
      <c r="G2570" s="1">
        <v>3.32</v>
      </c>
      <c r="H2570" s="1">
        <v>3.4</v>
      </c>
      <c r="I2570" s="1">
        <v>0</v>
      </c>
      <c r="J2570" s="4">
        <v>41097</v>
      </c>
      <c r="K2570" s="4">
        <v>41462</v>
      </c>
      <c r="L2570">
        <f t="shared" si="40"/>
        <v>3.36</v>
      </c>
    </row>
    <row r="2571" spans="1:12" x14ac:dyDescent="0.15">
      <c r="A2571" s="1">
        <v>2570</v>
      </c>
      <c r="B2571" s="4">
        <v>41096</v>
      </c>
      <c r="C2571" s="1" t="s">
        <v>16</v>
      </c>
      <c r="D2571" s="1" t="s">
        <v>27</v>
      </c>
      <c r="E2571" s="1">
        <v>0.48579861111111106</v>
      </c>
      <c r="F2571" s="1" t="s">
        <v>13</v>
      </c>
      <c r="G2571" s="1">
        <v>3.11</v>
      </c>
      <c r="H2571" s="1">
        <v>3.21</v>
      </c>
      <c r="I2571" s="1">
        <v>0</v>
      </c>
      <c r="J2571" s="4">
        <v>41097</v>
      </c>
      <c r="K2571" s="4">
        <v>42558</v>
      </c>
      <c r="L2571">
        <f t="shared" si="40"/>
        <v>3.16</v>
      </c>
    </row>
    <row r="2572" spans="1:12" x14ac:dyDescent="0.15">
      <c r="A2572" s="1">
        <v>2571</v>
      </c>
      <c r="B2572" s="4">
        <v>41096</v>
      </c>
      <c r="C2572" s="1" t="s">
        <v>19</v>
      </c>
      <c r="D2572" s="1" t="s">
        <v>37</v>
      </c>
      <c r="E2572" s="1">
        <v>0.64469907407407401</v>
      </c>
      <c r="F2572" s="1" t="s">
        <v>13</v>
      </c>
      <c r="G2572" s="1">
        <v>3.47</v>
      </c>
      <c r="H2572" s="1">
        <v>3.56</v>
      </c>
      <c r="I2572" s="1">
        <v>0</v>
      </c>
      <c r="J2572" s="4">
        <v>41097</v>
      </c>
      <c r="K2572" s="4">
        <v>41371</v>
      </c>
      <c r="L2572">
        <f t="shared" si="40"/>
        <v>3.5150000000000001</v>
      </c>
    </row>
    <row r="2573" spans="1:12" x14ac:dyDescent="0.15">
      <c r="A2573" s="1">
        <v>2572</v>
      </c>
      <c r="B2573" s="4">
        <v>41096</v>
      </c>
      <c r="C2573" s="1" t="s">
        <v>11</v>
      </c>
      <c r="D2573" s="1" t="s">
        <v>26</v>
      </c>
      <c r="E2573" s="1">
        <v>0.68376157407407412</v>
      </c>
      <c r="F2573" s="1" t="s">
        <v>13</v>
      </c>
      <c r="G2573" s="1">
        <v>3.15</v>
      </c>
      <c r="H2573" s="1">
        <v>3.2</v>
      </c>
      <c r="I2573" s="1">
        <v>0</v>
      </c>
      <c r="J2573" s="4">
        <v>41097</v>
      </c>
      <c r="K2573" s="4">
        <v>42192</v>
      </c>
      <c r="L2573">
        <f t="shared" si="40"/>
        <v>3.1749999999999998</v>
      </c>
    </row>
    <row r="2574" spans="1:12" x14ac:dyDescent="0.15">
      <c r="A2574" s="1">
        <v>2573</v>
      </c>
      <c r="B2574" s="4">
        <v>41096</v>
      </c>
      <c r="C2574" s="1" t="s">
        <v>19</v>
      </c>
      <c r="D2574" s="1" t="s">
        <v>26</v>
      </c>
      <c r="E2574" s="1">
        <v>0.68376157407407412</v>
      </c>
      <c r="F2574" s="1" t="s">
        <v>13</v>
      </c>
      <c r="G2574" s="1">
        <v>3.48</v>
      </c>
      <c r="H2574" s="1">
        <v>3.55</v>
      </c>
      <c r="I2574" s="1">
        <v>0</v>
      </c>
      <c r="J2574" s="4">
        <v>41097</v>
      </c>
      <c r="K2574" s="4">
        <v>41371</v>
      </c>
      <c r="L2574">
        <f t="shared" si="40"/>
        <v>3.5149999999999997</v>
      </c>
    </row>
    <row r="2575" spans="1:12" x14ac:dyDescent="0.15">
      <c r="A2575" s="1">
        <v>2574</v>
      </c>
      <c r="B2575" s="4">
        <v>41096</v>
      </c>
      <c r="C2575" s="1" t="s">
        <v>20</v>
      </c>
      <c r="D2575" s="1" t="s">
        <v>26</v>
      </c>
      <c r="E2575" s="1">
        <v>0.68376157407407412</v>
      </c>
      <c r="F2575" s="1" t="s">
        <v>13</v>
      </c>
      <c r="G2575" s="1">
        <v>3.15</v>
      </c>
      <c r="H2575" s="1">
        <v>3.2</v>
      </c>
      <c r="I2575" s="1">
        <v>0</v>
      </c>
      <c r="J2575" s="4">
        <v>41097</v>
      </c>
      <c r="K2575" s="4">
        <v>44749</v>
      </c>
      <c r="L2575">
        <f t="shared" si="40"/>
        <v>3.1749999999999998</v>
      </c>
    </row>
    <row r="2576" spans="1:12" x14ac:dyDescent="0.15">
      <c r="A2576" s="1">
        <v>2575</v>
      </c>
      <c r="B2576" s="4">
        <v>41096</v>
      </c>
      <c r="C2576" s="1" t="s">
        <v>14</v>
      </c>
      <c r="D2576" s="1" t="s">
        <v>26</v>
      </c>
      <c r="E2576" s="1">
        <v>0.68376157407407412</v>
      </c>
      <c r="F2576" s="1" t="s">
        <v>13</v>
      </c>
      <c r="G2576" s="1">
        <v>3.35</v>
      </c>
      <c r="H2576" s="1">
        <v>3.45</v>
      </c>
      <c r="I2576" s="1">
        <v>0</v>
      </c>
      <c r="J2576" s="4">
        <v>41097</v>
      </c>
      <c r="K2576" s="4">
        <v>41462</v>
      </c>
      <c r="L2576">
        <f t="shared" si="40"/>
        <v>3.4000000000000004</v>
      </c>
    </row>
    <row r="2577" spans="1:12" x14ac:dyDescent="0.15">
      <c r="A2577" s="1">
        <v>2576</v>
      </c>
      <c r="B2577" s="4">
        <v>41096</v>
      </c>
      <c r="C2577" s="1" t="s">
        <v>21</v>
      </c>
      <c r="D2577" s="1" t="s">
        <v>26</v>
      </c>
      <c r="E2577" s="1">
        <v>0.68376157407407412</v>
      </c>
      <c r="F2577" s="1" t="s">
        <v>13</v>
      </c>
      <c r="G2577" s="1">
        <v>3.15</v>
      </c>
      <c r="H2577" s="1">
        <v>3.2</v>
      </c>
      <c r="I2577" s="1">
        <v>0</v>
      </c>
      <c r="J2577" s="4">
        <v>41097</v>
      </c>
      <c r="K2577" s="4">
        <v>43653</v>
      </c>
      <c r="L2577">
        <f t="shared" si="40"/>
        <v>3.1749999999999998</v>
      </c>
    </row>
    <row r="2578" spans="1:12" x14ac:dyDescent="0.15">
      <c r="A2578" s="1">
        <v>2577</v>
      </c>
      <c r="B2578" s="4">
        <v>41096</v>
      </c>
      <c r="C2578" s="1" t="s">
        <v>25</v>
      </c>
      <c r="D2578" s="1" t="s">
        <v>26</v>
      </c>
      <c r="E2578" s="1">
        <v>0.68376157407407412</v>
      </c>
      <c r="F2578" s="1" t="s">
        <v>13</v>
      </c>
      <c r="G2578" s="1">
        <v>3.15</v>
      </c>
      <c r="H2578" s="1">
        <v>3.2</v>
      </c>
      <c r="I2578" s="1">
        <v>0</v>
      </c>
      <c r="J2578" s="4">
        <v>41097</v>
      </c>
      <c r="K2578" s="4">
        <v>42923</v>
      </c>
      <c r="L2578">
        <f t="shared" si="40"/>
        <v>3.1749999999999998</v>
      </c>
    </row>
    <row r="2579" spans="1:12" x14ac:dyDescent="0.15">
      <c r="A2579" s="1">
        <v>2578</v>
      </c>
      <c r="B2579" s="4">
        <v>41096</v>
      </c>
      <c r="C2579" s="1" t="s">
        <v>19</v>
      </c>
      <c r="D2579" s="1" t="s">
        <v>15</v>
      </c>
      <c r="E2579" s="1">
        <v>0.6766550925925926</v>
      </c>
      <c r="F2579" s="1" t="s">
        <v>13</v>
      </c>
      <c r="G2579" s="1">
        <v>3.46</v>
      </c>
      <c r="H2579" s="1">
        <v>3.52</v>
      </c>
      <c r="I2579" s="1">
        <v>0</v>
      </c>
      <c r="J2579" s="4">
        <v>41097</v>
      </c>
      <c r="K2579" s="4">
        <v>41371</v>
      </c>
      <c r="L2579">
        <f t="shared" si="40"/>
        <v>3.49</v>
      </c>
    </row>
    <row r="2580" spans="1:12" x14ac:dyDescent="0.15">
      <c r="A2580" s="1">
        <v>2579</v>
      </c>
      <c r="B2580" s="4">
        <v>41096</v>
      </c>
      <c r="C2580" s="1" t="s">
        <v>16</v>
      </c>
      <c r="D2580" s="1" t="s">
        <v>26</v>
      </c>
      <c r="E2580" s="1">
        <v>0.68376157407407412</v>
      </c>
      <c r="F2580" s="1" t="s">
        <v>13</v>
      </c>
      <c r="G2580" s="1">
        <v>3.15</v>
      </c>
      <c r="H2580" s="1">
        <v>3.2</v>
      </c>
      <c r="I2580" s="1">
        <v>0</v>
      </c>
      <c r="J2580" s="4">
        <v>41097</v>
      </c>
      <c r="K2580" s="4">
        <v>42558</v>
      </c>
      <c r="L2580">
        <f t="shared" si="40"/>
        <v>3.1749999999999998</v>
      </c>
    </row>
    <row r="2581" spans="1:12" x14ac:dyDescent="0.15">
      <c r="A2581" s="1">
        <v>2580</v>
      </c>
      <c r="B2581" s="4">
        <v>41096</v>
      </c>
      <c r="C2581" s="1" t="s">
        <v>22</v>
      </c>
      <c r="D2581" s="1" t="s">
        <v>26</v>
      </c>
      <c r="E2581" s="1">
        <v>0.68376157407407412</v>
      </c>
      <c r="F2581" s="1" t="s">
        <v>13</v>
      </c>
      <c r="G2581" s="1">
        <v>3.6</v>
      </c>
      <c r="H2581" s="1">
        <v>3.7</v>
      </c>
      <c r="I2581" s="1">
        <v>0</v>
      </c>
      <c r="J2581" s="4">
        <v>41097</v>
      </c>
      <c r="K2581" s="4">
        <v>41281</v>
      </c>
      <c r="L2581">
        <f t="shared" si="40"/>
        <v>3.6500000000000004</v>
      </c>
    </row>
    <row r="2582" spans="1:12" x14ac:dyDescent="0.15">
      <c r="A2582" s="1">
        <v>2581</v>
      </c>
      <c r="B2582" s="4">
        <v>41096</v>
      </c>
      <c r="C2582" s="1" t="s">
        <v>18</v>
      </c>
      <c r="D2582" s="1" t="s">
        <v>26</v>
      </c>
      <c r="E2582" s="1">
        <v>0.68377314814814805</v>
      </c>
      <c r="F2582" s="1" t="s">
        <v>13</v>
      </c>
      <c r="G2582" s="1">
        <v>3.26</v>
      </c>
      <c r="H2582" s="1">
        <v>3.35</v>
      </c>
      <c r="I2582" s="1">
        <v>0</v>
      </c>
      <c r="J2582" s="4">
        <v>41097</v>
      </c>
      <c r="K2582" s="4">
        <v>41827</v>
      </c>
      <c r="L2582">
        <f t="shared" si="40"/>
        <v>3.3049999999999997</v>
      </c>
    </row>
    <row r="2583" spans="1:12" x14ac:dyDescent="0.15">
      <c r="A2583" s="1">
        <v>2582</v>
      </c>
      <c r="B2583" s="4">
        <v>41096</v>
      </c>
      <c r="C2583" s="1" t="s">
        <v>18</v>
      </c>
      <c r="D2583" s="1" t="s">
        <v>30</v>
      </c>
      <c r="E2583" s="1">
        <v>0.6852893518518518</v>
      </c>
      <c r="F2583" s="1" t="s">
        <v>13</v>
      </c>
      <c r="G2583" s="1">
        <v>3.15</v>
      </c>
      <c r="H2583" s="1">
        <v>3.25</v>
      </c>
      <c r="I2583" s="1">
        <v>0</v>
      </c>
      <c r="J2583" s="4">
        <v>41097</v>
      </c>
      <c r="K2583" s="4">
        <v>41827</v>
      </c>
      <c r="L2583">
        <f t="shared" si="40"/>
        <v>3.2</v>
      </c>
    </row>
    <row r="2584" spans="1:12" x14ac:dyDescent="0.15">
      <c r="A2584" s="1">
        <v>2583</v>
      </c>
      <c r="B2584" s="4">
        <v>41096</v>
      </c>
      <c r="C2584" s="1" t="s">
        <v>11</v>
      </c>
      <c r="D2584" s="1" t="s">
        <v>30</v>
      </c>
      <c r="E2584" s="1">
        <v>0.6852893518518518</v>
      </c>
      <c r="F2584" s="1" t="s">
        <v>13</v>
      </c>
      <c r="G2584" s="1">
        <v>3.13</v>
      </c>
      <c r="H2584" s="1">
        <v>3.23</v>
      </c>
      <c r="I2584" s="1">
        <v>0</v>
      </c>
      <c r="J2584" s="4">
        <v>41097</v>
      </c>
      <c r="K2584" s="4">
        <v>42192</v>
      </c>
      <c r="L2584">
        <f t="shared" si="40"/>
        <v>3.1799999999999997</v>
      </c>
    </row>
    <row r="2585" spans="1:12" x14ac:dyDescent="0.15">
      <c r="A2585" s="1">
        <v>2584</v>
      </c>
      <c r="B2585" s="4">
        <v>41096</v>
      </c>
      <c r="C2585" s="1" t="s">
        <v>20</v>
      </c>
      <c r="D2585" s="1" t="s">
        <v>30</v>
      </c>
      <c r="E2585" s="1">
        <v>0.6852893518518518</v>
      </c>
      <c r="F2585" s="1" t="s">
        <v>13</v>
      </c>
      <c r="G2585" s="1">
        <v>3.25</v>
      </c>
      <c r="H2585" s="1">
        <v>3.35</v>
      </c>
      <c r="I2585" s="1">
        <v>0</v>
      </c>
      <c r="J2585" s="4">
        <v>41097</v>
      </c>
      <c r="K2585" s="4">
        <v>44749</v>
      </c>
      <c r="L2585">
        <f t="shared" si="40"/>
        <v>3.3</v>
      </c>
    </row>
    <row r="2586" spans="1:12" x14ac:dyDescent="0.15">
      <c r="A2586" s="1">
        <v>2585</v>
      </c>
      <c r="B2586" s="4">
        <v>41096</v>
      </c>
      <c r="C2586" s="1" t="s">
        <v>14</v>
      </c>
      <c r="D2586" s="1" t="s">
        <v>30</v>
      </c>
      <c r="E2586" s="1">
        <v>0.6852893518518518</v>
      </c>
      <c r="F2586" s="1" t="s">
        <v>13</v>
      </c>
      <c r="G2586" s="1">
        <v>3.32</v>
      </c>
      <c r="H2586" s="1">
        <v>3.42</v>
      </c>
      <c r="I2586" s="1">
        <v>0</v>
      </c>
      <c r="J2586" s="4">
        <v>41097</v>
      </c>
      <c r="K2586" s="4">
        <v>41462</v>
      </c>
      <c r="L2586">
        <f t="shared" si="40"/>
        <v>3.37</v>
      </c>
    </row>
    <row r="2587" spans="1:12" x14ac:dyDescent="0.15">
      <c r="A2587" s="1">
        <v>2586</v>
      </c>
      <c r="B2587" s="4">
        <v>41096</v>
      </c>
      <c r="C2587" s="1" t="s">
        <v>16</v>
      </c>
      <c r="D2587" s="1" t="s">
        <v>30</v>
      </c>
      <c r="E2587" s="1">
        <v>0.6852893518518518</v>
      </c>
      <c r="F2587" s="1" t="s">
        <v>13</v>
      </c>
      <c r="G2587" s="1">
        <v>3.13</v>
      </c>
      <c r="H2587" s="1">
        <v>3.23</v>
      </c>
      <c r="I2587" s="1">
        <v>0</v>
      </c>
      <c r="J2587" s="4">
        <v>41097</v>
      </c>
      <c r="K2587" s="4">
        <v>42558</v>
      </c>
      <c r="L2587">
        <f t="shared" si="40"/>
        <v>3.1799999999999997</v>
      </c>
    </row>
    <row r="2588" spans="1:12" x14ac:dyDescent="0.15">
      <c r="A2588" s="1">
        <v>2587</v>
      </c>
      <c r="B2588" s="4">
        <v>41096</v>
      </c>
      <c r="C2588" s="1" t="s">
        <v>21</v>
      </c>
      <c r="D2588" s="1" t="s">
        <v>30</v>
      </c>
      <c r="E2588" s="1">
        <v>0.6852893518518518</v>
      </c>
      <c r="F2588" s="1" t="s">
        <v>13</v>
      </c>
      <c r="G2588" s="1">
        <v>3.2</v>
      </c>
      <c r="H2588" s="1">
        <v>3.3</v>
      </c>
      <c r="I2588" s="1">
        <v>0</v>
      </c>
      <c r="J2588" s="4">
        <v>41097</v>
      </c>
      <c r="K2588" s="4">
        <v>43653</v>
      </c>
      <c r="L2588">
        <f t="shared" si="40"/>
        <v>3.25</v>
      </c>
    </row>
    <row r="2589" spans="1:12" x14ac:dyDescent="0.15">
      <c r="A2589" s="1">
        <v>2588</v>
      </c>
      <c r="B2589" s="4">
        <v>41096</v>
      </c>
      <c r="C2589" s="1" t="s">
        <v>19</v>
      </c>
      <c r="D2589" s="1" t="s">
        <v>30</v>
      </c>
      <c r="E2589" s="1">
        <v>0.6852893518518518</v>
      </c>
      <c r="F2589" s="1" t="s">
        <v>13</v>
      </c>
      <c r="G2589" s="1">
        <v>3.45</v>
      </c>
      <c r="H2589" s="1">
        <v>3.55</v>
      </c>
      <c r="I2589" s="1">
        <v>0</v>
      </c>
      <c r="J2589" s="4">
        <v>41097</v>
      </c>
      <c r="K2589" s="4">
        <v>41371</v>
      </c>
      <c r="L2589">
        <f t="shared" si="40"/>
        <v>3.5</v>
      </c>
    </row>
    <row r="2590" spans="1:12" x14ac:dyDescent="0.15">
      <c r="A2590" s="1">
        <v>2589</v>
      </c>
      <c r="B2590" s="4">
        <v>41096</v>
      </c>
      <c r="C2590" s="1" t="s">
        <v>25</v>
      </c>
      <c r="D2590" s="1" t="s">
        <v>30</v>
      </c>
      <c r="E2590" s="1">
        <v>0.6852893518518518</v>
      </c>
      <c r="F2590" s="1" t="s">
        <v>13</v>
      </c>
      <c r="G2590" s="1">
        <v>3.13</v>
      </c>
      <c r="H2590" s="1">
        <v>3.23</v>
      </c>
      <c r="I2590" s="1">
        <v>0</v>
      </c>
      <c r="J2590" s="4">
        <v>41097</v>
      </c>
      <c r="K2590" s="4">
        <v>42923</v>
      </c>
      <c r="L2590">
        <f t="shared" si="40"/>
        <v>3.1799999999999997</v>
      </c>
    </row>
    <row r="2591" spans="1:12" x14ac:dyDescent="0.15">
      <c r="A2591" s="1">
        <v>2590</v>
      </c>
      <c r="B2591" s="4">
        <v>41096</v>
      </c>
      <c r="C2591" s="1" t="s">
        <v>22</v>
      </c>
      <c r="D2591" s="1" t="s">
        <v>30</v>
      </c>
      <c r="E2591" s="1">
        <v>0.6852893518518518</v>
      </c>
      <c r="F2591" s="1" t="s">
        <v>13</v>
      </c>
      <c r="G2591" s="1">
        <v>3.65</v>
      </c>
      <c r="H2591" s="1">
        <v>3.75</v>
      </c>
      <c r="I2591" s="1">
        <v>0</v>
      </c>
      <c r="J2591" s="4">
        <v>41097</v>
      </c>
      <c r="K2591" s="4">
        <v>41281</v>
      </c>
      <c r="L2591">
        <f t="shared" si="40"/>
        <v>3.7</v>
      </c>
    </row>
    <row r="2592" spans="1:12" x14ac:dyDescent="0.15">
      <c r="A2592" s="1">
        <v>2591</v>
      </c>
      <c r="B2592" s="4">
        <v>41096</v>
      </c>
      <c r="C2592" s="1" t="s">
        <v>19</v>
      </c>
      <c r="D2592" s="1" t="s">
        <v>27</v>
      </c>
      <c r="E2592" s="1">
        <v>0.67266203703703698</v>
      </c>
      <c r="F2592" s="1" t="s">
        <v>13</v>
      </c>
      <c r="G2592" s="1">
        <v>3.44</v>
      </c>
      <c r="H2592" s="1">
        <v>3.54</v>
      </c>
      <c r="I2592" s="1">
        <v>0</v>
      </c>
      <c r="J2592" s="4">
        <v>41097</v>
      </c>
      <c r="K2592" s="4">
        <v>41371</v>
      </c>
      <c r="L2592">
        <f t="shared" si="40"/>
        <v>3.49</v>
      </c>
    </row>
    <row r="2593" spans="1:12" x14ac:dyDescent="0.15">
      <c r="A2593" s="1">
        <v>2592</v>
      </c>
      <c r="B2593" s="4">
        <v>41096</v>
      </c>
      <c r="C2593" s="1" t="s">
        <v>25</v>
      </c>
      <c r="D2593" s="1" t="s">
        <v>27</v>
      </c>
      <c r="E2593" s="1">
        <v>0.67266203703703698</v>
      </c>
      <c r="F2593" s="1" t="s">
        <v>13</v>
      </c>
      <c r="G2593" s="1">
        <v>3.14</v>
      </c>
      <c r="H2593" s="1">
        <v>3.24</v>
      </c>
      <c r="I2593" s="1">
        <v>0</v>
      </c>
      <c r="J2593" s="4">
        <v>41097</v>
      </c>
      <c r="K2593" s="4">
        <v>42923</v>
      </c>
      <c r="L2593">
        <f t="shared" si="40"/>
        <v>3.1900000000000004</v>
      </c>
    </row>
    <row r="2594" spans="1:12" x14ac:dyDescent="0.15">
      <c r="A2594" s="1">
        <v>2593</v>
      </c>
      <c r="B2594" s="4">
        <v>41096</v>
      </c>
      <c r="C2594" s="1" t="s">
        <v>18</v>
      </c>
      <c r="D2594" s="1" t="s">
        <v>27</v>
      </c>
      <c r="E2594" s="1">
        <v>0.67267361111111112</v>
      </c>
      <c r="F2594" s="1" t="s">
        <v>13</v>
      </c>
      <c r="G2594" s="1">
        <v>3.14</v>
      </c>
      <c r="H2594" s="1">
        <v>3.24</v>
      </c>
      <c r="I2594" s="1">
        <v>0</v>
      </c>
      <c r="J2594" s="4">
        <v>41097</v>
      </c>
      <c r="K2594" s="4">
        <v>41827</v>
      </c>
      <c r="L2594">
        <f t="shared" si="40"/>
        <v>3.1900000000000004</v>
      </c>
    </row>
    <row r="2595" spans="1:12" x14ac:dyDescent="0.15">
      <c r="A2595" s="1">
        <v>2594</v>
      </c>
      <c r="B2595" s="4">
        <v>41096</v>
      </c>
      <c r="C2595" s="1" t="s">
        <v>11</v>
      </c>
      <c r="D2595" s="1" t="s">
        <v>27</v>
      </c>
      <c r="E2595" s="1">
        <v>0.67267361111111112</v>
      </c>
      <c r="F2595" s="1" t="s">
        <v>13</v>
      </c>
      <c r="G2595" s="1">
        <v>3.14</v>
      </c>
      <c r="H2595" s="1">
        <v>3.24</v>
      </c>
      <c r="I2595" s="1">
        <v>0</v>
      </c>
      <c r="J2595" s="4">
        <v>41097</v>
      </c>
      <c r="K2595" s="4">
        <v>42192</v>
      </c>
      <c r="L2595">
        <f t="shared" si="40"/>
        <v>3.1900000000000004</v>
      </c>
    </row>
    <row r="2596" spans="1:12" x14ac:dyDescent="0.15">
      <c r="A2596" s="1">
        <v>2595</v>
      </c>
      <c r="B2596" s="4">
        <v>41096</v>
      </c>
      <c r="C2596" s="1" t="s">
        <v>22</v>
      </c>
      <c r="D2596" s="1" t="s">
        <v>27</v>
      </c>
      <c r="E2596" s="1">
        <v>0.67266203703703698</v>
      </c>
      <c r="F2596" s="1" t="s">
        <v>13</v>
      </c>
      <c r="G2596" s="1">
        <v>3.68</v>
      </c>
      <c r="H2596" s="1">
        <v>3.78</v>
      </c>
      <c r="I2596" s="1">
        <v>0</v>
      </c>
      <c r="J2596" s="4">
        <v>41097</v>
      </c>
      <c r="K2596" s="4">
        <v>41281</v>
      </c>
      <c r="L2596">
        <f t="shared" si="40"/>
        <v>3.73</v>
      </c>
    </row>
    <row r="2597" spans="1:12" x14ac:dyDescent="0.15">
      <c r="A2597" s="1">
        <v>2596</v>
      </c>
      <c r="B2597" s="4">
        <v>41096</v>
      </c>
      <c r="C2597" s="1" t="s">
        <v>14</v>
      </c>
      <c r="D2597" s="1" t="s">
        <v>37</v>
      </c>
      <c r="E2597" s="1">
        <v>0.64469907407407401</v>
      </c>
      <c r="F2597" s="1" t="s">
        <v>13</v>
      </c>
      <c r="G2597" s="1">
        <v>3.31</v>
      </c>
      <c r="H2597" s="1">
        <v>3.4</v>
      </c>
      <c r="I2597" s="1">
        <v>0</v>
      </c>
      <c r="J2597" s="4">
        <v>41097</v>
      </c>
      <c r="K2597" s="4">
        <v>41462</v>
      </c>
      <c r="L2597">
        <f t="shared" si="40"/>
        <v>3.355</v>
      </c>
    </row>
    <row r="2598" spans="1:12" x14ac:dyDescent="0.15">
      <c r="A2598" s="1">
        <v>2597</v>
      </c>
      <c r="B2598" s="4">
        <v>41096</v>
      </c>
      <c r="C2598" s="1" t="s">
        <v>11</v>
      </c>
      <c r="D2598" s="1" t="s">
        <v>37</v>
      </c>
      <c r="E2598" s="1">
        <v>0.64469907407407401</v>
      </c>
      <c r="F2598" s="1" t="s">
        <v>13</v>
      </c>
      <c r="G2598" s="1">
        <v>3.13</v>
      </c>
      <c r="H2598" s="1">
        <v>3.22</v>
      </c>
      <c r="I2598" s="1">
        <v>0</v>
      </c>
      <c r="J2598" s="4">
        <v>41097</v>
      </c>
      <c r="K2598" s="4">
        <v>42192</v>
      </c>
      <c r="L2598">
        <f t="shared" si="40"/>
        <v>3.1749999999999998</v>
      </c>
    </row>
    <row r="2599" spans="1:12" x14ac:dyDescent="0.15">
      <c r="A2599" s="1">
        <v>2598</v>
      </c>
      <c r="B2599" s="4">
        <v>41096</v>
      </c>
      <c r="C2599" s="1" t="s">
        <v>25</v>
      </c>
      <c r="D2599" s="1" t="s">
        <v>37</v>
      </c>
      <c r="E2599" s="1">
        <v>0.64469907407407401</v>
      </c>
      <c r="F2599" s="1" t="s">
        <v>13</v>
      </c>
      <c r="G2599" s="1">
        <v>3.13</v>
      </c>
      <c r="H2599" s="1">
        <v>3.22</v>
      </c>
      <c r="I2599" s="1">
        <v>0</v>
      </c>
      <c r="J2599" s="4">
        <v>41097</v>
      </c>
      <c r="K2599" s="4">
        <v>42923</v>
      </c>
      <c r="L2599">
        <f t="shared" si="40"/>
        <v>3.1749999999999998</v>
      </c>
    </row>
    <row r="2600" spans="1:12" x14ac:dyDescent="0.15">
      <c r="A2600" s="1">
        <v>2599</v>
      </c>
      <c r="B2600" s="4">
        <v>41096</v>
      </c>
      <c r="C2600" s="1" t="s">
        <v>20</v>
      </c>
      <c r="D2600" s="1" t="s">
        <v>37</v>
      </c>
      <c r="E2600" s="1">
        <v>0.64469907407407401</v>
      </c>
      <c r="F2600" s="1" t="s">
        <v>13</v>
      </c>
      <c r="G2600" s="1">
        <v>3.22</v>
      </c>
      <c r="H2600" s="1">
        <v>3.35</v>
      </c>
      <c r="I2600" s="1">
        <v>0</v>
      </c>
      <c r="J2600" s="4">
        <v>41097</v>
      </c>
      <c r="K2600" s="4">
        <v>44749</v>
      </c>
      <c r="L2600">
        <f t="shared" si="40"/>
        <v>3.2850000000000001</v>
      </c>
    </row>
    <row r="2601" spans="1:12" x14ac:dyDescent="0.15">
      <c r="A2601" s="1">
        <v>2600</v>
      </c>
      <c r="B2601" s="4">
        <v>41096</v>
      </c>
      <c r="C2601" s="1" t="s">
        <v>16</v>
      </c>
      <c r="D2601" s="1" t="s">
        <v>27</v>
      </c>
      <c r="E2601" s="1">
        <v>0.67268518518518527</v>
      </c>
      <c r="F2601" s="1" t="s">
        <v>13</v>
      </c>
      <c r="G2601" s="1">
        <v>3.14</v>
      </c>
      <c r="H2601" s="1">
        <v>3.24</v>
      </c>
      <c r="I2601" s="1">
        <v>0</v>
      </c>
      <c r="J2601" s="4">
        <v>41097</v>
      </c>
      <c r="K2601" s="4">
        <v>42558</v>
      </c>
      <c r="L2601">
        <f t="shared" si="40"/>
        <v>3.1900000000000004</v>
      </c>
    </row>
    <row r="2602" spans="1:12" x14ac:dyDescent="0.15">
      <c r="A2602" s="1">
        <v>2601</v>
      </c>
      <c r="B2602" s="4">
        <v>41096</v>
      </c>
      <c r="C2602" s="1" t="s">
        <v>22</v>
      </c>
      <c r="D2602" s="1" t="s">
        <v>15</v>
      </c>
      <c r="E2602" s="1">
        <v>0.6766550925925926</v>
      </c>
      <c r="F2602" s="1" t="s">
        <v>13</v>
      </c>
      <c r="G2602" s="1">
        <v>3.68</v>
      </c>
      <c r="H2602" s="1">
        <v>3.74</v>
      </c>
      <c r="I2602" s="1">
        <v>0</v>
      </c>
      <c r="J2602" s="4">
        <v>41097</v>
      </c>
      <c r="K2602" s="4">
        <v>41281</v>
      </c>
      <c r="L2602">
        <f t="shared" si="40"/>
        <v>3.71</v>
      </c>
    </row>
    <row r="2603" spans="1:12" x14ac:dyDescent="0.15">
      <c r="A2603" s="1">
        <v>2602</v>
      </c>
      <c r="B2603" s="4">
        <v>41096</v>
      </c>
      <c r="C2603" s="1" t="s">
        <v>14</v>
      </c>
      <c r="D2603" s="1" t="s">
        <v>15</v>
      </c>
      <c r="E2603" s="1">
        <v>0.6766550925925926</v>
      </c>
      <c r="F2603" s="1" t="s">
        <v>13</v>
      </c>
      <c r="G2603" s="1">
        <v>3.33</v>
      </c>
      <c r="H2603" s="1">
        <v>3.39</v>
      </c>
      <c r="I2603" s="1">
        <v>0</v>
      </c>
      <c r="J2603" s="4">
        <v>41097</v>
      </c>
      <c r="K2603" s="4">
        <v>41462</v>
      </c>
      <c r="L2603">
        <f t="shared" si="40"/>
        <v>3.3600000000000003</v>
      </c>
    </row>
    <row r="2604" spans="1:12" x14ac:dyDescent="0.15">
      <c r="A2604" s="1">
        <v>2603</v>
      </c>
      <c r="B2604" s="4">
        <v>41096</v>
      </c>
      <c r="C2604" s="1" t="s">
        <v>25</v>
      </c>
      <c r="D2604" s="1" t="s">
        <v>15</v>
      </c>
      <c r="E2604" s="1">
        <v>0.6766550925925926</v>
      </c>
      <c r="F2604" s="1" t="s">
        <v>13</v>
      </c>
      <c r="G2604" s="1">
        <v>3.15</v>
      </c>
      <c r="H2604" s="1">
        <v>3.21</v>
      </c>
      <c r="I2604" s="1">
        <v>0</v>
      </c>
      <c r="J2604" s="4">
        <v>41097</v>
      </c>
      <c r="K2604" s="4">
        <v>42923</v>
      </c>
      <c r="L2604">
        <f t="shared" si="40"/>
        <v>3.1799999999999997</v>
      </c>
    </row>
    <row r="2605" spans="1:12" x14ac:dyDescent="0.15">
      <c r="A2605" s="1">
        <v>2604</v>
      </c>
      <c r="B2605" s="4">
        <v>41096</v>
      </c>
      <c r="C2605" s="1" t="s">
        <v>21</v>
      </c>
      <c r="D2605" s="1" t="s">
        <v>15</v>
      </c>
      <c r="E2605" s="1">
        <v>0.6766550925925926</v>
      </c>
      <c r="F2605" s="1" t="s">
        <v>13</v>
      </c>
      <c r="G2605" s="1">
        <v>3.22</v>
      </c>
      <c r="H2605" s="1">
        <v>3.28</v>
      </c>
      <c r="I2605" s="1">
        <v>0</v>
      </c>
      <c r="J2605" s="4">
        <v>41097</v>
      </c>
      <c r="K2605" s="4">
        <v>43653</v>
      </c>
      <c r="L2605">
        <f t="shared" si="40"/>
        <v>3.25</v>
      </c>
    </row>
    <row r="2606" spans="1:12" x14ac:dyDescent="0.15">
      <c r="A2606" s="1">
        <v>2605</v>
      </c>
      <c r="B2606" s="4">
        <v>41096</v>
      </c>
      <c r="C2606" s="1" t="s">
        <v>20</v>
      </c>
      <c r="D2606" s="1" t="s">
        <v>15</v>
      </c>
      <c r="E2606" s="1">
        <v>0.6766550925925926</v>
      </c>
      <c r="F2606" s="1" t="s">
        <v>13</v>
      </c>
      <c r="G2606" s="1">
        <v>3.26</v>
      </c>
      <c r="H2606" s="1">
        <v>3.32</v>
      </c>
      <c r="I2606" s="1">
        <v>0</v>
      </c>
      <c r="J2606" s="4">
        <v>41097</v>
      </c>
      <c r="K2606" s="4">
        <v>44749</v>
      </c>
      <c r="L2606">
        <f t="shared" si="40"/>
        <v>3.29</v>
      </c>
    </row>
    <row r="2607" spans="1:12" x14ac:dyDescent="0.15">
      <c r="A2607" s="1">
        <v>2606</v>
      </c>
      <c r="B2607" s="4">
        <v>41096</v>
      </c>
      <c r="C2607" s="1" t="s">
        <v>18</v>
      </c>
      <c r="D2607" s="1" t="s">
        <v>15</v>
      </c>
      <c r="E2607" s="1">
        <v>0.6766550925925926</v>
      </c>
      <c r="F2607" s="1" t="s">
        <v>13</v>
      </c>
      <c r="G2607" s="1">
        <v>3.16</v>
      </c>
      <c r="H2607" s="1">
        <v>3.22</v>
      </c>
      <c r="I2607" s="1">
        <v>0</v>
      </c>
      <c r="J2607" s="4">
        <v>41097</v>
      </c>
      <c r="K2607" s="4">
        <v>41827</v>
      </c>
      <c r="L2607">
        <f t="shared" si="40"/>
        <v>3.1900000000000004</v>
      </c>
    </row>
    <row r="2608" spans="1:12" x14ac:dyDescent="0.15">
      <c r="A2608" s="1">
        <v>2607</v>
      </c>
      <c r="B2608" s="4">
        <v>41096</v>
      </c>
      <c r="C2608" s="1" t="s">
        <v>14</v>
      </c>
      <c r="D2608" s="1" t="s">
        <v>27</v>
      </c>
      <c r="E2608" s="1">
        <v>0.67268518518518527</v>
      </c>
      <c r="F2608" s="1" t="s">
        <v>13</v>
      </c>
      <c r="G2608" s="1">
        <v>3.32</v>
      </c>
      <c r="H2608" s="1">
        <v>3.42</v>
      </c>
      <c r="I2608" s="1">
        <v>0</v>
      </c>
      <c r="J2608" s="4">
        <v>41097</v>
      </c>
      <c r="K2608" s="4">
        <v>41462</v>
      </c>
      <c r="L2608">
        <f t="shared" si="40"/>
        <v>3.37</v>
      </c>
    </row>
    <row r="2609" spans="1:12" x14ac:dyDescent="0.15">
      <c r="A2609" s="1">
        <v>2608</v>
      </c>
      <c r="B2609" s="4">
        <v>41096</v>
      </c>
      <c r="C2609" s="1" t="s">
        <v>16</v>
      </c>
      <c r="D2609" s="1" t="s">
        <v>15</v>
      </c>
      <c r="E2609" s="1">
        <v>0.6766550925925926</v>
      </c>
      <c r="F2609" s="1" t="s">
        <v>13</v>
      </c>
      <c r="G2609" s="1">
        <v>3.15</v>
      </c>
      <c r="H2609" s="1">
        <v>3.21</v>
      </c>
      <c r="I2609" s="1">
        <v>0</v>
      </c>
      <c r="J2609" s="4">
        <v>41097</v>
      </c>
      <c r="K2609" s="4">
        <v>42558</v>
      </c>
      <c r="L2609">
        <f t="shared" si="40"/>
        <v>3.1799999999999997</v>
      </c>
    </row>
    <row r="2610" spans="1:12" x14ac:dyDescent="0.15">
      <c r="A2610" s="1">
        <v>2609</v>
      </c>
      <c r="B2610" s="4">
        <v>41096</v>
      </c>
      <c r="C2610" s="1" t="s">
        <v>11</v>
      </c>
      <c r="D2610" s="1" t="s">
        <v>15</v>
      </c>
      <c r="E2610" s="1">
        <v>0.6766550925925926</v>
      </c>
      <c r="F2610" s="1" t="s">
        <v>13</v>
      </c>
      <c r="G2610" s="1">
        <v>3.15</v>
      </c>
      <c r="H2610" s="1">
        <v>3.21</v>
      </c>
      <c r="I2610" s="1">
        <v>0</v>
      </c>
      <c r="J2610" s="4">
        <v>41097</v>
      </c>
      <c r="K2610" s="4">
        <v>42192</v>
      </c>
      <c r="L2610">
        <f t="shared" si="40"/>
        <v>3.1799999999999997</v>
      </c>
    </row>
    <row r="2611" spans="1:12" x14ac:dyDescent="0.15">
      <c r="A2611" s="1">
        <v>2610</v>
      </c>
      <c r="B2611" s="4">
        <v>41095</v>
      </c>
      <c r="C2611" s="1" t="s">
        <v>16</v>
      </c>
      <c r="D2611" s="1" t="s">
        <v>15</v>
      </c>
      <c r="E2611" s="1">
        <v>0.48556712962962961</v>
      </c>
      <c r="F2611" s="1" t="s">
        <v>13</v>
      </c>
      <c r="G2611" s="1">
        <v>3.24</v>
      </c>
      <c r="H2611" s="1">
        <v>3.3</v>
      </c>
      <c r="I2611" s="1">
        <v>0</v>
      </c>
      <c r="J2611" s="4">
        <v>41096</v>
      </c>
      <c r="K2611" s="4">
        <v>42557</v>
      </c>
      <c r="L2611">
        <f t="shared" si="40"/>
        <v>3.27</v>
      </c>
    </row>
    <row r="2612" spans="1:12" x14ac:dyDescent="0.15">
      <c r="A2612" s="1">
        <v>2611</v>
      </c>
      <c r="B2612" s="4">
        <v>41095</v>
      </c>
      <c r="C2612" s="1" t="s">
        <v>11</v>
      </c>
      <c r="D2612" s="1" t="s">
        <v>15</v>
      </c>
      <c r="E2612" s="1">
        <v>0.48556712962962961</v>
      </c>
      <c r="F2612" s="1" t="s">
        <v>13</v>
      </c>
      <c r="G2612" s="1">
        <v>3.23</v>
      </c>
      <c r="H2612" s="1">
        <v>3.29</v>
      </c>
      <c r="I2612" s="1">
        <v>0</v>
      </c>
      <c r="J2612" s="4">
        <v>41096</v>
      </c>
      <c r="K2612" s="4">
        <v>42191</v>
      </c>
      <c r="L2612">
        <f t="shared" si="40"/>
        <v>3.26</v>
      </c>
    </row>
    <row r="2613" spans="1:12" x14ac:dyDescent="0.15">
      <c r="A2613" s="1">
        <v>2612</v>
      </c>
      <c r="B2613" s="4">
        <v>41095</v>
      </c>
      <c r="C2613" s="1" t="s">
        <v>14</v>
      </c>
      <c r="D2613" s="1" t="s">
        <v>15</v>
      </c>
      <c r="E2613" s="1">
        <v>0.48556712962962961</v>
      </c>
      <c r="F2613" s="1" t="s">
        <v>13</v>
      </c>
      <c r="G2613" s="1">
        <v>3.41</v>
      </c>
      <c r="H2613" s="1">
        <v>3.47</v>
      </c>
      <c r="I2613" s="1">
        <v>0</v>
      </c>
      <c r="J2613" s="4">
        <v>41096</v>
      </c>
      <c r="K2613" s="4">
        <v>41461</v>
      </c>
      <c r="L2613">
        <f t="shared" si="40"/>
        <v>3.4400000000000004</v>
      </c>
    </row>
    <row r="2614" spans="1:12" x14ac:dyDescent="0.15">
      <c r="A2614" s="1">
        <v>2613</v>
      </c>
      <c r="B2614" s="4">
        <v>41095</v>
      </c>
      <c r="C2614" s="1" t="s">
        <v>20</v>
      </c>
      <c r="D2614" s="1" t="s">
        <v>15</v>
      </c>
      <c r="E2614" s="1">
        <v>0.48556712962962961</v>
      </c>
      <c r="F2614" s="1" t="s">
        <v>13</v>
      </c>
      <c r="G2614" s="1">
        <v>3.36</v>
      </c>
      <c r="H2614" s="1">
        <v>3.42</v>
      </c>
      <c r="I2614" s="1">
        <v>0</v>
      </c>
      <c r="J2614" s="4">
        <v>41096</v>
      </c>
      <c r="K2614" s="4">
        <v>44748</v>
      </c>
      <c r="L2614">
        <f t="shared" si="40"/>
        <v>3.3899999999999997</v>
      </c>
    </row>
    <row r="2615" spans="1:12" x14ac:dyDescent="0.15">
      <c r="A2615" s="1">
        <v>2614</v>
      </c>
      <c r="B2615" s="4">
        <v>41095</v>
      </c>
      <c r="C2615" s="1" t="s">
        <v>25</v>
      </c>
      <c r="D2615" s="1" t="s">
        <v>15</v>
      </c>
      <c r="E2615" s="1">
        <v>0.48555555555555557</v>
      </c>
      <c r="F2615" s="1" t="s">
        <v>13</v>
      </c>
      <c r="G2615" s="1">
        <v>3.24</v>
      </c>
      <c r="H2615" s="1">
        <v>3.3</v>
      </c>
      <c r="I2615" s="1">
        <v>0</v>
      </c>
      <c r="J2615" s="4">
        <v>41096</v>
      </c>
      <c r="K2615" s="4">
        <v>42922</v>
      </c>
      <c r="L2615">
        <f t="shared" si="40"/>
        <v>3.27</v>
      </c>
    </row>
    <row r="2616" spans="1:12" x14ac:dyDescent="0.15">
      <c r="A2616" s="1">
        <v>2615</v>
      </c>
      <c r="B2616" s="4">
        <v>41095</v>
      </c>
      <c r="C2616" s="1" t="s">
        <v>21</v>
      </c>
      <c r="D2616" s="1" t="s">
        <v>15</v>
      </c>
      <c r="E2616" s="1">
        <v>0.48555555555555557</v>
      </c>
      <c r="F2616" s="1" t="s">
        <v>13</v>
      </c>
      <c r="G2616" s="1">
        <v>3.3</v>
      </c>
      <c r="H2616" s="1">
        <v>3.36</v>
      </c>
      <c r="I2616" s="1">
        <v>0</v>
      </c>
      <c r="J2616" s="4">
        <v>41096</v>
      </c>
      <c r="K2616" s="4">
        <v>43652</v>
      </c>
      <c r="L2616">
        <f t="shared" si="40"/>
        <v>3.33</v>
      </c>
    </row>
    <row r="2617" spans="1:12" x14ac:dyDescent="0.15">
      <c r="A2617" s="1">
        <v>2616</v>
      </c>
      <c r="B2617" s="4">
        <v>41095</v>
      </c>
      <c r="C2617" s="1" t="s">
        <v>18</v>
      </c>
      <c r="D2617" s="1" t="s">
        <v>15</v>
      </c>
      <c r="E2617" s="1">
        <v>0.48556712962962961</v>
      </c>
      <c r="F2617" s="1" t="s">
        <v>13</v>
      </c>
      <c r="G2617" s="1">
        <v>3.24</v>
      </c>
      <c r="H2617" s="1">
        <v>3.3</v>
      </c>
      <c r="I2617" s="1">
        <v>0</v>
      </c>
      <c r="J2617" s="4">
        <v>41096</v>
      </c>
      <c r="K2617" s="4">
        <v>41826</v>
      </c>
      <c r="L2617">
        <f t="shared" si="40"/>
        <v>3.27</v>
      </c>
    </row>
    <row r="2618" spans="1:12" x14ac:dyDescent="0.15">
      <c r="A2618" s="1">
        <v>2617</v>
      </c>
      <c r="B2618" s="4">
        <v>41095</v>
      </c>
      <c r="C2618" s="1" t="s">
        <v>19</v>
      </c>
      <c r="D2618" s="1" t="s">
        <v>15</v>
      </c>
      <c r="E2618" s="1">
        <v>0.48556712962962961</v>
      </c>
      <c r="F2618" s="1" t="s">
        <v>13</v>
      </c>
      <c r="G2618" s="1">
        <v>3.54</v>
      </c>
      <c r="H2618" s="1">
        <v>3.6</v>
      </c>
      <c r="I2618" s="1">
        <v>0</v>
      </c>
      <c r="J2618" s="4">
        <v>41096</v>
      </c>
      <c r="K2618" s="4">
        <v>41370</v>
      </c>
      <c r="L2618">
        <f t="shared" si="40"/>
        <v>3.5700000000000003</v>
      </c>
    </row>
    <row r="2619" spans="1:12" x14ac:dyDescent="0.15">
      <c r="A2619" s="1">
        <v>2618</v>
      </c>
      <c r="B2619" s="4">
        <v>41095</v>
      </c>
      <c r="C2619" s="1" t="s">
        <v>16</v>
      </c>
      <c r="D2619" s="1" t="s">
        <v>26</v>
      </c>
      <c r="E2619" s="1">
        <v>0.48863425925925924</v>
      </c>
      <c r="F2619" s="1" t="s">
        <v>13</v>
      </c>
      <c r="G2619" s="1">
        <v>3.25</v>
      </c>
      <c r="H2619" s="1">
        <v>3.3</v>
      </c>
      <c r="I2619" s="1">
        <v>0</v>
      </c>
      <c r="J2619" s="4">
        <v>41096</v>
      </c>
      <c r="K2619" s="4">
        <v>42557</v>
      </c>
      <c r="L2619">
        <f t="shared" si="40"/>
        <v>3.2749999999999999</v>
      </c>
    </row>
    <row r="2620" spans="1:12" x14ac:dyDescent="0.15">
      <c r="A2620" s="1">
        <v>2619</v>
      </c>
      <c r="B2620" s="4">
        <v>41095</v>
      </c>
      <c r="C2620" s="1" t="s">
        <v>14</v>
      </c>
      <c r="D2620" s="1" t="s">
        <v>26</v>
      </c>
      <c r="E2620" s="1">
        <v>0.48864583333333328</v>
      </c>
      <c r="F2620" s="1" t="s">
        <v>13</v>
      </c>
      <c r="G2620" s="1">
        <v>2.4500000000000002</v>
      </c>
      <c r="H2620" s="1">
        <v>3.5</v>
      </c>
      <c r="I2620" s="1">
        <v>0</v>
      </c>
      <c r="J2620" s="4">
        <v>41096</v>
      </c>
      <c r="K2620" s="4">
        <v>41461</v>
      </c>
      <c r="L2620">
        <f t="shared" si="40"/>
        <v>2.9750000000000001</v>
      </c>
    </row>
    <row r="2621" spans="1:12" x14ac:dyDescent="0.15">
      <c r="A2621" s="1">
        <v>2620</v>
      </c>
      <c r="B2621" s="4">
        <v>41095</v>
      </c>
      <c r="C2621" s="1" t="s">
        <v>11</v>
      </c>
      <c r="D2621" s="1" t="s">
        <v>26</v>
      </c>
      <c r="E2621" s="1">
        <v>0.48864583333333328</v>
      </c>
      <c r="F2621" s="1" t="s">
        <v>13</v>
      </c>
      <c r="G2621" s="1">
        <v>3.25</v>
      </c>
      <c r="H2621" s="1">
        <v>3.3</v>
      </c>
      <c r="I2621" s="1">
        <v>0</v>
      </c>
      <c r="J2621" s="4">
        <v>41096</v>
      </c>
      <c r="K2621" s="4">
        <v>42191</v>
      </c>
      <c r="L2621">
        <f t="shared" si="40"/>
        <v>3.2749999999999999</v>
      </c>
    </row>
    <row r="2622" spans="1:12" x14ac:dyDescent="0.15">
      <c r="A2622" s="1">
        <v>2621</v>
      </c>
      <c r="B2622" s="4">
        <v>41095</v>
      </c>
      <c r="C2622" s="1" t="s">
        <v>25</v>
      </c>
      <c r="D2622" s="1" t="s">
        <v>26</v>
      </c>
      <c r="E2622" s="1">
        <v>0.48864583333333328</v>
      </c>
      <c r="F2622" s="1" t="s">
        <v>13</v>
      </c>
      <c r="G2622" s="1">
        <v>3.25</v>
      </c>
      <c r="H2622" s="1">
        <v>3.3</v>
      </c>
      <c r="I2622" s="1">
        <v>0</v>
      </c>
      <c r="J2622" s="4">
        <v>41096</v>
      </c>
      <c r="K2622" s="4">
        <v>42922</v>
      </c>
      <c r="L2622">
        <f t="shared" si="40"/>
        <v>3.2749999999999999</v>
      </c>
    </row>
    <row r="2623" spans="1:12" x14ac:dyDescent="0.15">
      <c r="A2623" s="1">
        <v>2622</v>
      </c>
      <c r="B2623" s="4">
        <v>41095</v>
      </c>
      <c r="C2623" s="1" t="s">
        <v>20</v>
      </c>
      <c r="D2623" s="1" t="s">
        <v>26</v>
      </c>
      <c r="E2623" s="1">
        <v>0.48864583333333328</v>
      </c>
      <c r="F2623" s="1" t="s">
        <v>13</v>
      </c>
      <c r="G2623" s="1">
        <v>3.25</v>
      </c>
      <c r="H2623" s="1">
        <v>3.3</v>
      </c>
      <c r="I2623" s="1">
        <v>0</v>
      </c>
      <c r="J2623" s="4">
        <v>41096</v>
      </c>
      <c r="K2623" s="4">
        <v>44748</v>
      </c>
      <c r="L2623">
        <f t="shared" si="40"/>
        <v>3.2749999999999999</v>
      </c>
    </row>
    <row r="2624" spans="1:12" x14ac:dyDescent="0.15">
      <c r="A2624" s="1">
        <v>2623</v>
      </c>
      <c r="B2624" s="4">
        <v>41095</v>
      </c>
      <c r="C2624" s="1" t="s">
        <v>19</v>
      </c>
      <c r="D2624" s="1" t="s">
        <v>26</v>
      </c>
      <c r="E2624" s="1">
        <v>0.48863425925925924</v>
      </c>
      <c r="F2624" s="1" t="s">
        <v>13</v>
      </c>
      <c r="G2624" s="1">
        <v>3.48</v>
      </c>
      <c r="H2624" s="1">
        <v>3.55</v>
      </c>
      <c r="I2624" s="1">
        <v>0</v>
      </c>
      <c r="J2624" s="4">
        <v>41096</v>
      </c>
      <c r="K2624" s="4">
        <v>41370</v>
      </c>
      <c r="L2624">
        <f t="shared" si="40"/>
        <v>3.5149999999999997</v>
      </c>
    </row>
    <row r="2625" spans="1:12" x14ac:dyDescent="0.15">
      <c r="A2625" s="1">
        <v>2624</v>
      </c>
      <c r="B2625" s="4">
        <v>41095</v>
      </c>
      <c r="C2625" s="1" t="s">
        <v>21</v>
      </c>
      <c r="D2625" s="1" t="s">
        <v>26</v>
      </c>
      <c r="E2625" s="1">
        <v>0.48863425925925924</v>
      </c>
      <c r="F2625" s="1" t="s">
        <v>13</v>
      </c>
      <c r="G2625" s="1">
        <v>3.25</v>
      </c>
      <c r="H2625" s="1">
        <v>3.3</v>
      </c>
      <c r="I2625" s="1">
        <v>0</v>
      </c>
      <c r="J2625" s="4">
        <v>41096</v>
      </c>
      <c r="K2625" s="4">
        <v>43652</v>
      </c>
      <c r="L2625">
        <f t="shared" si="40"/>
        <v>3.2749999999999999</v>
      </c>
    </row>
    <row r="2626" spans="1:12" x14ac:dyDescent="0.15">
      <c r="A2626" s="1">
        <v>2625</v>
      </c>
      <c r="B2626" s="4">
        <v>41095</v>
      </c>
      <c r="C2626" s="1" t="s">
        <v>18</v>
      </c>
      <c r="D2626" s="1" t="s">
        <v>26</v>
      </c>
      <c r="E2626" s="1">
        <v>0.48864583333333328</v>
      </c>
      <c r="F2626" s="1" t="s">
        <v>13</v>
      </c>
      <c r="G2626" s="1">
        <v>3.28</v>
      </c>
      <c r="H2626" s="1">
        <v>3.35</v>
      </c>
      <c r="I2626" s="1">
        <v>0</v>
      </c>
      <c r="J2626" s="4">
        <v>41096</v>
      </c>
      <c r="K2626" s="4">
        <v>41826</v>
      </c>
      <c r="L2626">
        <f t="shared" si="40"/>
        <v>3.3149999999999999</v>
      </c>
    </row>
    <row r="2627" spans="1:12" x14ac:dyDescent="0.15">
      <c r="A2627" s="1">
        <v>2626</v>
      </c>
      <c r="B2627" s="4">
        <v>41095</v>
      </c>
      <c r="C2627" s="1" t="s">
        <v>22</v>
      </c>
      <c r="D2627" s="1" t="s">
        <v>26</v>
      </c>
      <c r="E2627" s="1">
        <v>0.48864583333333328</v>
      </c>
      <c r="F2627" s="1" t="s">
        <v>13</v>
      </c>
      <c r="G2627" s="1">
        <v>2.75</v>
      </c>
      <c r="H2627" s="1">
        <v>3.8</v>
      </c>
      <c r="I2627" s="1">
        <v>0</v>
      </c>
      <c r="J2627" s="4">
        <v>41096</v>
      </c>
      <c r="K2627" s="4">
        <v>41280</v>
      </c>
      <c r="L2627">
        <f t="shared" ref="L2627:L2690" si="41">AVERAGE(G2627:H2627)</f>
        <v>3.2749999999999999</v>
      </c>
    </row>
    <row r="2628" spans="1:12" x14ac:dyDescent="0.15">
      <c r="A2628" s="1">
        <v>2627</v>
      </c>
      <c r="B2628" s="4">
        <v>41095</v>
      </c>
      <c r="C2628" s="1" t="s">
        <v>20</v>
      </c>
      <c r="D2628" s="1" t="s">
        <v>26</v>
      </c>
      <c r="E2628" s="1">
        <v>0.48244212962962968</v>
      </c>
      <c r="F2628" s="1" t="s">
        <v>13</v>
      </c>
      <c r="G2628" s="1">
        <v>3.25</v>
      </c>
      <c r="H2628" s="1">
        <v>3.3</v>
      </c>
      <c r="I2628" s="1">
        <v>0</v>
      </c>
      <c r="J2628" s="4">
        <v>41096</v>
      </c>
      <c r="K2628" s="4">
        <v>44748</v>
      </c>
      <c r="L2628">
        <f t="shared" si="41"/>
        <v>3.2749999999999999</v>
      </c>
    </row>
    <row r="2629" spans="1:12" x14ac:dyDescent="0.15">
      <c r="A2629" s="1">
        <v>2628</v>
      </c>
      <c r="B2629" s="4">
        <v>41095</v>
      </c>
      <c r="C2629" s="1" t="s">
        <v>14</v>
      </c>
      <c r="D2629" s="1" t="s">
        <v>26</v>
      </c>
      <c r="E2629" s="1">
        <v>0.48244212962962968</v>
      </c>
      <c r="F2629" s="1" t="s">
        <v>13</v>
      </c>
      <c r="G2629" s="1">
        <v>2.4500000000000002</v>
      </c>
      <c r="H2629" s="1">
        <v>3.5</v>
      </c>
      <c r="I2629" s="1">
        <v>0</v>
      </c>
      <c r="J2629" s="4">
        <v>41096</v>
      </c>
      <c r="K2629" s="4">
        <v>41461</v>
      </c>
      <c r="L2629">
        <f t="shared" si="41"/>
        <v>2.9750000000000001</v>
      </c>
    </row>
    <row r="2630" spans="1:12" x14ac:dyDescent="0.15">
      <c r="A2630" s="1">
        <v>2629</v>
      </c>
      <c r="B2630" s="4">
        <v>41095</v>
      </c>
      <c r="C2630" s="1" t="s">
        <v>22</v>
      </c>
      <c r="D2630" s="1" t="s">
        <v>26</v>
      </c>
      <c r="E2630" s="1">
        <v>0.48246527777777781</v>
      </c>
      <c r="F2630" s="1" t="s">
        <v>13</v>
      </c>
      <c r="G2630" s="1">
        <v>2.75</v>
      </c>
      <c r="H2630" s="1">
        <v>3.8</v>
      </c>
      <c r="I2630" s="1">
        <v>0</v>
      </c>
      <c r="J2630" s="4">
        <v>41096</v>
      </c>
      <c r="K2630" s="4">
        <v>41280</v>
      </c>
      <c r="L2630">
        <f t="shared" si="41"/>
        <v>3.2749999999999999</v>
      </c>
    </row>
    <row r="2631" spans="1:12" x14ac:dyDescent="0.15">
      <c r="A2631" s="1">
        <v>2630</v>
      </c>
      <c r="B2631" s="4">
        <v>41095</v>
      </c>
      <c r="C2631" s="1" t="s">
        <v>25</v>
      </c>
      <c r="D2631" s="1" t="s">
        <v>26</v>
      </c>
      <c r="E2631" s="1">
        <v>0.48245370370370372</v>
      </c>
      <c r="F2631" s="1" t="s">
        <v>13</v>
      </c>
      <c r="G2631" s="1">
        <v>3.25</v>
      </c>
      <c r="H2631" s="1">
        <v>3.3</v>
      </c>
      <c r="I2631" s="1">
        <v>0</v>
      </c>
      <c r="J2631" s="4">
        <v>41096</v>
      </c>
      <c r="K2631" s="4">
        <v>42922</v>
      </c>
      <c r="L2631">
        <f t="shared" si="41"/>
        <v>3.2749999999999999</v>
      </c>
    </row>
    <row r="2632" spans="1:12" x14ac:dyDescent="0.15">
      <c r="A2632" s="1">
        <v>2631</v>
      </c>
      <c r="B2632" s="4">
        <v>41095</v>
      </c>
      <c r="C2632" s="1" t="s">
        <v>21</v>
      </c>
      <c r="D2632" s="1" t="s">
        <v>26</v>
      </c>
      <c r="E2632" s="1">
        <v>0.48243055555555553</v>
      </c>
      <c r="F2632" s="1" t="s">
        <v>13</v>
      </c>
      <c r="G2632" s="1">
        <v>3.25</v>
      </c>
      <c r="H2632" s="1">
        <v>3.3</v>
      </c>
      <c r="I2632" s="1">
        <v>0</v>
      </c>
      <c r="J2632" s="4">
        <v>41096</v>
      </c>
      <c r="K2632" s="4">
        <v>43652</v>
      </c>
      <c r="L2632">
        <f t="shared" si="41"/>
        <v>3.2749999999999999</v>
      </c>
    </row>
    <row r="2633" spans="1:12" x14ac:dyDescent="0.15">
      <c r="A2633" s="1">
        <v>2632</v>
      </c>
      <c r="B2633" s="4">
        <v>41095</v>
      </c>
      <c r="C2633" s="1" t="s">
        <v>16</v>
      </c>
      <c r="D2633" s="1" t="s">
        <v>26</v>
      </c>
      <c r="E2633" s="1">
        <v>0.48243055555555553</v>
      </c>
      <c r="F2633" s="1" t="s">
        <v>13</v>
      </c>
      <c r="G2633" s="1">
        <v>3.25</v>
      </c>
      <c r="H2633" s="1">
        <v>3.3</v>
      </c>
      <c r="I2633" s="1">
        <v>0</v>
      </c>
      <c r="J2633" s="4">
        <v>41096</v>
      </c>
      <c r="K2633" s="4">
        <v>42557</v>
      </c>
      <c r="L2633">
        <f t="shared" si="41"/>
        <v>3.2749999999999999</v>
      </c>
    </row>
    <row r="2634" spans="1:12" x14ac:dyDescent="0.15">
      <c r="A2634" s="1">
        <v>2633</v>
      </c>
      <c r="B2634" s="4">
        <v>41095</v>
      </c>
      <c r="C2634" s="1" t="s">
        <v>11</v>
      </c>
      <c r="D2634" s="1" t="s">
        <v>26</v>
      </c>
      <c r="E2634" s="1">
        <v>0.48244212962962968</v>
      </c>
      <c r="F2634" s="1" t="s">
        <v>13</v>
      </c>
      <c r="G2634" s="1">
        <v>3.25</v>
      </c>
      <c r="H2634" s="1">
        <v>3.3</v>
      </c>
      <c r="I2634" s="1">
        <v>0</v>
      </c>
      <c r="J2634" s="4">
        <v>41096</v>
      </c>
      <c r="K2634" s="4">
        <v>42191</v>
      </c>
      <c r="L2634">
        <f t="shared" si="41"/>
        <v>3.2749999999999999</v>
      </c>
    </row>
    <row r="2635" spans="1:12" x14ac:dyDescent="0.15">
      <c r="A2635" s="1">
        <v>2634</v>
      </c>
      <c r="B2635" s="4">
        <v>41095</v>
      </c>
      <c r="C2635" s="1" t="s">
        <v>19</v>
      </c>
      <c r="D2635" s="1" t="s">
        <v>26</v>
      </c>
      <c r="E2635" s="1">
        <v>0.48243055555555553</v>
      </c>
      <c r="F2635" s="1" t="s">
        <v>13</v>
      </c>
      <c r="G2635" s="1">
        <v>3.48</v>
      </c>
      <c r="H2635" s="1">
        <v>3.55</v>
      </c>
      <c r="I2635" s="1">
        <v>0</v>
      </c>
      <c r="J2635" s="4">
        <v>41096</v>
      </c>
      <c r="K2635" s="4">
        <v>41370</v>
      </c>
      <c r="L2635">
        <f t="shared" si="41"/>
        <v>3.5149999999999997</v>
      </c>
    </row>
    <row r="2636" spans="1:12" x14ac:dyDescent="0.15">
      <c r="A2636" s="1">
        <v>2635</v>
      </c>
      <c r="B2636" s="4">
        <v>41095</v>
      </c>
      <c r="C2636" s="1" t="s">
        <v>18</v>
      </c>
      <c r="D2636" s="1" t="s">
        <v>26</v>
      </c>
      <c r="E2636" s="1">
        <v>0.48246527777777781</v>
      </c>
      <c r="F2636" s="1" t="s">
        <v>13</v>
      </c>
      <c r="G2636" s="1">
        <v>3.28</v>
      </c>
      <c r="H2636" s="1">
        <v>3.35</v>
      </c>
      <c r="I2636" s="1">
        <v>0</v>
      </c>
      <c r="J2636" s="4">
        <v>41096</v>
      </c>
      <c r="K2636" s="4">
        <v>41826</v>
      </c>
      <c r="L2636">
        <f t="shared" si="41"/>
        <v>3.3149999999999999</v>
      </c>
    </row>
    <row r="2637" spans="1:12" x14ac:dyDescent="0.15">
      <c r="A2637" s="1">
        <v>2636</v>
      </c>
      <c r="B2637" s="4">
        <v>41095</v>
      </c>
      <c r="C2637" s="1" t="s">
        <v>16</v>
      </c>
      <c r="D2637" s="1" t="s">
        <v>27</v>
      </c>
      <c r="E2637" s="1">
        <v>0.48281250000000003</v>
      </c>
      <c r="F2637" s="1" t="s">
        <v>13</v>
      </c>
      <c r="G2637" s="1">
        <v>3.21</v>
      </c>
      <c r="H2637" s="1">
        <v>3.31</v>
      </c>
      <c r="I2637" s="1">
        <v>0</v>
      </c>
      <c r="J2637" s="4">
        <v>41096</v>
      </c>
      <c r="K2637" s="4">
        <v>42557</v>
      </c>
      <c r="L2637">
        <f t="shared" si="41"/>
        <v>3.26</v>
      </c>
    </row>
    <row r="2638" spans="1:12" x14ac:dyDescent="0.15">
      <c r="A2638" s="1">
        <v>2637</v>
      </c>
      <c r="B2638" s="4">
        <v>41095</v>
      </c>
      <c r="C2638" s="1" t="s">
        <v>19</v>
      </c>
      <c r="D2638" s="1" t="s">
        <v>27</v>
      </c>
      <c r="E2638" s="1">
        <v>0.48280092592592588</v>
      </c>
      <c r="F2638" s="1" t="s">
        <v>13</v>
      </c>
      <c r="G2638" s="1">
        <v>3.51</v>
      </c>
      <c r="H2638" s="1">
        <v>3.61</v>
      </c>
      <c r="I2638" s="1">
        <v>0</v>
      </c>
      <c r="J2638" s="4">
        <v>41096</v>
      </c>
      <c r="K2638" s="4">
        <v>41370</v>
      </c>
      <c r="L2638">
        <f t="shared" si="41"/>
        <v>3.5599999999999996</v>
      </c>
    </row>
    <row r="2639" spans="1:12" x14ac:dyDescent="0.15">
      <c r="A2639" s="1">
        <v>2638</v>
      </c>
      <c r="B2639" s="4">
        <v>41095</v>
      </c>
      <c r="C2639" s="1" t="s">
        <v>22</v>
      </c>
      <c r="D2639" s="1" t="s">
        <v>15</v>
      </c>
      <c r="E2639" s="1">
        <v>0.48555555555555557</v>
      </c>
      <c r="F2639" s="1" t="s">
        <v>13</v>
      </c>
      <c r="G2639" s="1">
        <v>3.74</v>
      </c>
      <c r="H2639" s="1">
        <v>3.8</v>
      </c>
      <c r="I2639" s="1">
        <v>0</v>
      </c>
      <c r="J2639" s="4">
        <v>41096</v>
      </c>
      <c r="K2639" s="4">
        <v>41280</v>
      </c>
      <c r="L2639">
        <f t="shared" si="41"/>
        <v>3.77</v>
      </c>
    </row>
    <row r="2640" spans="1:12" x14ac:dyDescent="0.15">
      <c r="A2640" s="1">
        <v>2639</v>
      </c>
      <c r="B2640" s="4">
        <v>41095</v>
      </c>
      <c r="C2640" s="1" t="s">
        <v>14</v>
      </c>
      <c r="D2640" s="1" t="s">
        <v>27</v>
      </c>
      <c r="E2640" s="1">
        <v>0.48281250000000003</v>
      </c>
      <c r="F2640" s="1" t="s">
        <v>13</v>
      </c>
      <c r="G2640" s="1">
        <v>3.38</v>
      </c>
      <c r="H2640" s="1">
        <v>3.48</v>
      </c>
      <c r="I2640" s="1">
        <v>0</v>
      </c>
      <c r="J2640" s="4">
        <v>41096</v>
      </c>
      <c r="K2640" s="4">
        <v>41461</v>
      </c>
      <c r="L2640">
        <f t="shared" si="41"/>
        <v>3.4299999999999997</v>
      </c>
    </row>
    <row r="2641" spans="1:12" x14ac:dyDescent="0.15">
      <c r="A2641" s="1">
        <v>2640</v>
      </c>
      <c r="B2641" s="4">
        <v>41095</v>
      </c>
      <c r="C2641" s="1" t="s">
        <v>25</v>
      </c>
      <c r="D2641" s="1" t="s">
        <v>27</v>
      </c>
      <c r="E2641" s="1">
        <v>0.48278935185185184</v>
      </c>
      <c r="F2641" s="1" t="s">
        <v>13</v>
      </c>
      <c r="G2641" s="1">
        <v>3.21</v>
      </c>
      <c r="H2641" s="1">
        <v>3.31</v>
      </c>
      <c r="I2641" s="1">
        <v>0</v>
      </c>
      <c r="J2641" s="4">
        <v>41096</v>
      </c>
      <c r="K2641" s="4">
        <v>42922</v>
      </c>
      <c r="L2641">
        <f t="shared" si="41"/>
        <v>3.26</v>
      </c>
    </row>
    <row r="2642" spans="1:12" x14ac:dyDescent="0.15">
      <c r="A2642" s="1">
        <v>2641</v>
      </c>
      <c r="B2642" s="4">
        <v>41095</v>
      </c>
      <c r="C2642" s="1" t="s">
        <v>22</v>
      </c>
      <c r="D2642" s="1" t="s">
        <v>27</v>
      </c>
      <c r="E2642" s="1">
        <v>0.48278935185185184</v>
      </c>
      <c r="F2642" s="1" t="s">
        <v>13</v>
      </c>
      <c r="G2642" s="1">
        <v>3.72</v>
      </c>
      <c r="H2642" s="1">
        <v>3.82</v>
      </c>
      <c r="I2642" s="1">
        <v>0</v>
      </c>
      <c r="J2642" s="4">
        <v>41096</v>
      </c>
      <c r="K2642" s="4">
        <v>41280</v>
      </c>
      <c r="L2642">
        <f t="shared" si="41"/>
        <v>3.77</v>
      </c>
    </row>
    <row r="2643" spans="1:12" x14ac:dyDescent="0.15">
      <c r="A2643" s="1">
        <v>2642</v>
      </c>
      <c r="B2643" s="4">
        <v>41095</v>
      </c>
      <c r="C2643" s="1" t="s">
        <v>11</v>
      </c>
      <c r="D2643" s="1" t="s">
        <v>27</v>
      </c>
      <c r="E2643" s="1">
        <v>0.48280092592592588</v>
      </c>
      <c r="F2643" s="1" t="s">
        <v>13</v>
      </c>
      <c r="G2643" s="1">
        <v>3.21</v>
      </c>
      <c r="H2643" s="1">
        <v>3.31</v>
      </c>
      <c r="I2643" s="1">
        <v>0</v>
      </c>
      <c r="J2643" s="4">
        <v>41096</v>
      </c>
      <c r="K2643" s="4">
        <v>42191</v>
      </c>
      <c r="L2643">
        <f t="shared" si="41"/>
        <v>3.26</v>
      </c>
    </row>
    <row r="2644" spans="1:12" x14ac:dyDescent="0.15">
      <c r="A2644" s="1">
        <v>2643</v>
      </c>
      <c r="B2644" s="4">
        <v>41095</v>
      </c>
      <c r="C2644" s="1" t="s">
        <v>18</v>
      </c>
      <c r="D2644" s="1" t="s">
        <v>27</v>
      </c>
      <c r="E2644" s="1">
        <v>0.48280092592592588</v>
      </c>
      <c r="F2644" s="1" t="s">
        <v>13</v>
      </c>
      <c r="G2644" s="1">
        <v>3.21</v>
      </c>
      <c r="H2644" s="1">
        <v>3.31</v>
      </c>
      <c r="I2644" s="1">
        <v>0</v>
      </c>
      <c r="J2644" s="4">
        <v>41096</v>
      </c>
      <c r="K2644" s="4">
        <v>41826</v>
      </c>
      <c r="L2644">
        <f t="shared" si="41"/>
        <v>3.26</v>
      </c>
    </row>
    <row r="2645" spans="1:12" x14ac:dyDescent="0.15">
      <c r="A2645" s="1">
        <v>2644</v>
      </c>
      <c r="B2645" s="4">
        <v>41095</v>
      </c>
      <c r="C2645" s="1" t="s">
        <v>16</v>
      </c>
      <c r="D2645" s="1" t="s">
        <v>15</v>
      </c>
      <c r="E2645" s="1">
        <v>0.68343750000000003</v>
      </c>
      <c r="F2645" s="1" t="s">
        <v>13</v>
      </c>
      <c r="G2645" s="1">
        <v>3.24</v>
      </c>
      <c r="H2645" s="1">
        <v>3.3</v>
      </c>
      <c r="I2645" s="1">
        <v>0</v>
      </c>
      <c r="J2645" s="4">
        <v>41096</v>
      </c>
      <c r="K2645" s="4">
        <v>42557</v>
      </c>
      <c r="L2645">
        <f t="shared" si="41"/>
        <v>3.27</v>
      </c>
    </row>
    <row r="2646" spans="1:12" x14ac:dyDescent="0.15">
      <c r="A2646" s="1">
        <v>2645</v>
      </c>
      <c r="B2646" s="4">
        <v>41095</v>
      </c>
      <c r="C2646" s="1" t="s">
        <v>11</v>
      </c>
      <c r="D2646" s="1" t="s">
        <v>15</v>
      </c>
      <c r="E2646" s="1">
        <v>0.68343750000000003</v>
      </c>
      <c r="F2646" s="1" t="s">
        <v>13</v>
      </c>
      <c r="G2646" s="1">
        <v>3.23</v>
      </c>
      <c r="H2646" s="1">
        <v>3.29</v>
      </c>
      <c r="I2646" s="1">
        <v>0</v>
      </c>
      <c r="J2646" s="4">
        <v>41096</v>
      </c>
      <c r="K2646" s="4">
        <v>42191</v>
      </c>
      <c r="L2646">
        <f t="shared" si="41"/>
        <v>3.26</v>
      </c>
    </row>
    <row r="2647" spans="1:12" x14ac:dyDescent="0.15">
      <c r="A2647" s="1">
        <v>2646</v>
      </c>
      <c r="B2647" s="4">
        <v>41095</v>
      </c>
      <c r="C2647" s="1" t="s">
        <v>14</v>
      </c>
      <c r="D2647" s="1" t="s">
        <v>15</v>
      </c>
      <c r="E2647" s="1">
        <v>0.68343750000000003</v>
      </c>
      <c r="F2647" s="1" t="s">
        <v>13</v>
      </c>
      <c r="G2647" s="1">
        <v>3.41</v>
      </c>
      <c r="H2647" s="1">
        <v>3.47</v>
      </c>
      <c r="I2647" s="1">
        <v>0</v>
      </c>
      <c r="J2647" s="4">
        <v>41096</v>
      </c>
      <c r="K2647" s="4">
        <v>41461</v>
      </c>
      <c r="L2647">
        <f t="shared" si="41"/>
        <v>3.4400000000000004</v>
      </c>
    </row>
    <row r="2648" spans="1:12" x14ac:dyDescent="0.15">
      <c r="A2648" s="1">
        <v>2647</v>
      </c>
      <c r="B2648" s="4">
        <v>41095</v>
      </c>
      <c r="C2648" s="1" t="s">
        <v>20</v>
      </c>
      <c r="D2648" s="1" t="s">
        <v>15</v>
      </c>
      <c r="E2648" s="1">
        <v>0.68343750000000003</v>
      </c>
      <c r="F2648" s="1" t="s">
        <v>13</v>
      </c>
      <c r="G2648" s="1">
        <v>3.36</v>
      </c>
      <c r="H2648" s="1">
        <v>3.42</v>
      </c>
      <c r="I2648" s="1">
        <v>0</v>
      </c>
      <c r="J2648" s="4">
        <v>41096</v>
      </c>
      <c r="K2648" s="4">
        <v>44748</v>
      </c>
      <c r="L2648">
        <f t="shared" si="41"/>
        <v>3.3899999999999997</v>
      </c>
    </row>
    <row r="2649" spans="1:12" x14ac:dyDescent="0.15">
      <c r="A2649" s="1">
        <v>2648</v>
      </c>
      <c r="B2649" s="4">
        <v>41095</v>
      </c>
      <c r="C2649" s="1" t="s">
        <v>25</v>
      </c>
      <c r="D2649" s="1" t="s">
        <v>15</v>
      </c>
      <c r="E2649" s="1">
        <v>0.68343750000000003</v>
      </c>
      <c r="F2649" s="1" t="s">
        <v>13</v>
      </c>
      <c r="G2649" s="1">
        <v>3.24</v>
      </c>
      <c r="H2649" s="1">
        <v>3.3</v>
      </c>
      <c r="I2649" s="1">
        <v>0</v>
      </c>
      <c r="J2649" s="4">
        <v>41096</v>
      </c>
      <c r="K2649" s="4">
        <v>42922</v>
      </c>
      <c r="L2649">
        <f t="shared" si="41"/>
        <v>3.27</v>
      </c>
    </row>
    <row r="2650" spans="1:12" x14ac:dyDescent="0.15">
      <c r="A2650" s="1">
        <v>2649</v>
      </c>
      <c r="B2650" s="4">
        <v>41095</v>
      </c>
      <c r="C2650" s="1" t="s">
        <v>21</v>
      </c>
      <c r="D2650" s="1" t="s">
        <v>15</v>
      </c>
      <c r="E2650" s="1">
        <v>0.68342592592592588</v>
      </c>
      <c r="F2650" s="1" t="s">
        <v>13</v>
      </c>
      <c r="G2650" s="1">
        <v>3.3</v>
      </c>
      <c r="H2650" s="1">
        <v>3.36</v>
      </c>
      <c r="I2650" s="1">
        <v>0</v>
      </c>
      <c r="J2650" s="4">
        <v>41096</v>
      </c>
      <c r="K2650" s="4">
        <v>43652</v>
      </c>
      <c r="L2650">
        <f t="shared" si="41"/>
        <v>3.33</v>
      </c>
    </row>
    <row r="2651" spans="1:12" x14ac:dyDescent="0.15">
      <c r="A2651" s="1">
        <v>2650</v>
      </c>
      <c r="B2651" s="4">
        <v>41095</v>
      </c>
      <c r="C2651" s="1" t="s">
        <v>18</v>
      </c>
      <c r="D2651" s="1" t="s">
        <v>15</v>
      </c>
      <c r="E2651" s="1">
        <v>0.68343750000000003</v>
      </c>
      <c r="F2651" s="1" t="s">
        <v>13</v>
      </c>
      <c r="G2651" s="1">
        <v>3.24</v>
      </c>
      <c r="H2651" s="1">
        <v>3.3</v>
      </c>
      <c r="I2651" s="1">
        <v>0</v>
      </c>
      <c r="J2651" s="4">
        <v>41096</v>
      </c>
      <c r="K2651" s="4">
        <v>41826</v>
      </c>
      <c r="L2651">
        <f t="shared" si="41"/>
        <v>3.27</v>
      </c>
    </row>
    <row r="2652" spans="1:12" x14ac:dyDescent="0.15">
      <c r="A2652" s="1">
        <v>2651</v>
      </c>
      <c r="B2652" s="4">
        <v>41095</v>
      </c>
      <c r="C2652" s="1" t="s">
        <v>19</v>
      </c>
      <c r="D2652" s="1" t="s">
        <v>15</v>
      </c>
      <c r="E2652" s="1">
        <v>0.68343750000000003</v>
      </c>
      <c r="F2652" s="1" t="s">
        <v>13</v>
      </c>
      <c r="G2652" s="1">
        <v>3.54</v>
      </c>
      <c r="H2652" s="1">
        <v>3.6</v>
      </c>
      <c r="I2652" s="1">
        <v>0</v>
      </c>
      <c r="J2652" s="4">
        <v>41096</v>
      </c>
      <c r="K2652" s="4">
        <v>41370</v>
      </c>
      <c r="L2652">
        <f t="shared" si="41"/>
        <v>3.5700000000000003</v>
      </c>
    </row>
    <row r="2653" spans="1:12" x14ac:dyDescent="0.15">
      <c r="A2653" s="1">
        <v>2652</v>
      </c>
      <c r="B2653" s="4">
        <v>41095</v>
      </c>
      <c r="C2653" s="1" t="s">
        <v>19</v>
      </c>
      <c r="D2653" s="1" t="s">
        <v>30</v>
      </c>
      <c r="E2653" s="1">
        <v>0.68576388888888884</v>
      </c>
      <c r="F2653" s="1" t="s">
        <v>13</v>
      </c>
      <c r="G2653" s="1">
        <v>3.53</v>
      </c>
      <c r="H2653" s="1">
        <v>3.63</v>
      </c>
      <c r="I2653" s="1">
        <v>0</v>
      </c>
      <c r="J2653" s="4">
        <v>41096</v>
      </c>
      <c r="K2653" s="4">
        <v>41370</v>
      </c>
      <c r="L2653">
        <f t="shared" si="41"/>
        <v>3.58</v>
      </c>
    </row>
    <row r="2654" spans="1:12" x14ac:dyDescent="0.15">
      <c r="A2654" s="1">
        <v>2653</v>
      </c>
      <c r="B2654" s="4">
        <v>41095</v>
      </c>
      <c r="C2654" s="1" t="s">
        <v>18</v>
      </c>
      <c r="D2654" s="1" t="s">
        <v>30</v>
      </c>
      <c r="E2654" s="1">
        <v>0.68576388888888884</v>
      </c>
      <c r="F2654" s="1" t="s">
        <v>13</v>
      </c>
      <c r="G2654" s="1">
        <v>3.24</v>
      </c>
      <c r="H2654" s="1">
        <v>3.34</v>
      </c>
      <c r="I2654" s="1">
        <v>0</v>
      </c>
      <c r="J2654" s="4">
        <v>41096</v>
      </c>
      <c r="K2654" s="4">
        <v>41826</v>
      </c>
      <c r="L2654">
        <f t="shared" si="41"/>
        <v>3.29</v>
      </c>
    </row>
    <row r="2655" spans="1:12" x14ac:dyDescent="0.15">
      <c r="A2655" s="1">
        <v>2654</v>
      </c>
      <c r="B2655" s="4">
        <v>41095</v>
      </c>
      <c r="C2655" s="1" t="s">
        <v>11</v>
      </c>
      <c r="D2655" s="1" t="s">
        <v>30</v>
      </c>
      <c r="E2655" s="1">
        <v>0.68576388888888884</v>
      </c>
      <c r="F2655" s="1" t="s">
        <v>13</v>
      </c>
      <c r="G2655" s="1">
        <v>3.23</v>
      </c>
      <c r="H2655" s="1">
        <v>3.33</v>
      </c>
      <c r="I2655" s="1">
        <v>0</v>
      </c>
      <c r="J2655" s="4">
        <v>41096</v>
      </c>
      <c r="K2655" s="4">
        <v>42191</v>
      </c>
      <c r="L2655">
        <f t="shared" si="41"/>
        <v>3.2800000000000002</v>
      </c>
    </row>
    <row r="2656" spans="1:12" x14ac:dyDescent="0.15">
      <c r="A2656" s="1">
        <v>2655</v>
      </c>
      <c r="B2656" s="4">
        <v>41095</v>
      </c>
      <c r="C2656" s="1" t="s">
        <v>20</v>
      </c>
      <c r="D2656" s="1" t="s">
        <v>30</v>
      </c>
      <c r="E2656" s="1">
        <v>0.68576388888888884</v>
      </c>
      <c r="F2656" s="1" t="s">
        <v>13</v>
      </c>
      <c r="G2656" s="1">
        <v>3.33</v>
      </c>
      <c r="H2656" s="1">
        <v>3.43</v>
      </c>
      <c r="I2656" s="1">
        <v>0</v>
      </c>
      <c r="J2656" s="4">
        <v>41096</v>
      </c>
      <c r="K2656" s="4">
        <v>44748</v>
      </c>
      <c r="L2656">
        <f t="shared" si="41"/>
        <v>3.38</v>
      </c>
    </row>
    <row r="2657" spans="1:12" x14ac:dyDescent="0.15">
      <c r="A2657" s="1">
        <v>2656</v>
      </c>
      <c r="B2657" s="4">
        <v>41095</v>
      </c>
      <c r="C2657" s="1" t="s">
        <v>14</v>
      </c>
      <c r="D2657" s="1" t="s">
        <v>30</v>
      </c>
      <c r="E2657" s="1">
        <v>0.68576388888888884</v>
      </c>
      <c r="F2657" s="1" t="s">
        <v>13</v>
      </c>
      <c r="G2657" s="1">
        <v>3.39</v>
      </c>
      <c r="H2657" s="1">
        <v>3.49</v>
      </c>
      <c r="I2657" s="1">
        <v>0</v>
      </c>
      <c r="J2657" s="4">
        <v>41096</v>
      </c>
      <c r="K2657" s="4">
        <v>41461</v>
      </c>
      <c r="L2657">
        <f t="shared" si="41"/>
        <v>3.4400000000000004</v>
      </c>
    </row>
    <row r="2658" spans="1:12" x14ac:dyDescent="0.15">
      <c r="A2658" s="1">
        <v>2657</v>
      </c>
      <c r="B2658" s="4">
        <v>41095</v>
      </c>
      <c r="C2658" s="1" t="s">
        <v>22</v>
      </c>
      <c r="D2658" s="1" t="s">
        <v>30</v>
      </c>
      <c r="E2658" s="1">
        <v>0.68576388888888884</v>
      </c>
      <c r="F2658" s="1" t="s">
        <v>13</v>
      </c>
      <c r="G2658" s="1">
        <v>3.71</v>
      </c>
      <c r="H2658" s="1">
        <v>3.81</v>
      </c>
      <c r="I2658" s="1">
        <v>0</v>
      </c>
      <c r="J2658" s="4">
        <v>41096</v>
      </c>
      <c r="K2658" s="4">
        <v>41280</v>
      </c>
      <c r="L2658">
        <f t="shared" si="41"/>
        <v>3.76</v>
      </c>
    </row>
    <row r="2659" spans="1:12" x14ac:dyDescent="0.15">
      <c r="A2659" s="1">
        <v>2658</v>
      </c>
      <c r="B2659" s="4">
        <v>41095</v>
      </c>
      <c r="C2659" s="1" t="s">
        <v>21</v>
      </c>
      <c r="D2659" s="1" t="s">
        <v>30</v>
      </c>
      <c r="E2659" s="1">
        <v>0.68576388888888884</v>
      </c>
      <c r="F2659" s="1" t="s">
        <v>13</v>
      </c>
      <c r="G2659" s="1">
        <v>3.28</v>
      </c>
      <c r="H2659" s="1">
        <v>3.38</v>
      </c>
      <c r="I2659" s="1">
        <v>0</v>
      </c>
      <c r="J2659" s="4">
        <v>41096</v>
      </c>
      <c r="K2659" s="4">
        <v>43652</v>
      </c>
      <c r="L2659">
        <f t="shared" si="41"/>
        <v>3.33</v>
      </c>
    </row>
    <row r="2660" spans="1:12" x14ac:dyDescent="0.15">
      <c r="A2660" s="1">
        <v>2659</v>
      </c>
      <c r="B2660" s="4">
        <v>41095</v>
      </c>
      <c r="C2660" s="1" t="s">
        <v>16</v>
      </c>
      <c r="D2660" s="1" t="s">
        <v>30</v>
      </c>
      <c r="E2660" s="1">
        <v>0.68576388888888884</v>
      </c>
      <c r="F2660" s="1" t="s">
        <v>13</v>
      </c>
      <c r="G2660" s="1">
        <v>3.23</v>
      </c>
      <c r="H2660" s="1">
        <v>3.33</v>
      </c>
      <c r="I2660" s="1">
        <v>0</v>
      </c>
      <c r="J2660" s="4">
        <v>41096</v>
      </c>
      <c r="K2660" s="4">
        <v>42557</v>
      </c>
      <c r="L2660">
        <f t="shared" si="41"/>
        <v>3.2800000000000002</v>
      </c>
    </row>
    <row r="2661" spans="1:12" x14ac:dyDescent="0.15">
      <c r="A2661" s="1">
        <v>2660</v>
      </c>
      <c r="B2661" s="4">
        <v>41095</v>
      </c>
      <c r="C2661" s="1" t="s">
        <v>25</v>
      </c>
      <c r="D2661" s="1" t="s">
        <v>30</v>
      </c>
      <c r="E2661" s="1">
        <v>0.68576388888888884</v>
      </c>
      <c r="F2661" s="1" t="s">
        <v>13</v>
      </c>
      <c r="G2661" s="1">
        <v>3.23</v>
      </c>
      <c r="H2661" s="1">
        <v>3.33</v>
      </c>
      <c r="I2661" s="1">
        <v>0</v>
      </c>
      <c r="J2661" s="4">
        <v>41096</v>
      </c>
      <c r="K2661" s="4">
        <v>42922</v>
      </c>
      <c r="L2661">
        <f t="shared" si="41"/>
        <v>3.2800000000000002</v>
      </c>
    </row>
    <row r="2662" spans="1:12" x14ac:dyDescent="0.15">
      <c r="A2662" s="1">
        <v>2661</v>
      </c>
      <c r="B2662" s="4">
        <v>41095</v>
      </c>
      <c r="C2662" s="1" t="s">
        <v>21</v>
      </c>
      <c r="D2662" s="1" t="s">
        <v>30</v>
      </c>
      <c r="E2662" s="1">
        <v>0.49807870370370372</v>
      </c>
      <c r="F2662" s="1" t="s">
        <v>13</v>
      </c>
      <c r="G2662" s="1">
        <v>3.28</v>
      </c>
      <c r="H2662" s="1">
        <v>3.38</v>
      </c>
      <c r="I2662" s="1">
        <v>0</v>
      </c>
      <c r="J2662" s="4">
        <v>41096</v>
      </c>
      <c r="K2662" s="4">
        <v>43652</v>
      </c>
      <c r="L2662">
        <f t="shared" si="41"/>
        <v>3.33</v>
      </c>
    </row>
    <row r="2663" spans="1:12" x14ac:dyDescent="0.15">
      <c r="A2663" s="1">
        <v>2662</v>
      </c>
      <c r="B2663" s="4">
        <v>41095</v>
      </c>
      <c r="C2663" s="1" t="s">
        <v>19</v>
      </c>
      <c r="D2663" s="1" t="s">
        <v>30</v>
      </c>
      <c r="E2663" s="1">
        <v>0.49807870370370372</v>
      </c>
      <c r="F2663" s="1" t="s">
        <v>13</v>
      </c>
      <c r="G2663" s="1">
        <v>3.53</v>
      </c>
      <c r="H2663" s="1">
        <v>3.63</v>
      </c>
      <c r="I2663" s="1">
        <v>0</v>
      </c>
      <c r="J2663" s="4">
        <v>41096</v>
      </c>
      <c r="K2663" s="4">
        <v>41370</v>
      </c>
      <c r="L2663">
        <f t="shared" si="41"/>
        <v>3.58</v>
      </c>
    </row>
    <row r="2664" spans="1:12" x14ac:dyDescent="0.15">
      <c r="A2664" s="1">
        <v>2663</v>
      </c>
      <c r="B2664" s="4">
        <v>41095</v>
      </c>
      <c r="C2664" s="1" t="s">
        <v>25</v>
      </c>
      <c r="D2664" s="1" t="s">
        <v>30</v>
      </c>
      <c r="E2664" s="1">
        <v>0.49807870370370372</v>
      </c>
      <c r="F2664" s="1" t="s">
        <v>13</v>
      </c>
      <c r="G2664" s="1">
        <v>3.23</v>
      </c>
      <c r="H2664" s="1">
        <v>3.33</v>
      </c>
      <c r="I2664" s="1">
        <v>0</v>
      </c>
      <c r="J2664" s="4">
        <v>41096</v>
      </c>
      <c r="K2664" s="4">
        <v>42922</v>
      </c>
      <c r="L2664">
        <f t="shared" si="41"/>
        <v>3.2800000000000002</v>
      </c>
    </row>
    <row r="2665" spans="1:12" x14ac:dyDescent="0.15">
      <c r="A2665" s="1">
        <v>2664</v>
      </c>
      <c r="B2665" s="4">
        <v>41095</v>
      </c>
      <c r="C2665" s="1" t="s">
        <v>22</v>
      </c>
      <c r="D2665" s="1" t="s">
        <v>30</v>
      </c>
      <c r="E2665" s="1">
        <v>0.49807870370370372</v>
      </c>
      <c r="F2665" s="1" t="s">
        <v>13</v>
      </c>
      <c r="G2665" s="1">
        <v>3.71</v>
      </c>
      <c r="H2665" s="1">
        <v>3.81</v>
      </c>
      <c r="I2665" s="1">
        <v>0</v>
      </c>
      <c r="J2665" s="4">
        <v>41096</v>
      </c>
      <c r="K2665" s="4">
        <v>41280</v>
      </c>
      <c r="L2665">
        <f t="shared" si="41"/>
        <v>3.76</v>
      </c>
    </row>
    <row r="2666" spans="1:12" x14ac:dyDescent="0.15">
      <c r="A2666" s="1">
        <v>2665</v>
      </c>
      <c r="B2666" s="4">
        <v>41095</v>
      </c>
      <c r="C2666" s="1" t="s">
        <v>18</v>
      </c>
      <c r="D2666" s="1" t="s">
        <v>30</v>
      </c>
      <c r="E2666" s="1">
        <v>0.49807870370370372</v>
      </c>
      <c r="F2666" s="1" t="s">
        <v>13</v>
      </c>
      <c r="G2666" s="1">
        <v>3.24</v>
      </c>
      <c r="H2666" s="1">
        <v>3.34</v>
      </c>
      <c r="I2666" s="1">
        <v>0</v>
      </c>
      <c r="J2666" s="4">
        <v>41096</v>
      </c>
      <c r="K2666" s="4">
        <v>41826</v>
      </c>
      <c r="L2666">
        <f t="shared" si="41"/>
        <v>3.29</v>
      </c>
    </row>
    <row r="2667" spans="1:12" x14ac:dyDescent="0.15">
      <c r="A2667" s="1">
        <v>2666</v>
      </c>
      <c r="B2667" s="4">
        <v>41095</v>
      </c>
      <c r="C2667" s="1" t="s">
        <v>11</v>
      </c>
      <c r="D2667" s="1" t="s">
        <v>30</v>
      </c>
      <c r="E2667" s="1">
        <v>0.49807870370370372</v>
      </c>
      <c r="F2667" s="1" t="s">
        <v>13</v>
      </c>
      <c r="G2667" s="1">
        <v>3.23</v>
      </c>
      <c r="H2667" s="1">
        <v>3.33</v>
      </c>
      <c r="I2667" s="1">
        <v>0</v>
      </c>
      <c r="J2667" s="4">
        <v>41096</v>
      </c>
      <c r="K2667" s="4">
        <v>42191</v>
      </c>
      <c r="L2667">
        <f t="shared" si="41"/>
        <v>3.2800000000000002</v>
      </c>
    </row>
    <row r="2668" spans="1:12" x14ac:dyDescent="0.15">
      <c r="A2668" s="1">
        <v>2667</v>
      </c>
      <c r="B2668" s="4">
        <v>41095</v>
      </c>
      <c r="C2668" s="1" t="s">
        <v>20</v>
      </c>
      <c r="D2668" s="1" t="s">
        <v>30</v>
      </c>
      <c r="E2668" s="1">
        <v>0.49807870370370372</v>
      </c>
      <c r="F2668" s="1" t="s">
        <v>13</v>
      </c>
      <c r="G2668" s="1">
        <v>3.33</v>
      </c>
      <c r="H2668" s="1">
        <v>3.43</v>
      </c>
      <c r="I2668" s="1">
        <v>0</v>
      </c>
      <c r="J2668" s="4">
        <v>41096</v>
      </c>
      <c r="K2668" s="4">
        <v>44748</v>
      </c>
      <c r="L2668">
        <f t="shared" si="41"/>
        <v>3.38</v>
      </c>
    </row>
    <row r="2669" spans="1:12" x14ac:dyDescent="0.15">
      <c r="A2669" s="1">
        <v>2668</v>
      </c>
      <c r="B2669" s="4">
        <v>41095</v>
      </c>
      <c r="C2669" s="1" t="s">
        <v>14</v>
      </c>
      <c r="D2669" s="1" t="s">
        <v>30</v>
      </c>
      <c r="E2669" s="1">
        <v>0.49807870370370372</v>
      </c>
      <c r="F2669" s="1" t="s">
        <v>13</v>
      </c>
      <c r="G2669" s="1">
        <v>3.39</v>
      </c>
      <c r="H2669" s="1">
        <v>3.49</v>
      </c>
      <c r="I2669" s="1">
        <v>0</v>
      </c>
      <c r="J2669" s="4">
        <v>41096</v>
      </c>
      <c r="K2669" s="4">
        <v>41461</v>
      </c>
      <c r="L2669">
        <f t="shared" si="41"/>
        <v>3.4400000000000004</v>
      </c>
    </row>
    <row r="2670" spans="1:12" x14ac:dyDescent="0.15">
      <c r="A2670" s="1">
        <v>2669</v>
      </c>
      <c r="B2670" s="4">
        <v>41095</v>
      </c>
      <c r="C2670" s="1" t="s">
        <v>16</v>
      </c>
      <c r="D2670" s="1" t="s">
        <v>30</v>
      </c>
      <c r="E2670" s="1">
        <v>0.49807870370370372</v>
      </c>
      <c r="F2670" s="1" t="s">
        <v>13</v>
      </c>
      <c r="G2670" s="1">
        <v>3.23</v>
      </c>
      <c r="H2670" s="1">
        <v>3.33</v>
      </c>
      <c r="I2670" s="1">
        <v>0</v>
      </c>
      <c r="J2670" s="4">
        <v>41096</v>
      </c>
      <c r="K2670" s="4">
        <v>42557</v>
      </c>
      <c r="L2670">
        <f t="shared" si="41"/>
        <v>3.2800000000000002</v>
      </c>
    </row>
    <row r="2671" spans="1:12" x14ac:dyDescent="0.15">
      <c r="A2671" s="1">
        <v>2670</v>
      </c>
      <c r="B2671" s="4">
        <v>41095</v>
      </c>
      <c r="C2671" s="1" t="s">
        <v>16</v>
      </c>
      <c r="D2671" s="1" t="s">
        <v>27</v>
      </c>
      <c r="E2671" s="1">
        <v>0.67668981481481483</v>
      </c>
      <c r="F2671" s="1" t="s">
        <v>13</v>
      </c>
      <c r="G2671" s="1">
        <v>3.23</v>
      </c>
      <c r="H2671" s="1">
        <v>3.33</v>
      </c>
      <c r="I2671" s="1">
        <v>0</v>
      </c>
      <c r="J2671" s="4">
        <v>41096</v>
      </c>
      <c r="K2671" s="4">
        <v>42557</v>
      </c>
      <c r="L2671">
        <f t="shared" si="41"/>
        <v>3.2800000000000002</v>
      </c>
    </row>
    <row r="2672" spans="1:12" x14ac:dyDescent="0.15">
      <c r="A2672" s="1">
        <v>2671</v>
      </c>
      <c r="B2672" s="4">
        <v>41095</v>
      </c>
      <c r="C2672" s="1" t="s">
        <v>19</v>
      </c>
      <c r="D2672" s="1" t="s">
        <v>27</v>
      </c>
      <c r="E2672" s="1">
        <v>0.67667824074074068</v>
      </c>
      <c r="F2672" s="1" t="s">
        <v>13</v>
      </c>
      <c r="G2672" s="1">
        <v>3.52</v>
      </c>
      <c r="H2672" s="1">
        <v>3.62</v>
      </c>
      <c r="I2672" s="1">
        <v>0</v>
      </c>
      <c r="J2672" s="4">
        <v>41096</v>
      </c>
      <c r="K2672" s="4">
        <v>41370</v>
      </c>
      <c r="L2672">
        <f t="shared" si="41"/>
        <v>3.5700000000000003</v>
      </c>
    </row>
    <row r="2673" spans="1:12" x14ac:dyDescent="0.15">
      <c r="A2673" s="1">
        <v>2672</v>
      </c>
      <c r="B2673" s="4">
        <v>41095</v>
      </c>
      <c r="C2673" s="1" t="s">
        <v>22</v>
      </c>
      <c r="D2673" s="1" t="s">
        <v>15</v>
      </c>
      <c r="E2673" s="1">
        <v>0.68342592592592588</v>
      </c>
      <c r="F2673" s="1" t="s">
        <v>13</v>
      </c>
      <c r="G2673" s="1">
        <v>3.74</v>
      </c>
      <c r="H2673" s="1">
        <v>3.8</v>
      </c>
      <c r="I2673" s="1">
        <v>0</v>
      </c>
      <c r="J2673" s="4">
        <v>41096</v>
      </c>
      <c r="K2673" s="4">
        <v>41280</v>
      </c>
      <c r="L2673">
        <f t="shared" si="41"/>
        <v>3.77</v>
      </c>
    </row>
    <row r="2674" spans="1:12" x14ac:dyDescent="0.15">
      <c r="A2674" s="1">
        <v>2673</v>
      </c>
      <c r="B2674" s="4">
        <v>41095</v>
      </c>
      <c r="C2674" s="1" t="s">
        <v>14</v>
      </c>
      <c r="D2674" s="1" t="s">
        <v>27</v>
      </c>
      <c r="E2674" s="1">
        <v>0.67668981481481483</v>
      </c>
      <c r="F2674" s="1" t="s">
        <v>13</v>
      </c>
      <c r="G2674" s="1">
        <v>3.4</v>
      </c>
      <c r="H2674" s="1">
        <v>3.48</v>
      </c>
      <c r="I2674" s="1">
        <v>0</v>
      </c>
      <c r="J2674" s="4">
        <v>41096</v>
      </c>
      <c r="K2674" s="4">
        <v>41461</v>
      </c>
      <c r="L2674">
        <f t="shared" si="41"/>
        <v>3.44</v>
      </c>
    </row>
    <row r="2675" spans="1:12" x14ac:dyDescent="0.15">
      <c r="A2675" s="1">
        <v>2674</v>
      </c>
      <c r="B2675" s="4">
        <v>41095</v>
      </c>
      <c r="C2675" s="1" t="s">
        <v>11</v>
      </c>
      <c r="D2675" s="1" t="s">
        <v>27</v>
      </c>
      <c r="E2675" s="1">
        <v>0.67667824074074068</v>
      </c>
      <c r="F2675" s="1" t="s">
        <v>13</v>
      </c>
      <c r="G2675" s="1">
        <v>3.23</v>
      </c>
      <c r="H2675" s="1">
        <v>3.33</v>
      </c>
      <c r="I2675" s="1">
        <v>0</v>
      </c>
      <c r="J2675" s="4">
        <v>41096</v>
      </c>
      <c r="K2675" s="4">
        <v>42191</v>
      </c>
      <c r="L2675">
        <f t="shared" si="41"/>
        <v>3.2800000000000002</v>
      </c>
    </row>
    <row r="2676" spans="1:12" x14ac:dyDescent="0.15">
      <c r="A2676" s="1">
        <v>2675</v>
      </c>
      <c r="B2676" s="4">
        <v>41095</v>
      </c>
      <c r="C2676" s="1" t="s">
        <v>18</v>
      </c>
      <c r="D2676" s="1" t="s">
        <v>27</v>
      </c>
      <c r="E2676" s="1">
        <v>0.67667824074074068</v>
      </c>
      <c r="F2676" s="1" t="s">
        <v>13</v>
      </c>
      <c r="G2676" s="1">
        <v>3.23</v>
      </c>
      <c r="H2676" s="1">
        <v>3.33</v>
      </c>
      <c r="I2676" s="1">
        <v>0</v>
      </c>
      <c r="J2676" s="4">
        <v>41096</v>
      </c>
      <c r="K2676" s="4">
        <v>41826</v>
      </c>
      <c r="L2676">
        <f t="shared" si="41"/>
        <v>3.2800000000000002</v>
      </c>
    </row>
    <row r="2677" spans="1:12" x14ac:dyDescent="0.15">
      <c r="A2677" s="1">
        <v>2676</v>
      </c>
      <c r="B2677" s="4">
        <v>41095</v>
      </c>
      <c r="C2677" s="1" t="s">
        <v>25</v>
      </c>
      <c r="D2677" s="1" t="s">
        <v>27</v>
      </c>
      <c r="E2677" s="1">
        <v>0.67667824074074068</v>
      </c>
      <c r="F2677" s="1" t="s">
        <v>13</v>
      </c>
      <c r="G2677" s="1">
        <v>3.25</v>
      </c>
      <c r="H2677" s="1">
        <v>3.31</v>
      </c>
      <c r="I2677" s="1">
        <v>0</v>
      </c>
      <c r="J2677" s="4">
        <v>41096</v>
      </c>
      <c r="K2677" s="4">
        <v>42922</v>
      </c>
      <c r="L2677">
        <f t="shared" si="41"/>
        <v>3.2800000000000002</v>
      </c>
    </row>
    <row r="2678" spans="1:12" x14ac:dyDescent="0.15">
      <c r="A2678" s="1">
        <v>2677</v>
      </c>
      <c r="B2678" s="4">
        <v>41095</v>
      </c>
      <c r="C2678" s="1" t="s">
        <v>22</v>
      </c>
      <c r="D2678" s="1" t="s">
        <v>27</v>
      </c>
      <c r="E2678" s="1">
        <v>0.67667824074074068</v>
      </c>
      <c r="F2678" s="1" t="s">
        <v>13</v>
      </c>
      <c r="G2678" s="1">
        <v>3.75</v>
      </c>
      <c r="H2678" s="1">
        <v>3.8</v>
      </c>
      <c r="I2678" s="1">
        <v>0</v>
      </c>
      <c r="J2678" s="4">
        <v>41096</v>
      </c>
      <c r="K2678" s="4">
        <v>41280</v>
      </c>
      <c r="L2678">
        <f t="shared" si="41"/>
        <v>3.7749999999999999</v>
      </c>
    </row>
    <row r="2679" spans="1:12" x14ac:dyDescent="0.15">
      <c r="A2679" s="1">
        <v>2678</v>
      </c>
      <c r="B2679" s="4">
        <v>41094</v>
      </c>
      <c r="C2679" s="1" t="s">
        <v>21</v>
      </c>
      <c r="D2679" s="1" t="s">
        <v>30</v>
      </c>
      <c r="E2679" s="1">
        <v>0.48694444444444446</v>
      </c>
      <c r="F2679" s="1" t="s">
        <v>13</v>
      </c>
      <c r="G2679" s="1">
        <v>3.28</v>
      </c>
      <c r="H2679" s="1">
        <v>3.38</v>
      </c>
      <c r="I2679" s="1">
        <v>0</v>
      </c>
      <c r="J2679" s="4">
        <v>41095</v>
      </c>
      <c r="K2679" s="4">
        <v>43651</v>
      </c>
      <c r="L2679">
        <f t="shared" si="41"/>
        <v>3.33</v>
      </c>
    </row>
    <row r="2680" spans="1:12" x14ac:dyDescent="0.15">
      <c r="A2680" s="1">
        <v>2679</v>
      </c>
      <c r="B2680" s="4">
        <v>41094</v>
      </c>
      <c r="C2680" s="1" t="s">
        <v>22</v>
      </c>
      <c r="D2680" s="1" t="s">
        <v>30</v>
      </c>
      <c r="E2680" s="1">
        <v>0.4869560185185185</v>
      </c>
      <c r="F2680" s="1" t="s">
        <v>13</v>
      </c>
      <c r="G2680" s="1">
        <v>3.71</v>
      </c>
      <c r="H2680" s="1">
        <v>3.81</v>
      </c>
      <c r="I2680" s="1">
        <v>0</v>
      </c>
      <c r="J2680" s="4">
        <v>41095</v>
      </c>
      <c r="K2680" s="4">
        <v>41279</v>
      </c>
      <c r="L2680">
        <f t="shared" si="41"/>
        <v>3.76</v>
      </c>
    </row>
    <row r="2681" spans="1:12" x14ac:dyDescent="0.15">
      <c r="A2681" s="1">
        <v>2680</v>
      </c>
      <c r="B2681" s="4">
        <v>41094</v>
      </c>
      <c r="C2681" s="1" t="s">
        <v>25</v>
      </c>
      <c r="D2681" s="1" t="s">
        <v>30</v>
      </c>
      <c r="E2681" s="1">
        <v>0.4869560185185185</v>
      </c>
      <c r="F2681" s="1" t="s">
        <v>13</v>
      </c>
      <c r="G2681" s="1">
        <v>3.23</v>
      </c>
      <c r="H2681" s="1">
        <v>3.33</v>
      </c>
      <c r="I2681" s="1">
        <v>0</v>
      </c>
      <c r="J2681" s="4">
        <v>41095</v>
      </c>
      <c r="K2681" s="4">
        <v>42921</v>
      </c>
      <c r="L2681">
        <f t="shared" si="41"/>
        <v>3.2800000000000002</v>
      </c>
    </row>
    <row r="2682" spans="1:12" x14ac:dyDescent="0.15">
      <c r="A2682" s="1">
        <v>2681</v>
      </c>
      <c r="B2682" s="4">
        <v>41094</v>
      </c>
      <c r="C2682" s="1" t="s">
        <v>19</v>
      </c>
      <c r="D2682" s="1" t="s">
        <v>30</v>
      </c>
      <c r="E2682" s="1">
        <v>0.48694444444444446</v>
      </c>
      <c r="F2682" s="1" t="s">
        <v>13</v>
      </c>
      <c r="G2682" s="1">
        <v>3.53</v>
      </c>
      <c r="H2682" s="1">
        <v>3.63</v>
      </c>
      <c r="I2682" s="1">
        <v>0</v>
      </c>
      <c r="J2682" s="4">
        <v>41095</v>
      </c>
      <c r="K2682" s="4">
        <v>41369</v>
      </c>
      <c r="L2682">
        <f t="shared" si="41"/>
        <v>3.58</v>
      </c>
    </row>
    <row r="2683" spans="1:12" x14ac:dyDescent="0.15">
      <c r="A2683" s="1">
        <v>2682</v>
      </c>
      <c r="B2683" s="4">
        <v>41094</v>
      </c>
      <c r="C2683" s="1" t="s">
        <v>14</v>
      </c>
      <c r="D2683" s="1" t="s">
        <v>15</v>
      </c>
      <c r="E2683" s="1">
        <v>0.48466435185185186</v>
      </c>
      <c r="F2683" s="1" t="s">
        <v>13</v>
      </c>
      <c r="G2683" s="1">
        <v>3.41</v>
      </c>
      <c r="H2683" s="1">
        <v>3.47</v>
      </c>
      <c r="I2683" s="1">
        <v>0</v>
      </c>
      <c r="J2683" s="4">
        <v>41095</v>
      </c>
      <c r="K2683" s="4">
        <v>41460</v>
      </c>
      <c r="L2683">
        <f t="shared" si="41"/>
        <v>3.4400000000000004</v>
      </c>
    </row>
    <row r="2684" spans="1:12" x14ac:dyDescent="0.15">
      <c r="A2684" s="1">
        <v>2683</v>
      </c>
      <c r="B2684" s="4">
        <v>41094</v>
      </c>
      <c r="C2684" s="1" t="s">
        <v>25</v>
      </c>
      <c r="D2684" s="1" t="s">
        <v>15</v>
      </c>
      <c r="E2684" s="1">
        <v>0.48466435185185186</v>
      </c>
      <c r="F2684" s="1" t="s">
        <v>13</v>
      </c>
      <c r="G2684" s="1">
        <v>3.25</v>
      </c>
      <c r="H2684" s="1">
        <v>3.31</v>
      </c>
      <c r="I2684" s="1">
        <v>0</v>
      </c>
      <c r="J2684" s="4">
        <v>41095</v>
      </c>
      <c r="K2684" s="4">
        <v>42921</v>
      </c>
      <c r="L2684">
        <f t="shared" si="41"/>
        <v>3.2800000000000002</v>
      </c>
    </row>
    <row r="2685" spans="1:12" x14ac:dyDescent="0.15">
      <c r="A2685" s="1">
        <v>2684</v>
      </c>
      <c r="B2685" s="4">
        <v>41094</v>
      </c>
      <c r="C2685" s="1" t="s">
        <v>19</v>
      </c>
      <c r="D2685" s="1" t="s">
        <v>15</v>
      </c>
      <c r="E2685" s="1">
        <v>0.48466435185185186</v>
      </c>
      <c r="F2685" s="1" t="s">
        <v>13</v>
      </c>
      <c r="G2685" s="1">
        <v>3.55</v>
      </c>
      <c r="H2685" s="1">
        <v>3.61</v>
      </c>
      <c r="I2685" s="1">
        <v>0</v>
      </c>
      <c r="J2685" s="4">
        <v>41095</v>
      </c>
      <c r="K2685" s="4">
        <v>41369</v>
      </c>
      <c r="L2685">
        <f t="shared" si="41"/>
        <v>3.58</v>
      </c>
    </row>
    <row r="2686" spans="1:12" x14ac:dyDescent="0.15">
      <c r="A2686" s="1">
        <v>2685</v>
      </c>
      <c r="B2686" s="4">
        <v>41094</v>
      </c>
      <c r="C2686" s="1" t="s">
        <v>20</v>
      </c>
      <c r="D2686" s="1" t="s">
        <v>30</v>
      </c>
      <c r="E2686" s="1">
        <v>0.48696759259259265</v>
      </c>
      <c r="F2686" s="1" t="s">
        <v>13</v>
      </c>
      <c r="G2686" s="1">
        <v>3.33</v>
      </c>
      <c r="H2686" s="1">
        <v>3.43</v>
      </c>
      <c r="I2686" s="1">
        <v>0</v>
      </c>
      <c r="J2686" s="4">
        <v>41095</v>
      </c>
      <c r="K2686" s="4">
        <v>44747</v>
      </c>
      <c r="L2686">
        <f t="shared" si="41"/>
        <v>3.38</v>
      </c>
    </row>
    <row r="2687" spans="1:12" x14ac:dyDescent="0.15">
      <c r="A2687" s="1">
        <v>2686</v>
      </c>
      <c r="B2687" s="4">
        <v>41094</v>
      </c>
      <c r="C2687" s="1" t="s">
        <v>11</v>
      </c>
      <c r="D2687" s="1" t="s">
        <v>27</v>
      </c>
      <c r="E2687" s="1">
        <v>0.48983796296296295</v>
      </c>
      <c r="F2687" s="1" t="s">
        <v>13</v>
      </c>
      <c r="G2687" s="1">
        <v>3.22</v>
      </c>
      <c r="H2687" s="1">
        <v>3.3</v>
      </c>
      <c r="I2687" s="1">
        <v>0</v>
      </c>
      <c r="J2687" s="4">
        <v>41095</v>
      </c>
      <c r="K2687" s="4">
        <v>42190</v>
      </c>
      <c r="L2687">
        <f t="shared" si="41"/>
        <v>3.26</v>
      </c>
    </row>
    <row r="2688" spans="1:12" x14ac:dyDescent="0.15">
      <c r="A2688" s="1">
        <v>2687</v>
      </c>
      <c r="B2688" s="4">
        <v>41094</v>
      </c>
      <c r="C2688" s="1" t="s">
        <v>16</v>
      </c>
      <c r="D2688" s="1" t="s">
        <v>27</v>
      </c>
      <c r="E2688" s="1">
        <v>0.48983796296296295</v>
      </c>
      <c r="F2688" s="1" t="s">
        <v>13</v>
      </c>
      <c r="G2688" s="1">
        <v>3.21</v>
      </c>
      <c r="H2688" s="1">
        <v>3.31</v>
      </c>
      <c r="I2688" s="1">
        <v>0</v>
      </c>
      <c r="J2688" s="4">
        <v>41095</v>
      </c>
      <c r="K2688" s="4">
        <v>42556</v>
      </c>
      <c r="L2688">
        <f t="shared" si="41"/>
        <v>3.26</v>
      </c>
    </row>
    <row r="2689" spans="1:12" x14ac:dyDescent="0.15">
      <c r="A2689" s="1">
        <v>2688</v>
      </c>
      <c r="B2689" s="4">
        <v>41094</v>
      </c>
      <c r="C2689" s="1" t="s">
        <v>14</v>
      </c>
      <c r="D2689" s="1" t="s">
        <v>30</v>
      </c>
      <c r="E2689" s="1">
        <v>0.48696759259259265</v>
      </c>
      <c r="F2689" s="1" t="s">
        <v>13</v>
      </c>
      <c r="G2689" s="1">
        <v>3.39</v>
      </c>
      <c r="H2689" s="1">
        <v>3.49</v>
      </c>
      <c r="I2689" s="1">
        <v>0</v>
      </c>
      <c r="J2689" s="4">
        <v>41095</v>
      </c>
      <c r="K2689" s="4">
        <v>41460</v>
      </c>
      <c r="L2689">
        <f t="shared" si="41"/>
        <v>3.4400000000000004</v>
      </c>
    </row>
    <row r="2690" spans="1:12" x14ac:dyDescent="0.15">
      <c r="A2690" s="1">
        <v>2689</v>
      </c>
      <c r="B2690" s="4">
        <v>41094</v>
      </c>
      <c r="C2690" s="1" t="s">
        <v>16</v>
      </c>
      <c r="D2690" s="1" t="s">
        <v>30</v>
      </c>
      <c r="E2690" s="1">
        <v>0.4869560185185185</v>
      </c>
      <c r="F2690" s="1" t="s">
        <v>13</v>
      </c>
      <c r="G2690" s="1">
        <v>3.23</v>
      </c>
      <c r="H2690" s="1">
        <v>3.33</v>
      </c>
      <c r="I2690" s="1">
        <v>0</v>
      </c>
      <c r="J2690" s="4">
        <v>41095</v>
      </c>
      <c r="K2690" s="4">
        <v>42556</v>
      </c>
      <c r="L2690">
        <f t="shared" si="41"/>
        <v>3.2800000000000002</v>
      </c>
    </row>
    <row r="2691" spans="1:12" x14ac:dyDescent="0.15">
      <c r="A2691" s="1">
        <v>2690</v>
      </c>
      <c r="B2691" s="4">
        <v>41094</v>
      </c>
      <c r="C2691" s="1" t="s">
        <v>11</v>
      </c>
      <c r="D2691" s="1" t="s">
        <v>30</v>
      </c>
      <c r="E2691" s="1">
        <v>0.48696759259259265</v>
      </c>
      <c r="F2691" s="1" t="s">
        <v>13</v>
      </c>
      <c r="G2691" s="1">
        <v>3.23</v>
      </c>
      <c r="H2691" s="1">
        <v>3.33</v>
      </c>
      <c r="I2691" s="1">
        <v>0</v>
      </c>
      <c r="J2691" s="4">
        <v>41095</v>
      </c>
      <c r="K2691" s="4">
        <v>42190</v>
      </c>
      <c r="L2691">
        <f t="shared" ref="L2691:L2754" si="42">AVERAGE(G2691:H2691)</f>
        <v>3.2800000000000002</v>
      </c>
    </row>
    <row r="2692" spans="1:12" x14ac:dyDescent="0.15">
      <c r="A2692" s="1">
        <v>2691</v>
      </c>
      <c r="B2692" s="4">
        <v>41094</v>
      </c>
      <c r="C2692" s="1" t="s">
        <v>18</v>
      </c>
      <c r="D2692" s="1" t="s">
        <v>30</v>
      </c>
      <c r="E2692" s="1">
        <v>0.48696759259259265</v>
      </c>
      <c r="F2692" s="1" t="s">
        <v>13</v>
      </c>
      <c r="G2692" s="1">
        <v>3.24</v>
      </c>
      <c r="H2692" s="1">
        <v>3.34</v>
      </c>
      <c r="I2692" s="1">
        <v>0</v>
      </c>
      <c r="J2692" s="4">
        <v>41095</v>
      </c>
      <c r="K2692" s="4">
        <v>41825</v>
      </c>
      <c r="L2692">
        <f t="shared" si="42"/>
        <v>3.29</v>
      </c>
    </row>
    <row r="2693" spans="1:12" x14ac:dyDescent="0.15">
      <c r="A2693" s="1">
        <v>2692</v>
      </c>
      <c r="B2693" s="4">
        <v>41094</v>
      </c>
      <c r="C2693" s="1" t="s">
        <v>20</v>
      </c>
      <c r="D2693" s="1" t="s">
        <v>15</v>
      </c>
      <c r="E2693" s="1">
        <v>0.48466435185185186</v>
      </c>
      <c r="F2693" s="1" t="s">
        <v>13</v>
      </c>
      <c r="G2693" s="1">
        <v>3.37</v>
      </c>
      <c r="H2693" s="1">
        <v>3.43</v>
      </c>
      <c r="I2693" s="1">
        <v>0</v>
      </c>
      <c r="J2693" s="4">
        <v>41095</v>
      </c>
      <c r="K2693" s="4">
        <v>44747</v>
      </c>
      <c r="L2693">
        <f t="shared" si="42"/>
        <v>3.4000000000000004</v>
      </c>
    </row>
    <row r="2694" spans="1:12" x14ac:dyDescent="0.15">
      <c r="A2694" s="1">
        <v>2693</v>
      </c>
      <c r="B2694" s="4">
        <v>41094</v>
      </c>
      <c r="C2694" s="1" t="s">
        <v>20</v>
      </c>
      <c r="D2694" s="1" t="s">
        <v>26</v>
      </c>
      <c r="E2694" s="1">
        <v>0.4815740740740741</v>
      </c>
      <c r="F2694" s="1" t="s">
        <v>13</v>
      </c>
      <c r="G2694" s="1">
        <v>3.25</v>
      </c>
      <c r="H2694" s="1">
        <v>3.3</v>
      </c>
      <c r="I2694" s="1">
        <v>0</v>
      </c>
      <c r="J2694" s="4">
        <v>41095</v>
      </c>
      <c r="K2694" s="4">
        <v>44747</v>
      </c>
      <c r="L2694">
        <f t="shared" si="42"/>
        <v>3.2749999999999999</v>
      </c>
    </row>
    <row r="2695" spans="1:12" x14ac:dyDescent="0.15">
      <c r="A2695" s="1">
        <v>2694</v>
      </c>
      <c r="B2695" s="4">
        <v>41094</v>
      </c>
      <c r="C2695" s="1" t="s">
        <v>25</v>
      </c>
      <c r="D2695" s="1" t="s">
        <v>26</v>
      </c>
      <c r="E2695" s="1">
        <v>0.4815740740740741</v>
      </c>
      <c r="F2695" s="1" t="s">
        <v>13</v>
      </c>
      <c r="G2695" s="1">
        <v>3.25</v>
      </c>
      <c r="H2695" s="1">
        <v>3.3</v>
      </c>
      <c r="I2695" s="1">
        <v>0</v>
      </c>
      <c r="J2695" s="4">
        <v>41095</v>
      </c>
      <c r="K2695" s="4">
        <v>42921</v>
      </c>
      <c r="L2695">
        <f t="shared" si="42"/>
        <v>3.2749999999999999</v>
      </c>
    </row>
    <row r="2696" spans="1:12" x14ac:dyDescent="0.15">
      <c r="A2696" s="1">
        <v>2695</v>
      </c>
      <c r="B2696" s="4">
        <v>41094</v>
      </c>
      <c r="C2696" s="1" t="s">
        <v>16</v>
      </c>
      <c r="D2696" s="1" t="s">
        <v>26</v>
      </c>
      <c r="E2696" s="1">
        <v>0.4815740740740741</v>
      </c>
      <c r="F2696" s="1" t="s">
        <v>13</v>
      </c>
      <c r="G2696" s="1">
        <v>3.25</v>
      </c>
      <c r="H2696" s="1">
        <v>3.3</v>
      </c>
      <c r="I2696" s="1">
        <v>0</v>
      </c>
      <c r="J2696" s="4">
        <v>41095</v>
      </c>
      <c r="K2696" s="4">
        <v>42556</v>
      </c>
      <c r="L2696">
        <f t="shared" si="42"/>
        <v>3.2749999999999999</v>
      </c>
    </row>
    <row r="2697" spans="1:12" x14ac:dyDescent="0.15">
      <c r="A2697" s="1">
        <v>2696</v>
      </c>
      <c r="B2697" s="4">
        <v>41094</v>
      </c>
      <c r="C2697" s="1" t="s">
        <v>14</v>
      </c>
      <c r="D2697" s="1" t="s">
        <v>26</v>
      </c>
      <c r="E2697" s="1">
        <v>0.4815740740740741</v>
      </c>
      <c r="F2697" s="1" t="s">
        <v>13</v>
      </c>
      <c r="G2697" s="1">
        <v>2.4500000000000002</v>
      </c>
      <c r="H2697" s="1">
        <v>3.5</v>
      </c>
      <c r="I2697" s="1">
        <v>0</v>
      </c>
      <c r="J2697" s="4">
        <v>41095</v>
      </c>
      <c r="K2697" s="4">
        <v>41460</v>
      </c>
      <c r="L2697">
        <f t="shared" si="42"/>
        <v>2.9750000000000001</v>
      </c>
    </row>
    <row r="2698" spans="1:12" x14ac:dyDescent="0.15">
      <c r="A2698" s="1">
        <v>2697</v>
      </c>
      <c r="B2698" s="4">
        <v>41094</v>
      </c>
      <c r="C2698" s="1" t="s">
        <v>21</v>
      </c>
      <c r="D2698" s="1" t="s">
        <v>26</v>
      </c>
      <c r="E2698" s="1">
        <v>0.4815740740740741</v>
      </c>
      <c r="F2698" s="1" t="s">
        <v>13</v>
      </c>
      <c r="G2698" s="1">
        <v>3.25</v>
      </c>
      <c r="H2698" s="1">
        <v>3.3</v>
      </c>
      <c r="I2698" s="1">
        <v>0</v>
      </c>
      <c r="J2698" s="4">
        <v>41095</v>
      </c>
      <c r="K2698" s="4">
        <v>43651</v>
      </c>
      <c r="L2698">
        <f t="shared" si="42"/>
        <v>3.2749999999999999</v>
      </c>
    </row>
    <row r="2699" spans="1:12" x14ac:dyDescent="0.15">
      <c r="A2699" s="1">
        <v>2698</v>
      </c>
      <c r="B2699" s="4">
        <v>41094</v>
      </c>
      <c r="C2699" s="1" t="s">
        <v>19</v>
      </c>
      <c r="D2699" s="1" t="s">
        <v>26</v>
      </c>
      <c r="E2699" s="1">
        <v>0.4815740740740741</v>
      </c>
      <c r="F2699" s="1" t="s">
        <v>13</v>
      </c>
      <c r="G2699" s="1">
        <v>3.48</v>
      </c>
      <c r="H2699" s="1">
        <v>3.55</v>
      </c>
      <c r="I2699" s="1">
        <v>0</v>
      </c>
      <c r="J2699" s="4">
        <v>41095</v>
      </c>
      <c r="K2699" s="4">
        <v>41369</v>
      </c>
      <c r="L2699">
        <f t="shared" si="42"/>
        <v>3.5149999999999997</v>
      </c>
    </row>
    <row r="2700" spans="1:12" x14ac:dyDescent="0.15">
      <c r="A2700" s="1">
        <v>2699</v>
      </c>
      <c r="B2700" s="4">
        <v>41094</v>
      </c>
      <c r="C2700" s="1" t="s">
        <v>11</v>
      </c>
      <c r="D2700" s="1" t="s">
        <v>26</v>
      </c>
      <c r="E2700" s="1">
        <v>0.4815740740740741</v>
      </c>
      <c r="F2700" s="1" t="s">
        <v>13</v>
      </c>
      <c r="G2700" s="1">
        <v>3.25</v>
      </c>
      <c r="H2700" s="1">
        <v>3.3</v>
      </c>
      <c r="I2700" s="1">
        <v>0</v>
      </c>
      <c r="J2700" s="4">
        <v>41095</v>
      </c>
      <c r="K2700" s="4">
        <v>42190</v>
      </c>
      <c r="L2700">
        <f t="shared" si="42"/>
        <v>3.2749999999999999</v>
      </c>
    </row>
    <row r="2701" spans="1:12" x14ac:dyDescent="0.15">
      <c r="A2701" s="1">
        <v>2700</v>
      </c>
      <c r="B2701" s="4">
        <v>41094</v>
      </c>
      <c r="C2701" s="1" t="s">
        <v>18</v>
      </c>
      <c r="D2701" s="1" t="s">
        <v>15</v>
      </c>
      <c r="E2701" s="1">
        <v>0.48466435185185186</v>
      </c>
      <c r="F2701" s="1" t="s">
        <v>13</v>
      </c>
      <c r="G2701" s="1">
        <v>3.26</v>
      </c>
      <c r="H2701" s="1">
        <v>3.32</v>
      </c>
      <c r="I2701" s="1">
        <v>0</v>
      </c>
      <c r="J2701" s="4">
        <v>41095</v>
      </c>
      <c r="K2701" s="4">
        <v>41825</v>
      </c>
      <c r="L2701">
        <f t="shared" si="42"/>
        <v>3.29</v>
      </c>
    </row>
    <row r="2702" spans="1:12" x14ac:dyDescent="0.15">
      <c r="A2702" s="1">
        <v>2701</v>
      </c>
      <c r="B2702" s="4">
        <v>41094</v>
      </c>
      <c r="C2702" s="1" t="s">
        <v>11</v>
      </c>
      <c r="D2702" s="1" t="s">
        <v>15</v>
      </c>
      <c r="E2702" s="1">
        <v>0.48466435185185186</v>
      </c>
      <c r="F2702" s="1" t="s">
        <v>13</v>
      </c>
      <c r="G2702" s="1">
        <v>3.25</v>
      </c>
      <c r="H2702" s="1">
        <v>3.31</v>
      </c>
      <c r="I2702" s="1">
        <v>0</v>
      </c>
      <c r="J2702" s="4">
        <v>41095</v>
      </c>
      <c r="K2702" s="4">
        <v>42190</v>
      </c>
      <c r="L2702">
        <f t="shared" si="42"/>
        <v>3.2800000000000002</v>
      </c>
    </row>
    <row r="2703" spans="1:12" x14ac:dyDescent="0.15">
      <c r="A2703" s="1">
        <v>2702</v>
      </c>
      <c r="B2703" s="4">
        <v>41094</v>
      </c>
      <c r="C2703" s="1" t="s">
        <v>16</v>
      </c>
      <c r="D2703" s="1" t="s">
        <v>15</v>
      </c>
      <c r="E2703" s="1">
        <v>0.48466435185185186</v>
      </c>
      <c r="F2703" s="1" t="s">
        <v>13</v>
      </c>
      <c r="G2703" s="1">
        <v>3.25</v>
      </c>
      <c r="H2703" s="1">
        <v>3.31</v>
      </c>
      <c r="I2703" s="1">
        <v>0</v>
      </c>
      <c r="J2703" s="4">
        <v>41095</v>
      </c>
      <c r="K2703" s="4">
        <v>42556</v>
      </c>
      <c r="L2703">
        <f t="shared" si="42"/>
        <v>3.2800000000000002</v>
      </c>
    </row>
    <row r="2704" spans="1:12" x14ac:dyDescent="0.15">
      <c r="A2704" s="1">
        <v>2703</v>
      </c>
      <c r="B2704" s="4">
        <v>41094</v>
      </c>
      <c r="C2704" s="1" t="s">
        <v>21</v>
      </c>
      <c r="D2704" s="1" t="s">
        <v>15</v>
      </c>
      <c r="E2704" s="1">
        <v>0.48464120370370373</v>
      </c>
      <c r="F2704" s="1" t="s">
        <v>13</v>
      </c>
      <c r="G2704" s="1">
        <v>3.32</v>
      </c>
      <c r="H2704" s="1">
        <v>3.38</v>
      </c>
      <c r="I2704" s="1">
        <v>0</v>
      </c>
      <c r="J2704" s="4">
        <v>41095</v>
      </c>
      <c r="K2704" s="4">
        <v>43651</v>
      </c>
      <c r="L2704">
        <f t="shared" si="42"/>
        <v>3.3499999999999996</v>
      </c>
    </row>
    <row r="2705" spans="1:12" x14ac:dyDescent="0.15">
      <c r="A2705" s="1">
        <v>2704</v>
      </c>
      <c r="B2705" s="4">
        <v>41094</v>
      </c>
      <c r="C2705" s="1" t="s">
        <v>22</v>
      </c>
      <c r="D2705" s="1" t="s">
        <v>26</v>
      </c>
      <c r="E2705" s="1">
        <v>0.48158564814814814</v>
      </c>
      <c r="F2705" s="1" t="s">
        <v>13</v>
      </c>
      <c r="G2705" s="1">
        <v>2.75</v>
      </c>
      <c r="H2705" s="1">
        <v>3.8</v>
      </c>
      <c r="I2705" s="1">
        <v>0</v>
      </c>
      <c r="J2705" s="4">
        <v>41095</v>
      </c>
      <c r="K2705" s="4">
        <v>41279</v>
      </c>
      <c r="L2705">
        <f t="shared" si="42"/>
        <v>3.2749999999999999</v>
      </c>
    </row>
    <row r="2706" spans="1:12" x14ac:dyDescent="0.15">
      <c r="A2706" s="1">
        <v>2705</v>
      </c>
      <c r="B2706" s="4">
        <v>41094</v>
      </c>
      <c r="C2706" s="1" t="s">
        <v>18</v>
      </c>
      <c r="D2706" s="1" t="s">
        <v>26</v>
      </c>
      <c r="E2706" s="1">
        <v>0.48158564814814814</v>
      </c>
      <c r="F2706" s="1" t="s">
        <v>13</v>
      </c>
      <c r="G2706" s="1">
        <v>3.28</v>
      </c>
      <c r="H2706" s="1">
        <v>3.35</v>
      </c>
      <c r="I2706" s="1">
        <v>0</v>
      </c>
      <c r="J2706" s="4">
        <v>41095</v>
      </c>
      <c r="K2706" s="4">
        <v>41825</v>
      </c>
      <c r="L2706">
        <f t="shared" si="42"/>
        <v>3.3149999999999999</v>
      </c>
    </row>
    <row r="2707" spans="1:12" x14ac:dyDescent="0.15">
      <c r="A2707" s="1">
        <v>2706</v>
      </c>
      <c r="B2707" s="4">
        <v>41094</v>
      </c>
      <c r="C2707" s="1" t="s">
        <v>22</v>
      </c>
      <c r="D2707" s="1" t="s">
        <v>15</v>
      </c>
      <c r="E2707" s="1">
        <v>0.48464120370370373</v>
      </c>
      <c r="F2707" s="1" t="s">
        <v>13</v>
      </c>
      <c r="G2707" s="1">
        <v>3.74</v>
      </c>
      <c r="H2707" s="1">
        <v>3.8</v>
      </c>
      <c r="I2707" s="1">
        <v>0</v>
      </c>
      <c r="J2707" s="4">
        <v>41095</v>
      </c>
      <c r="K2707" s="4">
        <v>41279</v>
      </c>
      <c r="L2707">
        <f t="shared" si="42"/>
        <v>3.77</v>
      </c>
    </row>
    <row r="2708" spans="1:12" x14ac:dyDescent="0.15">
      <c r="A2708" s="1">
        <v>2707</v>
      </c>
      <c r="B2708" s="4">
        <v>41094</v>
      </c>
      <c r="C2708" s="1" t="s">
        <v>14</v>
      </c>
      <c r="D2708" s="1" t="s">
        <v>27</v>
      </c>
      <c r="E2708" s="1">
        <v>0.48983796296296295</v>
      </c>
      <c r="F2708" s="1" t="s">
        <v>13</v>
      </c>
      <c r="G2708" s="1">
        <v>3.4</v>
      </c>
      <c r="H2708" s="1">
        <v>3.46</v>
      </c>
      <c r="I2708" s="1">
        <v>0</v>
      </c>
      <c r="J2708" s="4">
        <v>41095</v>
      </c>
      <c r="K2708" s="4">
        <v>41460</v>
      </c>
      <c r="L2708">
        <f t="shared" si="42"/>
        <v>3.4299999999999997</v>
      </c>
    </row>
    <row r="2709" spans="1:12" x14ac:dyDescent="0.15">
      <c r="A2709" s="1">
        <v>2708</v>
      </c>
      <c r="B2709" s="4">
        <v>41094</v>
      </c>
      <c r="C2709" s="1" t="s">
        <v>20</v>
      </c>
      <c r="D2709" s="1" t="s">
        <v>30</v>
      </c>
      <c r="E2709" s="1">
        <v>0.67797453703703703</v>
      </c>
      <c r="F2709" s="1" t="s">
        <v>13</v>
      </c>
      <c r="G2709" s="1">
        <v>3.33</v>
      </c>
      <c r="H2709" s="1">
        <v>3.43</v>
      </c>
      <c r="I2709" s="1">
        <v>0</v>
      </c>
      <c r="J2709" s="4">
        <v>41095</v>
      </c>
      <c r="K2709" s="4">
        <v>44747</v>
      </c>
      <c r="L2709">
        <f t="shared" si="42"/>
        <v>3.38</v>
      </c>
    </row>
    <row r="2710" spans="1:12" x14ac:dyDescent="0.15">
      <c r="A2710" s="1">
        <v>2709</v>
      </c>
      <c r="B2710" s="4">
        <v>41094</v>
      </c>
      <c r="C2710" s="1" t="s">
        <v>21</v>
      </c>
      <c r="D2710" s="1" t="s">
        <v>26</v>
      </c>
      <c r="E2710" s="1">
        <v>0.68568287037037035</v>
      </c>
      <c r="F2710" s="1" t="s">
        <v>13</v>
      </c>
      <c r="G2710" s="1">
        <v>3.25</v>
      </c>
      <c r="H2710" s="1">
        <v>3.3</v>
      </c>
      <c r="I2710" s="1">
        <v>0</v>
      </c>
      <c r="J2710" s="4">
        <v>41095</v>
      </c>
      <c r="K2710" s="4">
        <v>43651</v>
      </c>
      <c r="L2710">
        <f t="shared" si="42"/>
        <v>3.2749999999999999</v>
      </c>
    </row>
    <row r="2711" spans="1:12" x14ac:dyDescent="0.15">
      <c r="A2711" s="1">
        <v>2710</v>
      </c>
      <c r="B2711" s="4">
        <v>41094</v>
      </c>
      <c r="C2711" s="1" t="s">
        <v>19</v>
      </c>
      <c r="D2711" s="1" t="s">
        <v>26</v>
      </c>
      <c r="E2711" s="1">
        <v>0.68568287037037035</v>
      </c>
      <c r="F2711" s="1" t="s">
        <v>13</v>
      </c>
      <c r="G2711" s="1">
        <v>3.48</v>
      </c>
      <c r="H2711" s="1">
        <v>3.55</v>
      </c>
      <c r="I2711" s="1">
        <v>0</v>
      </c>
      <c r="J2711" s="4">
        <v>41095</v>
      </c>
      <c r="K2711" s="4">
        <v>41369</v>
      </c>
      <c r="L2711">
        <f t="shared" si="42"/>
        <v>3.5149999999999997</v>
      </c>
    </row>
    <row r="2712" spans="1:12" x14ac:dyDescent="0.15">
      <c r="A2712" s="1">
        <v>2711</v>
      </c>
      <c r="B2712" s="4">
        <v>41094</v>
      </c>
      <c r="C2712" s="1" t="s">
        <v>14</v>
      </c>
      <c r="D2712" s="1" t="s">
        <v>30</v>
      </c>
      <c r="E2712" s="1">
        <v>0.67797453703703703</v>
      </c>
      <c r="F2712" s="1" t="s">
        <v>13</v>
      </c>
      <c r="G2712" s="1">
        <v>3.39</v>
      </c>
      <c r="H2712" s="1">
        <v>3.49</v>
      </c>
      <c r="I2712" s="1">
        <v>0</v>
      </c>
      <c r="J2712" s="4">
        <v>41095</v>
      </c>
      <c r="K2712" s="4">
        <v>41460</v>
      </c>
      <c r="L2712">
        <f t="shared" si="42"/>
        <v>3.4400000000000004</v>
      </c>
    </row>
    <row r="2713" spans="1:12" x14ac:dyDescent="0.15">
      <c r="A2713" s="1">
        <v>2712</v>
      </c>
      <c r="B2713" s="4">
        <v>41094</v>
      </c>
      <c r="C2713" s="1" t="s">
        <v>16</v>
      </c>
      <c r="D2713" s="1" t="s">
        <v>30</v>
      </c>
      <c r="E2713" s="1">
        <v>0.67797453703703703</v>
      </c>
      <c r="F2713" s="1" t="s">
        <v>13</v>
      </c>
      <c r="G2713" s="1">
        <v>3.23</v>
      </c>
      <c r="H2713" s="1">
        <v>3.33</v>
      </c>
      <c r="I2713" s="1">
        <v>0</v>
      </c>
      <c r="J2713" s="4">
        <v>41095</v>
      </c>
      <c r="K2713" s="4">
        <v>42556</v>
      </c>
      <c r="L2713">
        <f t="shared" si="42"/>
        <v>3.2800000000000002</v>
      </c>
    </row>
    <row r="2714" spans="1:12" x14ac:dyDescent="0.15">
      <c r="A2714" s="1">
        <v>2713</v>
      </c>
      <c r="B2714" s="4">
        <v>41094</v>
      </c>
      <c r="C2714" s="1" t="s">
        <v>11</v>
      </c>
      <c r="D2714" s="1" t="s">
        <v>30</v>
      </c>
      <c r="E2714" s="1">
        <v>0.67797453703703703</v>
      </c>
      <c r="F2714" s="1" t="s">
        <v>13</v>
      </c>
      <c r="G2714" s="1">
        <v>3.23</v>
      </c>
      <c r="H2714" s="1">
        <v>3.33</v>
      </c>
      <c r="I2714" s="1">
        <v>0</v>
      </c>
      <c r="J2714" s="4">
        <v>41095</v>
      </c>
      <c r="K2714" s="4">
        <v>42190</v>
      </c>
      <c r="L2714">
        <f t="shared" si="42"/>
        <v>3.2800000000000002</v>
      </c>
    </row>
    <row r="2715" spans="1:12" x14ac:dyDescent="0.15">
      <c r="A2715" s="1">
        <v>2714</v>
      </c>
      <c r="B2715" s="4">
        <v>41094</v>
      </c>
      <c r="C2715" s="1" t="s">
        <v>18</v>
      </c>
      <c r="D2715" s="1" t="s">
        <v>30</v>
      </c>
      <c r="E2715" s="1">
        <v>0.67797453703703703</v>
      </c>
      <c r="F2715" s="1" t="s">
        <v>13</v>
      </c>
      <c r="G2715" s="1">
        <v>3.24</v>
      </c>
      <c r="H2715" s="1">
        <v>3.34</v>
      </c>
      <c r="I2715" s="1">
        <v>0</v>
      </c>
      <c r="J2715" s="4">
        <v>41095</v>
      </c>
      <c r="K2715" s="4">
        <v>41825</v>
      </c>
      <c r="L2715">
        <f t="shared" si="42"/>
        <v>3.29</v>
      </c>
    </row>
    <row r="2716" spans="1:12" x14ac:dyDescent="0.15">
      <c r="A2716" s="1">
        <v>2715</v>
      </c>
      <c r="B2716" s="4">
        <v>41094</v>
      </c>
      <c r="C2716" s="1" t="s">
        <v>16</v>
      </c>
      <c r="D2716" s="1" t="s">
        <v>26</v>
      </c>
      <c r="E2716" s="1">
        <v>0.68568287037037035</v>
      </c>
      <c r="F2716" s="1" t="s">
        <v>13</v>
      </c>
      <c r="G2716" s="1">
        <v>3.25</v>
      </c>
      <c r="H2716" s="1">
        <v>3.3</v>
      </c>
      <c r="I2716" s="1">
        <v>0</v>
      </c>
      <c r="J2716" s="4">
        <v>41095</v>
      </c>
      <c r="K2716" s="4">
        <v>42556</v>
      </c>
      <c r="L2716">
        <f t="shared" si="42"/>
        <v>3.2749999999999999</v>
      </c>
    </row>
    <row r="2717" spans="1:12" x14ac:dyDescent="0.15">
      <c r="A2717" s="1">
        <v>2716</v>
      </c>
      <c r="B2717" s="4">
        <v>41094</v>
      </c>
      <c r="C2717" s="1" t="s">
        <v>22</v>
      </c>
      <c r="D2717" s="1" t="s">
        <v>26</v>
      </c>
      <c r="E2717" s="1">
        <v>0.6856944444444445</v>
      </c>
      <c r="F2717" s="1" t="s">
        <v>13</v>
      </c>
      <c r="G2717" s="1">
        <v>2.75</v>
      </c>
      <c r="H2717" s="1">
        <v>3.8</v>
      </c>
      <c r="I2717" s="1">
        <v>0</v>
      </c>
      <c r="J2717" s="4">
        <v>41095</v>
      </c>
      <c r="K2717" s="4">
        <v>41279</v>
      </c>
      <c r="L2717">
        <f t="shared" si="42"/>
        <v>3.2749999999999999</v>
      </c>
    </row>
    <row r="2718" spans="1:12" x14ac:dyDescent="0.15">
      <c r="A2718" s="1">
        <v>2717</v>
      </c>
      <c r="B2718" s="4">
        <v>41094</v>
      </c>
      <c r="C2718" s="1" t="s">
        <v>18</v>
      </c>
      <c r="D2718" s="1" t="s">
        <v>26</v>
      </c>
      <c r="E2718" s="1">
        <v>0.6856944444444445</v>
      </c>
      <c r="F2718" s="1" t="s">
        <v>13</v>
      </c>
      <c r="G2718" s="1">
        <v>3.28</v>
      </c>
      <c r="H2718" s="1">
        <v>3.35</v>
      </c>
      <c r="I2718" s="1">
        <v>0</v>
      </c>
      <c r="J2718" s="4">
        <v>41095</v>
      </c>
      <c r="K2718" s="4">
        <v>41825</v>
      </c>
      <c r="L2718">
        <f t="shared" si="42"/>
        <v>3.3149999999999999</v>
      </c>
    </row>
    <row r="2719" spans="1:12" x14ac:dyDescent="0.15">
      <c r="A2719" s="1">
        <v>2718</v>
      </c>
      <c r="B2719" s="4">
        <v>41094</v>
      </c>
      <c r="C2719" s="1" t="s">
        <v>25</v>
      </c>
      <c r="D2719" s="1" t="s">
        <v>26</v>
      </c>
      <c r="E2719" s="1">
        <v>0.68568287037037035</v>
      </c>
      <c r="F2719" s="1" t="s">
        <v>13</v>
      </c>
      <c r="G2719" s="1">
        <v>3.25</v>
      </c>
      <c r="H2719" s="1">
        <v>3.3</v>
      </c>
      <c r="I2719" s="1">
        <v>0</v>
      </c>
      <c r="J2719" s="4">
        <v>41095</v>
      </c>
      <c r="K2719" s="4">
        <v>42921</v>
      </c>
      <c r="L2719">
        <f t="shared" si="42"/>
        <v>3.2749999999999999</v>
      </c>
    </row>
    <row r="2720" spans="1:12" x14ac:dyDescent="0.15">
      <c r="A2720" s="1">
        <v>2719</v>
      </c>
      <c r="B2720" s="4">
        <v>41094</v>
      </c>
      <c r="C2720" s="1" t="s">
        <v>11</v>
      </c>
      <c r="D2720" s="1" t="s">
        <v>26</v>
      </c>
      <c r="E2720" s="1">
        <v>0.68568287037037035</v>
      </c>
      <c r="F2720" s="1" t="s">
        <v>13</v>
      </c>
      <c r="G2720" s="1">
        <v>3.25</v>
      </c>
      <c r="H2720" s="1">
        <v>3.3</v>
      </c>
      <c r="I2720" s="1">
        <v>0</v>
      </c>
      <c r="J2720" s="4">
        <v>41095</v>
      </c>
      <c r="K2720" s="4">
        <v>42190</v>
      </c>
      <c r="L2720">
        <f t="shared" si="42"/>
        <v>3.2749999999999999</v>
      </c>
    </row>
    <row r="2721" spans="1:12" x14ac:dyDescent="0.15">
      <c r="A2721" s="1">
        <v>2720</v>
      </c>
      <c r="B2721" s="4">
        <v>41094</v>
      </c>
      <c r="C2721" s="1" t="s">
        <v>14</v>
      </c>
      <c r="D2721" s="1" t="s">
        <v>26</v>
      </c>
      <c r="E2721" s="1">
        <v>0.68568287037037035</v>
      </c>
      <c r="F2721" s="1" t="s">
        <v>13</v>
      </c>
      <c r="G2721" s="1">
        <v>2.4500000000000002</v>
      </c>
      <c r="H2721" s="1">
        <v>3.5</v>
      </c>
      <c r="I2721" s="1">
        <v>0</v>
      </c>
      <c r="J2721" s="4">
        <v>41095</v>
      </c>
      <c r="K2721" s="4">
        <v>41460</v>
      </c>
      <c r="L2721">
        <f t="shared" si="42"/>
        <v>2.9750000000000001</v>
      </c>
    </row>
    <row r="2722" spans="1:12" x14ac:dyDescent="0.15">
      <c r="A2722" s="1">
        <v>2721</v>
      </c>
      <c r="B2722" s="4">
        <v>41094</v>
      </c>
      <c r="C2722" s="1" t="s">
        <v>20</v>
      </c>
      <c r="D2722" s="1" t="s">
        <v>26</v>
      </c>
      <c r="E2722" s="1">
        <v>0.68568287037037035</v>
      </c>
      <c r="F2722" s="1" t="s">
        <v>13</v>
      </c>
      <c r="G2722" s="1">
        <v>3.25</v>
      </c>
      <c r="H2722" s="1">
        <v>3.3</v>
      </c>
      <c r="I2722" s="1">
        <v>0</v>
      </c>
      <c r="J2722" s="4">
        <v>41095</v>
      </c>
      <c r="K2722" s="4">
        <v>44747</v>
      </c>
      <c r="L2722">
        <f t="shared" si="42"/>
        <v>3.2749999999999999</v>
      </c>
    </row>
    <row r="2723" spans="1:12" x14ac:dyDescent="0.15">
      <c r="A2723" s="1">
        <v>2722</v>
      </c>
      <c r="B2723" s="4">
        <v>41094</v>
      </c>
      <c r="C2723" s="1" t="s">
        <v>25</v>
      </c>
      <c r="D2723" s="1" t="s">
        <v>30</v>
      </c>
      <c r="E2723" s="1">
        <v>0.67797453703703703</v>
      </c>
      <c r="F2723" s="1" t="s">
        <v>13</v>
      </c>
      <c r="G2723" s="1">
        <v>3.23</v>
      </c>
      <c r="H2723" s="1">
        <v>3.33</v>
      </c>
      <c r="I2723" s="1">
        <v>0</v>
      </c>
      <c r="J2723" s="4">
        <v>41095</v>
      </c>
      <c r="K2723" s="4">
        <v>42921</v>
      </c>
      <c r="L2723">
        <f t="shared" si="42"/>
        <v>3.2800000000000002</v>
      </c>
    </row>
    <row r="2724" spans="1:12" x14ac:dyDescent="0.15">
      <c r="A2724" s="1">
        <v>2723</v>
      </c>
      <c r="B2724" s="4">
        <v>41094</v>
      </c>
      <c r="C2724" s="1" t="s">
        <v>11</v>
      </c>
      <c r="D2724" s="1" t="s">
        <v>27</v>
      </c>
      <c r="E2724" s="1">
        <v>0.67118055555555556</v>
      </c>
      <c r="F2724" s="1" t="s">
        <v>13</v>
      </c>
      <c r="G2724" s="1">
        <v>3.2</v>
      </c>
      <c r="H2724" s="1">
        <v>3.3</v>
      </c>
      <c r="I2724" s="1">
        <v>0</v>
      </c>
      <c r="J2724" s="4">
        <v>41095</v>
      </c>
      <c r="K2724" s="4">
        <v>42190</v>
      </c>
      <c r="L2724">
        <f t="shared" si="42"/>
        <v>3.25</v>
      </c>
    </row>
    <row r="2725" spans="1:12" x14ac:dyDescent="0.15">
      <c r="A2725" s="1">
        <v>2724</v>
      </c>
      <c r="B2725" s="4">
        <v>41094</v>
      </c>
      <c r="C2725" s="1" t="s">
        <v>16</v>
      </c>
      <c r="D2725" s="1" t="s">
        <v>27</v>
      </c>
      <c r="E2725" s="1">
        <v>0.67118055555555556</v>
      </c>
      <c r="F2725" s="1" t="s">
        <v>13</v>
      </c>
      <c r="G2725" s="1">
        <v>3.21</v>
      </c>
      <c r="H2725" s="1">
        <v>3.31</v>
      </c>
      <c r="I2725" s="1">
        <v>0</v>
      </c>
      <c r="J2725" s="4">
        <v>41095</v>
      </c>
      <c r="K2725" s="4">
        <v>42556</v>
      </c>
      <c r="L2725">
        <f t="shared" si="42"/>
        <v>3.26</v>
      </c>
    </row>
    <row r="2726" spans="1:12" x14ac:dyDescent="0.15">
      <c r="A2726" s="1">
        <v>2725</v>
      </c>
      <c r="B2726" s="4">
        <v>41094</v>
      </c>
      <c r="C2726" s="1" t="s">
        <v>14</v>
      </c>
      <c r="D2726" s="1" t="s">
        <v>27</v>
      </c>
      <c r="E2726" s="1">
        <v>0.67118055555555556</v>
      </c>
      <c r="F2726" s="1" t="s">
        <v>13</v>
      </c>
      <c r="G2726" s="1">
        <v>3.4</v>
      </c>
      <c r="H2726" s="1">
        <v>3.46</v>
      </c>
      <c r="I2726" s="1">
        <v>0</v>
      </c>
      <c r="J2726" s="4">
        <v>41095</v>
      </c>
      <c r="K2726" s="4">
        <v>41460</v>
      </c>
      <c r="L2726">
        <f t="shared" si="42"/>
        <v>3.4299999999999997</v>
      </c>
    </row>
    <row r="2727" spans="1:12" x14ac:dyDescent="0.15">
      <c r="A2727" s="1">
        <v>2726</v>
      </c>
      <c r="B2727" s="4">
        <v>41094</v>
      </c>
      <c r="C2727" s="1" t="s">
        <v>18</v>
      </c>
      <c r="D2727" s="1" t="s">
        <v>27</v>
      </c>
      <c r="E2727" s="1">
        <v>0.48983796296296295</v>
      </c>
      <c r="F2727" s="1" t="s">
        <v>13</v>
      </c>
      <c r="G2727" s="1">
        <v>3.21</v>
      </c>
      <c r="H2727" s="1">
        <v>3.31</v>
      </c>
      <c r="I2727" s="1">
        <v>0</v>
      </c>
      <c r="J2727" s="4">
        <v>41095</v>
      </c>
      <c r="K2727" s="4">
        <v>41825</v>
      </c>
      <c r="L2727">
        <f t="shared" si="42"/>
        <v>3.26</v>
      </c>
    </row>
    <row r="2728" spans="1:12" x14ac:dyDescent="0.15">
      <c r="A2728" s="1">
        <v>2727</v>
      </c>
      <c r="B2728" s="4">
        <v>41094</v>
      </c>
      <c r="C2728" s="1" t="s">
        <v>22</v>
      </c>
      <c r="D2728" s="1" t="s">
        <v>27</v>
      </c>
      <c r="E2728" s="1">
        <v>0.48983796296296295</v>
      </c>
      <c r="F2728" s="1" t="s">
        <v>13</v>
      </c>
      <c r="G2728" s="1">
        <v>3.75</v>
      </c>
      <c r="H2728" s="1">
        <v>3.8</v>
      </c>
      <c r="I2728" s="1">
        <v>0</v>
      </c>
      <c r="J2728" s="4">
        <v>41095</v>
      </c>
      <c r="K2728" s="4">
        <v>41279</v>
      </c>
      <c r="L2728">
        <f t="shared" si="42"/>
        <v>3.7749999999999999</v>
      </c>
    </row>
    <row r="2729" spans="1:12" x14ac:dyDescent="0.15">
      <c r="A2729" s="1">
        <v>2728</v>
      </c>
      <c r="B2729" s="4">
        <v>41094</v>
      </c>
      <c r="C2729" s="1" t="s">
        <v>25</v>
      </c>
      <c r="D2729" s="1" t="s">
        <v>27</v>
      </c>
      <c r="E2729" s="1">
        <v>0.48983796296296295</v>
      </c>
      <c r="F2729" s="1" t="s">
        <v>13</v>
      </c>
      <c r="G2729" s="1">
        <v>3.24</v>
      </c>
      <c r="H2729" s="1">
        <v>3.29</v>
      </c>
      <c r="I2729" s="1">
        <v>0</v>
      </c>
      <c r="J2729" s="4">
        <v>41095</v>
      </c>
      <c r="K2729" s="4">
        <v>42921</v>
      </c>
      <c r="L2729">
        <f t="shared" si="42"/>
        <v>3.2650000000000001</v>
      </c>
    </row>
    <row r="2730" spans="1:12" x14ac:dyDescent="0.15">
      <c r="A2730" s="1">
        <v>2729</v>
      </c>
      <c r="B2730" s="4">
        <v>41094</v>
      </c>
      <c r="C2730" s="1" t="s">
        <v>19</v>
      </c>
      <c r="D2730" s="1" t="s">
        <v>27</v>
      </c>
      <c r="E2730" s="1">
        <v>0.48983796296296295</v>
      </c>
      <c r="F2730" s="1" t="s">
        <v>13</v>
      </c>
      <c r="G2730" s="1">
        <v>3.52</v>
      </c>
      <c r="H2730" s="1">
        <v>3.6</v>
      </c>
      <c r="I2730" s="1">
        <v>0</v>
      </c>
      <c r="J2730" s="4">
        <v>41095</v>
      </c>
      <c r="K2730" s="4">
        <v>41369</v>
      </c>
      <c r="L2730">
        <f t="shared" si="42"/>
        <v>3.56</v>
      </c>
    </row>
    <row r="2731" spans="1:12" x14ac:dyDescent="0.15">
      <c r="A2731" s="1">
        <v>2730</v>
      </c>
      <c r="B2731" s="4">
        <v>41094</v>
      </c>
      <c r="C2731" s="1" t="s">
        <v>19</v>
      </c>
      <c r="D2731" s="1" t="s">
        <v>30</v>
      </c>
      <c r="E2731" s="1">
        <v>0.67797453703703703</v>
      </c>
      <c r="F2731" s="1" t="s">
        <v>13</v>
      </c>
      <c r="G2731" s="1">
        <v>3.53</v>
      </c>
      <c r="H2731" s="1">
        <v>3.63</v>
      </c>
      <c r="I2731" s="1">
        <v>0</v>
      </c>
      <c r="J2731" s="4">
        <v>41095</v>
      </c>
      <c r="K2731" s="4">
        <v>41369</v>
      </c>
      <c r="L2731">
        <f t="shared" si="42"/>
        <v>3.58</v>
      </c>
    </row>
    <row r="2732" spans="1:12" x14ac:dyDescent="0.15">
      <c r="A2732" s="1">
        <v>2731</v>
      </c>
      <c r="B2732" s="4">
        <v>41094</v>
      </c>
      <c r="C2732" s="1" t="s">
        <v>21</v>
      </c>
      <c r="D2732" s="1" t="s">
        <v>30</v>
      </c>
      <c r="E2732" s="1">
        <v>0.67797453703703703</v>
      </c>
      <c r="F2732" s="1" t="s">
        <v>13</v>
      </c>
      <c r="G2732" s="1">
        <v>3.28</v>
      </c>
      <c r="H2732" s="1">
        <v>3.38</v>
      </c>
      <c r="I2732" s="1">
        <v>0</v>
      </c>
      <c r="J2732" s="4">
        <v>41095</v>
      </c>
      <c r="K2732" s="4">
        <v>43651</v>
      </c>
      <c r="L2732">
        <f t="shared" si="42"/>
        <v>3.33</v>
      </c>
    </row>
    <row r="2733" spans="1:12" x14ac:dyDescent="0.15">
      <c r="A2733" s="1">
        <v>2732</v>
      </c>
      <c r="B2733" s="4">
        <v>41094</v>
      </c>
      <c r="C2733" s="1" t="s">
        <v>22</v>
      </c>
      <c r="D2733" s="1" t="s">
        <v>30</v>
      </c>
      <c r="E2733" s="1">
        <v>0.67797453703703703</v>
      </c>
      <c r="F2733" s="1" t="s">
        <v>13</v>
      </c>
      <c r="G2733" s="1">
        <v>3.71</v>
      </c>
      <c r="H2733" s="1">
        <v>3.81</v>
      </c>
      <c r="I2733" s="1">
        <v>0</v>
      </c>
      <c r="J2733" s="4">
        <v>41095</v>
      </c>
      <c r="K2733" s="4">
        <v>41279</v>
      </c>
      <c r="L2733">
        <f t="shared" si="42"/>
        <v>3.76</v>
      </c>
    </row>
    <row r="2734" spans="1:12" x14ac:dyDescent="0.15">
      <c r="A2734" s="1">
        <v>2733</v>
      </c>
      <c r="B2734" s="4">
        <v>41094</v>
      </c>
      <c r="C2734" s="1" t="s">
        <v>18</v>
      </c>
      <c r="D2734" s="1" t="s">
        <v>27</v>
      </c>
      <c r="E2734" s="1">
        <v>0.67118055555555556</v>
      </c>
      <c r="F2734" s="1" t="s">
        <v>13</v>
      </c>
      <c r="G2734" s="1">
        <v>3.21</v>
      </c>
      <c r="H2734" s="1">
        <v>3.31</v>
      </c>
      <c r="I2734" s="1">
        <v>0</v>
      </c>
      <c r="J2734" s="4">
        <v>41095</v>
      </c>
      <c r="K2734" s="4">
        <v>41825</v>
      </c>
      <c r="L2734">
        <f t="shared" si="42"/>
        <v>3.26</v>
      </c>
    </row>
    <row r="2735" spans="1:12" x14ac:dyDescent="0.15">
      <c r="A2735" s="1">
        <v>2734</v>
      </c>
      <c r="B2735" s="4">
        <v>41094</v>
      </c>
      <c r="C2735" s="1" t="s">
        <v>22</v>
      </c>
      <c r="D2735" s="1" t="s">
        <v>27</v>
      </c>
      <c r="E2735" s="1">
        <v>0.67118055555555556</v>
      </c>
      <c r="F2735" s="1" t="s">
        <v>13</v>
      </c>
      <c r="G2735" s="1">
        <v>3.75</v>
      </c>
      <c r="H2735" s="1">
        <v>3.8</v>
      </c>
      <c r="I2735" s="1">
        <v>0</v>
      </c>
      <c r="J2735" s="4">
        <v>41095</v>
      </c>
      <c r="K2735" s="4">
        <v>41279</v>
      </c>
      <c r="L2735">
        <f t="shared" si="42"/>
        <v>3.7749999999999999</v>
      </c>
    </row>
    <row r="2736" spans="1:12" x14ac:dyDescent="0.15">
      <c r="A2736" s="1">
        <v>2735</v>
      </c>
      <c r="B2736" s="4">
        <v>41094</v>
      </c>
      <c r="C2736" s="1" t="s">
        <v>25</v>
      </c>
      <c r="D2736" s="1" t="s">
        <v>27</v>
      </c>
      <c r="E2736" s="1">
        <v>0.67118055555555556</v>
      </c>
      <c r="F2736" s="1" t="s">
        <v>13</v>
      </c>
      <c r="G2736" s="1">
        <v>3.21</v>
      </c>
      <c r="H2736" s="1">
        <v>3.31</v>
      </c>
      <c r="I2736" s="1">
        <v>0</v>
      </c>
      <c r="J2736" s="4">
        <v>41095</v>
      </c>
      <c r="K2736" s="4">
        <v>42921</v>
      </c>
      <c r="L2736">
        <f t="shared" si="42"/>
        <v>3.26</v>
      </c>
    </row>
    <row r="2737" spans="1:12" x14ac:dyDescent="0.15">
      <c r="A2737" s="1">
        <v>2736</v>
      </c>
      <c r="B2737" s="4">
        <v>41094</v>
      </c>
      <c r="C2737" s="1" t="s">
        <v>19</v>
      </c>
      <c r="D2737" s="1" t="s">
        <v>27</v>
      </c>
      <c r="E2737" s="1">
        <v>0.67118055555555556</v>
      </c>
      <c r="F2737" s="1" t="s">
        <v>13</v>
      </c>
      <c r="G2737" s="1">
        <v>3.52</v>
      </c>
      <c r="H2737" s="1">
        <v>3.6</v>
      </c>
      <c r="I2737" s="1">
        <v>0</v>
      </c>
      <c r="J2737" s="4">
        <v>41095</v>
      </c>
      <c r="K2737" s="4">
        <v>41369</v>
      </c>
      <c r="L2737">
        <f t="shared" si="42"/>
        <v>3.56</v>
      </c>
    </row>
    <row r="2738" spans="1:12" x14ac:dyDescent="0.15">
      <c r="A2738" s="1">
        <v>2737</v>
      </c>
      <c r="B2738" s="4">
        <v>41093</v>
      </c>
      <c r="C2738" s="1" t="s">
        <v>20</v>
      </c>
      <c r="D2738" s="1" t="s">
        <v>15</v>
      </c>
      <c r="E2738" s="1">
        <v>0.49299768518518516</v>
      </c>
      <c r="F2738" s="1" t="s">
        <v>13</v>
      </c>
      <c r="G2738" s="1">
        <v>3.36</v>
      </c>
      <c r="H2738" s="1">
        <v>3.42</v>
      </c>
      <c r="I2738" s="1">
        <v>0</v>
      </c>
      <c r="J2738" s="4">
        <v>41094</v>
      </c>
      <c r="K2738" s="4">
        <v>44746</v>
      </c>
      <c r="L2738">
        <f t="shared" si="42"/>
        <v>3.3899999999999997</v>
      </c>
    </row>
    <row r="2739" spans="1:12" x14ac:dyDescent="0.15">
      <c r="A2739" s="1">
        <v>2738</v>
      </c>
      <c r="B2739" s="4">
        <v>41093</v>
      </c>
      <c r="C2739" s="1" t="s">
        <v>16</v>
      </c>
      <c r="D2739" s="1" t="s">
        <v>15</v>
      </c>
      <c r="E2739" s="1">
        <v>0.49299768518518516</v>
      </c>
      <c r="F2739" s="1" t="s">
        <v>13</v>
      </c>
      <c r="G2739" s="1">
        <v>3.25</v>
      </c>
      <c r="H2739" s="1">
        <v>3.31</v>
      </c>
      <c r="I2739" s="1">
        <v>0</v>
      </c>
      <c r="J2739" s="4">
        <v>41094</v>
      </c>
      <c r="K2739" s="4">
        <v>42555</v>
      </c>
      <c r="L2739">
        <f t="shared" si="42"/>
        <v>3.2800000000000002</v>
      </c>
    </row>
    <row r="2740" spans="1:12" x14ac:dyDescent="0.15">
      <c r="A2740" s="1">
        <v>2739</v>
      </c>
      <c r="B2740" s="4">
        <v>41093</v>
      </c>
      <c r="C2740" s="1" t="s">
        <v>14</v>
      </c>
      <c r="D2740" s="1" t="s">
        <v>15</v>
      </c>
      <c r="E2740" s="1">
        <v>0.49299768518518516</v>
      </c>
      <c r="F2740" s="1" t="s">
        <v>13</v>
      </c>
      <c r="G2740" s="1">
        <v>3.42</v>
      </c>
      <c r="H2740" s="1">
        <v>3.48</v>
      </c>
      <c r="I2740" s="1">
        <v>0</v>
      </c>
      <c r="J2740" s="4">
        <v>41094</v>
      </c>
      <c r="K2740" s="4">
        <v>41459</v>
      </c>
      <c r="L2740">
        <f t="shared" si="42"/>
        <v>3.45</v>
      </c>
    </row>
    <row r="2741" spans="1:12" x14ac:dyDescent="0.15">
      <c r="A2741" s="1">
        <v>2740</v>
      </c>
      <c r="B2741" s="4">
        <v>41093</v>
      </c>
      <c r="C2741" s="1" t="s">
        <v>19</v>
      </c>
      <c r="D2741" s="1" t="s">
        <v>15</v>
      </c>
      <c r="E2741" s="1">
        <v>0.49299768518518516</v>
      </c>
      <c r="F2741" s="1" t="s">
        <v>13</v>
      </c>
      <c r="G2741" s="1">
        <v>3.59</v>
      </c>
      <c r="H2741" s="1">
        <v>3.65</v>
      </c>
      <c r="I2741" s="1">
        <v>0</v>
      </c>
      <c r="J2741" s="4">
        <v>41094</v>
      </c>
      <c r="K2741" s="4">
        <v>41368</v>
      </c>
      <c r="L2741">
        <f t="shared" si="42"/>
        <v>3.62</v>
      </c>
    </row>
    <row r="2742" spans="1:12" x14ac:dyDescent="0.15">
      <c r="A2742" s="1">
        <v>2741</v>
      </c>
      <c r="B2742" s="4">
        <v>41093</v>
      </c>
      <c r="C2742" s="1" t="s">
        <v>25</v>
      </c>
      <c r="D2742" s="1" t="s">
        <v>15</v>
      </c>
      <c r="E2742" s="1">
        <v>0.49299768518518516</v>
      </c>
      <c r="F2742" s="1" t="s">
        <v>13</v>
      </c>
      <c r="G2742" s="1">
        <v>3.25</v>
      </c>
      <c r="H2742" s="1">
        <v>3.31</v>
      </c>
      <c r="I2742" s="1">
        <v>0</v>
      </c>
      <c r="J2742" s="4">
        <v>41094</v>
      </c>
      <c r="K2742" s="4">
        <v>42920</v>
      </c>
      <c r="L2742">
        <f t="shared" si="42"/>
        <v>3.2800000000000002</v>
      </c>
    </row>
    <row r="2743" spans="1:12" x14ac:dyDescent="0.15">
      <c r="A2743" s="1">
        <v>2742</v>
      </c>
      <c r="B2743" s="4">
        <v>41093</v>
      </c>
      <c r="C2743" s="1" t="s">
        <v>25</v>
      </c>
      <c r="D2743" s="1" t="s">
        <v>30</v>
      </c>
      <c r="E2743" s="1">
        <v>0.49015046296296294</v>
      </c>
      <c r="F2743" s="1" t="s">
        <v>13</v>
      </c>
      <c r="G2743" s="1">
        <v>3.23</v>
      </c>
      <c r="H2743" s="1">
        <v>3.33</v>
      </c>
      <c r="I2743" s="1">
        <v>0</v>
      </c>
      <c r="J2743" s="4">
        <v>41094</v>
      </c>
      <c r="K2743" s="4">
        <v>42920</v>
      </c>
      <c r="L2743">
        <f t="shared" si="42"/>
        <v>3.2800000000000002</v>
      </c>
    </row>
    <row r="2744" spans="1:12" x14ac:dyDescent="0.15">
      <c r="A2744" s="1">
        <v>2743</v>
      </c>
      <c r="B2744" s="4">
        <v>41093</v>
      </c>
      <c r="C2744" s="1" t="s">
        <v>22</v>
      </c>
      <c r="D2744" s="1" t="s">
        <v>30</v>
      </c>
      <c r="E2744" s="1">
        <v>0.49015046296296294</v>
      </c>
      <c r="F2744" s="1" t="s">
        <v>13</v>
      </c>
      <c r="G2744" s="1">
        <v>3.71</v>
      </c>
      <c r="H2744" s="1">
        <v>3.81</v>
      </c>
      <c r="I2744" s="1">
        <v>0</v>
      </c>
      <c r="J2744" s="4">
        <v>41094</v>
      </c>
      <c r="K2744" s="4">
        <v>41278</v>
      </c>
      <c r="L2744">
        <f t="shared" si="42"/>
        <v>3.76</v>
      </c>
    </row>
    <row r="2745" spans="1:12" x14ac:dyDescent="0.15">
      <c r="A2745" s="1">
        <v>2744</v>
      </c>
      <c r="B2745" s="4">
        <v>41093</v>
      </c>
      <c r="C2745" s="1" t="s">
        <v>16</v>
      </c>
      <c r="D2745" s="1" t="s">
        <v>30</v>
      </c>
      <c r="E2745" s="1">
        <v>0.49015046296296294</v>
      </c>
      <c r="F2745" s="1" t="s">
        <v>13</v>
      </c>
      <c r="G2745" s="1">
        <v>3.23</v>
      </c>
      <c r="H2745" s="1">
        <v>3.33</v>
      </c>
      <c r="I2745" s="1">
        <v>0</v>
      </c>
      <c r="J2745" s="4">
        <v>41094</v>
      </c>
      <c r="K2745" s="4">
        <v>42555</v>
      </c>
      <c r="L2745">
        <f t="shared" si="42"/>
        <v>3.2800000000000002</v>
      </c>
    </row>
    <row r="2746" spans="1:12" x14ac:dyDescent="0.15">
      <c r="A2746" s="1">
        <v>2745</v>
      </c>
      <c r="B2746" s="4">
        <v>41093</v>
      </c>
      <c r="C2746" s="1" t="s">
        <v>21</v>
      </c>
      <c r="D2746" s="1" t="s">
        <v>15</v>
      </c>
      <c r="E2746" s="1">
        <v>0.49298611111111112</v>
      </c>
      <c r="F2746" s="1" t="s">
        <v>13</v>
      </c>
      <c r="G2746" s="1">
        <v>3.3</v>
      </c>
      <c r="H2746" s="1">
        <v>3.36</v>
      </c>
      <c r="I2746" s="1">
        <v>0</v>
      </c>
      <c r="J2746" s="4">
        <v>41094</v>
      </c>
      <c r="K2746" s="4">
        <v>43650</v>
      </c>
      <c r="L2746">
        <f t="shared" si="42"/>
        <v>3.33</v>
      </c>
    </row>
    <row r="2747" spans="1:12" x14ac:dyDescent="0.15">
      <c r="A2747" s="1">
        <v>2746</v>
      </c>
      <c r="B2747" s="4">
        <v>41093</v>
      </c>
      <c r="C2747" s="1" t="s">
        <v>22</v>
      </c>
      <c r="D2747" s="1" t="s">
        <v>15</v>
      </c>
      <c r="E2747" s="1">
        <v>0.49298611111111112</v>
      </c>
      <c r="F2747" s="1" t="s">
        <v>13</v>
      </c>
      <c r="G2747" s="1">
        <v>3.73</v>
      </c>
      <c r="H2747" s="1">
        <v>3.79</v>
      </c>
      <c r="I2747" s="1">
        <v>0</v>
      </c>
      <c r="J2747" s="4">
        <v>41094</v>
      </c>
      <c r="K2747" s="4">
        <v>41278</v>
      </c>
      <c r="L2747">
        <f t="shared" si="42"/>
        <v>3.76</v>
      </c>
    </row>
    <row r="2748" spans="1:12" x14ac:dyDescent="0.15">
      <c r="A2748" s="1">
        <v>2747</v>
      </c>
      <c r="B2748" s="4">
        <v>41093</v>
      </c>
      <c r="C2748" s="1" t="s">
        <v>18</v>
      </c>
      <c r="D2748" s="1" t="s">
        <v>15</v>
      </c>
      <c r="E2748" s="1">
        <v>0.49299768518518516</v>
      </c>
      <c r="F2748" s="1" t="s">
        <v>13</v>
      </c>
      <c r="G2748" s="1">
        <v>3.27</v>
      </c>
      <c r="H2748" s="1">
        <v>3.33</v>
      </c>
      <c r="I2748" s="1">
        <v>0</v>
      </c>
      <c r="J2748" s="4">
        <v>41094</v>
      </c>
      <c r="K2748" s="4">
        <v>41824</v>
      </c>
      <c r="L2748">
        <f t="shared" si="42"/>
        <v>3.3</v>
      </c>
    </row>
    <row r="2749" spans="1:12" x14ac:dyDescent="0.15">
      <c r="A2749" s="1">
        <v>2748</v>
      </c>
      <c r="B2749" s="4">
        <v>41093</v>
      </c>
      <c r="C2749" s="1" t="s">
        <v>14</v>
      </c>
      <c r="D2749" s="1" t="s">
        <v>37</v>
      </c>
      <c r="E2749" s="1">
        <v>0.57486111111111116</v>
      </c>
      <c r="F2749" s="1" t="s">
        <v>13</v>
      </c>
      <c r="G2749" s="1">
        <v>3.44</v>
      </c>
      <c r="H2749" s="1">
        <v>3.51</v>
      </c>
      <c r="I2749" s="1">
        <v>0</v>
      </c>
      <c r="J2749" s="4">
        <v>41094</v>
      </c>
      <c r="K2749" s="4">
        <v>41459</v>
      </c>
      <c r="L2749">
        <f t="shared" si="42"/>
        <v>3.4749999999999996</v>
      </c>
    </row>
    <row r="2750" spans="1:12" x14ac:dyDescent="0.15">
      <c r="A2750" s="1">
        <v>2749</v>
      </c>
      <c r="B2750" s="4">
        <v>41093</v>
      </c>
      <c r="C2750" s="1" t="s">
        <v>11</v>
      </c>
      <c r="D2750" s="1" t="s">
        <v>37</v>
      </c>
      <c r="E2750" s="1">
        <v>0.57486111111111116</v>
      </c>
      <c r="F2750" s="1" t="s">
        <v>13</v>
      </c>
      <c r="G2750" s="1">
        <v>3.24</v>
      </c>
      <c r="H2750" s="1">
        <v>3.32</v>
      </c>
      <c r="I2750" s="1">
        <v>0</v>
      </c>
      <c r="J2750" s="4">
        <v>41094</v>
      </c>
      <c r="K2750" s="4">
        <v>42189</v>
      </c>
      <c r="L2750">
        <f t="shared" si="42"/>
        <v>3.2800000000000002</v>
      </c>
    </row>
    <row r="2751" spans="1:12" x14ac:dyDescent="0.15">
      <c r="A2751" s="1">
        <v>2750</v>
      </c>
      <c r="B2751" s="4">
        <v>41093</v>
      </c>
      <c r="C2751" s="1" t="s">
        <v>20</v>
      </c>
      <c r="D2751" s="1" t="s">
        <v>37</v>
      </c>
      <c r="E2751" s="1">
        <v>0.57486111111111116</v>
      </c>
      <c r="F2751" s="1" t="s">
        <v>13</v>
      </c>
      <c r="G2751" s="1">
        <v>3.34</v>
      </c>
      <c r="H2751" s="1">
        <v>3.46</v>
      </c>
      <c r="I2751" s="1">
        <v>0</v>
      </c>
      <c r="J2751" s="4">
        <v>41094</v>
      </c>
      <c r="K2751" s="4">
        <v>44746</v>
      </c>
      <c r="L2751">
        <f t="shared" si="42"/>
        <v>3.4</v>
      </c>
    </row>
    <row r="2752" spans="1:12" x14ac:dyDescent="0.15">
      <c r="A2752" s="1">
        <v>2751</v>
      </c>
      <c r="B2752" s="4">
        <v>41093</v>
      </c>
      <c r="C2752" s="1" t="s">
        <v>22</v>
      </c>
      <c r="D2752" s="1" t="s">
        <v>37</v>
      </c>
      <c r="E2752" s="1">
        <v>0.57486111111111116</v>
      </c>
      <c r="F2752" s="1" t="s">
        <v>13</v>
      </c>
      <c r="G2752" s="1">
        <v>3.74</v>
      </c>
      <c r="H2752" s="1">
        <v>3.81</v>
      </c>
      <c r="I2752" s="1">
        <v>0</v>
      </c>
      <c r="J2752" s="4">
        <v>41094</v>
      </c>
      <c r="K2752" s="4">
        <v>41278</v>
      </c>
      <c r="L2752">
        <f t="shared" si="42"/>
        <v>3.7750000000000004</v>
      </c>
    </row>
    <row r="2753" spans="1:12" x14ac:dyDescent="0.15">
      <c r="A2753" s="1">
        <v>2752</v>
      </c>
      <c r="B2753" s="4">
        <v>41093</v>
      </c>
      <c r="C2753" s="1" t="s">
        <v>25</v>
      </c>
      <c r="D2753" s="1" t="s">
        <v>37</v>
      </c>
      <c r="E2753" s="1">
        <v>0.57486111111111116</v>
      </c>
      <c r="F2753" s="1" t="s">
        <v>13</v>
      </c>
      <c r="G2753" s="1">
        <v>3.24</v>
      </c>
      <c r="H2753" s="1">
        <v>3.32</v>
      </c>
      <c r="I2753" s="1">
        <v>0</v>
      </c>
      <c r="J2753" s="4">
        <v>41094</v>
      </c>
      <c r="K2753" s="4">
        <v>42920</v>
      </c>
      <c r="L2753">
        <f t="shared" si="42"/>
        <v>3.2800000000000002</v>
      </c>
    </row>
    <row r="2754" spans="1:12" x14ac:dyDescent="0.15">
      <c r="A2754" s="1">
        <v>2753</v>
      </c>
      <c r="B2754" s="4">
        <v>41093</v>
      </c>
      <c r="C2754" s="1" t="s">
        <v>19</v>
      </c>
      <c r="D2754" s="1" t="s">
        <v>37</v>
      </c>
      <c r="E2754" s="1">
        <v>0.57484953703703701</v>
      </c>
      <c r="F2754" s="1" t="s">
        <v>13</v>
      </c>
      <c r="G2754" s="1">
        <v>3.53</v>
      </c>
      <c r="H2754" s="1">
        <v>3.62</v>
      </c>
      <c r="I2754" s="1">
        <v>0</v>
      </c>
      <c r="J2754" s="4">
        <v>41094</v>
      </c>
      <c r="K2754" s="4">
        <v>41368</v>
      </c>
      <c r="L2754">
        <f t="shared" si="42"/>
        <v>3.5750000000000002</v>
      </c>
    </row>
    <row r="2755" spans="1:12" x14ac:dyDescent="0.15">
      <c r="A2755" s="1">
        <v>2754</v>
      </c>
      <c r="B2755" s="4">
        <v>41093</v>
      </c>
      <c r="C2755" s="1" t="s">
        <v>11</v>
      </c>
      <c r="D2755" s="1" t="s">
        <v>15</v>
      </c>
      <c r="E2755" s="1">
        <v>0.49299768518518516</v>
      </c>
      <c r="F2755" s="1" t="s">
        <v>13</v>
      </c>
      <c r="G2755" s="1">
        <v>3.26</v>
      </c>
      <c r="H2755" s="1">
        <v>3.32</v>
      </c>
      <c r="I2755" s="1">
        <v>0</v>
      </c>
      <c r="J2755" s="4">
        <v>41094</v>
      </c>
      <c r="K2755" s="4">
        <v>42189</v>
      </c>
      <c r="L2755">
        <f t="shared" ref="L2755:L2818" si="43">AVERAGE(G2755:H2755)</f>
        <v>3.29</v>
      </c>
    </row>
    <row r="2756" spans="1:12" x14ac:dyDescent="0.15">
      <c r="A2756" s="1">
        <v>2755</v>
      </c>
      <c r="B2756" s="4">
        <v>41093</v>
      </c>
      <c r="C2756" s="1" t="s">
        <v>16</v>
      </c>
      <c r="D2756" s="1" t="s">
        <v>37</v>
      </c>
      <c r="E2756" s="1">
        <v>0.57484953703703701</v>
      </c>
      <c r="F2756" s="1" t="s">
        <v>13</v>
      </c>
      <c r="G2756" s="1">
        <v>3.24</v>
      </c>
      <c r="H2756" s="1">
        <v>3.32</v>
      </c>
      <c r="I2756" s="1">
        <v>0</v>
      </c>
      <c r="J2756" s="4">
        <v>41094</v>
      </c>
      <c r="K2756" s="4">
        <v>42555</v>
      </c>
      <c r="L2756">
        <f t="shared" si="43"/>
        <v>3.2800000000000002</v>
      </c>
    </row>
    <row r="2757" spans="1:12" x14ac:dyDescent="0.15">
      <c r="A2757" s="1">
        <v>2756</v>
      </c>
      <c r="B2757" s="4">
        <v>41093</v>
      </c>
      <c r="C2757" s="1" t="s">
        <v>18</v>
      </c>
      <c r="D2757" s="1" t="s">
        <v>37</v>
      </c>
      <c r="E2757" s="1">
        <v>0.57484953703703701</v>
      </c>
      <c r="F2757" s="1" t="s">
        <v>13</v>
      </c>
      <c r="G2757" s="1">
        <v>3.25</v>
      </c>
      <c r="H2757" s="1">
        <v>3.33</v>
      </c>
      <c r="I2757" s="1">
        <v>0</v>
      </c>
      <c r="J2757" s="4">
        <v>41094</v>
      </c>
      <c r="K2757" s="4">
        <v>41824</v>
      </c>
      <c r="L2757">
        <f t="shared" si="43"/>
        <v>3.29</v>
      </c>
    </row>
    <row r="2758" spans="1:12" x14ac:dyDescent="0.15">
      <c r="A2758" s="1">
        <v>2757</v>
      </c>
      <c r="B2758" s="4">
        <v>41093</v>
      </c>
      <c r="C2758" s="1" t="s">
        <v>21</v>
      </c>
      <c r="D2758" s="1" t="s">
        <v>37</v>
      </c>
      <c r="E2758" s="1">
        <v>0.57484953703703701</v>
      </c>
      <c r="F2758" s="1" t="s">
        <v>13</v>
      </c>
      <c r="G2758" s="1">
        <v>3.28</v>
      </c>
      <c r="H2758" s="1">
        <v>3.4</v>
      </c>
      <c r="I2758" s="1">
        <v>0</v>
      </c>
      <c r="J2758" s="4">
        <v>41094</v>
      </c>
      <c r="K2758" s="4">
        <v>43650</v>
      </c>
      <c r="L2758">
        <f t="shared" si="43"/>
        <v>3.34</v>
      </c>
    </row>
    <row r="2759" spans="1:12" x14ac:dyDescent="0.15">
      <c r="A2759" s="1">
        <v>2758</v>
      </c>
      <c r="B2759" s="4">
        <v>41093</v>
      </c>
      <c r="C2759" s="1" t="s">
        <v>21</v>
      </c>
      <c r="D2759" s="1" t="s">
        <v>30</v>
      </c>
      <c r="E2759" s="1">
        <v>0.49015046296296294</v>
      </c>
      <c r="F2759" s="1" t="s">
        <v>13</v>
      </c>
      <c r="G2759" s="1">
        <v>3.28</v>
      </c>
      <c r="H2759" s="1">
        <v>3.38</v>
      </c>
      <c r="I2759" s="1">
        <v>0</v>
      </c>
      <c r="J2759" s="4">
        <v>41094</v>
      </c>
      <c r="K2759" s="4">
        <v>43650</v>
      </c>
      <c r="L2759">
        <f t="shared" si="43"/>
        <v>3.33</v>
      </c>
    </row>
    <row r="2760" spans="1:12" x14ac:dyDescent="0.15">
      <c r="A2760" s="1">
        <v>2759</v>
      </c>
      <c r="B2760" s="4">
        <v>41093</v>
      </c>
      <c r="C2760" s="1" t="s">
        <v>16</v>
      </c>
      <c r="D2760" s="1" t="s">
        <v>27</v>
      </c>
      <c r="E2760" s="1">
        <v>0.48225694444444445</v>
      </c>
      <c r="F2760" s="1" t="s">
        <v>13</v>
      </c>
      <c r="G2760" s="1">
        <v>3.23</v>
      </c>
      <c r="H2760" s="1">
        <v>3.33</v>
      </c>
      <c r="I2760" s="1">
        <v>0</v>
      </c>
      <c r="J2760" s="4">
        <v>41094</v>
      </c>
      <c r="K2760" s="4">
        <v>42555</v>
      </c>
      <c r="L2760">
        <f t="shared" si="43"/>
        <v>3.2800000000000002</v>
      </c>
    </row>
    <row r="2761" spans="1:12" x14ac:dyDescent="0.15">
      <c r="A2761" s="1">
        <v>2760</v>
      </c>
      <c r="B2761" s="4">
        <v>41093</v>
      </c>
      <c r="C2761" s="1" t="s">
        <v>14</v>
      </c>
      <c r="D2761" s="1" t="s">
        <v>27</v>
      </c>
      <c r="E2761" s="1">
        <v>0.48225694444444445</v>
      </c>
      <c r="F2761" s="1" t="s">
        <v>13</v>
      </c>
      <c r="G2761" s="1">
        <v>3.41</v>
      </c>
      <c r="H2761" s="1">
        <v>3.48</v>
      </c>
      <c r="I2761" s="1">
        <v>0</v>
      </c>
      <c r="J2761" s="4">
        <v>41094</v>
      </c>
      <c r="K2761" s="4">
        <v>41459</v>
      </c>
      <c r="L2761">
        <f t="shared" si="43"/>
        <v>3.4450000000000003</v>
      </c>
    </row>
    <row r="2762" spans="1:12" x14ac:dyDescent="0.15">
      <c r="A2762" s="1">
        <v>2761</v>
      </c>
      <c r="B2762" s="4">
        <v>41093</v>
      </c>
      <c r="C2762" s="1" t="s">
        <v>11</v>
      </c>
      <c r="D2762" s="1" t="s">
        <v>26</v>
      </c>
      <c r="E2762" s="1">
        <v>0.4831597222222222</v>
      </c>
      <c r="F2762" s="1" t="s">
        <v>13</v>
      </c>
      <c r="G2762" s="1">
        <v>3.25</v>
      </c>
      <c r="H2762" s="1">
        <v>3.3</v>
      </c>
      <c r="I2762" s="1">
        <v>0</v>
      </c>
      <c r="J2762" s="4">
        <v>41094</v>
      </c>
      <c r="K2762" s="4">
        <v>42189</v>
      </c>
      <c r="L2762">
        <f t="shared" si="43"/>
        <v>3.2749999999999999</v>
      </c>
    </row>
    <row r="2763" spans="1:12" x14ac:dyDescent="0.15">
      <c r="A2763" s="1">
        <v>2762</v>
      </c>
      <c r="B2763" s="4">
        <v>41093</v>
      </c>
      <c r="C2763" s="1" t="s">
        <v>20</v>
      </c>
      <c r="D2763" s="1" t="s">
        <v>26</v>
      </c>
      <c r="E2763" s="1">
        <v>0.4831597222222222</v>
      </c>
      <c r="F2763" s="1" t="s">
        <v>13</v>
      </c>
      <c r="G2763" s="1">
        <v>3.25</v>
      </c>
      <c r="H2763" s="1">
        <v>3.3</v>
      </c>
      <c r="I2763" s="1">
        <v>0</v>
      </c>
      <c r="J2763" s="4">
        <v>41094</v>
      </c>
      <c r="K2763" s="4">
        <v>44746</v>
      </c>
      <c r="L2763">
        <f t="shared" si="43"/>
        <v>3.2749999999999999</v>
      </c>
    </row>
    <row r="2764" spans="1:12" x14ac:dyDescent="0.15">
      <c r="A2764" s="1">
        <v>2763</v>
      </c>
      <c r="B2764" s="4">
        <v>41093</v>
      </c>
      <c r="C2764" s="1" t="s">
        <v>14</v>
      </c>
      <c r="D2764" s="1" t="s">
        <v>26</v>
      </c>
      <c r="E2764" s="1">
        <v>0.4831597222222222</v>
      </c>
      <c r="F2764" s="1" t="s">
        <v>13</v>
      </c>
      <c r="G2764" s="1">
        <v>2.4500000000000002</v>
      </c>
      <c r="H2764" s="1">
        <v>3.5</v>
      </c>
      <c r="I2764" s="1">
        <v>0</v>
      </c>
      <c r="J2764" s="4">
        <v>41094</v>
      </c>
      <c r="K2764" s="4">
        <v>41459</v>
      </c>
      <c r="L2764">
        <f t="shared" si="43"/>
        <v>2.9750000000000001</v>
      </c>
    </row>
    <row r="2765" spans="1:12" x14ac:dyDescent="0.15">
      <c r="A2765" s="1">
        <v>2764</v>
      </c>
      <c r="B2765" s="4">
        <v>41093</v>
      </c>
      <c r="C2765" s="1" t="s">
        <v>19</v>
      </c>
      <c r="D2765" s="1" t="s">
        <v>27</v>
      </c>
      <c r="E2765" s="1">
        <v>0.48223379629629631</v>
      </c>
      <c r="F2765" s="1" t="s">
        <v>13</v>
      </c>
      <c r="G2765" s="1">
        <v>3.52</v>
      </c>
      <c r="H2765" s="1">
        <v>3.62</v>
      </c>
      <c r="I2765" s="1">
        <v>0</v>
      </c>
      <c r="J2765" s="4">
        <v>41094</v>
      </c>
      <c r="K2765" s="4">
        <v>41368</v>
      </c>
      <c r="L2765">
        <f t="shared" si="43"/>
        <v>3.5700000000000003</v>
      </c>
    </row>
    <row r="2766" spans="1:12" x14ac:dyDescent="0.15">
      <c r="A2766" s="1">
        <v>2765</v>
      </c>
      <c r="B2766" s="4">
        <v>41093</v>
      </c>
      <c r="C2766" s="1" t="s">
        <v>22</v>
      </c>
      <c r="D2766" s="1" t="s">
        <v>27</v>
      </c>
      <c r="E2766" s="1">
        <v>0.48222222222222227</v>
      </c>
      <c r="F2766" s="1" t="s">
        <v>13</v>
      </c>
      <c r="G2766" s="1">
        <v>3.75</v>
      </c>
      <c r="H2766" s="1">
        <v>3.8</v>
      </c>
      <c r="I2766" s="1">
        <v>0</v>
      </c>
      <c r="J2766" s="4">
        <v>41094</v>
      </c>
      <c r="K2766" s="4">
        <v>41278</v>
      </c>
      <c r="L2766">
        <f t="shared" si="43"/>
        <v>3.7749999999999999</v>
      </c>
    </row>
    <row r="2767" spans="1:12" x14ac:dyDescent="0.15">
      <c r="A2767" s="1">
        <v>2766</v>
      </c>
      <c r="B2767" s="4">
        <v>41093</v>
      </c>
      <c r="C2767" s="1" t="s">
        <v>25</v>
      </c>
      <c r="D2767" s="1" t="s">
        <v>27</v>
      </c>
      <c r="E2767" s="1">
        <v>0.48223379629629631</v>
      </c>
      <c r="F2767" s="1" t="s">
        <v>13</v>
      </c>
      <c r="G2767" s="1">
        <v>3.23</v>
      </c>
      <c r="H2767" s="1">
        <v>3.32</v>
      </c>
      <c r="I2767" s="1">
        <v>0</v>
      </c>
      <c r="J2767" s="4">
        <v>41094</v>
      </c>
      <c r="K2767" s="4">
        <v>42920</v>
      </c>
      <c r="L2767">
        <f t="shared" si="43"/>
        <v>3.2749999999999999</v>
      </c>
    </row>
    <row r="2768" spans="1:12" x14ac:dyDescent="0.15">
      <c r="A2768" s="1">
        <v>2767</v>
      </c>
      <c r="B2768" s="4">
        <v>41093</v>
      </c>
      <c r="C2768" s="1" t="s">
        <v>11</v>
      </c>
      <c r="D2768" s="1" t="s">
        <v>27</v>
      </c>
      <c r="E2768" s="1">
        <v>0.48224537037037035</v>
      </c>
      <c r="F2768" s="1" t="s">
        <v>13</v>
      </c>
      <c r="G2768" s="1">
        <v>3.22</v>
      </c>
      <c r="H2768" s="1">
        <v>3.3</v>
      </c>
      <c r="I2768" s="1">
        <v>0</v>
      </c>
      <c r="J2768" s="4">
        <v>41094</v>
      </c>
      <c r="K2768" s="4">
        <v>42189</v>
      </c>
      <c r="L2768">
        <f t="shared" si="43"/>
        <v>3.26</v>
      </c>
    </row>
    <row r="2769" spans="1:12" x14ac:dyDescent="0.15">
      <c r="A2769" s="1">
        <v>2768</v>
      </c>
      <c r="B2769" s="4">
        <v>41093</v>
      </c>
      <c r="C2769" s="1" t="s">
        <v>18</v>
      </c>
      <c r="D2769" s="1" t="s">
        <v>27</v>
      </c>
      <c r="E2769" s="1">
        <v>0.48224537037037035</v>
      </c>
      <c r="F2769" s="1" t="s">
        <v>13</v>
      </c>
      <c r="G2769" s="1">
        <v>3.22</v>
      </c>
      <c r="H2769" s="1">
        <v>3.32</v>
      </c>
      <c r="I2769" s="1">
        <v>0</v>
      </c>
      <c r="J2769" s="4">
        <v>41094</v>
      </c>
      <c r="K2769" s="4">
        <v>41824</v>
      </c>
      <c r="L2769">
        <f t="shared" si="43"/>
        <v>3.27</v>
      </c>
    </row>
    <row r="2770" spans="1:12" x14ac:dyDescent="0.15">
      <c r="A2770" s="1">
        <v>2769</v>
      </c>
      <c r="B2770" s="4">
        <v>41093</v>
      </c>
      <c r="C2770" s="1" t="s">
        <v>25</v>
      </c>
      <c r="D2770" s="1" t="s">
        <v>26</v>
      </c>
      <c r="E2770" s="1">
        <v>0.4831597222222222</v>
      </c>
      <c r="F2770" s="1" t="s">
        <v>13</v>
      </c>
      <c r="G2770" s="1">
        <v>3.25</v>
      </c>
      <c r="H2770" s="1">
        <v>3.3</v>
      </c>
      <c r="I2770" s="1">
        <v>0</v>
      </c>
      <c r="J2770" s="4">
        <v>41094</v>
      </c>
      <c r="K2770" s="4">
        <v>42920</v>
      </c>
      <c r="L2770">
        <f t="shared" si="43"/>
        <v>3.2749999999999999</v>
      </c>
    </row>
    <row r="2771" spans="1:12" x14ac:dyDescent="0.15">
      <c r="A2771" s="1">
        <v>2770</v>
      </c>
      <c r="B2771" s="4">
        <v>41093</v>
      </c>
      <c r="C2771" s="1" t="s">
        <v>18</v>
      </c>
      <c r="D2771" s="1" t="s">
        <v>30</v>
      </c>
      <c r="E2771" s="1">
        <v>0.49015046296296294</v>
      </c>
      <c r="F2771" s="1" t="s">
        <v>13</v>
      </c>
      <c r="G2771" s="1">
        <v>3.25</v>
      </c>
      <c r="H2771" s="1">
        <v>3.35</v>
      </c>
      <c r="I2771" s="1">
        <v>0</v>
      </c>
      <c r="J2771" s="4">
        <v>41094</v>
      </c>
      <c r="K2771" s="4">
        <v>41824</v>
      </c>
      <c r="L2771">
        <f t="shared" si="43"/>
        <v>3.3</v>
      </c>
    </row>
    <row r="2772" spans="1:12" x14ac:dyDescent="0.15">
      <c r="A2772" s="1">
        <v>2771</v>
      </c>
      <c r="B2772" s="4">
        <v>41093</v>
      </c>
      <c r="C2772" s="1" t="s">
        <v>11</v>
      </c>
      <c r="D2772" s="1" t="s">
        <v>30</v>
      </c>
      <c r="E2772" s="1">
        <v>0.49015046296296294</v>
      </c>
      <c r="F2772" s="1" t="s">
        <v>13</v>
      </c>
      <c r="G2772" s="1">
        <v>3.24</v>
      </c>
      <c r="H2772" s="1">
        <v>3.34</v>
      </c>
      <c r="I2772" s="1">
        <v>0</v>
      </c>
      <c r="J2772" s="4">
        <v>41094</v>
      </c>
      <c r="K2772" s="4">
        <v>42189</v>
      </c>
      <c r="L2772">
        <f t="shared" si="43"/>
        <v>3.29</v>
      </c>
    </row>
    <row r="2773" spans="1:12" x14ac:dyDescent="0.15">
      <c r="A2773" s="1">
        <v>2772</v>
      </c>
      <c r="B2773" s="4">
        <v>41093</v>
      </c>
      <c r="C2773" s="1" t="s">
        <v>14</v>
      </c>
      <c r="D2773" s="1" t="s">
        <v>30</v>
      </c>
      <c r="E2773" s="1">
        <v>0.49015046296296294</v>
      </c>
      <c r="F2773" s="1" t="s">
        <v>13</v>
      </c>
      <c r="G2773" s="1">
        <v>3.4</v>
      </c>
      <c r="H2773" s="1">
        <v>3.5</v>
      </c>
      <c r="I2773" s="1">
        <v>0</v>
      </c>
      <c r="J2773" s="4">
        <v>41094</v>
      </c>
      <c r="K2773" s="4">
        <v>41459</v>
      </c>
      <c r="L2773">
        <f t="shared" si="43"/>
        <v>3.45</v>
      </c>
    </row>
    <row r="2774" spans="1:12" x14ac:dyDescent="0.15">
      <c r="A2774" s="1">
        <v>2773</v>
      </c>
      <c r="B2774" s="4">
        <v>41093</v>
      </c>
      <c r="C2774" s="1" t="s">
        <v>19</v>
      </c>
      <c r="D2774" s="1" t="s">
        <v>30</v>
      </c>
      <c r="E2774" s="1">
        <v>0.49015046296296294</v>
      </c>
      <c r="F2774" s="1" t="s">
        <v>13</v>
      </c>
      <c r="G2774" s="1">
        <v>3.53</v>
      </c>
      <c r="H2774" s="1">
        <v>3.63</v>
      </c>
      <c r="I2774" s="1">
        <v>0</v>
      </c>
      <c r="J2774" s="4">
        <v>41094</v>
      </c>
      <c r="K2774" s="4">
        <v>41368</v>
      </c>
      <c r="L2774">
        <f t="shared" si="43"/>
        <v>3.58</v>
      </c>
    </row>
    <row r="2775" spans="1:12" x14ac:dyDescent="0.15">
      <c r="A2775" s="1">
        <v>2774</v>
      </c>
      <c r="B2775" s="4">
        <v>41093</v>
      </c>
      <c r="C2775" s="1" t="s">
        <v>20</v>
      </c>
      <c r="D2775" s="1" t="s">
        <v>30</v>
      </c>
      <c r="E2775" s="1">
        <v>0.49015046296296294</v>
      </c>
      <c r="F2775" s="1" t="s">
        <v>13</v>
      </c>
      <c r="G2775" s="1">
        <v>3.33</v>
      </c>
      <c r="H2775" s="1">
        <v>3.43</v>
      </c>
      <c r="I2775" s="1">
        <v>0</v>
      </c>
      <c r="J2775" s="4">
        <v>41094</v>
      </c>
      <c r="K2775" s="4">
        <v>44746</v>
      </c>
      <c r="L2775">
        <f t="shared" si="43"/>
        <v>3.38</v>
      </c>
    </row>
    <row r="2776" spans="1:12" x14ac:dyDescent="0.15">
      <c r="A2776" s="1">
        <v>2775</v>
      </c>
      <c r="B2776" s="4">
        <v>41093</v>
      </c>
      <c r="C2776" s="1" t="s">
        <v>16</v>
      </c>
      <c r="D2776" s="1" t="s">
        <v>26</v>
      </c>
      <c r="E2776" s="1">
        <v>0.4831597222222222</v>
      </c>
      <c r="F2776" s="1" t="s">
        <v>13</v>
      </c>
      <c r="G2776" s="1">
        <v>3.25</v>
      </c>
      <c r="H2776" s="1">
        <v>3.3</v>
      </c>
      <c r="I2776" s="1">
        <v>0</v>
      </c>
      <c r="J2776" s="4">
        <v>41094</v>
      </c>
      <c r="K2776" s="4">
        <v>42555</v>
      </c>
      <c r="L2776">
        <f t="shared" si="43"/>
        <v>3.2749999999999999</v>
      </c>
    </row>
    <row r="2777" spans="1:12" x14ac:dyDescent="0.15">
      <c r="A2777" s="1">
        <v>2776</v>
      </c>
      <c r="B2777" s="4">
        <v>41093</v>
      </c>
      <c r="C2777" s="1" t="s">
        <v>22</v>
      </c>
      <c r="D2777" s="1" t="s">
        <v>26</v>
      </c>
      <c r="E2777" s="1">
        <v>0.4831597222222222</v>
      </c>
      <c r="F2777" s="1" t="s">
        <v>13</v>
      </c>
      <c r="G2777" s="1">
        <v>2.75</v>
      </c>
      <c r="H2777" s="1">
        <v>3.8</v>
      </c>
      <c r="I2777" s="1">
        <v>0</v>
      </c>
      <c r="J2777" s="4">
        <v>41094</v>
      </c>
      <c r="K2777" s="4">
        <v>41278</v>
      </c>
      <c r="L2777">
        <f t="shared" si="43"/>
        <v>3.2749999999999999</v>
      </c>
    </row>
    <row r="2778" spans="1:12" x14ac:dyDescent="0.15">
      <c r="A2778" s="1">
        <v>2777</v>
      </c>
      <c r="B2778" s="4">
        <v>41093</v>
      </c>
      <c r="C2778" s="1" t="s">
        <v>21</v>
      </c>
      <c r="D2778" s="1" t="s">
        <v>26</v>
      </c>
      <c r="E2778" s="1">
        <v>0.4831597222222222</v>
      </c>
      <c r="F2778" s="1" t="s">
        <v>13</v>
      </c>
      <c r="G2778" s="1">
        <v>3.25</v>
      </c>
      <c r="H2778" s="1">
        <v>3.3</v>
      </c>
      <c r="I2778" s="1">
        <v>0</v>
      </c>
      <c r="J2778" s="4">
        <v>41094</v>
      </c>
      <c r="K2778" s="4">
        <v>43650</v>
      </c>
      <c r="L2778">
        <f t="shared" si="43"/>
        <v>3.2749999999999999</v>
      </c>
    </row>
    <row r="2779" spans="1:12" x14ac:dyDescent="0.15">
      <c r="A2779" s="1">
        <v>2778</v>
      </c>
      <c r="B2779" s="4">
        <v>41093</v>
      </c>
      <c r="C2779" s="1" t="s">
        <v>18</v>
      </c>
      <c r="D2779" s="1" t="s">
        <v>26</v>
      </c>
      <c r="E2779" s="1">
        <v>0.48317129629629635</v>
      </c>
      <c r="F2779" s="1" t="s">
        <v>13</v>
      </c>
      <c r="G2779" s="1">
        <v>3.28</v>
      </c>
      <c r="H2779" s="1">
        <v>3.35</v>
      </c>
      <c r="I2779" s="1">
        <v>0</v>
      </c>
      <c r="J2779" s="4">
        <v>41094</v>
      </c>
      <c r="K2779" s="4">
        <v>41824</v>
      </c>
      <c r="L2779">
        <f t="shared" si="43"/>
        <v>3.3149999999999999</v>
      </c>
    </row>
    <row r="2780" spans="1:12" x14ac:dyDescent="0.15">
      <c r="A2780" s="1">
        <v>2779</v>
      </c>
      <c r="B2780" s="4">
        <v>41093</v>
      </c>
      <c r="C2780" s="1" t="s">
        <v>19</v>
      </c>
      <c r="D2780" s="1" t="s">
        <v>26</v>
      </c>
      <c r="E2780" s="1">
        <v>0.4831597222222222</v>
      </c>
      <c r="F2780" s="1" t="s">
        <v>13</v>
      </c>
      <c r="G2780" s="1">
        <v>3.48</v>
      </c>
      <c r="H2780" s="1">
        <v>3.55</v>
      </c>
      <c r="I2780" s="1">
        <v>0</v>
      </c>
      <c r="J2780" s="4">
        <v>41094</v>
      </c>
      <c r="K2780" s="4">
        <v>41368</v>
      </c>
      <c r="L2780">
        <f t="shared" si="43"/>
        <v>3.5149999999999997</v>
      </c>
    </row>
    <row r="2781" spans="1:12" x14ac:dyDescent="0.15">
      <c r="A2781" s="1">
        <v>2780</v>
      </c>
      <c r="B2781" s="4">
        <v>41093</v>
      </c>
      <c r="C2781" s="1" t="s">
        <v>20</v>
      </c>
      <c r="D2781" s="1" t="s">
        <v>26</v>
      </c>
      <c r="E2781" s="1">
        <v>0.67962962962962958</v>
      </c>
      <c r="F2781" s="1" t="s">
        <v>13</v>
      </c>
      <c r="G2781" s="1">
        <v>3.25</v>
      </c>
      <c r="H2781" s="1">
        <v>3.3</v>
      </c>
      <c r="I2781" s="1">
        <v>0</v>
      </c>
      <c r="J2781" s="4">
        <v>41094</v>
      </c>
      <c r="K2781" s="4">
        <v>44746</v>
      </c>
      <c r="L2781">
        <f t="shared" si="43"/>
        <v>3.2749999999999999</v>
      </c>
    </row>
    <row r="2782" spans="1:12" x14ac:dyDescent="0.15">
      <c r="A2782" s="1">
        <v>2781</v>
      </c>
      <c r="B2782" s="4">
        <v>41093</v>
      </c>
      <c r="C2782" s="1" t="s">
        <v>14</v>
      </c>
      <c r="D2782" s="1" t="s">
        <v>26</v>
      </c>
      <c r="E2782" s="1">
        <v>0.67962962962962958</v>
      </c>
      <c r="F2782" s="1" t="s">
        <v>13</v>
      </c>
      <c r="G2782" s="1">
        <v>2.4500000000000002</v>
      </c>
      <c r="H2782" s="1">
        <v>3.5</v>
      </c>
      <c r="I2782" s="1">
        <v>0</v>
      </c>
      <c r="J2782" s="4">
        <v>41094</v>
      </c>
      <c r="K2782" s="4">
        <v>41459</v>
      </c>
      <c r="L2782">
        <f t="shared" si="43"/>
        <v>2.9750000000000001</v>
      </c>
    </row>
    <row r="2783" spans="1:12" x14ac:dyDescent="0.15">
      <c r="A2783" s="1">
        <v>2782</v>
      </c>
      <c r="B2783" s="4">
        <v>41093</v>
      </c>
      <c r="C2783" s="1" t="s">
        <v>25</v>
      </c>
      <c r="D2783" s="1" t="s">
        <v>26</v>
      </c>
      <c r="E2783" s="1">
        <v>0.67962962962962958</v>
      </c>
      <c r="F2783" s="1" t="s">
        <v>13</v>
      </c>
      <c r="G2783" s="1">
        <v>3.25</v>
      </c>
      <c r="H2783" s="1">
        <v>3.3</v>
      </c>
      <c r="I2783" s="1">
        <v>0</v>
      </c>
      <c r="J2783" s="4">
        <v>41094</v>
      </c>
      <c r="K2783" s="4">
        <v>42920</v>
      </c>
      <c r="L2783">
        <f t="shared" si="43"/>
        <v>3.2749999999999999</v>
      </c>
    </row>
    <row r="2784" spans="1:12" x14ac:dyDescent="0.15">
      <c r="A2784" s="1">
        <v>2783</v>
      </c>
      <c r="B2784" s="4">
        <v>41093</v>
      </c>
      <c r="C2784" s="1" t="s">
        <v>21</v>
      </c>
      <c r="D2784" s="1" t="s">
        <v>26</v>
      </c>
      <c r="E2784" s="1">
        <v>0.67962962962962958</v>
      </c>
      <c r="F2784" s="1" t="s">
        <v>13</v>
      </c>
      <c r="G2784" s="1">
        <v>3.25</v>
      </c>
      <c r="H2784" s="1">
        <v>3.3</v>
      </c>
      <c r="I2784" s="1">
        <v>0</v>
      </c>
      <c r="J2784" s="4">
        <v>41094</v>
      </c>
      <c r="K2784" s="4">
        <v>43650</v>
      </c>
      <c r="L2784">
        <f t="shared" si="43"/>
        <v>3.2749999999999999</v>
      </c>
    </row>
    <row r="2785" spans="1:12" x14ac:dyDescent="0.15">
      <c r="A2785" s="1">
        <v>2784</v>
      </c>
      <c r="B2785" s="4">
        <v>41093</v>
      </c>
      <c r="C2785" s="1" t="s">
        <v>16</v>
      </c>
      <c r="D2785" s="1" t="s">
        <v>26</v>
      </c>
      <c r="E2785" s="1">
        <v>0.67962962962962958</v>
      </c>
      <c r="F2785" s="1" t="s">
        <v>13</v>
      </c>
      <c r="G2785" s="1">
        <v>3.25</v>
      </c>
      <c r="H2785" s="1">
        <v>3.3</v>
      </c>
      <c r="I2785" s="1">
        <v>0</v>
      </c>
      <c r="J2785" s="4">
        <v>41094</v>
      </c>
      <c r="K2785" s="4">
        <v>42555</v>
      </c>
      <c r="L2785">
        <f t="shared" si="43"/>
        <v>3.2749999999999999</v>
      </c>
    </row>
    <row r="2786" spans="1:12" x14ac:dyDescent="0.15">
      <c r="A2786" s="1">
        <v>2785</v>
      </c>
      <c r="B2786" s="4">
        <v>41093</v>
      </c>
      <c r="C2786" s="1" t="s">
        <v>16</v>
      </c>
      <c r="D2786" s="1" t="s">
        <v>27</v>
      </c>
      <c r="E2786" s="1">
        <v>0.67371527777777773</v>
      </c>
      <c r="F2786" s="1" t="s">
        <v>13</v>
      </c>
      <c r="G2786" s="1">
        <v>3.22</v>
      </c>
      <c r="H2786" s="1">
        <v>3.32</v>
      </c>
      <c r="I2786" s="1">
        <v>0</v>
      </c>
      <c r="J2786" s="4">
        <v>41094</v>
      </c>
      <c r="K2786" s="4">
        <v>42555</v>
      </c>
      <c r="L2786">
        <f t="shared" si="43"/>
        <v>3.27</v>
      </c>
    </row>
    <row r="2787" spans="1:12" x14ac:dyDescent="0.15">
      <c r="A2787" s="1">
        <v>2786</v>
      </c>
      <c r="B2787" s="4">
        <v>41093</v>
      </c>
      <c r="C2787" s="1" t="s">
        <v>11</v>
      </c>
      <c r="D2787" s="1" t="s">
        <v>27</v>
      </c>
      <c r="E2787" s="1">
        <v>0.67371527777777773</v>
      </c>
      <c r="F2787" s="1" t="s">
        <v>13</v>
      </c>
      <c r="G2787" s="1">
        <v>3.2</v>
      </c>
      <c r="H2787" s="1">
        <v>3.3</v>
      </c>
      <c r="I2787" s="1">
        <v>0</v>
      </c>
      <c r="J2787" s="4">
        <v>41094</v>
      </c>
      <c r="K2787" s="4">
        <v>42189</v>
      </c>
      <c r="L2787">
        <f t="shared" si="43"/>
        <v>3.25</v>
      </c>
    </row>
    <row r="2788" spans="1:12" x14ac:dyDescent="0.15">
      <c r="A2788" s="1">
        <v>2787</v>
      </c>
      <c r="B2788" s="4">
        <v>41093</v>
      </c>
      <c r="C2788" s="1" t="s">
        <v>14</v>
      </c>
      <c r="D2788" s="1" t="s">
        <v>27</v>
      </c>
      <c r="E2788" s="1">
        <v>0.67371527777777773</v>
      </c>
      <c r="F2788" s="1" t="s">
        <v>13</v>
      </c>
      <c r="G2788" s="1">
        <v>3.4</v>
      </c>
      <c r="H2788" s="1">
        <v>3.46</v>
      </c>
      <c r="I2788" s="1">
        <v>0</v>
      </c>
      <c r="J2788" s="4">
        <v>41094</v>
      </c>
      <c r="K2788" s="4">
        <v>41459</v>
      </c>
      <c r="L2788">
        <f t="shared" si="43"/>
        <v>3.4299999999999997</v>
      </c>
    </row>
    <row r="2789" spans="1:12" x14ac:dyDescent="0.15">
      <c r="A2789" s="1">
        <v>2788</v>
      </c>
      <c r="B2789" s="4">
        <v>41093</v>
      </c>
      <c r="C2789" s="1" t="s">
        <v>11</v>
      </c>
      <c r="D2789" s="1" t="s">
        <v>26</v>
      </c>
      <c r="E2789" s="1">
        <v>0.67962962962962958</v>
      </c>
      <c r="F2789" s="1" t="s">
        <v>13</v>
      </c>
      <c r="G2789" s="1">
        <v>3.25</v>
      </c>
      <c r="H2789" s="1">
        <v>3.3</v>
      </c>
      <c r="I2789" s="1">
        <v>0</v>
      </c>
      <c r="J2789" s="4">
        <v>41094</v>
      </c>
      <c r="K2789" s="4">
        <v>42189</v>
      </c>
      <c r="L2789">
        <f t="shared" si="43"/>
        <v>3.2749999999999999</v>
      </c>
    </row>
    <row r="2790" spans="1:12" x14ac:dyDescent="0.15">
      <c r="A2790" s="1">
        <v>2789</v>
      </c>
      <c r="B2790" s="4">
        <v>41093</v>
      </c>
      <c r="C2790" s="1" t="s">
        <v>19</v>
      </c>
      <c r="D2790" s="1" t="s">
        <v>26</v>
      </c>
      <c r="E2790" s="1">
        <v>0.67962962962962958</v>
      </c>
      <c r="F2790" s="1" t="s">
        <v>13</v>
      </c>
      <c r="G2790" s="1">
        <v>3.48</v>
      </c>
      <c r="H2790" s="1">
        <v>3.55</v>
      </c>
      <c r="I2790" s="1">
        <v>0</v>
      </c>
      <c r="J2790" s="4">
        <v>41094</v>
      </c>
      <c r="K2790" s="4">
        <v>41368</v>
      </c>
      <c r="L2790">
        <f t="shared" si="43"/>
        <v>3.5149999999999997</v>
      </c>
    </row>
    <row r="2791" spans="1:12" x14ac:dyDescent="0.15">
      <c r="A2791" s="1">
        <v>2790</v>
      </c>
      <c r="B2791" s="4">
        <v>41093</v>
      </c>
      <c r="C2791" s="1" t="s">
        <v>22</v>
      </c>
      <c r="D2791" s="1" t="s">
        <v>26</v>
      </c>
      <c r="E2791" s="1">
        <v>0.67964120370370373</v>
      </c>
      <c r="F2791" s="1" t="s">
        <v>13</v>
      </c>
      <c r="G2791" s="1">
        <v>2.75</v>
      </c>
      <c r="H2791" s="1">
        <v>3.8</v>
      </c>
      <c r="I2791" s="1">
        <v>0</v>
      </c>
      <c r="J2791" s="4">
        <v>41094</v>
      </c>
      <c r="K2791" s="4">
        <v>41278</v>
      </c>
      <c r="L2791">
        <f t="shared" si="43"/>
        <v>3.2749999999999999</v>
      </c>
    </row>
    <row r="2792" spans="1:12" x14ac:dyDescent="0.15">
      <c r="A2792" s="1">
        <v>2791</v>
      </c>
      <c r="B2792" s="4">
        <v>41093</v>
      </c>
      <c r="C2792" s="1" t="s">
        <v>14</v>
      </c>
      <c r="D2792" s="1" t="s">
        <v>15</v>
      </c>
      <c r="E2792" s="1">
        <v>0.68541666666666667</v>
      </c>
      <c r="F2792" s="1" t="s">
        <v>13</v>
      </c>
      <c r="G2792" s="1">
        <v>3.41</v>
      </c>
      <c r="H2792" s="1">
        <v>3.47</v>
      </c>
      <c r="I2792" s="1">
        <v>0</v>
      </c>
      <c r="J2792" s="4">
        <v>41094</v>
      </c>
      <c r="K2792" s="4">
        <v>41459</v>
      </c>
      <c r="L2792">
        <f t="shared" si="43"/>
        <v>3.4400000000000004</v>
      </c>
    </row>
    <row r="2793" spans="1:12" x14ac:dyDescent="0.15">
      <c r="A2793" s="1">
        <v>2792</v>
      </c>
      <c r="B2793" s="4">
        <v>41093</v>
      </c>
      <c r="C2793" s="1" t="s">
        <v>20</v>
      </c>
      <c r="D2793" s="1" t="s">
        <v>15</v>
      </c>
      <c r="E2793" s="1">
        <v>0.68541666666666667</v>
      </c>
      <c r="F2793" s="1" t="s">
        <v>13</v>
      </c>
      <c r="G2793" s="1">
        <v>3.37</v>
      </c>
      <c r="H2793" s="1">
        <v>3.43</v>
      </c>
      <c r="I2793" s="1">
        <v>0</v>
      </c>
      <c r="J2793" s="4">
        <v>41094</v>
      </c>
      <c r="K2793" s="4">
        <v>44746</v>
      </c>
      <c r="L2793">
        <f t="shared" si="43"/>
        <v>3.4000000000000004</v>
      </c>
    </row>
    <row r="2794" spans="1:12" x14ac:dyDescent="0.15">
      <c r="A2794" s="1">
        <v>2793</v>
      </c>
      <c r="B2794" s="4">
        <v>41093</v>
      </c>
      <c r="C2794" s="1" t="s">
        <v>25</v>
      </c>
      <c r="D2794" s="1" t="s">
        <v>15</v>
      </c>
      <c r="E2794" s="1">
        <v>0.68541666666666667</v>
      </c>
      <c r="F2794" s="1" t="s">
        <v>13</v>
      </c>
      <c r="G2794" s="1">
        <v>3.25</v>
      </c>
      <c r="H2794" s="1">
        <v>3.31</v>
      </c>
      <c r="I2794" s="1">
        <v>0</v>
      </c>
      <c r="J2794" s="4">
        <v>41094</v>
      </c>
      <c r="K2794" s="4">
        <v>42920</v>
      </c>
      <c r="L2794">
        <f t="shared" si="43"/>
        <v>3.2800000000000002</v>
      </c>
    </row>
    <row r="2795" spans="1:12" x14ac:dyDescent="0.15">
      <c r="A2795" s="1">
        <v>2794</v>
      </c>
      <c r="B2795" s="4">
        <v>41093</v>
      </c>
      <c r="C2795" s="1" t="s">
        <v>18</v>
      </c>
      <c r="D2795" s="1" t="s">
        <v>15</v>
      </c>
      <c r="E2795" s="1">
        <v>0.68541666666666667</v>
      </c>
      <c r="F2795" s="1" t="s">
        <v>13</v>
      </c>
      <c r="G2795" s="1">
        <v>3.26</v>
      </c>
      <c r="H2795" s="1">
        <v>3.32</v>
      </c>
      <c r="I2795" s="1">
        <v>0</v>
      </c>
      <c r="J2795" s="4">
        <v>41094</v>
      </c>
      <c r="K2795" s="4">
        <v>41824</v>
      </c>
      <c r="L2795">
        <f t="shared" si="43"/>
        <v>3.29</v>
      </c>
    </row>
    <row r="2796" spans="1:12" x14ac:dyDescent="0.15">
      <c r="A2796" s="1">
        <v>2795</v>
      </c>
      <c r="B2796" s="4">
        <v>41093</v>
      </c>
      <c r="C2796" s="1" t="s">
        <v>19</v>
      </c>
      <c r="D2796" s="1" t="s">
        <v>15</v>
      </c>
      <c r="E2796" s="1">
        <v>0.68541666666666667</v>
      </c>
      <c r="F2796" s="1" t="s">
        <v>13</v>
      </c>
      <c r="G2796" s="1">
        <v>3.54</v>
      </c>
      <c r="H2796" s="1">
        <v>3.6</v>
      </c>
      <c r="I2796" s="1">
        <v>0</v>
      </c>
      <c r="J2796" s="4">
        <v>41094</v>
      </c>
      <c r="K2796" s="4">
        <v>41368</v>
      </c>
      <c r="L2796">
        <f t="shared" si="43"/>
        <v>3.5700000000000003</v>
      </c>
    </row>
    <row r="2797" spans="1:12" x14ac:dyDescent="0.15">
      <c r="A2797" s="1">
        <v>2796</v>
      </c>
      <c r="B2797" s="4">
        <v>41093</v>
      </c>
      <c r="C2797" s="1" t="s">
        <v>22</v>
      </c>
      <c r="D2797" s="1" t="s">
        <v>15</v>
      </c>
      <c r="E2797" s="1">
        <v>0.68540509259259252</v>
      </c>
      <c r="F2797" s="1" t="s">
        <v>13</v>
      </c>
      <c r="G2797" s="1">
        <v>3.74</v>
      </c>
      <c r="H2797" s="1">
        <v>3.8</v>
      </c>
      <c r="I2797" s="1">
        <v>0</v>
      </c>
      <c r="J2797" s="4">
        <v>41094</v>
      </c>
      <c r="K2797" s="4">
        <v>41278</v>
      </c>
      <c r="L2797">
        <f t="shared" si="43"/>
        <v>3.77</v>
      </c>
    </row>
    <row r="2798" spans="1:12" x14ac:dyDescent="0.15">
      <c r="A2798" s="1">
        <v>2797</v>
      </c>
      <c r="B2798" s="4">
        <v>41093</v>
      </c>
      <c r="C2798" s="1" t="s">
        <v>18</v>
      </c>
      <c r="D2798" s="1" t="s">
        <v>26</v>
      </c>
      <c r="E2798" s="1">
        <v>0.67964120370370373</v>
      </c>
      <c r="F2798" s="1" t="s">
        <v>13</v>
      </c>
      <c r="G2798" s="1">
        <v>3.28</v>
      </c>
      <c r="H2798" s="1">
        <v>3.35</v>
      </c>
      <c r="I2798" s="1">
        <v>0</v>
      </c>
      <c r="J2798" s="4">
        <v>41094</v>
      </c>
      <c r="K2798" s="4">
        <v>41824</v>
      </c>
      <c r="L2798">
        <f t="shared" si="43"/>
        <v>3.3149999999999999</v>
      </c>
    </row>
    <row r="2799" spans="1:12" x14ac:dyDescent="0.15">
      <c r="A2799" s="1">
        <v>2798</v>
      </c>
      <c r="B2799" s="4">
        <v>41093</v>
      </c>
      <c r="C2799" s="1" t="s">
        <v>21</v>
      </c>
      <c r="D2799" s="1" t="s">
        <v>15</v>
      </c>
      <c r="E2799" s="1">
        <v>0.68540509259259252</v>
      </c>
      <c r="F2799" s="1" t="s">
        <v>13</v>
      </c>
      <c r="G2799" s="1">
        <v>3.31</v>
      </c>
      <c r="H2799" s="1">
        <v>3.37</v>
      </c>
      <c r="I2799" s="1">
        <v>0</v>
      </c>
      <c r="J2799" s="4">
        <v>41094</v>
      </c>
      <c r="K2799" s="4">
        <v>43650</v>
      </c>
      <c r="L2799">
        <f t="shared" si="43"/>
        <v>3.34</v>
      </c>
    </row>
    <row r="2800" spans="1:12" x14ac:dyDescent="0.15">
      <c r="A2800" s="1">
        <v>2799</v>
      </c>
      <c r="B2800" s="4">
        <v>41093</v>
      </c>
      <c r="C2800" s="1" t="s">
        <v>16</v>
      </c>
      <c r="D2800" s="1" t="s">
        <v>15</v>
      </c>
      <c r="E2800" s="1">
        <v>0.68541666666666667</v>
      </c>
      <c r="F2800" s="1" t="s">
        <v>13</v>
      </c>
      <c r="G2800" s="1">
        <v>3.25</v>
      </c>
      <c r="H2800" s="1">
        <v>3.31</v>
      </c>
      <c r="I2800" s="1">
        <v>0</v>
      </c>
      <c r="J2800" s="4">
        <v>41094</v>
      </c>
      <c r="K2800" s="4">
        <v>42555</v>
      </c>
      <c r="L2800">
        <f t="shared" si="43"/>
        <v>3.2800000000000002</v>
      </c>
    </row>
    <row r="2801" spans="1:12" x14ac:dyDescent="0.15">
      <c r="A2801" s="1">
        <v>2800</v>
      </c>
      <c r="B2801" s="4">
        <v>41093</v>
      </c>
      <c r="C2801" s="1" t="s">
        <v>11</v>
      </c>
      <c r="D2801" s="1" t="s">
        <v>15</v>
      </c>
      <c r="E2801" s="1">
        <v>0.68541666666666667</v>
      </c>
      <c r="F2801" s="1" t="s">
        <v>13</v>
      </c>
      <c r="G2801" s="1">
        <v>3.25</v>
      </c>
      <c r="H2801" s="1">
        <v>3.31</v>
      </c>
      <c r="I2801" s="1">
        <v>0</v>
      </c>
      <c r="J2801" s="4">
        <v>41094</v>
      </c>
      <c r="K2801" s="4">
        <v>42189</v>
      </c>
      <c r="L2801">
        <f t="shared" si="43"/>
        <v>3.2800000000000002</v>
      </c>
    </row>
    <row r="2802" spans="1:12" x14ac:dyDescent="0.15">
      <c r="A2802" s="1">
        <v>2801</v>
      </c>
      <c r="B2802" s="4">
        <v>41093</v>
      </c>
      <c r="C2802" s="1" t="s">
        <v>18</v>
      </c>
      <c r="D2802" s="1" t="s">
        <v>26</v>
      </c>
      <c r="E2802" s="1">
        <v>0.6737037037037038</v>
      </c>
      <c r="F2802" s="1" t="s">
        <v>13</v>
      </c>
      <c r="G2802" s="1">
        <v>3.28</v>
      </c>
      <c r="H2802" s="1">
        <v>3.35</v>
      </c>
      <c r="I2802" s="1">
        <v>0</v>
      </c>
      <c r="J2802" s="4">
        <v>41094</v>
      </c>
      <c r="K2802" s="4">
        <v>41824</v>
      </c>
      <c r="L2802">
        <f t="shared" si="43"/>
        <v>3.3149999999999999</v>
      </c>
    </row>
    <row r="2803" spans="1:12" x14ac:dyDescent="0.15">
      <c r="A2803" s="1">
        <v>2802</v>
      </c>
      <c r="B2803" s="4">
        <v>41093</v>
      </c>
      <c r="C2803" s="1" t="s">
        <v>11</v>
      </c>
      <c r="D2803" s="1" t="s">
        <v>38</v>
      </c>
      <c r="E2803" s="1">
        <v>0.6665740740740741</v>
      </c>
      <c r="F2803" s="1" t="s">
        <v>13</v>
      </c>
      <c r="G2803" s="1">
        <v>3.29</v>
      </c>
      <c r="H2803" s="1">
        <v>3.33</v>
      </c>
      <c r="I2803" s="1">
        <v>0</v>
      </c>
      <c r="J2803" s="4">
        <v>41094</v>
      </c>
      <c r="K2803" s="4">
        <v>42189</v>
      </c>
      <c r="L2803">
        <f t="shared" si="43"/>
        <v>3.31</v>
      </c>
    </row>
    <row r="2804" spans="1:12" x14ac:dyDescent="0.15">
      <c r="A2804" s="1">
        <v>2803</v>
      </c>
      <c r="B2804" s="4">
        <v>41093</v>
      </c>
      <c r="C2804" s="1" t="s">
        <v>18</v>
      </c>
      <c r="D2804" s="1" t="s">
        <v>38</v>
      </c>
      <c r="E2804" s="1">
        <v>0.6665740740740741</v>
      </c>
      <c r="F2804" s="1" t="s">
        <v>13</v>
      </c>
      <c r="G2804" s="1">
        <v>3.3</v>
      </c>
      <c r="H2804" s="1">
        <v>3.34</v>
      </c>
      <c r="I2804" s="1">
        <v>0</v>
      </c>
      <c r="J2804" s="4">
        <v>41094</v>
      </c>
      <c r="K2804" s="4">
        <v>41824</v>
      </c>
      <c r="L2804">
        <f t="shared" si="43"/>
        <v>3.32</v>
      </c>
    </row>
    <row r="2805" spans="1:12" x14ac:dyDescent="0.15">
      <c r="A2805" s="1">
        <v>2804</v>
      </c>
      <c r="B2805" s="4">
        <v>41093</v>
      </c>
      <c r="C2805" s="1" t="s">
        <v>16</v>
      </c>
      <c r="D2805" s="1" t="s">
        <v>38</v>
      </c>
      <c r="E2805" s="1">
        <v>0.6665740740740741</v>
      </c>
      <c r="F2805" s="1" t="s">
        <v>13</v>
      </c>
      <c r="G2805" s="1">
        <v>3.29</v>
      </c>
      <c r="H2805" s="1">
        <v>3.33</v>
      </c>
      <c r="I2805" s="1">
        <v>0</v>
      </c>
      <c r="J2805" s="4">
        <v>41094</v>
      </c>
      <c r="K2805" s="4">
        <v>42555</v>
      </c>
      <c r="L2805">
        <f t="shared" si="43"/>
        <v>3.31</v>
      </c>
    </row>
    <row r="2806" spans="1:12" x14ac:dyDescent="0.15">
      <c r="A2806" s="1">
        <v>2805</v>
      </c>
      <c r="B2806" s="4">
        <v>41093</v>
      </c>
      <c r="C2806" s="1" t="s">
        <v>22</v>
      </c>
      <c r="D2806" s="1" t="s">
        <v>27</v>
      </c>
      <c r="E2806" s="1">
        <v>0.67366898148148147</v>
      </c>
      <c r="F2806" s="1" t="s">
        <v>13</v>
      </c>
      <c r="G2806" s="1">
        <v>3.75</v>
      </c>
      <c r="H2806" s="1">
        <v>3.8</v>
      </c>
      <c r="I2806" s="1">
        <v>0</v>
      </c>
      <c r="J2806" s="4">
        <v>41094</v>
      </c>
      <c r="K2806" s="4">
        <v>41278</v>
      </c>
      <c r="L2806">
        <f t="shared" si="43"/>
        <v>3.7749999999999999</v>
      </c>
    </row>
    <row r="2807" spans="1:12" x14ac:dyDescent="0.15">
      <c r="A2807" s="1">
        <v>2806</v>
      </c>
      <c r="B2807" s="4">
        <v>41093</v>
      </c>
      <c r="C2807" s="1" t="s">
        <v>25</v>
      </c>
      <c r="D2807" s="1" t="s">
        <v>38</v>
      </c>
      <c r="E2807" s="1">
        <v>0.6665740740740741</v>
      </c>
      <c r="F2807" s="1" t="s">
        <v>13</v>
      </c>
      <c r="G2807" s="1">
        <v>3.28</v>
      </c>
      <c r="H2807" s="1">
        <v>3.32</v>
      </c>
      <c r="I2807" s="1">
        <v>0</v>
      </c>
      <c r="J2807" s="4">
        <v>41094</v>
      </c>
      <c r="K2807" s="4">
        <v>42920</v>
      </c>
      <c r="L2807">
        <f t="shared" si="43"/>
        <v>3.3</v>
      </c>
    </row>
    <row r="2808" spans="1:12" x14ac:dyDescent="0.15">
      <c r="A2808" s="1">
        <v>2807</v>
      </c>
      <c r="B2808" s="4">
        <v>41093</v>
      </c>
      <c r="C2808" s="1" t="s">
        <v>20</v>
      </c>
      <c r="D2808" s="1" t="s">
        <v>38</v>
      </c>
      <c r="E2808" s="1">
        <v>0.6665740740740741</v>
      </c>
      <c r="F2808" s="1" t="s">
        <v>13</v>
      </c>
      <c r="G2808" s="1">
        <v>3.39</v>
      </c>
      <c r="H2808" s="1">
        <v>3.43</v>
      </c>
      <c r="I2808" s="1">
        <v>0</v>
      </c>
      <c r="J2808" s="4">
        <v>41094</v>
      </c>
      <c r="K2808" s="4">
        <v>44746</v>
      </c>
      <c r="L2808">
        <f t="shared" si="43"/>
        <v>3.41</v>
      </c>
    </row>
    <row r="2809" spans="1:12" x14ac:dyDescent="0.15">
      <c r="A2809" s="1">
        <v>2808</v>
      </c>
      <c r="B2809" s="4">
        <v>41093</v>
      </c>
      <c r="C2809" s="1" t="s">
        <v>21</v>
      </c>
      <c r="D2809" s="1" t="s">
        <v>38</v>
      </c>
      <c r="E2809" s="1">
        <v>0.6665740740740741</v>
      </c>
      <c r="F2809" s="1" t="s">
        <v>13</v>
      </c>
      <c r="G2809" s="1">
        <v>3.33</v>
      </c>
      <c r="H2809" s="1">
        <v>3.37</v>
      </c>
      <c r="I2809" s="1">
        <v>0</v>
      </c>
      <c r="J2809" s="4">
        <v>41094</v>
      </c>
      <c r="K2809" s="4">
        <v>43650</v>
      </c>
      <c r="L2809">
        <f t="shared" si="43"/>
        <v>3.35</v>
      </c>
    </row>
    <row r="2810" spans="1:12" x14ac:dyDescent="0.15">
      <c r="A2810" s="1">
        <v>2809</v>
      </c>
      <c r="B2810" s="4">
        <v>41093</v>
      </c>
      <c r="C2810" s="1" t="s">
        <v>22</v>
      </c>
      <c r="D2810" s="1" t="s">
        <v>38</v>
      </c>
      <c r="E2810" s="1">
        <v>0.6665740740740741</v>
      </c>
      <c r="F2810" s="1" t="s">
        <v>13</v>
      </c>
      <c r="G2810" s="1">
        <v>3.75</v>
      </c>
      <c r="H2810" s="1">
        <v>3.8</v>
      </c>
      <c r="I2810" s="1">
        <v>0</v>
      </c>
      <c r="J2810" s="4">
        <v>41094</v>
      </c>
      <c r="K2810" s="4">
        <v>41278</v>
      </c>
      <c r="L2810">
        <f t="shared" si="43"/>
        <v>3.7749999999999999</v>
      </c>
    </row>
    <row r="2811" spans="1:12" x14ac:dyDescent="0.15">
      <c r="A2811" s="1">
        <v>2810</v>
      </c>
      <c r="B2811" s="4">
        <v>41093</v>
      </c>
      <c r="C2811" s="1" t="s">
        <v>14</v>
      </c>
      <c r="D2811" s="1" t="s">
        <v>38</v>
      </c>
      <c r="E2811" s="1">
        <v>0.6665740740740741</v>
      </c>
      <c r="F2811" s="1" t="s">
        <v>13</v>
      </c>
      <c r="G2811" s="1">
        <v>3.46</v>
      </c>
      <c r="H2811" s="1">
        <v>3.5</v>
      </c>
      <c r="I2811" s="1">
        <v>0</v>
      </c>
      <c r="J2811" s="4">
        <v>41094</v>
      </c>
      <c r="K2811" s="4">
        <v>41459</v>
      </c>
      <c r="L2811">
        <f t="shared" si="43"/>
        <v>3.48</v>
      </c>
    </row>
    <row r="2812" spans="1:12" x14ac:dyDescent="0.15">
      <c r="A2812" s="1">
        <v>2811</v>
      </c>
      <c r="B2812" s="4">
        <v>41093</v>
      </c>
      <c r="C2812" s="1" t="s">
        <v>19</v>
      </c>
      <c r="D2812" s="1" t="s">
        <v>38</v>
      </c>
      <c r="E2812" s="1">
        <v>0.6665740740740741</v>
      </c>
      <c r="F2812" s="1" t="s">
        <v>13</v>
      </c>
      <c r="G2812" s="1">
        <v>3.6</v>
      </c>
      <c r="H2812" s="1">
        <v>3.64</v>
      </c>
      <c r="I2812" s="1">
        <v>0</v>
      </c>
      <c r="J2812" s="4">
        <v>41094</v>
      </c>
      <c r="K2812" s="4">
        <v>41368</v>
      </c>
      <c r="L2812">
        <f t="shared" si="43"/>
        <v>3.62</v>
      </c>
    </row>
    <row r="2813" spans="1:12" x14ac:dyDescent="0.15">
      <c r="A2813" s="1">
        <v>2812</v>
      </c>
      <c r="B2813" s="4">
        <v>41093</v>
      </c>
      <c r="C2813" s="1" t="s">
        <v>25</v>
      </c>
      <c r="D2813" s="1" t="s">
        <v>27</v>
      </c>
      <c r="E2813" s="1">
        <v>0.67366898148148147</v>
      </c>
      <c r="F2813" s="1" t="s">
        <v>13</v>
      </c>
      <c r="G2813" s="1">
        <v>3.24</v>
      </c>
      <c r="H2813" s="1">
        <v>3.29</v>
      </c>
      <c r="I2813" s="1">
        <v>0</v>
      </c>
      <c r="J2813" s="4">
        <v>41094</v>
      </c>
      <c r="K2813" s="4">
        <v>42920</v>
      </c>
      <c r="L2813">
        <f t="shared" si="43"/>
        <v>3.2650000000000001</v>
      </c>
    </row>
    <row r="2814" spans="1:12" x14ac:dyDescent="0.15">
      <c r="A2814" s="1">
        <v>2813</v>
      </c>
      <c r="B2814" s="4">
        <v>41093</v>
      </c>
      <c r="C2814" s="1" t="s">
        <v>25</v>
      </c>
      <c r="D2814" s="1" t="s">
        <v>26</v>
      </c>
      <c r="E2814" s="1">
        <v>0.67369212962962965</v>
      </c>
      <c r="F2814" s="1" t="s">
        <v>13</v>
      </c>
      <c r="G2814" s="1">
        <v>3.25</v>
      </c>
      <c r="H2814" s="1">
        <v>3.3</v>
      </c>
      <c r="I2814" s="1">
        <v>0</v>
      </c>
      <c r="J2814" s="4">
        <v>41094</v>
      </c>
      <c r="K2814" s="4">
        <v>42920</v>
      </c>
      <c r="L2814">
        <f t="shared" si="43"/>
        <v>3.2749999999999999</v>
      </c>
    </row>
    <row r="2815" spans="1:12" x14ac:dyDescent="0.15">
      <c r="A2815" s="1">
        <v>2814</v>
      </c>
      <c r="B2815" s="4">
        <v>41093</v>
      </c>
      <c r="C2815" s="1" t="s">
        <v>20</v>
      </c>
      <c r="D2815" s="1" t="s">
        <v>26</v>
      </c>
      <c r="E2815" s="1">
        <v>0.67369212962962965</v>
      </c>
      <c r="F2815" s="1" t="s">
        <v>13</v>
      </c>
      <c r="G2815" s="1">
        <v>3.25</v>
      </c>
      <c r="H2815" s="1">
        <v>3.3</v>
      </c>
      <c r="I2815" s="1">
        <v>0</v>
      </c>
      <c r="J2815" s="4">
        <v>41094</v>
      </c>
      <c r="K2815" s="4">
        <v>44746</v>
      </c>
      <c r="L2815">
        <f t="shared" si="43"/>
        <v>3.2749999999999999</v>
      </c>
    </row>
    <row r="2816" spans="1:12" x14ac:dyDescent="0.15">
      <c r="A2816" s="1">
        <v>2815</v>
      </c>
      <c r="B2816" s="4">
        <v>41093</v>
      </c>
      <c r="C2816" s="1" t="s">
        <v>16</v>
      </c>
      <c r="D2816" s="1" t="s">
        <v>26</v>
      </c>
      <c r="E2816" s="1">
        <v>0.67369212962962965</v>
      </c>
      <c r="F2816" s="1" t="s">
        <v>13</v>
      </c>
      <c r="G2816" s="1">
        <v>3.25</v>
      </c>
      <c r="H2816" s="1">
        <v>3.3</v>
      </c>
      <c r="I2816" s="1">
        <v>0</v>
      </c>
      <c r="J2816" s="4">
        <v>41094</v>
      </c>
      <c r="K2816" s="4">
        <v>42555</v>
      </c>
      <c r="L2816">
        <f t="shared" si="43"/>
        <v>3.2749999999999999</v>
      </c>
    </row>
    <row r="2817" spans="1:12" x14ac:dyDescent="0.15">
      <c r="A2817" s="1">
        <v>2816</v>
      </c>
      <c r="B2817" s="4">
        <v>41093</v>
      </c>
      <c r="C2817" s="1" t="s">
        <v>22</v>
      </c>
      <c r="D2817" s="1" t="s">
        <v>26</v>
      </c>
      <c r="E2817" s="1">
        <v>0.6737037037037038</v>
      </c>
      <c r="F2817" s="1" t="s">
        <v>13</v>
      </c>
      <c r="G2817" s="1">
        <v>2.75</v>
      </c>
      <c r="H2817" s="1">
        <v>3.8</v>
      </c>
      <c r="I2817" s="1">
        <v>0</v>
      </c>
      <c r="J2817" s="4">
        <v>41094</v>
      </c>
      <c r="K2817" s="4">
        <v>41278</v>
      </c>
      <c r="L2817">
        <f t="shared" si="43"/>
        <v>3.2749999999999999</v>
      </c>
    </row>
    <row r="2818" spans="1:12" x14ac:dyDescent="0.15">
      <c r="A2818" s="1">
        <v>2817</v>
      </c>
      <c r="B2818" s="4">
        <v>41093</v>
      </c>
      <c r="C2818" s="1" t="s">
        <v>21</v>
      </c>
      <c r="D2818" s="1" t="s">
        <v>26</v>
      </c>
      <c r="E2818" s="1">
        <v>0.67369212962962965</v>
      </c>
      <c r="F2818" s="1" t="s">
        <v>13</v>
      </c>
      <c r="G2818" s="1">
        <v>3.25</v>
      </c>
      <c r="H2818" s="1">
        <v>3.3</v>
      </c>
      <c r="I2818" s="1">
        <v>0</v>
      </c>
      <c r="J2818" s="4">
        <v>41094</v>
      </c>
      <c r="K2818" s="4">
        <v>43650</v>
      </c>
      <c r="L2818">
        <f t="shared" si="43"/>
        <v>3.2749999999999999</v>
      </c>
    </row>
    <row r="2819" spans="1:12" x14ac:dyDescent="0.15">
      <c r="A2819" s="1">
        <v>2818</v>
      </c>
      <c r="B2819" s="4">
        <v>41093</v>
      </c>
      <c r="C2819" s="1" t="s">
        <v>18</v>
      </c>
      <c r="D2819" s="1" t="s">
        <v>27</v>
      </c>
      <c r="E2819" s="1">
        <v>0.6736805555555555</v>
      </c>
      <c r="F2819" s="1" t="s">
        <v>13</v>
      </c>
      <c r="G2819" s="1">
        <v>3.22</v>
      </c>
      <c r="H2819" s="1">
        <v>3.32</v>
      </c>
      <c r="I2819" s="1">
        <v>0</v>
      </c>
      <c r="J2819" s="4">
        <v>41094</v>
      </c>
      <c r="K2819" s="4">
        <v>41824</v>
      </c>
      <c r="L2819">
        <f t="shared" ref="L2819:L2882" si="44">AVERAGE(G2819:H2819)</f>
        <v>3.27</v>
      </c>
    </row>
    <row r="2820" spans="1:12" x14ac:dyDescent="0.15">
      <c r="A2820" s="1">
        <v>2819</v>
      </c>
      <c r="B2820" s="4">
        <v>41093</v>
      </c>
      <c r="C2820" s="1" t="s">
        <v>19</v>
      </c>
      <c r="D2820" s="1" t="s">
        <v>27</v>
      </c>
      <c r="E2820" s="1">
        <v>0.6736805555555555</v>
      </c>
      <c r="F2820" s="1" t="s">
        <v>13</v>
      </c>
      <c r="G2820" s="1">
        <v>3.52</v>
      </c>
      <c r="H2820" s="1">
        <v>3.62</v>
      </c>
      <c r="I2820" s="1">
        <v>0</v>
      </c>
      <c r="J2820" s="4">
        <v>41094</v>
      </c>
      <c r="K2820" s="4">
        <v>41368</v>
      </c>
      <c r="L2820">
        <f t="shared" si="44"/>
        <v>3.5700000000000003</v>
      </c>
    </row>
    <row r="2821" spans="1:12" x14ac:dyDescent="0.15">
      <c r="A2821" s="1">
        <v>2820</v>
      </c>
      <c r="B2821" s="4">
        <v>41093</v>
      </c>
      <c r="C2821" s="1" t="s">
        <v>19</v>
      </c>
      <c r="D2821" s="1" t="s">
        <v>26</v>
      </c>
      <c r="E2821" s="1">
        <v>0.67369212962962965</v>
      </c>
      <c r="F2821" s="1" t="s">
        <v>13</v>
      </c>
      <c r="G2821" s="1">
        <v>3.48</v>
      </c>
      <c r="H2821" s="1">
        <v>3.55</v>
      </c>
      <c r="I2821" s="1">
        <v>0</v>
      </c>
      <c r="J2821" s="4">
        <v>41094</v>
      </c>
      <c r="K2821" s="4">
        <v>41368</v>
      </c>
      <c r="L2821">
        <f t="shared" si="44"/>
        <v>3.5149999999999997</v>
      </c>
    </row>
    <row r="2822" spans="1:12" x14ac:dyDescent="0.15">
      <c r="A2822" s="1">
        <v>2821</v>
      </c>
      <c r="B2822" s="4">
        <v>41093</v>
      </c>
      <c r="C2822" s="1" t="s">
        <v>14</v>
      </c>
      <c r="D2822" s="1" t="s">
        <v>26</v>
      </c>
      <c r="E2822" s="1">
        <v>0.67369212962962965</v>
      </c>
      <c r="F2822" s="1" t="s">
        <v>13</v>
      </c>
      <c r="G2822" s="1">
        <v>2.4500000000000002</v>
      </c>
      <c r="H2822" s="1">
        <v>3.5</v>
      </c>
      <c r="I2822" s="1">
        <v>0</v>
      </c>
      <c r="J2822" s="4">
        <v>41094</v>
      </c>
      <c r="K2822" s="4">
        <v>41459</v>
      </c>
      <c r="L2822">
        <f t="shared" si="44"/>
        <v>2.9750000000000001</v>
      </c>
    </row>
    <row r="2823" spans="1:12" x14ac:dyDescent="0.15">
      <c r="A2823" s="1">
        <v>2822</v>
      </c>
      <c r="B2823" s="4">
        <v>41093</v>
      </c>
      <c r="C2823" s="1" t="s">
        <v>11</v>
      </c>
      <c r="D2823" s="1" t="s">
        <v>26</v>
      </c>
      <c r="E2823" s="1">
        <v>0.67369212962962965</v>
      </c>
      <c r="F2823" s="1" t="s">
        <v>13</v>
      </c>
      <c r="G2823" s="1">
        <v>3.25</v>
      </c>
      <c r="H2823" s="1">
        <v>3.3</v>
      </c>
      <c r="I2823" s="1">
        <v>0</v>
      </c>
      <c r="J2823" s="4">
        <v>41094</v>
      </c>
      <c r="K2823" s="4">
        <v>42189</v>
      </c>
      <c r="L2823">
        <f t="shared" si="44"/>
        <v>3.2749999999999999</v>
      </c>
    </row>
    <row r="2824" spans="1:12" x14ac:dyDescent="0.15">
      <c r="A2824" s="1">
        <v>2823</v>
      </c>
      <c r="B2824" s="4">
        <v>41092</v>
      </c>
      <c r="C2824" s="1" t="s">
        <v>11</v>
      </c>
      <c r="D2824" s="1" t="s">
        <v>27</v>
      </c>
      <c r="E2824" s="1">
        <v>0.49091435185185189</v>
      </c>
      <c r="F2824" s="1" t="s">
        <v>13</v>
      </c>
      <c r="G2824" s="1">
        <v>3.25</v>
      </c>
      <c r="H2824" s="1">
        <v>3.35</v>
      </c>
      <c r="I2824" s="1">
        <v>0</v>
      </c>
      <c r="J2824" s="4">
        <v>41093</v>
      </c>
      <c r="K2824" s="4">
        <v>42188</v>
      </c>
      <c r="L2824">
        <f t="shared" si="44"/>
        <v>3.3</v>
      </c>
    </row>
    <row r="2825" spans="1:12" x14ac:dyDescent="0.15">
      <c r="A2825" s="1">
        <v>2824</v>
      </c>
      <c r="B2825" s="4">
        <v>41092</v>
      </c>
      <c r="C2825" s="1" t="s">
        <v>18</v>
      </c>
      <c r="D2825" s="1" t="s">
        <v>27</v>
      </c>
      <c r="E2825" s="1">
        <v>0.49090277777777774</v>
      </c>
      <c r="F2825" s="1" t="s">
        <v>13</v>
      </c>
      <c r="G2825" s="1">
        <v>3.27</v>
      </c>
      <c r="H2825" s="1">
        <v>3.37</v>
      </c>
      <c r="I2825" s="1">
        <v>0</v>
      </c>
      <c r="J2825" s="4">
        <v>41093</v>
      </c>
      <c r="K2825" s="4">
        <v>41823</v>
      </c>
      <c r="L2825">
        <f t="shared" si="44"/>
        <v>3.3200000000000003</v>
      </c>
    </row>
    <row r="2826" spans="1:12" x14ac:dyDescent="0.15">
      <c r="A2826" s="1">
        <v>2825</v>
      </c>
      <c r="B2826" s="4">
        <v>41092</v>
      </c>
      <c r="C2826" s="1" t="s">
        <v>14</v>
      </c>
      <c r="D2826" s="1" t="s">
        <v>27</v>
      </c>
      <c r="E2826" s="1">
        <v>0.49091435185185189</v>
      </c>
      <c r="F2826" s="1" t="s">
        <v>13</v>
      </c>
      <c r="G2826" s="1">
        <v>3.46</v>
      </c>
      <c r="H2826" s="1">
        <v>3.54</v>
      </c>
      <c r="I2826" s="1">
        <v>0</v>
      </c>
      <c r="J2826" s="4">
        <v>41093</v>
      </c>
      <c r="K2826" s="4">
        <v>41458</v>
      </c>
      <c r="L2826">
        <f t="shared" si="44"/>
        <v>3.5</v>
      </c>
    </row>
    <row r="2827" spans="1:12" x14ac:dyDescent="0.15">
      <c r="A2827" s="1">
        <v>2826</v>
      </c>
      <c r="B2827" s="4">
        <v>41092</v>
      </c>
      <c r="C2827" s="1" t="s">
        <v>16</v>
      </c>
      <c r="D2827" s="1" t="s">
        <v>27</v>
      </c>
      <c r="E2827" s="1">
        <v>0.49091435185185189</v>
      </c>
      <c r="F2827" s="1" t="s">
        <v>13</v>
      </c>
      <c r="G2827" s="1">
        <v>3.25</v>
      </c>
      <c r="H2827" s="1">
        <v>3.35</v>
      </c>
      <c r="I2827" s="1">
        <v>0</v>
      </c>
      <c r="J2827" s="4">
        <v>41093</v>
      </c>
      <c r="K2827" s="4">
        <v>42554</v>
      </c>
      <c r="L2827">
        <f t="shared" si="44"/>
        <v>3.3</v>
      </c>
    </row>
    <row r="2828" spans="1:12" x14ac:dyDescent="0.15">
      <c r="A2828" s="1">
        <v>2827</v>
      </c>
      <c r="B2828" s="4">
        <v>41092</v>
      </c>
      <c r="C2828" s="1" t="s">
        <v>22</v>
      </c>
      <c r="D2828" s="1" t="s">
        <v>27</v>
      </c>
      <c r="E2828" s="1">
        <v>0.4908912037037037</v>
      </c>
      <c r="F2828" s="1" t="s">
        <v>13</v>
      </c>
      <c r="G2828" s="1">
        <v>3.75</v>
      </c>
      <c r="H2828" s="1">
        <v>3.85</v>
      </c>
      <c r="I2828" s="1">
        <v>0</v>
      </c>
      <c r="J2828" s="4">
        <v>41093</v>
      </c>
      <c r="K2828" s="4">
        <v>41277</v>
      </c>
      <c r="L2828">
        <f t="shared" si="44"/>
        <v>3.8</v>
      </c>
    </row>
    <row r="2829" spans="1:12" x14ac:dyDescent="0.15">
      <c r="A2829" s="1">
        <v>2828</v>
      </c>
      <c r="B2829" s="4">
        <v>41092</v>
      </c>
      <c r="C2829" s="1" t="s">
        <v>20</v>
      </c>
      <c r="D2829" s="1" t="s">
        <v>30</v>
      </c>
      <c r="E2829" s="1">
        <v>0.48423611111111109</v>
      </c>
      <c r="F2829" s="1" t="s">
        <v>13</v>
      </c>
      <c r="G2829" s="1">
        <v>3.33</v>
      </c>
      <c r="H2829" s="1">
        <v>3.43</v>
      </c>
      <c r="I2829" s="1">
        <v>0</v>
      </c>
      <c r="J2829" s="4">
        <v>41093</v>
      </c>
      <c r="K2829" s="4">
        <v>44745</v>
      </c>
      <c r="L2829">
        <f t="shared" si="44"/>
        <v>3.38</v>
      </c>
    </row>
    <row r="2830" spans="1:12" x14ac:dyDescent="0.15">
      <c r="A2830" s="1">
        <v>2829</v>
      </c>
      <c r="B2830" s="4">
        <v>41092</v>
      </c>
      <c r="C2830" s="1" t="s">
        <v>19</v>
      </c>
      <c r="D2830" s="1" t="s">
        <v>27</v>
      </c>
      <c r="E2830" s="1">
        <v>0.49090277777777774</v>
      </c>
      <c r="F2830" s="1" t="s">
        <v>13</v>
      </c>
      <c r="G2830" s="1">
        <v>3.57</v>
      </c>
      <c r="H2830" s="1">
        <v>3.66</v>
      </c>
      <c r="I2830" s="1">
        <v>0</v>
      </c>
      <c r="J2830" s="4">
        <v>41093</v>
      </c>
      <c r="K2830" s="4">
        <v>41367</v>
      </c>
      <c r="L2830">
        <f t="shared" si="44"/>
        <v>3.6150000000000002</v>
      </c>
    </row>
    <row r="2831" spans="1:12" x14ac:dyDescent="0.15">
      <c r="A2831" s="1">
        <v>2830</v>
      </c>
      <c r="B2831" s="4">
        <v>41092</v>
      </c>
      <c r="C2831" s="1" t="s">
        <v>25</v>
      </c>
      <c r="D2831" s="1" t="s">
        <v>27</v>
      </c>
      <c r="E2831" s="1">
        <v>0.49090277777777774</v>
      </c>
      <c r="F2831" s="1" t="s">
        <v>13</v>
      </c>
      <c r="G2831" s="1">
        <v>3.26</v>
      </c>
      <c r="H2831" s="1">
        <v>3.35</v>
      </c>
      <c r="I2831" s="1">
        <v>0</v>
      </c>
      <c r="J2831" s="4">
        <v>41093</v>
      </c>
      <c r="K2831" s="4">
        <v>42919</v>
      </c>
      <c r="L2831">
        <f t="shared" si="44"/>
        <v>3.3049999999999997</v>
      </c>
    </row>
    <row r="2832" spans="1:12" x14ac:dyDescent="0.15">
      <c r="A2832" s="1">
        <v>2831</v>
      </c>
      <c r="B2832" s="4">
        <v>41092</v>
      </c>
      <c r="C2832" s="1" t="s">
        <v>22</v>
      </c>
      <c r="D2832" s="1" t="s">
        <v>38</v>
      </c>
      <c r="E2832" s="1">
        <v>0.66646990740740741</v>
      </c>
      <c r="F2832" s="1" t="s">
        <v>13</v>
      </c>
      <c r="G2832" s="1">
        <v>3.77</v>
      </c>
      <c r="H2832" s="1">
        <v>3.81</v>
      </c>
      <c r="I2832" s="1">
        <v>0</v>
      </c>
      <c r="J2832" s="4">
        <v>41093</v>
      </c>
      <c r="K2832" s="4">
        <v>41277</v>
      </c>
      <c r="L2832">
        <f t="shared" si="44"/>
        <v>3.79</v>
      </c>
    </row>
    <row r="2833" spans="1:12" x14ac:dyDescent="0.15">
      <c r="A2833" s="1">
        <v>2832</v>
      </c>
      <c r="B2833" s="4">
        <v>41092</v>
      </c>
      <c r="C2833" s="1" t="s">
        <v>25</v>
      </c>
      <c r="D2833" s="1" t="s">
        <v>38</v>
      </c>
      <c r="E2833" s="1">
        <v>0.66646990740740741</v>
      </c>
      <c r="F2833" s="1" t="s">
        <v>13</v>
      </c>
      <c r="G2833" s="1">
        <v>3.26</v>
      </c>
      <c r="H2833" s="1">
        <v>3.3</v>
      </c>
      <c r="I2833" s="1">
        <v>0</v>
      </c>
      <c r="J2833" s="4">
        <v>41093</v>
      </c>
      <c r="K2833" s="4">
        <v>42919</v>
      </c>
      <c r="L2833">
        <f t="shared" si="44"/>
        <v>3.28</v>
      </c>
    </row>
    <row r="2834" spans="1:12" x14ac:dyDescent="0.15">
      <c r="A2834" s="1">
        <v>2833</v>
      </c>
      <c r="B2834" s="4">
        <v>41092</v>
      </c>
      <c r="C2834" s="1" t="s">
        <v>16</v>
      </c>
      <c r="D2834" s="1" t="s">
        <v>38</v>
      </c>
      <c r="E2834" s="1">
        <v>0.66646990740740741</v>
      </c>
      <c r="F2834" s="1" t="s">
        <v>13</v>
      </c>
      <c r="G2834" s="1">
        <v>3.27</v>
      </c>
      <c r="H2834" s="1">
        <v>3.31</v>
      </c>
      <c r="I2834" s="1">
        <v>0</v>
      </c>
      <c r="J2834" s="4">
        <v>41093</v>
      </c>
      <c r="K2834" s="4">
        <v>42554</v>
      </c>
      <c r="L2834">
        <f t="shared" si="44"/>
        <v>3.29</v>
      </c>
    </row>
    <row r="2835" spans="1:12" x14ac:dyDescent="0.15">
      <c r="A2835" s="1">
        <v>2834</v>
      </c>
      <c r="B2835" s="4">
        <v>41092</v>
      </c>
      <c r="C2835" s="1" t="s">
        <v>20</v>
      </c>
      <c r="D2835" s="1" t="s">
        <v>38</v>
      </c>
      <c r="E2835" s="1">
        <v>0.66646990740740741</v>
      </c>
      <c r="F2835" s="1" t="s">
        <v>13</v>
      </c>
      <c r="G2835" s="1">
        <v>3.37</v>
      </c>
      <c r="H2835" s="1">
        <v>3.41</v>
      </c>
      <c r="I2835" s="1">
        <v>0</v>
      </c>
      <c r="J2835" s="4">
        <v>41093</v>
      </c>
      <c r="K2835" s="4">
        <v>44745</v>
      </c>
      <c r="L2835">
        <f t="shared" si="44"/>
        <v>3.39</v>
      </c>
    </row>
    <row r="2836" spans="1:12" x14ac:dyDescent="0.15">
      <c r="A2836" s="1">
        <v>2835</v>
      </c>
      <c r="B2836" s="4">
        <v>41092</v>
      </c>
      <c r="C2836" s="1" t="s">
        <v>21</v>
      </c>
      <c r="D2836" s="1" t="s">
        <v>38</v>
      </c>
      <c r="E2836" s="1">
        <v>0.66646990740740741</v>
      </c>
      <c r="F2836" s="1" t="s">
        <v>13</v>
      </c>
      <c r="G2836" s="1">
        <v>3.31</v>
      </c>
      <c r="H2836" s="1">
        <v>3.35</v>
      </c>
      <c r="I2836" s="1">
        <v>0</v>
      </c>
      <c r="J2836" s="4">
        <v>41093</v>
      </c>
      <c r="K2836" s="4">
        <v>43649</v>
      </c>
      <c r="L2836">
        <f t="shared" si="44"/>
        <v>3.33</v>
      </c>
    </row>
    <row r="2837" spans="1:12" x14ac:dyDescent="0.15">
      <c r="A2837" s="1">
        <v>2836</v>
      </c>
      <c r="B2837" s="4">
        <v>41092</v>
      </c>
      <c r="C2837" s="1" t="s">
        <v>14</v>
      </c>
      <c r="D2837" s="1" t="s">
        <v>38</v>
      </c>
      <c r="E2837" s="1">
        <v>0.66646990740740741</v>
      </c>
      <c r="F2837" s="1" t="s">
        <v>13</v>
      </c>
      <c r="G2837" s="1">
        <v>3.43</v>
      </c>
      <c r="H2837" s="1">
        <v>3.47</v>
      </c>
      <c r="I2837" s="1">
        <v>0</v>
      </c>
      <c r="J2837" s="4">
        <v>41093</v>
      </c>
      <c r="K2837" s="4">
        <v>41458</v>
      </c>
      <c r="L2837">
        <f t="shared" si="44"/>
        <v>3.45</v>
      </c>
    </row>
    <row r="2838" spans="1:12" x14ac:dyDescent="0.15">
      <c r="A2838" s="1">
        <v>2837</v>
      </c>
      <c r="B2838" s="4">
        <v>41092</v>
      </c>
      <c r="C2838" s="1" t="s">
        <v>19</v>
      </c>
      <c r="D2838" s="1" t="s">
        <v>38</v>
      </c>
      <c r="E2838" s="1">
        <v>0.66646990740740741</v>
      </c>
      <c r="F2838" s="1" t="s">
        <v>13</v>
      </c>
      <c r="G2838" s="1">
        <v>3.58</v>
      </c>
      <c r="H2838" s="1">
        <v>3.62</v>
      </c>
      <c r="I2838" s="1">
        <v>0</v>
      </c>
      <c r="J2838" s="4">
        <v>41093</v>
      </c>
      <c r="K2838" s="4">
        <v>41367</v>
      </c>
      <c r="L2838">
        <f t="shared" si="44"/>
        <v>3.6</v>
      </c>
    </row>
    <row r="2839" spans="1:12" x14ac:dyDescent="0.15">
      <c r="A2839" s="1">
        <v>2838</v>
      </c>
      <c r="B2839" s="4">
        <v>41092</v>
      </c>
      <c r="C2839" s="1" t="s">
        <v>11</v>
      </c>
      <c r="D2839" s="1" t="s">
        <v>38</v>
      </c>
      <c r="E2839" s="1">
        <v>0.66646990740740741</v>
      </c>
      <c r="F2839" s="1" t="s">
        <v>13</v>
      </c>
      <c r="G2839" s="1">
        <v>3.27</v>
      </c>
      <c r="H2839" s="1">
        <v>3.31</v>
      </c>
      <c r="I2839" s="1">
        <v>0</v>
      </c>
      <c r="J2839" s="4">
        <v>41093</v>
      </c>
      <c r="K2839" s="4">
        <v>42188</v>
      </c>
      <c r="L2839">
        <f t="shared" si="44"/>
        <v>3.29</v>
      </c>
    </row>
    <row r="2840" spans="1:12" x14ac:dyDescent="0.15">
      <c r="A2840" s="1">
        <v>2839</v>
      </c>
      <c r="B2840" s="4">
        <v>41092</v>
      </c>
      <c r="C2840" s="1" t="s">
        <v>18</v>
      </c>
      <c r="D2840" s="1" t="s">
        <v>38</v>
      </c>
      <c r="E2840" s="1">
        <v>0.66646990740740741</v>
      </c>
      <c r="F2840" s="1" t="s">
        <v>13</v>
      </c>
      <c r="G2840" s="1">
        <v>3.28</v>
      </c>
      <c r="H2840" s="1">
        <v>3.32</v>
      </c>
      <c r="I2840" s="1">
        <v>0</v>
      </c>
      <c r="J2840" s="4">
        <v>41093</v>
      </c>
      <c r="K2840" s="4">
        <v>41823</v>
      </c>
      <c r="L2840">
        <f t="shared" si="44"/>
        <v>3.3</v>
      </c>
    </row>
    <row r="2841" spans="1:12" x14ac:dyDescent="0.15">
      <c r="A2841" s="1">
        <v>2840</v>
      </c>
      <c r="B2841" s="4">
        <v>41092</v>
      </c>
      <c r="C2841" s="1" t="s">
        <v>19</v>
      </c>
      <c r="D2841" s="1" t="s">
        <v>15</v>
      </c>
      <c r="E2841" s="1">
        <v>0.48214120370370367</v>
      </c>
      <c r="F2841" s="1" t="s">
        <v>13</v>
      </c>
      <c r="G2841" s="1">
        <v>3.59</v>
      </c>
      <c r="H2841" s="1">
        <v>3.65</v>
      </c>
      <c r="I2841" s="1">
        <v>0</v>
      </c>
      <c r="J2841" s="4">
        <v>41093</v>
      </c>
      <c r="K2841" s="4">
        <v>41367</v>
      </c>
      <c r="L2841">
        <f t="shared" si="44"/>
        <v>3.62</v>
      </c>
    </row>
    <row r="2842" spans="1:12" x14ac:dyDescent="0.15">
      <c r="A2842" s="1">
        <v>2841</v>
      </c>
      <c r="B2842" s="4">
        <v>41092</v>
      </c>
      <c r="C2842" s="1" t="s">
        <v>25</v>
      </c>
      <c r="D2842" s="1" t="s">
        <v>15</v>
      </c>
      <c r="E2842" s="1">
        <v>0.48214120370370367</v>
      </c>
      <c r="F2842" s="1" t="s">
        <v>13</v>
      </c>
      <c r="G2842" s="1">
        <v>3.27</v>
      </c>
      <c r="H2842" s="1">
        <v>3.33</v>
      </c>
      <c r="I2842" s="1">
        <v>0</v>
      </c>
      <c r="J2842" s="4">
        <v>41093</v>
      </c>
      <c r="K2842" s="4">
        <v>42919</v>
      </c>
      <c r="L2842">
        <f t="shared" si="44"/>
        <v>3.3</v>
      </c>
    </row>
    <row r="2843" spans="1:12" x14ac:dyDescent="0.15">
      <c r="A2843" s="1">
        <v>2842</v>
      </c>
      <c r="B2843" s="4">
        <v>41092</v>
      </c>
      <c r="C2843" s="1" t="s">
        <v>11</v>
      </c>
      <c r="D2843" s="1" t="s">
        <v>15</v>
      </c>
      <c r="E2843" s="1">
        <v>0.48214120370370367</v>
      </c>
      <c r="F2843" s="1" t="s">
        <v>13</v>
      </c>
      <c r="G2843" s="1">
        <v>3.28</v>
      </c>
      <c r="H2843" s="1">
        <v>3.34</v>
      </c>
      <c r="I2843" s="1">
        <v>0</v>
      </c>
      <c r="J2843" s="4">
        <v>41093</v>
      </c>
      <c r="K2843" s="4">
        <v>42188</v>
      </c>
      <c r="L2843">
        <f t="shared" si="44"/>
        <v>3.3099999999999996</v>
      </c>
    </row>
    <row r="2844" spans="1:12" x14ac:dyDescent="0.15">
      <c r="A2844" s="1">
        <v>2843</v>
      </c>
      <c r="B2844" s="4">
        <v>41092</v>
      </c>
      <c r="C2844" s="1" t="s">
        <v>18</v>
      </c>
      <c r="D2844" s="1" t="s">
        <v>15</v>
      </c>
      <c r="E2844" s="1">
        <v>0.48214120370370367</v>
      </c>
      <c r="F2844" s="1" t="s">
        <v>13</v>
      </c>
      <c r="G2844" s="1">
        <v>3.29</v>
      </c>
      <c r="H2844" s="1">
        <v>3.35</v>
      </c>
      <c r="I2844" s="1">
        <v>0</v>
      </c>
      <c r="J2844" s="4">
        <v>41093</v>
      </c>
      <c r="K2844" s="4">
        <v>41823</v>
      </c>
      <c r="L2844">
        <f t="shared" si="44"/>
        <v>3.3200000000000003</v>
      </c>
    </row>
    <row r="2845" spans="1:12" x14ac:dyDescent="0.15">
      <c r="A2845" s="1">
        <v>2844</v>
      </c>
      <c r="B2845" s="4">
        <v>41092</v>
      </c>
      <c r="C2845" s="1" t="s">
        <v>21</v>
      </c>
      <c r="D2845" s="1" t="s">
        <v>15</v>
      </c>
      <c r="E2845" s="1">
        <v>0.48211805555555554</v>
      </c>
      <c r="F2845" s="1" t="s">
        <v>13</v>
      </c>
      <c r="G2845" s="1">
        <v>3.32</v>
      </c>
      <c r="H2845" s="1">
        <v>3.38</v>
      </c>
      <c r="I2845" s="1">
        <v>0</v>
      </c>
      <c r="J2845" s="4">
        <v>41093</v>
      </c>
      <c r="K2845" s="4">
        <v>43649</v>
      </c>
      <c r="L2845">
        <f t="shared" si="44"/>
        <v>3.3499999999999996</v>
      </c>
    </row>
    <row r="2846" spans="1:12" x14ac:dyDescent="0.15">
      <c r="A2846" s="1">
        <v>2845</v>
      </c>
      <c r="B2846" s="4">
        <v>41092</v>
      </c>
      <c r="C2846" s="1" t="s">
        <v>22</v>
      </c>
      <c r="D2846" s="1" t="s">
        <v>15</v>
      </c>
      <c r="E2846" s="1">
        <v>0.48211805555555554</v>
      </c>
      <c r="F2846" s="1" t="s">
        <v>13</v>
      </c>
      <c r="G2846" s="1">
        <v>3.77</v>
      </c>
      <c r="H2846" s="1">
        <v>3.83</v>
      </c>
      <c r="I2846" s="1">
        <v>0</v>
      </c>
      <c r="J2846" s="4">
        <v>41093</v>
      </c>
      <c r="K2846" s="4">
        <v>41277</v>
      </c>
      <c r="L2846">
        <f t="shared" si="44"/>
        <v>3.8</v>
      </c>
    </row>
    <row r="2847" spans="1:12" x14ac:dyDescent="0.15">
      <c r="A2847" s="1">
        <v>2846</v>
      </c>
      <c r="B2847" s="4">
        <v>41092</v>
      </c>
      <c r="C2847" s="1" t="s">
        <v>14</v>
      </c>
      <c r="D2847" s="1" t="s">
        <v>15</v>
      </c>
      <c r="E2847" s="1">
        <v>0.48214120370370367</v>
      </c>
      <c r="F2847" s="1" t="s">
        <v>13</v>
      </c>
      <c r="G2847" s="1">
        <v>3.43</v>
      </c>
      <c r="H2847" s="1">
        <v>3.49</v>
      </c>
      <c r="I2847" s="1">
        <v>0</v>
      </c>
      <c r="J2847" s="4">
        <v>41093</v>
      </c>
      <c r="K2847" s="4">
        <v>41458</v>
      </c>
      <c r="L2847">
        <f t="shared" si="44"/>
        <v>3.46</v>
      </c>
    </row>
    <row r="2848" spans="1:12" x14ac:dyDescent="0.15">
      <c r="A2848" s="1">
        <v>2847</v>
      </c>
      <c r="B2848" s="4">
        <v>41092</v>
      </c>
      <c r="C2848" s="1" t="s">
        <v>20</v>
      </c>
      <c r="D2848" s="1" t="s">
        <v>15</v>
      </c>
      <c r="E2848" s="1">
        <v>0.48214120370370367</v>
      </c>
      <c r="F2848" s="1" t="s">
        <v>13</v>
      </c>
      <c r="G2848" s="1">
        <v>3.38</v>
      </c>
      <c r="H2848" s="1">
        <v>3.44</v>
      </c>
      <c r="I2848" s="1">
        <v>0</v>
      </c>
      <c r="J2848" s="4">
        <v>41093</v>
      </c>
      <c r="K2848" s="4">
        <v>44745</v>
      </c>
      <c r="L2848">
        <f t="shared" si="44"/>
        <v>3.41</v>
      </c>
    </row>
    <row r="2849" spans="1:12" x14ac:dyDescent="0.15">
      <c r="A2849" s="1">
        <v>2848</v>
      </c>
      <c r="B2849" s="4">
        <v>41092</v>
      </c>
      <c r="C2849" s="1" t="s">
        <v>16</v>
      </c>
      <c r="D2849" s="1" t="s">
        <v>15</v>
      </c>
      <c r="E2849" s="1">
        <v>0.48214120370370367</v>
      </c>
      <c r="F2849" s="1" t="s">
        <v>13</v>
      </c>
      <c r="G2849" s="1">
        <v>3.28</v>
      </c>
      <c r="H2849" s="1">
        <v>3.34</v>
      </c>
      <c r="I2849" s="1">
        <v>0</v>
      </c>
      <c r="J2849" s="4">
        <v>41093</v>
      </c>
      <c r="K2849" s="4">
        <v>42554</v>
      </c>
      <c r="L2849">
        <f t="shared" si="44"/>
        <v>3.3099999999999996</v>
      </c>
    </row>
    <row r="2850" spans="1:12" x14ac:dyDescent="0.15">
      <c r="A2850" s="1">
        <v>2849</v>
      </c>
      <c r="B2850" s="4">
        <v>41092</v>
      </c>
      <c r="C2850" s="1" t="s">
        <v>11</v>
      </c>
      <c r="D2850" s="1" t="s">
        <v>30</v>
      </c>
      <c r="E2850" s="1">
        <v>0.48423611111111109</v>
      </c>
      <c r="F2850" s="1" t="s">
        <v>13</v>
      </c>
      <c r="G2850" s="1">
        <v>3.25</v>
      </c>
      <c r="H2850" s="1">
        <v>3.35</v>
      </c>
      <c r="I2850" s="1">
        <v>0</v>
      </c>
      <c r="J2850" s="4">
        <v>41093</v>
      </c>
      <c r="K2850" s="4">
        <v>42188</v>
      </c>
      <c r="L2850">
        <f t="shared" si="44"/>
        <v>3.3</v>
      </c>
    </row>
    <row r="2851" spans="1:12" x14ac:dyDescent="0.15">
      <c r="A2851" s="1">
        <v>2850</v>
      </c>
      <c r="B2851" s="4">
        <v>41092</v>
      </c>
      <c r="C2851" s="1" t="s">
        <v>16</v>
      </c>
      <c r="D2851" s="1" t="s">
        <v>30</v>
      </c>
      <c r="E2851" s="1">
        <v>0.48423611111111109</v>
      </c>
      <c r="F2851" s="1" t="s">
        <v>13</v>
      </c>
      <c r="G2851" s="1">
        <v>3.25</v>
      </c>
      <c r="H2851" s="1">
        <v>3.35</v>
      </c>
      <c r="I2851" s="1">
        <v>0</v>
      </c>
      <c r="J2851" s="4">
        <v>41093</v>
      </c>
      <c r="K2851" s="4">
        <v>42554</v>
      </c>
      <c r="L2851">
        <f t="shared" si="44"/>
        <v>3.3</v>
      </c>
    </row>
    <row r="2852" spans="1:12" x14ac:dyDescent="0.15">
      <c r="A2852" s="1">
        <v>2851</v>
      </c>
      <c r="B2852" s="4">
        <v>41092</v>
      </c>
      <c r="C2852" s="1" t="s">
        <v>14</v>
      </c>
      <c r="D2852" s="1" t="s">
        <v>30</v>
      </c>
      <c r="E2852" s="1">
        <v>0.48423611111111109</v>
      </c>
      <c r="F2852" s="1" t="s">
        <v>13</v>
      </c>
      <c r="G2852" s="1">
        <v>3.41</v>
      </c>
      <c r="H2852" s="1">
        <v>3.51</v>
      </c>
      <c r="I2852" s="1">
        <v>0</v>
      </c>
      <c r="J2852" s="4">
        <v>41093</v>
      </c>
      <c r="K2852" s="4">
        <v>41458</v>
      </c>
      <c r="L2852">
        <f t="shared" si="44"/>
        <v>3.46</v>
      </c>
    </row>
    <row r="2853" spans="1:12" x14ac:dyDescent="0.15">
      <c r="A2853" s="1">
        <v>2852</v>
      </c>
      <c r="B2853" s="4">
        <v>41092</v>
      </c>
      <c r="C2853" s="1" t="s">
        <v>18</v>
      </c>
      <c r="D2853" s="1" t="s">
        <v>30</v>
      </c>
      <c r="E2853" s="1">
        <v>0.48423611111111109</v>
      </c>
      <c r="F2853" s="1" t="s">
        <v>13</v>
      </c>
      <c r="G2853" s="1">
        <v>3.27</v>
      </c>
      <c r="H2853" s="1">
        <v>3.37</v>
      </c>
      <c r="I2853" s="1">
        <v>0</v>
      </c>
      <c r="J2853" s="4">
        <v>41093</v>
      </c>
      <c r="K2853" s="4">
        <v>41823</v>
      </c>
      <c r="L2853">
        <f t="shared" si="44"/>
        <v>3.3200000000000003</v>
      </c>
    </row>
    <row r="2854" spans="1:12" x14ac:dyDescent="0.15">
      <c r="A2854" s="1">
        <v>2853</v>
      </c>
      <c r="B2854" s="4">
        <v>41092</v>
      </c>
      <c r="C2854" s="1" t="s">
        <v>21</v>
      </c>
      <c r="D2854" s="1" t="s">
        <v>30</v>
      </c>
      <c r="E2854" s="1">
        <v>0.48423611111111109</v>
      </c>
      <c r="F2854" s="1" t="s">
        <v>13</v>
      </c>
      <c r="G2854" s="1">
        <v>3.28</v>
      </c>
      <c r="H2854" s="1">
        <v>3.38</v>
      </c>
      <c r="I2854" s="1">
        <v>0</v>
      </c>
      <c r="J2854" s="4">
        <v>41093</v>
      </c>
      <c r="K2854" s="4">
        <v>43649</v>
      </c>
      <c r="L2854">
        <f t="shared" si="44"/>
        <v>3.33</v>
      </c>
    </row>
    <row r="2855" spans="1:12" x14ac:dyDescent="0.15">
      <c r="A2855" s="1">
        <v>2854</v>
      </c>
      <c r="B2855" s="4">
        <v>41092</v>
      </c>
      <c r="C2855" s="1" t="s">
        <v>19</v>
      </c>
      <c r="D2855" s="1" t="s">
        <v>30</v>
      </c>
      <c r="E2855" s="1">
        <v>0.48423611111111109</v>
      </c>
      <c r="F2855" s="1" t="s">
        <v>13</v>
      </c>
      <c r="G2855" s="1">
        <v>3.57</v>
      </c>
      <c r="H2855" s="1">
        <v>3.67</v>
      </c>
      <c r="I2855" s="1">
        <v>0</v>
      </c>
      <c r="J2855" s="4">
        <v>41093</v>
      </c>
      <c r="K2855" s="4">
        <v>41367</v>
      </c>
      <c r="L2855">
        <f t="shared" si="44"/>
        <v>3.62</v>
      </c>
    </row>
    <row r="2856" spans="1:12" x14ac:dyDescent="0.15">
      <c r="A2856" s="1">
        <v>2855</v>
      </c>
      <c r="B2856" s="4">
        <v>41092</v>
      </c>
      <c r="C2856" s="1" t="s">
        <v>25</v>
      </c>
      <c r="D2856" s="1" t="s">
        <v>30</v>
      </c>
      <c r="E2856" s="1">
        <v>0.48423611111111109</v>
      </c>
      <c r="F2856" s="1" t="s">
        <v>13</v>
      </c>
      <c r="G2856" s="1">
        <v>3.25</v>
      </c>
      <c r="H2856" s="1">
        <v>3.35</v>
      </c>
      <c r="I2856" s="1">
        <v>0</v>
      </c>
      <c r="J2856" s="4">
        <v>41093</v>
      </c>
      <c r="K2856" s="4">
        <v>42919</v>
      </c>
      <c r="L2856">
        <f t="shared" si="44"/>
        <v>3.3</v>
      </c>
    </row>
    <row r="2857" spans="1:12" x14ac:dyDescent="0.15">
      <c r="A2857" s="1">
        <v>2856</v>
      </c>
      <c r="B2857" s="4">
        <v>41092</v>
      </c>
      <c r="C2857" s="1" t="s">
        <v>22</v>
      </c>
      <c r="D2857" s="1" t="s">
        <v>30</v>
      </c>
      <c r="E2857" s="1">
        <v>0.48423611111111109</v>
      </c>
      <c r="F2857" s="1" t="s">
        <v>13</v>
      </c>
      <c r="G2857" s="1">
        <v>3.75</v>
      </c>
      <c r="H2857" s="1">
        <v>3.85</v>
      </c>
      <c r="I2857" s="1">
        <v>0</v>
      </c>
      <c r="J2857" s="4">
        <v>41093</v>
      </c>
      <c r="K2857" s="4">
        <v>41277</v>
      </c>
      <c r="L2857">
        <f t="shared" si="44"/>
        <v>3.8</v>
      </c>
    </row>
    <row r="2858" spans="1:12" x14ac:dyDescent="0.15">
      <c r="A2858" s="1">
        <v>2857</v>
      </c>
      <c r="B2858" s="4">
        <v>41092</v>
      </c>
      <c r="C2858" s="1" t="s">
        <v>14</v>
      </c>
      <c r="D2858" s="1" t="s">
        <v>27</v>
      </c>
      <c r="E2858" s="1">
        <v>0.67556712962962961</v>
      </c>
      <c r="F2858" s="1" t="s">
        <v>13</v>
      </c>
      <c r="G2858" s="1">
        <v>3.44</v>
      </c>
      <c r="H2858" s="1">
        <v>3.49</v>
      </c>
      <c r="I2858" s="1">
        <v>0</v>
      </c>
      <c r="J2858" s="4">
        <v>41093</v>
      </c>
      <c r="K2858" s="4">
        <v>41458</v>
      </c>
      <c r="L2858">
        <f t="shared" si="44"/>
        <v>3.4649999999999999</v>
      </c>
    </row>
    <row r="2859" spans="1:12" x14ac:dyDescent="0.15">
      <c r="A2859" s="1">
        <v>2858</v>
      </c>
      <c r="B2859" s="4">
        <v>41092</v>
      </c>
      <c r="C2859" s="1" t="s">
        <v>16</v>
      </c>
      <c r="D2859" s="1" t="s">
        <v>27</v>
      </c>
      <c r="E2859" s="1">
        <v>0.67556712962962961</v>
      </c>
      <c r="F2859" s="1" t="s">
        <v>13</v>
      </c>
      <c r="G2859" s="1">
        <v>3.25</v>
      </c>
      <c r="H2859" s="1">
        <v>3.35</v>
      </c>
      <c r="I2859" s="1">
        <v>0</v>
      </c>
      <c r="J2859" s="4">
        <v>41093</v>
      </c>
      <c r="K2859" s="4">
        <v>42554</v>
      </c>
      <c r="L2859">
        <f t="shared" si="44"/>
        <v>3.3</v>
      </c>
    </row>
    <row r="2860" spans="1:12" x14ac:dyDescent="0.15">
      <c r="A2860" s="1">
        <v>2859</v>
      </c>
      <c r="B2860" s="4">
        <v>41092</v>
      </c>
      <c r="C2860" s="1" t="s">
        <v>25</v>
      </c>
      <c r="D2860" s="1" t="s">
        <v>27</v>
      </c>
      <c r="E2860" s="1">
        <v>0.67556712962962961</v>
      </c>
      <c r="F2860" s="1" t="s">
        <v>13</v>
      </c>
      <c r="G2860" s="1">
        <v>3.25</v>
      </c>
      <c r="H2860" s="1">
        <v>3.35</v>
      </c>
      <c r="I2860" s="1">
        <v>0</v>
      </c>
      <c r="J2860" s="4">
        <v>41093</v>
      </c>
      <c r="K2860" s="4">
        <v>42919</v>
      </c>
      <c r="L2860">
        <f t="shared" si="44"/>
        <v>3.3</v>
      </c>
    </row>
    <row r="2861" spans="1:12" x14ac:dyDescent="0.15">
      <c r="A2861" s="1">
        <v>2860</v>
      </c>
      <c r="B2861" s="4">
        <v>41092</v>
      </c>
      <c r="C2861" s="1" t="s">
        <v>22</v>
      </c>
      <c r="D2861" s="1" t="s">
        <v>27</v>
      </c>
      <c r="E2861" s="1">
        <v>0.67556712962962961</v>
      </c>
      <c r="F2861" s="1" t="s">
        <v>13</v>
      </c>
      <c r="G2861" s="1">
        <v>3.74</v>
      </c>
      <c r="H2861" s="1">
        <v>3.84</v>
      </c>
      <c r="I2861" s="1">
        <v>0</v>
      </c>
      <c r="J2861" s="4">
        <v>41093</v>
      </c>
      <c r="K2861" s="4">
        <v>41277</v>
      </c>
      <c r="L2861">
        <f t="shared" si="44"/>
        <v>3.79</v>
      </c>
    </row>
    <row r="2862" spans="1:12" x14ac:dyDescent="0.15">
      <c r="A2862" s="1">
        <v>2861</v>
      </c>
      <c r="B2862" s="4">
        <v>41092</v>
      </c>
      <c r="C2862" s="1" t="s">
        <v>19</v>
      </c>
      <c r="D2862" s="1" t="s">
        <v>27</v>
      </c>
      <c r="E2862" s="1">
        <v>0.67556712962962961</v>
      </c>
      <c r="F2862" s="1" t="s">
        <v>13</v>
      </c>
      <c r="G2862" s="1">
        <v>3.54</v>
      </c>
      <c r="H2862" s="1">
        <v>3.64</v>
      </c>
      <c r="I2862" s="1">
        <v>0</v>
      </c>
      <c r="J2862" s="4">
        <v>41093</v>
      </c>
      <c r="K2862" s="4">
        <v>41367</v>
      </c>
      <c r="L2862">
        <f t="shared" si="44"/>
        <v>3.59</v>
      </c>
    </row>
    <row r="2863" spans="1:12" x14ac:dyDescent="0.15">
      <c r="A2863" s="1">
        <v>2862</v>
      </c>
      <c r="B2863" s="4">
        <v>41092</v>
      </c>
      <c r="C2863" s="1" t="s">
        <v>18</v>
      </c>
      <c r="D2863" s="1" t="s">
        <v>26</v>
      </c>
      <c r="E2863" s="1">
        <v>0.67501157407407408</v>
      </c>
      <c r="F2863" s="1" t="s">
        <v>13</v>
      </c>
      <c r="G2863" s="1">
        <v>3.28</v>
      </c>
      <c r="H2863" s="1">
        <v>3.35</v>
      </c>
      <c r="I2863" s="1">
        <v>0</v>
      </c>
      <c r="J2863" s="4">
        <v>41093</v>
      </c>
      <c r="K2863" s="4">
        <v>41823</v>
      </c>
      <c r="L2863">
        <f t="shared" si="44"/>
        <v>3.3149999999999999</v>
      </c>
    </row>
    <row r="2864" spans="1:12" x14ac:dyDescent="0.15">
      <c r="A2864" s="1">
        <v>2863</v>
      </c>
      <c r="B2864" s="4">
        <v>41092</v>
      </c>
      <c r="C2864" s="1" t="s">
        <v>11</v>
      </c>
      <c r="D2864" s="1" t="s">
        <v>27</v>
      </c>
      <c r="E2864" s="1">
        <v>0.67556712962962961</v>
      </c>
      <c r="F2864" s="1" t="s">
        <v>13</v>
      </c>
      <c r="G2864" s="1">
        <v>3.27</v>
      </c>
      <c r="H2864" s="1">
        <v>3.32</v>
      </c>
      <c r="I2864" s="1">
        <v>0</v>
      </c>
      <c r="J2864" s="4">
        <v>41093</v>
      </c>
      <c r="K2864" s="4">
        <v>42188</v>
      </c>
      <c r="L2864">
        <f t="shared" si="44"/>
        <v>3.2949999999999999</v>
      </c>
    </row>
    <row r="2865" spans="1:12" x14ac:dyDescent="0.15">
      <c r="A2865" s="1">
        <v>2864</v>
      </c>
      <c r="B2865" s="4">
        <v>41092</v>
      </c>
      <c r="C2865" s="1" t="s">
        <v>18</v>
      </c>
      <c r="D2865" s="1" t="s">
        <v>27</v>
      </c>
      <c r="E2865" s="1">
        <v>0.67556712962962961</v>
      </c>
      <c r="F2865" s="1" t="s">
        <v>13</v>
      </c>
      <c r="G2865" s="1">
        <v>3.25</v>
      </c>
      <c r="H2865" s="1">
        <v>3.35</v>
      </c>
      <c r="I2865" s="1">
        <v>0</v>
      </c>
      <c r="J2865" s="4">
        <v>41093</v>
      </c>
      <c r="K2865" s="4">
        <v>41823</v>
      </c>
      <c r="L2865">
        <f t="shared" si="44"/>
        <v>3.3</v>
      </c>
    </row>
    <row r="2866" spans="1:12" x14ac:dyDescent="0.15">
      <c r="A2866" s="1">
        <v>2865</v>
      </c>
      <c r="B2866" s="4">
        <v>41092</v>
      </c>
      <c r="C2866" s="1" t="s">
        <v>22</v>
      </c>
      <c r="D2866" s="1" t="s">
        <v>15</v>
      </c>
      <c r="E2866" s="1">
        <v>0.6852893518518518</v>
      </c>
      <c r="F2866" s="1" t="s">
        <v>13</v>
      </c>
      <c r="G2866" s="1">
        <v>3.77</v>
      </c>
      <c r="H2866" s="1">
        <v>3.83</v>
      </c>
      <c r="I2866" s="1">
        <v>0</v>
      </c>
      <c r="J2866" s="4">
        <v>41093</v>
      </c>
      <c r="K2866" s="4">
        <v>41277</v>
      </c>
      <c r="L2866">
        <f t="shared" si="44"/>
        <v>3.8</v>
      </c>
    </row>
    <row r="2867" spans="1:12" x14ac:dyDescent="0.15">
      <c r="A2867" s="1">
        <v>2866</v>
      </c>
      <c r="B2867" s="4">
        <v>41092</v>
      </c>
      <c r="C2867" s="1" t="s">
        <v>16</v>
      </c>
      <c r="D2867" s="1" t="s">
        <v>15</v>
      </c>
      <c r="E2867" s="1">
        <v>0.6853125000000001</v>
      </c>
      <c r="F2867" s="1" t="s">
        <v>13</v>
      </c>
      <c r="G2867" s="1">
        <v>3.27</v>
      </c>
      <c r="H2867" s="1">
        <v>3.33</v>
      </c>
      <c r="I2867" s="1">
        <v>0</v>
      </c>
      <c r="J2867" s="4">
        <v>41093</v>
      </c>
      <c r="K2867" s="4">
        <v>42554</v>
      </c>
      <c r="L2867">
        <f t="shared" si="44"/>
        <v>3.3</v>
      </c>
    </row>
    <row r="2868" spans="1:12" x14ac:dyDescent="0.15">
      <c r="A2868" s="1">
        <v>2867</v>
      </c>
      <c r="B2868" s="4">
        <v>41092</v>
      </c>
      <c r="C2868" s="1" t="s">
        <v>11</v>
      </c>
      <c r="D2868" s="1" t="s">
        <v>15</v>
      </c>
      <c r="E2868" s="1">
        <v>0.68530092592592595</v>
      </c>
      <c r="F2868" s="1" t="s">
        <v>13</v>
      </c>
      <c r="G2868" s="1">
        <v>3.28</v>
      </c>
      <c r="H2868" s="1">
        <v>3.34</v>
      </c>
      <c r="I2868" s="1">
        <v>0</v>
      </c>
      <c r="J2868" s="4">
        <v>41093</v>
      </c>
      <c r="K2868" s="4">
        <v>42188</v>
      </c>
      <c r="L2868">
        <f t="shared" si="44"/>
        <v>3.3099999999999996</v>
      </c>
    </row>
    <row r="2869" spans="1:12" x14ac:dyDescent="0.15">
      <c r="A2869" s="1">
        <v>2868</v>
      </c>
      <c r="B2869" s="4">
        <v>41092</v>
      </c>
      <c r="C2869" s="1" t="s">
        <v>14</v>
      </c>
      <c r="D2869" s="1" t="s">
        <v>15</v>
      </c>
      <c r="E2869" s="1">
        <v>0.6853125000000001</v>
      </c>
      <c r="F2869" s="1" t="s">
        <v>13</v>
      </c>
      <c r="G2869" s="1">
        <v>3.45</v>
      </c>
      <c r="H2869" s="1">
        <v>3.51</v>
      </c>
      <c r="I2869" s="1">
        <v>0</v>
      </c>
      <c r="J2869" s="4">
        <v>41093</v>
      </c>
      <c r="K2869" s="4">
        <v>41458</v>
      </c>
      <c r="L2869">
        <f t="shared" si="44"/>
        <v>3.48</v>
      </c>
    </row>
    <row r="2870" spans="1:12" x14ac:dyDescent="0.15">
      <c r="A2870" s="1">
        <v>2869</v>
      </c>
      <c r="B2870" s="4">
        <v>41092</v>
      </c>
      <c r="C2870" s="1" t="s">
        <v>20</v>
      </c>
      <c r="D2870" s="1" t="s">
        <v>15</v>
      </c>
      <c r="E2870" s="1">
        <v>0.6853125000000001</v>
      </c>
      <c r="F2870" s="1" t="s">
        <v>13</v>
      </c>
      <c r="G2870" s="1">
        <v>3.38</v>
      </c>
      <c r="H2870" s="1">
        <v>3.44</v>
      </c>
      <c r="I2870" s="1">
        <v>0</v>
      </c>
      <c r="J2870" s="4">
        <v>41093</v>
      </c>
      <c r="K2870" s="4">
        <v>44745</v>
      </c>
      <c r="L2870">
        <f t="shared" si="44"/>
        <v>3.41</v>
      </c>
    </row>
    <row r="2871" spans="1:12" x14ac:dyDescent="0.15">
      <c r="A2871" s="1">
        <v>2870</v>
      </c>
      <c r="B2871" s="4">
        <v>41092</v>
      </c>
      <c r="C2871" s="1" t="s">
        <v>25</v>
      </c>
      <c r="D2871" s="1" t="s">
        <v>15</v>
      </c>
      <c r="E2871" s="1">
        <v>0.68530092592592595</v>
      </c>
      <c r="F2871" s="1" t="s">
        <v>13</v>
      </c>
      <c r="G2871" s="1">
        <v>3.27</v>
      </c>
      <c r="H2871" s="1">
        <v>3.33</v>
      </c>
      <c r="I2871" s="1">
        <v>0</v>
      </c>
      <c r="J2871" s="4">
        <v>41093</v>
      </c>
      <c r="K2871" s="4">
        <v>42919</v>
      </c>
      <c r="L2871">
        <f t="shared" si="44"/>
        <v>3.3</v>
      </c>
    </row>
    <row r="2872" spans="1:12" x14ac:dyDescent="0.15">
      <c r="A2872" s="1">
        <v>2871</v>
      </c>
      <c r="B2872" s="4">
        <v>41092</v>
      </c>
      <c r="C2872" s="1" t="s">
        <v>21</v>
      </c>
      <c r="D2872" s="1" t="s">
        <v>15</v>
      </c>
      <c r="E2872" s="1">
        <v>0.6852893518518518</v>
      </c>
      <c r="F2872" s="1" t="s">
        <v>13</v>
      </c>
      <c r="G2872" s="1">
        <v>3.32</v>
      </c>
      <c r="H2872" s="1">
        <v>3.38</v>
      </c>
      <c r="I2872" s="1">
        <v>0</v>
      </c>
      <c r="J2872" s="4">
        <v>41093</v>
      </c>
      <c r="K2872" s="4">
        <v>43649</v>
      </c>
      <c r="L2872">
        <f t="shared" si="44"/>
        <v>3.3499999999999996</v>
      </c>
    </row>
    <row r="2873" spans="1:12" x14ac:dyDescent="0.15">
      <c r="A2873" s="1">
        <v>2872</v>
      </c>
      <c r="B2873" s="4">
        <v>41092</v>
      </c>
      <c r="C2873" s="1" t="s">
        <v>18</v>
      </c>
      <c r="D2873" s="1" t="s">
        <v>15</v>
      </c>
      <c r="E2873" s="1">
        <v>0.68530092592592595</v>
      </c>
      <c r="F2873" s="1" t="s">
        <v>13</v>
      </c>
      <c r="G2873" s="1">
        <v>3.29</v>
      </c>
      <c r="H2873" s="1">
        <v>3.35</v>
      </c>
      <c r="I2873" s="1">
        <v>0</v>
      </c>
      <c r="J2873" s="4">
        <v>41093</v>
      </c>
      <c r="K2873" s="4">
        <v>41823</v>
      </c>
      <c r="L2873">
        <f t="shared" si="44"/>
        <v>3.3200000000000003</v>
      </c>
    </row>
    <row r="2874" spans="1:12" x14ac:dyDescent="0.15">
      <c r="A2874" s="1">
        <v>2873</v>
      </c>
      <c r="B2874" s="4">
        <v>41092</v>
      </c>
      <c r="C2874" s="1" t="s">
        <v>19</v>
      </c>
      <c r="D2874" s="1" t="s">
        <v>15</v>
      </c>
      <c r="E2874" s="1">
        <v>0.68530092592592595</v>
      </c>
      <c r="F2874" s="1" t="s">
        <v>13</v>
      </c>
      <c r="G2874" s="1">
        <v>3.59</v>
      </c>
      <c r="H2874" s="1">
        <v>3.65</v>
      </c>
      <c r="I2874" s="1">
        <v>0</v>
      </c>
      <c r="J2874" s="4">
        <v>41093</v>
      </c>
      <c r="K2874" s="4">
        <v>41367</v>
      </c>
      <c r="L2874">
        <f t="shared" si="44"/>
        <v>3.62</v>
      </c>
    </row>
    <row r="2875" spans="1:12" x14ac:dyDescent="0.15">
      <c r="A2875" s="1">
        <v>2874</v>
      </c>
      <c r="B2875" s="4">
        <v>41092</v>
      </c>
      <c r="C2875" s="1" t="s">
        <v>11</v>
      </c>
      <c r="D2875" s="1" t="s">
        <v>30</v>
      </c>
      <c r="E2875" s="1">
        <v>0.6721759259259259</v>
      </c>
      <c r="F2875" s="1" t="s">
        <v>13</v>
      </c>
      <c r="G2875" s="1">
        <v>3.25</v>
      </c>
      <c r="H2875" s="1">
        <v>3.35</v>
      </c>
      <c r="I2875" s="1">
        <v>0</v>
      </c>
      <c r="J2875" s="4">
        <v>41093</v>
      </c>
      <c r="K2875" s="4">
        <v>42188</v>
      </c>
      <c r="L2875">
        <f t="shared" si="44"/>
        <v>3.3</v>
      </c>
    </row>
    <row r="2876" spans="1:12" x14ac:dyDescent="0.15">
      <c r="A2876" s="1">
        <v>2875</v>
      </c>
      <c r="B2876" s="4">
        <v>41092</v>
      </c>
      <c r="C2876" s="1" t="s">
        <v>16</v>
      </c>
      <c r="D2876" s="1" t="s">
        <v>30</v>
      </c>
      <c r="E2876" s="1">
        <v>0.6721759259259259</v>
      </c>
      <c r="F2876" s="1" t="s">
        <v>13</v>
      </c>
      <c r="G2876" s="1">
        <v>3.25</v>
      </c>
      <c r="H2876" s="1">
        <v>3.35</v>
      </c>
      <c r="I2876" s="1">
        <v>0</v>
      </c>
      <c r="J2876" s="4">
        <v>41093</v>
      </c>
      <c r="K2876" s="4">
        <v>42554</v>
      </c>
      <c r="L2876">
        <f t="shared" si="44"/>
        <v>3.3</v>
      </c>
    </row>
    <row r="2877" spans="1:12" x14ac:dyDescent="0.15">
      <c r="A2877" s="1">
        <v>2876</v>
      </c>
      <c r="B2877" s="4">
        <v>41092</v>
      </c>
      <c r="C2877" s="1" t="s">
        <v>14</v>
      </c>
      <c r="D2877" s="1" t="s">
        <v>30</v>
      </c>
      <c r="E2877" s="1">
        <v>0.6721759259259259</v>
      </c>
      <c r="F2877" s="1" t="s">
        <v>13</v>
      </c>
      <c r="G2877" s="1">
        <v>3.41</v>
      </c>
      <c r="H2877" s="1">
        <v>3.51</v>
      </c>
      <c r="I2877" s="1">
        <v>0</v>
      </c>
      <c r="J2877" s="4">
        <v>41093</v>
      </c>
      <c r="K2877" s="4">
        <v>41458</v>
      </c>
      <c r="L2877">
        <f t="shared" si="44"/>
        <v>3.46</v>
      </c>
    </row>
    <row r="2878" spans="1:12" x14ac:dyDescent="0.15">
      <c r="A2878" s="1">
        <v>2877</v>
      </c>
      <c r="B2878" s="4">
        <v>41092</v>
      </c>
      <c r="C2878" s="1" t="s">
        <v>18</v>
      </c>
      <c r="D2878" s="1" t="s">
        <v>30</v>
      </c>
      <c r="E2878" s="1">
        <v>0.6721759259259259</v>
      </c>
      <c r="F2878" s="1" t="s">
        <v>13</v>
      </c>
      <c r="G2878" s="1">
        <v>3.27</v>
      </c>
      <c r="H2878" s="1">
        <v>3.37</v>
      </c>
      <c r="I2878" s="1">
        <v>0</v>
      </c>
      <c r="J2878" s="4">
        <v>41093</v>
      </c>
      <c r="K2878" s="4">
        <v>41823</v>
      </c>
      <c r="L2878">
        <f t="shared" si="44"/>
        <v>3.3200000000000003</v>
      </c>
    </row>
    <row r="2879" spans="1:12" x14ac:dyDescent="0.15">
      <c r="A2879" s="1">
        <v>2878</v>
      </c>
      <c r="B2879" s="4">
        <v>41092</v>
      </c>
      <c r="C2879" s="1" t="s">
        <v>21</v>
      </c>
      <c r="D2879" s="1" t="s">
        <v>30</v>
      </c>
      <c r="E2879" s="1">
        <v>0.6721759259259259</v>
      </c>
      <c r="F2879" s="1" t="s">
        <v>13</v>
      </c>
      <c r="G2879" s="1">
        <v>3.28</v>
      </c>
      <c r="H2879" s="1">
        <v>3.38</v>
      </c>
      <c r="I2879" s="1">
        <v>0</v>
      </c>
      <c r="J2879" s="4">
        <v>41093</v>
      </c>
      <c r="K2879" s="4">
        <v>43649</v>
      </c>
      <c r="L2879">
        <f t="shared" si="44"/>
        <v>3.33</v>
      </c>
    </row>
    <row r="2880" spans="1:12" x14ac:dyDescent="0.15">
      <c r="A2880" s="1">
        <v>2879</v>
      </c>
      <c r="B2880" s="4">
        <v>41092</v>
      </c>
      <c r="C2880" s="1" t="s">
        <v>19</v>
      </c>
      <c r="D2880" s="1" t="s">
        <v>30</v>
      </c>
      <c r="E2880" s="1">
        <v>0.6721759259259259</v>
      </c>
      <c r="F2880" s="1" t="s">
        <v>13</v>
      </c>
      <c r="G2880" s="1">
        <v>3.57</v>
      </c>
      <c r="H2880" s="1">
        <v>3.67</v>
      </c>
      <c r="I2880" s="1">
        <v>0</v>
      </c>
      <c r="J2880" s="4">
        <v>41093</v>
      </c>
      <c r="K2880" s="4">
        <v>41367</v>
      </c>
      <c r="L2880">
        <f t="shared" si="44"/>
        <v>3.62</v>
      </c>
    </row>
    <row r="2881" spans="1:12" x14ac:dyDescent="0.15">
      <c r="A2881" s="1">
        <v>2880</v>
      </c>
      <c r="B2881" s="4">
        <v>41092</v>
      </c>
      <c r="C2881" s="1" t="s">
        <v>25</v>
      </c>
      <c r="D2881" s="1" t="s">
        <v>30</v>
      </c>
      <c r="E2881" s="1">
        <v>0.6721759259259259</v>
      </c>
      <c r="F2881" s="1" t="s">
        <v>13</v>
      </c>
      <c r="G2881" s="1">
        <v>3.25</v>
      </c>
      <c r="H2881" s="1">
        <v>3.35</v>
      </c>
      <c r="I2881" s="1">
        <v>0</v>
      </c>
      <c r="J2881" s="4">
        <v>41093</v>
      </c>
      <c r="K2881" s="4">
        <v>42919</v>
      </c>
      <c r="L2881">
        <f t="shared" si="44"/>
        <v>3.3</v>
      </c>
    </row>
    <row r="2882" spans="1:12" x14ac:dyDescent="0.15">
      <c r="A2882" s="1">
        <v>2881</v>
      </c>
      <c r="B2882" s="4">
        <v>41092</v>
      </c>
      <c r="C2882" s="1" t="s">
        <v>22</v>
      </c>
      <c r="D2882" s="1" t="s">
        <v>30</v>
      </c>
      <c r="E2882" s="1">
        <v>0.6721759259259259</v>
      </c>
      <c r="F2882" s="1" t="s">
        <v>13</v>
      </c>
      <c r="G2882" s="1">
        <v>3.75</v>
      </c>
      <c r="H2882" s="1">
        <v>3.85</v>
      </c>
      <c r="I2882" s="1">
        <v>0</v>
      </c>
      <c r="J2882" s="4">
        <v>41093</v>
      </c>
      <c r="K2882" s="4">
        <v>41277</v>
      </c>
      <c r="L2882">
        <f t="shared" si="44"/>
        <v>3.8</v>
      </c>
    </row>
    <row r="2883" spans="1:12" x14ac:dyDescent="0.15">
      <c r="A2883" s="1">
        <v>2882</v>
      </c>
      <c r="B2883" s="4">
        <v>41092</v>
      </c>
      <c r="C2883" s="1" t="s">
        <v>20</v>
      </c>
      <c r="D2883" s="1" t="s">
        <v>30</v>
      </c>
      <c r="E2883" s="1">
        <v>0.6721759259259259</v>
      </c>
      <c r="F2883" s="1" t="s">
        <v>13</v>
      </c>
      <c r="G2883" s="1">
        <v>3.33</v>
      </c>
      <c r="H2883" s="1">
        <v>3.43</v>
      </c>
      <c r="I2883" s="1">
        <v>0</v>
      </c>
      <c r="J2883" s="4">
        <v>41093</v>
      </c>
      <c r="K2883" s="4">
        <v>44745</v>
      </c>
      <c r="L2883">
        <f t="shared" ref="L2883:L2891" si="45">AVERAGE(G2883:H2883)</f>
        <v>3.38</v>
      </c>
    </row>
    <row r="2884" spans="1:12" x14ac:dyDescent="0.15">
      <c r="A2884" s="1">
        <v>2883</v>
      </c>
      <c r="B2884" s="4">
        <v>41092</v>
      </c>
      <c r="C2884" s="1" t="s">
        <v>16</v>
      </c>
      <c r="D2884" s="1" t="s">
        <v>26</v>
      </c>
      <c r="E2884" s="1">
        <v>0.67499999999999993</v>
      </c>
      <c r="F2884" s="1" t="s">
        <v>13</v>
      </c>
      <c r="G2884" s="1">
        <v>3.25</v>
      </c>
      <c r="H2884" s="1">
        <v>3.3</v>
      </c>
      <c r="I2884" s="1">
        <v>0</v>
      </c>
      <c r="J2884" s="4">
        <v>41093</v>
      </c>
      <c r="K2884" s="4">
        <v>42554</v>
      </c>
      <c r="L2884">
        <f t="shared" si="45"/>
        <v>3.2749999999999999</v>
      </c>
    </row>
    <row r="2885" spans="1:12" x14ac:dyDescent="0.15">
      <c r="A2885" s="1">
        <v>2884</v>
      </c>
      <c r="B2885" s="4">
        <v>41092</v>
      </c>
      <c r="C2885" s="1" t="s">
        <v>22</v>
      </c>
      <c r="D2885" s="1" t="s">
        <v>26</v>
      </c>
      <c r="E2885" s="1">
        <v>0.67499999999999993</v>
      </c>
      <c r="F2885" s="1" t="s">
        <v>13</v>
      </c>
      <c r="G2885" s="1">
        <v>2.75</v>
      </c>
      <c r="H2885" s="1">
        <v>3.8</v>
      </c>
      <c r="I2885" s="1">
        <v>0</v>
      </c>
      <c r="J2885" s="4">
        <v>41093</v>
      </c>
      <c r="K2885" s="4">
        <v>41277</v>
      </c>
      <c r="L2885">
        <f t="shared" si="45"/>
        <v>3.2749999999999999</v>
      </c>
    </row>
    <row r="2886" spans="1:12" x14ac:dyDescent="0.15">
      <c r="A2886" s="1">
        <v>2885</v>
      </c>
      <c r="B2886" s="4">
        <v>41092</v>
      </c>
      <c r="C2886" s="1" t="s">
        <v>19</v>
      </c>
      <c r="D2886" s="1" t="s">
        <v>26</v>
      </c>
      <c r="E2886" s="1">
        <v>0.67499999999999993</v>
      </c>
      <c r="F2886" s="1" t="s">
        <v>13</v>
      </c>
      <c r="G2886" s="1">
        <v>3.48</v>
      </c>
      <c r="H2886" s="1">
        <v>3.55</v>
      </c>
      <c r="I2886" s="1">
        <v>0</v>
      </c>
      <c r="J2886" s="4">
        <v>41093</v>
      </c>
      <c r="K2886" s="4">
        <v>41367</v>
      </c>
      <c r="L2886">
        <f t="shared" si="45"/>
        <v>3.5149999999999997</v>
      </c>
    </row>
    <row r="2887" spans="1:12" x14ac:dyDescent="0.15">
      <c r="A2887" s="1">
        <v>2886</v>
      </c>
      <c r="B2887" s="4">
        <v>41092</v>
      </c>
      <c r="C2887" s="1" t="s">
        <v>21</v>
      </c>
      <c r="D2887" s="1" t="s">
        <v>26</v>
      </c>
      <c r="E2887" s="1">
        <v>0.67499999999999993</v>
      </c>
      <c r="F2887" s="1" t="s">
        <v>13</v>
      </c>
      <c r="G2887" s="1">
        <v>3.25</v>
      </c>
      <c r="H2887" s="1">
        <v>3.3</v>
      </c>
      <c r="I2887" s="1">
        <v>0</v>
      </c>
      <c r="J2887" s="4">
        <v>41093</v>
      </c>
      <c r="K2887" s="4">
        <v>43649</v>
      </c>
      <c r="L2887">
        <f t="shared" si="45"/>
        <v>3.2749999999999999</v>
      </c>
    </row>
    <row r="2888" spans="1:12" x14ac:dyDescent="0.15">
      <c r="A2888" s="1">
        <v>2887</v>
      </c>
      <c r="B2888" s="4">
        <v>41092</v>
      </c>
      <c r="C2888" s="1" t="s">
        <v>14</v>
      </c>
      <c r="D2888" s="1" t="s">
        <v>26</v>
      </c>
      <c r="E2888" s="1">
        <v>0.67499999999999993</v>
      </c>
      <c r="F2888" s="1" t="s">
        <v>13</v>
      </c>
      <c r="G2888" s="1">
        <v>2.4500000000000002</v>
      </c>
      <c r="H2888" s="1">
        <v>3.5</v>
      </c>
      <c r="I2888" s="1">
        <v>0</v>
      </c>
      <c r="J2888" s="4">
        <v>41093</v>
      </c>
      <c r="K2888" s="4">
        <v>41458</v>
      </c>
      <c r="L2888">
        <f t="shared" si="45"/>
        <v>2.9750000000000001</v>
      </c>
    </row>
    <row r="2889" spans="1:12" x14ac:dyDescent="0.15">
      <c r="A2889" s="1">
        <v>2888</v>
      </c>
      <c r="B2889" s="4">
        <v>41092</v>
      </c>
      <c r="C2889" s="1" t="s">
        <v>11</v>
      </c>
      <c r="D2889" s="1" t="s">
        <v>26</v>
      </c>
      <c r="E2889" s="1">
        <v>0.67499999999999993</v>
      </c>
      <c r="F2889" s="1" t="s">
        <v>13</v>
      </c>
      <c r="G2889" s="1">
        <v>3.25</v>
      </c>
      <c r="H2889" s="1">
        <v>3.3</v>
      </c>
      <c r="I2889" s="1">
        <v>0</v>
      </c>
      <c r="J2889" s="4">
        <v>41093</v>
      </c>
      <c r="K2889" s="4">
        <v>42188</v>
      </c>
      <c r="L2889">
        <f t="shared" si="45"/>
        <v>3.2749999999999999</v>
      </c>
    </row>
    <row r="2890" spans="1:12" x14ac:dyDescent="0.15">
      <c r="A2890" s="1">
        <v>2889</v>
      </c>
      <c r="B2890" s="4">
        <v>41092</v>
      </c>
      <c r="C2890" s="1" t="s">
        <v>25</v>
      </c>
      <c r="D2890" s="1" t="s">
        <v>26</v>
      </c>
      <c r="E2890" s="1">
        <v>0.67499999999999993</v>
      </c>
      <c r="F2890" s="1" t="s">
        <v>13</v>
      </c>
      <c r="G2890" s="1">
        <v>3.25</v>
      </c>
      <c r="H2890" s="1">
        <v>3.3</v>
      </c>
      <c r="I2890" s="1">
        <v>0</v>
      </c>
      <c r="J2890" s="4">
        <v>41093</v>
      </c>
      <c r="K2890" s="4">
        <v>42919</v>
      </c>
      <c r="L2890">
        <f t="shared" si="45"/>
        <v>3.2749999999999999</v>
      </c>
    </row>
    <row r="2891" spans="1:12" x14ac:dyDescent="0.15">
      <c r="A2891" s="1">
        <v>2890</v>
      </c>
      <c r="B2891" s="4">
        <v>41092</v>
      </c>
      <c r="C2891" s="1" t="s">
        <v>20</v>
      </c>
      <c r="D2891" s="1" t="s">
        <v>26</v>
      </c>
      <c r="E2891" s="1">
        <v>0.67499999999999993</v>
      </c>
      <c r="F2891" s="1" t="s">
        <v>13</v>
      </c>
      <c r="G2891" s="1">
        <v>3.25</v>
      </c>
      <c r="H2891" s="1">
        <v>3.3</v>
      </c>
      <c r="I2891" s="1">
        <v>0</v>
      </c>
      <c r="J2891" s="4">
        <v>41093</v>
      </c>
      <c r="K2891" s="4">
        <v>44745</v>
      </c>
      <c r="L2891">
        <f t="shared" si="45"/>
        <v>3.2749999999999999</v>
      </c>
    </row>
    <row r="2893" spans="1:12" x14ac:dyDescent="0.15">
      <c r="A2893" s="3" t="s">
        <v>42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121"/>
  <sheetViews>
    <sheetView tabSelected="1" workbookViewId="0">
      <selection activeCell="I4" sqref="I4"/>
    </sheetView>
  </sheetViews>
  <sheetFormatPr defaultRowHeight="15" x14ac:dyDescent="0.15"/>
  <cols>
    <col min="1" max="1" width="15.375" style="13" customWidth="1"/>
    <col min="2" max="4" width="9.125" style="13" bestFit="1" customWidth="1"/>
    <col min="5" max="5" width="22.375" style="13" bestFit="1" customWidth="1"/>
    <col min="6" max="6" width="24.5" style="13" bestFit="1" customWidth="1"/>
    <col min="7" max="7" width="25.5" style="13" bestFit="1" customWidth="1"/>
    <col min="8" max="8" width="17.25" style="13" bestFit="1" customWidth="1"/>
    <col min="9" max="9" width="16" style="13" bestFit="1" customWidth="1"/>
    <col min="10" max="10" width="17.375" style="13" bestFit="1" customWidth="1"/>
    <col min="11" max="11" width="12.125" style="13" bestFit="1" customWidth="1"/>
    <col min="12" max="12" width="9" style="13"/>
    <col min="13" max="13" width="20" style="13" bestFit="1" customWidth="1"/>
    <col min="14" max="14" width="24.5" style="13" bestFit="1" customWidth="1"/>
    <col min="15" max="16" width="17.25" style="13" bestFit="1" customWidth="1"/>
    <col min="17" max="17" width="28" style="13" bestFit="1" customWidth="1"/>
    <col min="18" max="18" width="15.5" style="13" bestFit="1" customWidth="1"/>
    <col min="19" max="20" width="17.25" style="13" bestFit="1" customWidth="1"/>
    <col min="21" max="21" width="12.625" style="13" bestFit="1" customWidth="1"/>
    <col min="22" max="22" width="13.625" style="13" bestFit="1" customWidth="1"/>
    <col min="23" max="16384" width="9" style="13"/>
  </cols>
  <sheetData>
    <row r="1" spans="1:22" ht="15.75" thickBot="1" x14ac:dyDescent="0.3">
      <c r="A1" s="13" t="s">
        <v>143</v>
      </c>
      <c r="B1" s="13" t="s">
        <v>66</v>
      </c>
      <c r="C1" s="13" t="s">
        <v>68</v>
      </c>
      <c r="D1" s="13" t="s">
        <v>61</v>
      </c>
      <c r="E1" s="13" t="s">
        <v>62</v>
      </c>
      <c r="F1" s="13" t="s">
        <v>63</v>
      </c>
      <c r="G1" s="13" t="s">
        <v>64</v>
      </c>
      <c r="H1" s="13" t="s">
        <v>65</v>
      </c>
      <c r="I1" s="13" t="s">
        <v>67</v>
      </c>
      <c r="J1" s="13" t="s">
        <v>60</v>
      </c>
      <c r="M1" s="14" t="s">
        <v>69</v>
      </c>
      <c r="N1" s="8" t="str">
        <f>_xll.qlEuribor(N3,N4,N5,N6,N7,TRUE)</f>
        <v>shibor3MIndex#0001</v>
      </c>
      <c r="P1" s="48" t="s">
        <v>156</v>
      </c>
      <c r="Q1" s="49" t="s">
        <v>157</v>
      </c>
    </row>
    <row r="2" spans="1:22" ht="15.75" thickBot="1" x14ac:dyDescent="0.3">
      <c r="A2" s="15">
        <f>透视图!A6</f>
        <v>41092</v>
      </c>
      <c r="B2" s="16">
        <v>3.7318749999999996</v>
      </c>
      <c r="C2" s="16">
        <v>3.6000000000000005</v>
      </c>
      <c r="D2" s="16">
        <v>3.4062500000000004</v>
      </c>
      <c r="E2" s="16">
        <v>3.3143750000000005</v>
      </c>
      <c r="F2" s="16">
        <v>3.2974999999999994</v>
      </c>
      <c r="G2" s="16">
        <v>3.2968749999999996</v>
      </c>
      <c r="H2" s="16">
        <v>3.2949999999999999</v>
      </c>
      <c r="I2" s="16">
        <v>3.3274999999999992</v>
      </c>
      <c r="J2" s="16">
        <v>3.3741666666666661</v>
      </c>
      <c r="M2" s="17" t="s">
        <v>70</v>
      </c>
      <c r="N2" s="9" t="s">
        <v>71</v>
      </c>
    </row>
    <row r="3" spans="1:22" x14ac:dyDescent="0.25">
      <c r="A3" s="15">
        <f>透视图!A7</f>
        <v>41093</v>
      </c>
      <c r="B3" s="16">
        <v>3.6214999999999997</v>
      </c>
      <c r="C3" s="16">
        <v>3.5649999999999999</v>
      </c>
      <c r="D3" s="16">
        <v>3.3095000000000008</v>
      </c>
      <c r="E3" s="16">
        <v>3.2984999999999998</v>
      </c>
      <c r="F3" s="16">
        <v>3.2784999999999997</v>
      </c>
      <c r="G3" s="16">
        <v>3.2805</v>
      </c>
      <c r="H3" s="16">
        <v>3.2785000000000002</v>
      </c>
      <c r="I3" s="16">
        <v>3.3143749999999992</v>
      </c>
      <c r="J3" s="16">
        <v>3.3506249999999991</v>
      </c>
      <c r="M3" s="14" t="s">
        <v>72</v>
      </c>
      <c r="N3" s="10" t="s">
        <v>77</v>
      </c>
    </row>
    <row r="4" spans="1:22" x14ac:dyDescent="0.25">
      <c r="A4" s="15">
        <f>透视图!A8</f>
        <v>41094</v>
      </c>
      <c r="B4" s="16">
        <v>3.6271428571428568</v>
      </c>
      <c r="C4" s="16">
        <v>3.5557142857142856</v>
      </c>
      <c r="D4" s="16">
        <v>3.3042857142857147</v>
      </c>
      <c r="E4" s="16">
        <v>3.2885714285714291</v>
      </c>
      <c r="F4" s="16">
        <v>3.2714285714285714</v>
      </c>
      <c r="G4" s="16">
        <v>3.2728571428571422</v>
      </c>
      <c r="H4" s="16">
        <v>3.2735714285714286</v>
      </c>
      <c r="I4" s="16">
        <v>3.3119999999999998</v>
      </c>
      <c r="J4" s="16">
        <v>3.3420000000000001</v>
      </c>
      <c r="M4" s="18" t="s">
        <v>73</v>
      </c>
      <c r="N4" s="11" t="s">
        <v>78</v>
      </c>
    </row>
    <row r="5" spans="1:22" x14ac:dyDescent="0.25">
      <c r="A5" s="15">
        <f>透视图!A9</f>
        <v>41095</v>
      </c>
      <c r="B5" s="16">
        <v>3.6443749999999997</v>
      </c>
      <c r="C5" s="16">
        <v>3.5575000000000001</v>
      </c>
      <c r="D5" s="16">
        <v>3.3225000000000007</v>
      </c>
      <c r="E5" s="16">
        <v>3.2862500000000003</v>
      </c>
      <c r="F5" s="16">
        <v>3.2712499999999993</v>
      </c>
      <c r="G5" s="16">
        <v>3.2737499999999997</v>
      </c>
      <c r="H5" s="16">
        <v>3.2737499999999997</v>
      </c>
      <c r="I5" s="16">
        <v>3.3116666666666661</v>
      </c>
      <c r="J5" s="16">
        <v>3.3483333333333327</v>
      </c>
      <c r="M5" s="18" t="s">
        <v>74</v>
      </c>
      <c r="N5" s="11"/>
    </row>
    <row r="6" spans="1:22" x14ac:dyDescent="0.25">
      <c r="A6" s="15">
        <f>透视图!A10</f>
        <v>41096</v>
      </c>
      <c r="B6" s="16">
        <v>3.6883333333333335</v>
      </c>
      <c r="C6" s="16">
        <v>3.5050000000000003</v>
      </c>
      <c r="D6" s="16">
        <v>3.3727777777777774</v>
      </c>
      <c r="E6" s="16">
        <v>3.2127777777777782</v>
      </c>
      <c r="F6" s="16">
        <v>3.1772222222222224</v>
      </c>
      <c r="G6" s="16">
        <v>3.1772222222222224</v>
      </c>
      <c r="H6" s="16">
        <v>3.1772222222222224</v>
      </c>
      <c r="I6" s="16">
        <v>3.2278571428571432</v>
      </c>
      <c r="J6" s="16">
        <v>3.2607142857142857</v>
      </c>
      <c r="M6" s="18" t="s">
        <v>75</v>
      </c>
      <c r="N6" s="11"/>
    </row>
    <row r="7" spans="1:22" ht="15.75" thickBot="1" x14ac:dyDescent="0.3">
      <c r="A7" s="15">
        <f>透视图!A11</f>
        <v>41099</v>
      </c>
      <c r="B7" s="16">
        <v>3.6781249999999996</v>
      </c>
      <c r="C7" s="16">
        <v>3.4856250000000002</v>
      </c>
      <c r="D7" s="16">
        <v>3.3493749999999998</v>
      </c>
      <c r="E7" s="16">
        <v>3.2024999999999997</v>
      </c>
      <c r="F7" s="16">
        <v>3.1637500000000003</v>
      </c>
      <c r="G7" s="16">
        <v>3.16</v>
      </c>
      <c r="H7" s="16">
        <v>3.1650000000000005</v>
      </c>
      <c r="I7" s="16">
        <v>3.2275000000000005</v>
      </c>
      <c r="J7" s="16">
        <v>3.2600000000000002</v>
      </c>
      <c r="M7" s="17" t="s">
        <v>76</v>
      </c>
      <c r="N7" s="12"/>
    </row>
    <row r="8" spans="1:22" x14ac:dyDescent="0.15">
      <c r="A8" s="15">
        <f>透视图!A12</f>
        <v>41100</v>
      </c>
      <c r="B8" s="16">
        <v>3.6699999999999995</v>
      </c>
      <c r="C8" s="16">
        <v>3.4829999999999997</v>
      </c>
      <c r="D8" s="16">
        <v>3.3505000000000003</v>
      </c>
      <c r="E8" s="16">
        <v>3.2084999999999999</v>
      </c>
      <c r="F8" s="16">
        <v>3.1640000000000006</v>
      </c>
      <c r="G8" s="16">
        <v>3.165</v>
      </c>
      <c r="H8" s="16">
        <v>3.1625000000000005</v>
      </c>
      <c r="I8" s="16">
        <v>3.2081249999999999</v>
      </c>
      <c r="J8" s="16">
        <v>3.2368750000000004</v>
      </c>
    </row>
    <row r="9" spans="1:22" x14ac:dyDescent="0.15">
      <c r="A9" s="15">
        <f>透视图!A13</f>
        <v>41101</v>
      </c>
      <c r="B9" s="16">
        <v>3.6405555555555558</v>
      </c>
      <c r="C9" s="16">
        <v>3.4594444444444452</v>
      </c>
      <c r="D9" s="16">
        <v>3.322222222222222</v>
      </c>
      <c r="E9" s="16">
        <v>3.16</v>
      </c>
      <c r="F9" s="16">
        <v>3.1150000000000002</v>
      </c>
      <c r="G9" s="16">
        <v>3.1133333333333337</v>
      </c>
      <c r="H9" s="16">
        <v>3.1122222222222224</v>
      </c>
      <c r="I9" s="16">
        <v>3.1792857142857147</v>
      </c>
      <c r="J9" s="16">
        <v>3.2064285714285714</v>
      </c>
    </row>
    <row r="10" spans="1:22" x14ac:dyDescent="0.15">
      <c r="A10" s="15">
        <f>透视图!A14</f>
        <v>41102</v>
      </c>
      <c r="B10" s="16">
        <v>3.5427777777777774</v>
      </c>
      <c r="C10" s="16">
        <v>3.2955555555555551</v>
      </c>
      <c r="D10" s="16">
        <v>3.2044444444444449</v>
      </c>
      <c r="E10" s="16">
        <v>2.9816666666666669</v>
      </c>
      <c r="F10" s="16">
        <v>2.9611111111111104</v>
      </c>
      <c r="G10" s="16">
        <v>2.9638888888888886</v>
      </c>
      <c r="H10" s="16">
        <v>2.9622222222222216</v>
      </c>
      <c r="I10" s="16">
        <v>3.0378571428571424</v>
      </c>
      <c r="J10" s="16">
        <v>3.0728571428571425</v>
      </c>
      <c r="M10" s="15"/>
    </row>
    <row r="11" spans="1:22" x14ac:dyDescent="0.15">
      <c r="A11" s="15">
        <f>透视图!A15</f>
        <v>41103</v>
      </c>
      <c r="B11" s="16">
        <v>3.4849999999999999</v>
      </c>
      <c r="C11" s="16">
        <v>3.2654545454545461</v>
      </c>
      <c r="D11" s="16">
        <v>3.1313636363636372</v>
      </c>
      <c r="E11" s="16">
        <v>2.8768181818181819</v>
      </c>
      <c r="F11" s="16">
        <v>2.8545454545454549</v>
      </c>
      <c r="G11" s="16">
        <v>2.851363636363637</v>
      </c>
      <c r="H11" s="16">
        <v>2.8540909090909099</v>
      </c>
      <c r="I11" s="16">
        <v>2.8738888888888887</v>
      </c>
      <c r="J11" s="16">
        <v>2.9222222222222221</v>
      </c>
      <c r="M11" s="15"/>
    </row>
    <row r="12" spans="1:22" x14ac:dyDescent="0.15">
      <c r="A12" s="15">
        <f>透视图!A16</f>
        <v>41106</v>
      </c>
      <c r="B12" s="16">
        <v>3.5237500000000002</v>
      </c>
      <c r="C12" s="16">
        <v>3.3156249999999998</v>
      </c>
      <c r="D12" s="16">
        <v>3.1725000000000003</v>
      </c>
      <c r="E12" s="16">
        <v>2.9625000000000004</v>
      </c>
      <c r="F12" s="16">
        <v>2.9368750000000001</v>
      </c>
      <c r="G12" s="16">
        <v>2.944375</v>
      </c>
      <c r="H12" s="16">
        <v>2.9437500000000005</v>
      </c>
      <c r="I12" s="16">
        <v>2.9708333333333328</v>
      </c>
      <c r="J12" s="16">
        <v>3.0108333333333328</v>
      </c>
      <c r="M12" s="15">
        <v>41145</v>
      </c>
      <c r="N12" s="13" t="b">
        <f ca="1">_xll.qlSettingsSetEvaluationDate(M12)</f>
        <v>1</v>
      </c>
      <c r="P12" s="45">
        <f ca="1">serializeObject(N29,Q1,N29&amp;".xml",TRUE)</f>
        <v>11</v>
      </c>
    </row>
    <row r="13" spans="1:22" x14ac:dyDescent="0.15">
      <c r="A13" s="15">
        <f>透视图!A17</f>
        <v>41107</v>
      </c>
      <c r="B13" s="16">
        <v>3.4878571428571434</v>
      </c>
      <c r="C13" s="16">
        <v>3.2235714285714292</v>
      </c>
      <c r="D13" s="16">
        <v>3.1407142857142856</v>
      </c>
      <c r="E13" s="16">
        <v>2.9671428571428571</v>
      </c>
      <c r="F13" s="16">
        <v>2.9457142857142853</v>
      </c>
      <c r="G13" s="16">
        <v>2.9514285714285715</v>
      </c>
      <c r="H13" s="16">
        <v>2.9571428571428569</v>
      </c>
      <c r="I13" s="16">
        <v>2.9780000000000002</v>
      </c>
      <c r="J13" s="16">
        <v>2.9979999999999998</v>
      </c>
    </row>
    <row r="14" spans="1:22" x14ac:dyDescent="0.15">
      <c r="A14" s="15">
        <f>透视图!A18</f>
        <v>41108</v>
      </c>
      <c r="B14" s="16">
        <v>3.5000000000000004</v>
      </c>
      <c r="C14" s="16">
        <v>3.2787500000000005</v>
      </c>
      <c r="D14" s="16">
        <v>3.1537500000000005</v>
      </c>
      <c r="E14" s="16">
        <v>2.9787500000000002</v>
      </c>
      <c r="F14" s="16">
        <v>2.95</v>
      </c>
      <c r="G14" s="16">
        <v>2.9525000000000001</v>
      </c>
      <c r="H14" s="16">
        <v>2.9637499999999997</v>
      </c>
      <c r="I14" s="16">
        <v>2.9866666666666664</v>
      </c>
      <c r="J14" s="16">
        <v>3.02</v>
      </c>
    </row>
    <row r="15" spans="1:22" x14ac:dyDescent="0.15">
      <c r="A15" s="15">
        <f>透视图!A19</f>
        <v>41109</v>
      </c>
      <c r="B15" s="16">
        <v>3.5100000000000002</v>
      </c>
      <c r="C15" s="16">
        <v>3.2937500000000002</v>
      </c>
      <c r="D15" s="16">
        <v>3.1593749999999998</v>
      </c>
      <c r="E15" s="16">
        <v>2.9925000000000006</v>
      </c>
      <c r="F15" s="16">
        <v>2.9662500000000001</v>
      </c>
      <c r="G15" s="16">
        <v>2.9699999999999998</v>
      </c>
      <c r="H15" s="16">
        <v>2.975625</v>
      </c>
      <c r="I15" s="16">
        <v>3.0116666666666663</v>
      </c>
      <c r="J15" s="16">
        <v>3.043333333333333</v>
      </c>
      <c r="M15" s="13" t="s">
        <v>79</v>
      </c>
      <c r="N15" s="13" t="str">
        <f ca="1">_xll.qlSwapRateHelper2(N16,N17,N18,"China",N19,N20,N21,$N$1,N22,N23,,,,TRUE)</f>
        <v>Swap6M#0083</v>
      </c>
      <c r="O15" s="13" t="str">
        <f ca="1">_xll.qlSwapRateHelper2(O16,O17,O18,"China",O19,O20,O21,$N$1,O22,O23,,,,TRUE)</f>
        <v>Swap9M#0083</v>
      </c>
      <c r="P15" s="13" t="str">
        <f ca="1">_xll.qlSwapRateHelper2(P16,P17,P18,"China",P19,P20,P21,$N$1,P22,P23,,,,TRUE)</f>
        <v>Swap1Y#0083</v>
      </c>
      <c r="Q15" s="13" t="str">
        <f ca="1">_xll.qlSwapRateHelper2(Q16,Q17,Q18,"China",Q19,Q20,Q21,$N$1,Q22,Q23,,,,TRUE)</f>
        <v>Swap2Y#0083</v>
      </c>
      <c r="R15" s="13" t="str">
        <f ca="1">_xll.qlSwapRateHelper2(R16,R17,R18,"China",R19,R20,R21,$N$1,R22,R23,,,,TRUE)</f>
        <v>Swap3Y#0083</v>
      </c>
      <c r="S15" s="13" t="str">
        <f ca="1">_xll.qlSwapRateHelper2(S16,S17,S18,"China",S19,S20,S21,$N$1,S22,S23,,,,TRUE)</f>
        <v>Swap4Y#0083</v>
      </c>
      <c r="T15" s="13" t="str">
        <f ca="1">_xll.qlSwapRateHelper2(T16,T17,T18,"China",T19,T20,T21,$N$1,T22,T23,,,,TRUE)</f>
        <v>Swap5Y#0083</v>
      </c>
      <c r="U15" s="13" t="str">
        <f ca="1">_xll.qlSwapRateHelper2(U16,U17,U18,"China",U19,U20,U21,$N$1,U22,U23,,,,TRUE)</f>
        <v>Swap7Y#0083</v>
      </c>
      <c r="V15" s="13" t="str">
        <f ca="1">_xll.qlSwapRateHelper2(V16,V17,V18,"China",V19,V20,V21,$N$1,V22,V23,,,,TRUE)</f>
        <v>Swap10Y#0083</v>
      </c>
    </row>
    <row r="16" spans="1:22" x14ac:dyDescent="0.15">
      <c r="A16" s="15">
        <f>透视图!A20</f>
        <v>41110</v>
      </c>
      <c r="B16" s="16">
        <v>3.4937500000000004</v>
      </c>
      <c r="C16" s="16">
        <v>3.2787500000000005</v>
      </c>
      <c r="D16" s="16">
        <v>3.1587499999999999</v>
      </c>
      <c r="E16" s="16">
        <v>2.9818750000000005</v>
      </c>
      <c r="F16" s="16">
        <v>2.9587499999999998</v>
      </c>
      <c r="G16" s="16">
        <v>2.9587499999999998</v>
      </c>
      <c r="H16" s="16">
        <v>2.9687499999999996</v>
      </c>
      <c r="I16" s="16">
        <v>2.9916666666666667</v>
      </c>
      <c r="J16" s="16">
        <v>3.0133333333333332</v>
      </c>
      <c r="M16" s="13" t="s">
        <v>80</v>
      </c>
      <c r="N16" s="13" t="str">
        <f>"Swap"&amp;B1</f>
        <v>Swap6M</v>
      </c>
      <c r="O16" s="13" t="str">
        <f t="shared" ref="O16:T16" si="0">"Swap"&amp;C1</f>
        <v>Swap9M</v>
      </c>
      <c r="P16" s="13" t="str">
        <f t="shared" si="0"/>
        <v>Swap1Y</v>
      </c>
      <c r="Q16" s="13" t="str">
        <f t="shared" si="0"/>
        <v>Swap2Y</v>
      </c>
      <c r="R16" s="13" t="str">
        <f t="shared" si="0"/>
        <v>Swap3Y</v>
      </c>
      <c r="S16" s="13" t="str">
        <f t="shared" si="0"/>
        <v>Swap4Y</v>
      </c>
      <c r="T16" s="13" t="str">
        <f t="shared" si="0"/>
        <v>Swap5Y</v>
      </c>
      <c r="U16" s="13" t="str">
        <f>"Swap"&amp;I1</f>
        <v>Swap7Y</v>
      </c>
      <c r="V16" s="13" t="str">
        <f t="shared" ref="V16" si="1">"Swap"&amp;J1</f>
        <v>Swap10Y</v>
      </c>
    </row>
    <row r="17" spans="1:22" x14ac:dyDescent="0.15">
      <c r="A17" s="15">
        <f>透视图!A21</f>
        <v>41113</v>
      </c>
      <c r="B17" s="16">
        <v>3.4993750000000006</v>
      </c>
      <c r="C17" s="16">
        <v>3.2787500000000005</v>
      </c>
      <c r="D17" s="16">
        <v>3.1606249999999996</v>
      </c>
      <c r="E17" s="16">
        <v>2.99</v>
      </c>
      <c r="F17" s="16">
        <v>2.9649999999999999</v>
      </c>
      <c r="G17" s="16">
        <v>2.9637499999999997</v>
      </c>
      <c r="H17" s="16">
        <v>2.9831249999999998</v>
      </c>
      <c r="I17" s="16">
        <v>2.9983333333333331</v>
      </c>
      <c r="J17" s="16">
        <v>3.023333333333333</v>
      </c>
      <c r="M17" s="13" t="s">
        <v>81</v>
      </c>
      <c r="N17" s="19">
        <f t="shared" ref="N17:V17" ca="1" si="2">VLOOKUP($M$12,$A$2:$J$41,COLUMN(B1),FALSE)/100</f>
        <v>3.5337499999999994E-2</v>
      </c>
      <c r="O17" s="19">
        <f t="shared" ca="1" si="2"/>
        <v>3.4574999999999995E-2</v>
      </c>
      <c r="P17" s="19">
        <f t="shared" ca="1" si="2"/>
        <v>3.3649999999999999E-2</v>
      </c>
      <c r="Q17" s="19">
        <f t="shared" ca="1" si="2"/>
        <v>3.3000000000000002E-2</v>
      </c>
      <c r="R17" s="19">
        <f t="shared" ca="1" si="2"/>
        <v>3.2575E-2</v>
      </c>
      <c r="S17" s="19">
        <f t="shared" ca="1" si="2"/>
        <v>3.2575E-2</v>
      </c>
      <c r="T17" s="43">
        <f t="shared" ca="1" si="2"/>
        <v>3.2587499999999998E-2</v>
      </c>
      <c r="U17" s="19">
        <f t="shared" ca="1" si="2"/>
        <v>3.2999999999999995E-2</v>
      </c>
      <c r="V17" s="19">
        <f t="shared" ca="1" si="2"/>
        <v>3.373333333333333E-2</v>
      </c>
    </row>
    <row r="18" spans="1:22" x14ac:dyDescent="0.15">
      <c r="A18" s="15">
        <f>透视图!A22</f>
        <v>41114</v>
      </c>
      <c r="B18" s="16">
        <v>3.5028571428571427</v>
      </c>
      <c r="C18" s="16">
        <v>3.2864285714285706</v>
      </c>
      <c r="D18" s="16">
        <v>3.1335714285714289</v>
      </c>
      <c r="E18" s="16">
        <v>2.9664285714285716</v>
      </c>
      <c r="F18" s="16">
        <v>2.9442857142857144</v>
      </c>
      <c r="G18" s="16">
        <v>2.9471428571428571</v>
      </c>
      <c r="H18" s="16">
        <v>2.9357142857142859</v>
      </c>
      <c r="I18" s="16">
        <v>3.0159999999999996</v>
      </c>
      <c r="J18" s="16">
        <v>3.0519999999999996</v>
      </c>
      <c r="M18" s="13" t="s">
        <v>82</v>
      </c>
      <c r="N18" s="13" t="str">
        <f>B1</f>
        <v>6M</v>
      </c>
      <c r="O18" s="13" t="str">
        <f t="shared" ref="O18:V18" si="3">C1</f>
        <v>9M</v>
      </c>
      <c r="P18" s="13" t="str">
        <f t="shared" si="3"/>
        <v>1Y</v>
      </c>
      <c r="Q18" s="13" t="str">
        <f t="shared" si="3"/>
        <v>2Y</v>
      </c>
      <c r="R18" s="13" t="str">
        <f t="shared" si="3"/>
        <v>3Y</v>
      </c>
      <c r="S18" s="13" t="str">
        <f t="shared" si="3"/>
        <v>4Y</v>
      </c>
      <c r="T18" s="13" t="str">
        <f t="shared" si="3"/>
        <v>5Y</v>
      </c>
      <c r="U18" s="13" t="str">
        <f t="shared" si="3"/>
        <v>7Y</v>
      </c>
      <c r="V18" s="13" t="str">
        <f t="shared" si="3"/>
        <v>10Y</v>
      </c>
    </row>
    <row r="19" spans="1:22" x14ac:dyDescent="0.15">
      <c r="A19" s="15">
        <f>透视图!A23</f>
        <v>41115</v>
      </c>
      <c r="B19" s="16">
        <v>3.4944999999999999</v>
      </c>
      <c r="C19" s="16">
        <v>3.2745000000000006</v>
      </c>
      <c r="D19" s="16">
        <v>3.137</v>
      </c>
      <c r="E19" s="16">
        <v>2.9540000000000002</v>
      </c>
      <c r="F19" s="16">
        <v>2.9359999999999999</v>
      </c>
      <c r="G19" s="16">
        <v>2.931</v>
      </c>
      <c r="H19" s="16">
        <v>2.9380000000000002</v>
      </c>
      <c r="I19" s="16">
        <v>3.0081249999999997</v>
      </c>
      <c r="J19" s="16">
        <v>3.0393749999999997</v>
      </c>
      <c r="M19" s="13" t="s">
        <v>83</v>
      </c>
      <c r="N19" s="13" t="s">
        <v>152</v>
      </c>
      <c r="O19" s="13" t="s">
        <v>152</v>
      </c>
      <c r="P19" s="13" t="s">
        <v>152</v>
      </c>
      <c r="Q19" s="13" t="s">
        <v>152</v>
      </c>
      <c r="R19" s="13" t="s">
        <v>152</v>
      </c>
      <c r="S19" s="13" t="s">
        <v>152</v>
      </c>
      <c r="T19" s="13" t="s">
        <v>152</v>
      </c>
      <c r="U19" s="13" t="s">
        <v>152</v>
      </c>
      <c r="V19" s="13" t="s">
        <v>152</v>
      </c>
    </row>
    <row r="20" spans="1:22" x14ac:dyDescent="0.15">
      <c r="A20" s="15">
        <f>透视图!A24</f>
        <v>41116</v>
      </c>
      <c r="B20" s="16">
        <v>3.4900000000000007</v>
      </c>
      <c r="C20" s="16">
        <v>3.2731250000000003</v>
      </c>
      <c r="D20" s="16">
        <v>3.1361111111111111</v>
      </c>
      <c r="E20" s="16">
        <v>2.9605555555555565</v>
      </c>
      <c r="F20" s="16">
        <v>2.94</v>
      </c>
      <c r="G20" s="16">
        <v>2.9372222222222222</v>
      </c>
      <c r="H20" s="16">
        <v>2.9494444444444441</v>
      </c>
      <c r="I20" s="16">
        <v>2.9849999999999994</v>
      </c>
      <c r="J20" s="16">
        <v>3.0185714285714282</v>
      </c>
      <c r="M20" s="13" t="s">
        <v>84</v>
      </c>
      <c r="N20" s="13" t="s">
        <v>88</v>
      </c>
      <c r="O20" s="13" t="s">
        <v>88</v>
      </c>
      <c r="P20" s="13" t="s">
        <v>88</v>
      </c>
      <c r="Q20" s="13" t="s">
        <v>88</v>
      </c>
      <c r="R20" s="13" t="s">
        <v>88</v>
      </c>
      <c r="S20" s="13" t="s">
        <v>88</v>
      </c>
      <c r="T20" s="13" t="s">
        <v>88</v>
      </c>
      <c r="U20" s="13" t="s">
        <v>88</v>
      </c>
      <c r="V20" s="13" t="s">
        <v>88</v>
      </c>
    </row>
    <row r="21" spans="1:22" x14ac:dyDescent="0.15">
      <c r="A21" s="15">
        <f>透视图!A25</f>
        <v>41117</v>
      </c>
      <c r="B21" s="16">
        <v>3.5121428571428579</v>
      </c>
      <c r="C21" s="16">
        <v>3.2864285714285719</v>
      </c>
      <c r="D21" s="16">
        <v>3.1521428571428571</v>
      </c>
      <c r="E21" s="16">
        <v>2.9728571428571438</v>
      </c>
      <c r="F21" s="16">
        <v>2.9535714285714287</v>
      </c>
      <c r="G21" s="16">
        <v>2.9464285714285716</v>
      </c>
      <c r="H21" s="16">
        <v>2.952142857142857</v>
      </c>
      <c r="I21" s="16">
        <v>3.004</v>
      </c>
      <c r="J21" s="16">
        <v>3.0279999999999996</v>
      </c>
      <c r="M21" s="13" t="s">
        <v>85</v>
      </c>
      <c r="N21" s="13" t="s">
        <v>146</v>
      </c>
      <c r="O21" s="13" t="s">
        <v>146</v>
      </c>
      <c r="P21" s="13" t="s">
        <v>146</v>
      </c>
      <c r="Q21" s="13" t="s">
        <v>146</v>
      </c>
      <c r="R21" s="13" t="s">
        <v>146</v>
      </c>
      <c r="S21" s="13" t="s">
        <v>146</v>
      </c>
      <c r="T21" s="13" t="s">
        <v>146</v>
      </c>
      <c r="U21" s="13" t="s">
        <v>146</v>
      </c>
      <c r="V21" s="13" t="s">
        <v>146</v>
      </c>
    </row>
    <row r="22" spans="1:22" x14ac:dyDescent="0.15">
      <c r="A22" s="15">
        <f>透视图!A26</f>
        <v>41120</v>
      </c>
      <c r="B22" s="16">
        <v>3.5066666666666673</v>
      </c>
      <c r="C22" s="16">
        <v>3.2875000000000005</v>
      </c>
      <c r="D22" s="16">
        <v>3.160625</v>
      </c>
      <c r="E22" s="16">
        <v>2.9905555555555554</v>
      </c>
      <c r="F22" s="16">
        <v>2.9633333333333329</v>
      </c>
      <c r="G22" s="16">
        <v>2.9622222222222221</v>
      </c>
      <c r="H22" s="16">
        <v>2.9727777777777775</v>
      </c>
      <c r="I22" s="16">
        <v>3.0114285714285711</v>
      </c>
      <c r="J22" s="16">
        <v>3.0421428571428568</v>
      </c>
      <c r="M22" s="13" t="s">
        <v>86</v>
      </c>
      <c r="N22" s="13">
        <v>0</v>
      </c>
      <c r="O22" s="13">
        <v>0</v>
      </c>
      <c r="P22" s="13">
        <v>0</v>
      </c>
      <c r="Q22" s="13">
        <v>0</v>
      </c>
      <c r="R22" s="13">
        <v>0</v>
      </c>
      <c r="S22" s="13">
        <v>0</v>
      </c>
      <c r="T22" s="13">
        <v>0</v>
      </c>
      <c r="U22" s="13">
        <v>0</v>
      </c>
      <c r="V22" s="13">
        <v>0</v>
      </c>
    </row>
    <row r="23" spans="1:22" x14ac:dyDescent="0.15">
      <c r="A23" s="15">
        <f>透视图!A27</f>
        <v>41121</v>
      </c>
      <c r="B23" s="16">
        <v>3.5114285714285716</v>
      </c>
      <c r="C23" s="16">
        <v>3.2964285714285717</v>
      </c>
      <c r="D23" s="16">
        <v>3.1778571428571429</v>
      </c>
      <c r="E23" s="16">
        <v>3.0114285714285711</v>
      </c>
      <c r="F23" s="16">
        <v>2.9742857142857138</v>
      </c>
      <c r="G23" s="16">
        <v>2.9678571428571425</v>
      </c>
      <c r="H23" s="16">
        <v>2.9857142857142853</v>
      </c>
      <c r="I23" s="16">
        <v>3.0219999999999998</v>
      </c>
      <c r="J23" s="16">
        <v>3.0509999999999997</v>
      </c>
      <c r="M23" s="13" t="s">
        <v>87</v>
      </c>
      <c r="N23" s="13" t="s">
        <v>144</v>
      </c>
      <c r="O23" s="13" t="s">
        <v>145</v>
      </c>
      <c r="P23" s="13" t="s">
        <v>89</v>
      </c>
      <c r="Q23" s="13" t="s">
        <v>89</v>
      </c>
      <c r="R23" s="13" t="s">
        <v>89</v>
      </c>
      <c r="S23" s="13" t="s">
        <v>89</v>
      </c>
      <c r="T23" s="13" t="s">
        <v>89</v>
      </c>
      <c r="U23" s="13" t="s">
        <v>89</v>
      </c>
      <c r="V23" s="13" t="s">
        <v>89</v>
      </c>
    </row>
    <row r="24" spans="1:22" x14ac:dyDescent="0.15">
      <c r="A24" s="15">
        <f>透视图!A28</f>
        <v>41122</v>
      </c>
      <c r="B24" s="16">
        <v>3.5031250000000003</v>
      </c>
      <c r="C24" s="16">
        <v>3.2856249999999996</v>
      </c>
      <c r="D24" s="16">
        <v>3.1662499999999998</v>
      </c>
      <c r="E24" s="16">
        <v>3.0024999999999999</v>
      </c>
      <c r="F24" s="16">
        <v>2.9606249999999998</v>
      </c>
      <c r="G24" s="16">
        <v>2.96</v>
      </c>
      <c r="H24" s="16">
        <v>2.9781249999999999</v>
      </c>
      <c r="I24" s="16">
        <v>3.0283333333333338</v>
      </c>
      <c r="J24" s="16">
        <v>3.0583333333333331</v>
      </c>
    </row>
    <row r="25" spans="1:22" ht="15.75" thickBot="1" x14ac:dyDescent="0.2">
      <c r="A25" s="15">
        <f>透视图!A29</f>
        <v>41123</v>
      </c>
      <c r="B25" s="16">
        <v>3.4985714285714287</v>
      </c>
      <c r="C25" s="16">
        <v>3.2864285714285719</v>
      </c>
      <c r="D25" s="16">
        <v>3.1707142857142858</v>
      </c>
      <c r="E25" s="16">
        <v>3.0071428571428567</v>
      </c>
      <c r="F25" s="16">
        <v>2.9671428571428566</v>
      </c>
      <c r="G25" s="16">
        <v>2.9657142857142853</v>
      </c>
      <c r="H25" s="16">
        <v>2.9807142857142854</v>
      </c>
      <c r="I25" s="16">
        <v>3.032</v>
      </c>
      <c r="J25" s="16">
        <v>3.0579999999999998</v>
      </c>
    </row>
    <row r="26" spans="1:22" ht="15.75" thickBot="1" x14ac:dyDescent="0.25">
      <c r="A26" s="15">
        <f>透视图!A30</f>
        <v>41124</v>
      </c>
      <c r="B26" s="16">
        <v>3.4964285714285714</v>
      </c>
      <c r="C26" s="16">
        <v>3.29</v>
      </c>
      <c r="D26" s="16">
        <v>3.1675</v>
      </c>
      <c r="E26" s="16">
        <v>3.0085714285714285</v>
      </c>
      <c r="F26" s="16">
        <v>2.9664285714285712</v>
      </c>
      <c r="G26" s="16">
        <v>2.9635714285714281</v>
      </c>
      <c r="H26" s="16">
        <v>2.9821428571428572</v>
      </c>
      <c r="I26" s="16">
        <v>3.0469999999999997</v>
      </c>
      <c r="J26" s="16">
        <v>3.0829999999999997</v>
      </c>
      <c r="P26" s="45"/>
      <c r="Q26" s="46"/>
      <c r="S26" s="48" t="s">
        <v>155</v>
      </c>
      <c r="T26" s="57" t="s">
        <v>154</v>
      </c>
    </row>
    <row r="27" spans="1:22" x14ac:dyDescent="0.25">
      <c r="A27" s="15">
        <f>透视图!A31</f>
        <v>41127</v>
      </c>
      <c r="B27" s="16">
        <v>3.4814999999999996</v>
      </c>
      <c r="C27" s="16">
        <v>3.387777777777778</v>
      </c>
      <c r="D27" s="16">
        <v>3.2745000000000006</v>
      </c>
      <c r="E27" s="16">
        <v>3.1294999999999997</v>
      </c>
      <c r="F27" s="16">
        <v>3.0935000000000001</v>
      </c>
      <c r="G27" s="16">
        <v>3.0579999999999998</v>
      </c>
      <c r="H27" s="16">
        <v>3.0990000000000006</v>
      </c>
      <c r="I27" s="16">
        <v>3.165</v>
      </c>
      <c r="J27" s="16">
        <v>3.2062500000000003</v>
      </c>
      <c r="M27" s="14" t="s">
        <v>90</v>
      </c>
      <c r="N27" s="8" t="str">
        <f ca="1">_xll.qlPiecewiseYieldCurve(N29,N30,N31,N15:V15,N32,,,N35,N33,N34,,,TRUE)</f>
        <v>Swap_Curve_2012-8-24#0083</v>
      </c>
      <c r="Q27" s="47"/>
      <c r="S27" s="54">
        <f ca="1">M12</f>
        <v>41145</v>
      </c>
      <c r="T27" s="50">
        <f t="array" aca="1" ref="T27:T65" ca="1">_xll.qlYieldTSZeroRate($N$27,S27:S65,N21,,,TRUE)</f>
        <v>3.4743377469318826E-2</v>
      </c>
    </row>
    <row r="28" spans="1:22" ht="15.75" thickBot="1" x14ac:dyDescent="0.3">
      <c r="A28" s="15">
        <f>透视图!A32</f>
        <v>41128</v>
      </c>
      <c r="B28" s="16">
        <v>3.4640909090909089</v>
      </c>
      <c r="C28" s="16">
        <v>3.3686363636363641</v>
      </c>
      <c r="D28" s="16">
        <v>3.2050000000000001</v>
      </c>
      <c r="E28" s="16">
        <v>3.0850000000000004</v>
      </c>
      <c r="F28" s="16">
        <v>3.0581818181818181</v>
      </c>
      <c r="G28" s="16">
        <v>3.0381818181818177</v>
      </c>
      <c r="H28" s="16">
        <v>3.0536363636363641</v>
      </c>
      <c r="I28" s="16">
        <v>3.1266666666666669</v>
      </c>
      <c r="J28" s="16">
        <v>3.1661111111111109</v>
      </c>
      <c r="M28" s="17" t="s">
        <v>70</v>
      </c>
      <c r="N28" s="9" t="s">
        <v>71</v>
      </c>
      <c r="P28" s="45"/>
      <c r="Q28" s="47"/>
      <c r="S28" s="55">
        <f ca="1">_xll.qlCalendarAdvance("Null",S27,"3M")</f>
        <v>41237</v>
      </c>
      <c r="T28" s="51">
        <f ca="1"/>
        <v>3.5028939475931734E-2</v>
      </c>
    </row>
    <row r="29" spans="1:22" x14ac:dyDescent="0.25">
      <c r="A29" s="15">
        <f>透视图!A33</f>
        <v>41129</v>
      </c>
      <c r="B29" s="16">
        <v>3.4599999999999995</v>
      </c>
      <c r="C29" s="16">
        <v>3.3600000000000008</v>
      </c>
      <c r="D29" s="16">
        <v>3.2033333333333331</v>
      </c>
      <c r="E29" s="16">
        <v>3.0941666666666663</v>
      </c>
      <c r="F29" s="16">
        <v>3.0574999999999997</v>
      </c>
      <c r="G29" s="16">
        <v>3.0524999999999998</v>
      </c>
      <c r="H29" s="16">
        <v>3.0733333333333337</v>
      </c>
      <c r="I29" s="16">
        <v>3.1480000000000006</v>
      </c>
      <c r="J29" s="16">
        <v>3.1820000000000004</v>
      </c>
      <c r="M29" s="14" t="s">
        <v>72</v>
      </c>
      <c r="N29" s="10" t="str">
        <f ca="1">"Swap_Curve_"&amp;YEAR(M12)&amp;"-"&amp;MONTH(M12)&amp;"-"&amp;DAY(M12)</f>
        <v>Swap_Curve_2012-8-24</v>
      </c>
      <c r="P29" s="45"/>
      <c r="Q29" s="47"/>
      <c r="S29" s="55">
        <f ca="1">_xll.qlCalendarAdvance("Null",S28,"3M")</f>
        <v>41329</v>
      </c>
      <c r="T29" s="51">
        <f ca="1"/>
        <v>3.5028939475931241E-2</v>
      </c>
    </row>
    <row r="30" spans="1:22" x14ac:dyDescent="0.25">
      <c r="A30" s="15">
        <f>透视图!A34</f>
        <v>41130</v>
      </c>
      <c r="B30" s="16">
        <v>3.4216666666666664</v>
      </c>
      <c r="C30" s="16">
        <v>3.3408333333333338</v>
      </c>
      <c r="D30" s="16">
        <v>3.1733333333333338</v>
      </c>
      <c r="E30" s="16">
        <v>3.0775000000000001</v>
      </c>
      <c r="F30" s="16">
        <v>3.0674999999999994</v>
      </c>
      <c r="G30" s="16">
        <v>3.06</v>
      </c>
      <c r="H30" s="16">
        <v>3.0833333333333335</v>
      </c>
      <c r="I30" s="16">
        <v>3.1500000000000004</v>
      </c>
      <c r="J30" s="16">
        <v>3.1825000000000006</v>
      </c>
      <c r="M30" s="18" t="s">
        <v>91</v>
      </c>
      <c r="N30" s="11">
        <v>0</v>
      </c>
      <c r="P30" s="45"/>
      <c r="Q30" s="47"/>
      <c r="S30" s="55">
        <f ca="1">_xll.qlCalendarAdvance("Null",S29,"3M")</f>
        <v>41418</v>
      </c>
      <c r="T30" s="51">
        <f ca="1"/>
        <v>3.4341215615765579E-2</v>
      </c>
    </row>
    <row r="31" spans="1:22" x14ac:dyDescent="0.25">
      <c r="A31" s="15">
        <f>透视图!A35</f>
        <v>41131</v>
      </c>
      <c r="B31" s="16">
        <v>3.379285714285714</v>
      </c>
      <c r="C31" s="16">
        <v>3.3599999999999994</v>
      </c>
      <c r="D31" s="16">
        <v>3.1392857142857147</v>
      </c>
      <c r="E31" s="16">
        <v>3.0342857142857147</v>
      </c>
      <c r="F31" s="16">
        <v>3.02</v>
      </c>
      <c r="G31" s="16">
        <v>3.0207142857142855</v>
      </c>
      <c r="H31" s="16">
        <v>3.0385714285714287</v>
      </c>
      <c r="I31" s="16">
        <v>3.1500000000000004</v>
      </c>
      <c r="J31" s="16">
        <v>3.1760000000000006</v>
      </c>
      <c r="M31" s="18" t="s">
        <v>92</v>
      </c>
      <c r="N31" s="11" t="s">
        <v>148</v>
      </c>
      <c r="P31" s="45"/>
      <c r="Q31" s="47"/>
      <c r="S31" s="55">
        <f ca="1">_xll.qlCalendarAdvance("Null",S30,"3M")</f>
        <v>41510</v>
      </c>
      <c r="T31" s="51">
        <f ca="1"/>
        <v>3.3405939443664892E-2</v>
      </c>
    </row>
    <row r="32" spans="1:22" x14ac:dyDescent="0.25">
      <c r="A32" s="15">
        <f>透视图!A36</f>
        <v>41134</v>
      </c>
      <c r="B32" s="16">
        <v>3.4056249999999997</v>
      </c>
      <c r="C32" s="16">
        <v>3.375</v>
      </c>
      <c r="D32" s="16">
        <v>3.1675</v>
      </c>
      <c r="E32" s="16">
        <v>3.0474999999999999</v>
      </c>
      <c r="F32" s="16">
        <v>3.0362499999999999</v>
      </c>
      <c r="G32" s="16">
        <v>3.0356249999999996</v>
      </c>
      <c r="H32" s="16">
        <v>3.0637499999999998</v>
      </c>
      <c r="I32" s="16">
        <v>3.1500000000000004</v>
      </c>
      <c r="J32" s="16">
        <v>3.18</v>
      </c>
      <c r="M32" s="18" t="s">
        <v>93</v>
      </c>
      <c r="N32" s="11"/>
      <c r="P32" s="45"/>
      <c r="Q32" s="47"/>
      <c r="S32" s="55">
        <f ca="1">_xll.qlCalendarAdvance("Null",S31,"3M")</f>
        <v>41602</v>
      </c>
      <c r="T32" s="51">
        <f ca="1"/>
        <v>3.3174696771504031E-2</v>
      </c>
    </row>
    <row r="33" spans="1:20" x14ac:dyDescent="0.25">
      <c r="A33" s="15">
        <f>透视图!A37</f>
        <v>41135</v>
      </c>
      <c r="B33" s="16">
        <v>3.3962499999999993</v>
      </c>
      <c r="C33" s="16">
        <v>3.3687500000000004</v>
      </c>
      <c r="D33" s="16">
        <v>3.165</v>
      </c>
      <c r="E33" s="16">
        <v>3.055625</v>
      </c>
      <c r="F33" s="16">
        <v>3.0399999999999996</v>
      </c>
      <c r="G33" s="16">
        <v>3.0462499999999997</v>
      </c>
      <c r="H33" s="16">
        <v>3.0662500000000001</v>
      </c>
      <c r="I33" s="16">
        <v>3.1491666666666664</v>
      </c>
      <c r="J33" s="16">
        <v>3.18</v>
      </c>
      <c r="M33" s="18" t="s">
        <v>94</v>
      </c>
      <c r="N33" s="11" t="s">
        <v>149</v>
      </c>
      <c r="P33" s="45"/>
      <c r="Q33" s="47"/>
      <c r="S33" s="55">
        <f ca="1">_xll.qlCalendarAdvance("Null",S32,"3M")</f>
        <v>41694</v>
      </c>
      <c r="T33" s="51">
        <f ca="1"/>
        <v>3.3034213914874773E-2</v>
      </c>
    </row>
    <row r="34" spans="1:20" x14ac:dyDescent="0.25">
      <c r="A34" s="15">
        <f>透视图!A38</f>
        <v>41136</v>
      </c>
      <c r="B34" s="16">
        <v>3.4342857142857142</v>
      </c>
      <c r="C34" s="16">
        <v>3.3528571428571428</v>
      </c>
      <c r="D34" s="16">
        <v>3.1928571428571426</v>
      </c>
      <c r="E34" s="16">
        <v>3.0921428571428566</v>
      </c>
      <c r="F34" s="16">
        <v>3.0700000000000003</v>
      </c>
      <c r="G34" s="16">
        <v>3.0678571428571431</v>
      </c>
      <c r="H34" s="16">
        <v>3.0821428571428569</v>
      </c>
      <c r="I34" s="16">
        <v>3.1739999999999999</v>
      </c>
      <c r="J34" s="16">
        <v>3.2099999999999995</v>
      </c>
      <c r="M34" s="18" t="s">
        <v>95</v>
      </c>
      <c r="N34" s="11" t="s">
        <v>150</v>
      </c>
      <c r="P34" s="45"/>
      <c r="Q34" s="47"/>
      <c r="S34" s="55">
        <f ca="1">_xll.qlCalendarAdvance("Null",S33,"3M")</f>
        <v>41783</v>
      </c>
      <c r="T34" s="51">
        <f ca="1"/>
        <v>3.2783255043842718E-2</v>
      </c>
    </row>
    <row r="35" spans="1:20" x14ac:dyDescent="0.25">
      <c r="A35" s="15">
        <f>透视图!A39</f>
        <v>41137</v>
      </c>
      <c r="B35" s="16">
        <v>3.4499999999999993</v>
      </c>
      <c r="C35" s="16">
        <v>3.3983333333333334</v>
      </c>
      <c r="D35" s="16">
        <v>3.2266666666666666</v>
      </c>
      <c r="E35" s="16">
        <v>3.0941666666666663</v>
      </c>
      <c r="F35" s="16">
        <v>3.0849999999999995</v>
      </c>
      <c r="G35" s="16">
        <v>3.0791666666666662</v>
      </c>
      <c r="H35" s="16">
        <v>3.0908333333333329</v>
      </c>
      <c r="I35" s="16">
        <v>3.1825000000000001</v>
      </c>
      <c r="J35" s="16">
        <v>3.2175000000000002</v>
      </c>
      <c r="M35" s="18" t="s">
        <v>96</v>
      </c>
      <c r="N35" s="44">
        <v>1E-8</v>
      </c>
      <c r="P35" s="45"/>
      <c r="Q35" s="47"/>
      <c r="S35" s="55">
        <f ca="1">_xll.qlCalendarAdvance("Null",S34,"3M")</f>
        <v>41875</v>
      </c>
      <c r="T35" s="51">
        <f ca="1"/>
        <v>3.2726823117328316E-2</v>
      </c>
    </row>
    <row r="36" spans="1:20" x14ac:dyDescent="0.25">
      <c r="A36" s="15">
        <f>透视图!A40</f>
        <v>41138</v>
      </c>
      <c r="B36" s="16">
        <v>3.46</v>
      </c>
      <c r="C36" s="16">
        <v>3.3899999999999997</v>
      </c>
      <c r="D36" s="16">
        <v>3.2250000000000001</v>
      </c>
      <c r="E36" s="16">
        <v>3.0985714285714283</v>
      </c>
      <c r="F36" s="16">
        <v>3.081428571428571</v>
      </c>
      <c r="G36" s="16">
        <v>3.0785714285714283</v>
      </c>
      <c r="H36" s="16">
        <v>3.121428571428571</v>
      </c>
      <c r="I36" s="16">
        <v>3.1819999999999995</v>
      </c>
      <c r="J36" s="16">
        <v>3.218</v>
      </c>
      <c r="M36" s="18" t="s">
        <v>75</v>
      </c>
      <c r="N36" s="11"/>
      <c r="P36" s="45"/>
      <c r="Q36" s="47"/>
      <c r="S36" s="55">
        <f ca="1">_xll.qlCalendarAdvance("Null",S35,"3M")</f>
        <v>41967</v>
      </c>
      <c r="T36" s="51">
        <f ca="1"/>
        <v>3.2615162081045007E-2</v>
      </c>
    </row>
    <row r="37" spans="1:20" ht="15.75" thickBot="1" x14ac:dyDescent="0.3">
      <c r="A37" s="15">
        <f>透视图!A41</f>
        <v>41141</v>
      </c>
      <c r="B37" s="16">
        <v>3.5056250000000002</v>
      </c>
      <c r="C37" s="16">
        <v>3.3924999999999992</v>
      </c>
      <c r="D37" s="16">
        <v>3.3000000000000003</v>
      </c>
      <c r="E37" s="16">
        <v>3.1756250000000001</v>
      </c>
      <c r="F37" s="16">
        <v>3.1425000000000001</v>
      </c>
      <c r="G37" s="16">
        <v>3.118125</v>
      </c>
      <c r="H37" s="16">
        <v>3.1231249999999999</v>
      </c>
      <c r="I37" s="16">
        <v>3.186666666666667</v>
      </c>
      <c r="J37" s="16">
        <v>3.2133333333333334</v>
      </c>
      <c r="M37" s="17" t="s">
        <v>76</v>
      </c>
      <c r="N37" s="12"/>
      <c r="P37" s="45"/>
      <c r="Q37" s="47"/>
      <c r="S37" s="55">
        <f ca="1">_xll.qlCalendarAdvance("Null",S36,"3M")</f>
        <v>42059</v>
      </c>
      <c r="T37" s="51">
        <f ca="1"/>
        <v>3.2523060861832181E-2</v>
      </c>
    </row>
    <row r="38" spans="1:20" x14ac:dyDescent="0.2">
      <c r="A38" s="15">
        <f>透视图!A42</f>
        <v>41142</v>
      </c>
      <c r="B38" s="16">
        <v>3.5065</v>
      </c>
      <c r="C38" s="16">
        <v>3.4394999999999998</v>
      </c>
      <c r="D38" s="16">
        <v>3.3359999999999999</v>
      </c>
      <c r="E38" s="16">
        <v>3.21</v>
      </c>
      <c r="F38" s="16">
        <v>3.1700000000000004</v>
      </c>
      <c r="G38" s="16">
        <v>3.1674999999999995</v>
      </c>
      <c r="H38" s="16">
        <v>3.1774999999999998</v>
      </c>
      <c r="I38" s="16">
        <v>3.1912499999999997</v>
      </c>
      <c r="J38" s="16">
        <v>3.2149999999999999</v>
      </c>
      <c r="P38" s="45"/>
      <c r="Q38" s="46"/>
      <c r="S38" s="55">
        <f ca="1">_xll.qlCalendarAdvance("Null",S37,"3M")</f>
        <v>42148</v>
      </c>
      <c r="T38" s="51">
        <f ca="1"/>
        <v>3.2353750329050551E-2</v>
      </c>
    </row>
    <row r="39" spans="1:20" x14ac:dyDescent="0.2">
      <c r="A39" s="15">
        <f>透视图!A43</f>
        <v>41143</v>
      </c>
      <c r="B39" s="16">
        <v>3.585</v>
      </c>
      <c r="C39" s="16">
        <v>3.4981249999999999</v>
      </c>
      <c r="D39" s="16">
        <v>3.4362499999999998</v>
      </c>
      <c r="E39" s="16">
        <v>3.3481250000000005</v>
      </c>
      <c r="F39" s="16">
        <v>3.3093750000000002</v>
      </c>
      <c r="G39" s="16">
        <v>3.2987500000000001</v>
      </c>
      <c r="H39" s="16">
        <v>3.3156249999999998</v>
      </c>
      <c r="I39" s="16">
        <v>3.3516666666666666</v>
      </c>
      <c r="J39" s="16">
        <v>3.3699999999999997</v>
      </c>
      <c r="P39" s="45"/>
      <c r="Q39" s="46"/>
      <c r="S39" s="55">
        <f ca="1">_xll.qlCalendarAdvance("Null",S38,"3M")</f>
        <v>42240</v>
      </c>
      <c r="T39" s="51">
        <f ca="1"/>
        <v>3.2298783625706096E-2</v>
      </c>
    </row>
    <row r="40" spans="1:20" x14ac:dyDescent="0.2">
      <c r="A40" s="15">
        <f>透视图!A44</f>
        <v>41144</v>
      </c>
      <c r="B40" s="16">
        <v>3.5487499999999996</v>
      </c>
      <c r="C40" s="16">
        <v>3.5025000000000004</v>
      </c>
      <c r="D40" s="16">
        <v>3.3968749999999996</v>
      </c>
      <c r="E40" s="16">
        <v>3.3268750000000002</v>
      </c>
      <c r="F40" s="16">
        <v>3.2850000000000001</v>
      </c>
      <c r="G40" s="16">
        <v>3.2775000000000003</v>
      </c>
      <c r="H40" s="16">
        <v>3.2887499999999998</v>
      </c>
      <c r="I40" s="16">
        <v>3.3299999999999996</v>
      </c>
      <c r="J40" s="16">
        <v>3.3499999999999996</v>
      </c>
      <c r="P40" s="45"/>
      <c r="Q40" s="46"/>
      <c r="S40" s="55">
        <f ca="1">_xll.qlCalendarAdvance("Null",S39,"3M")</f>
        <v>42332</v>
      </c>
      <c r="T40" s="51">
        <f ca="1"/>
        <v>3.231071661078231E-2</v>
      </c>
    </row>
    <row r="41" spans="1:20" ht="15.75" thickBot="1" x14ac:dyDescent="0.25">
      <c r="A41" s="15">
        <f>透视图!A45</f>
        <v>41145</v>
      </c>
      <c r="B41" s="16">
        <v>3.5337499999999995</v>
      </c>
      <c r="C41" s="16">
        <v>3.4574999999999996</v>
      </c>
      <c r="D41" s="16">
        <v>3.3649999999999998</v>
      </c>
      <c r="E41" s="16">
        <v>3.3000000000000003</v>
      </c>
      <c r="F41" s="16">
        <v>3.2574999999999998</v>
      </c>
      <c r="G41" s="16">
        <v>3.2574999999999998</v>
      </c>
      <c r="H41" s="16">
        <v>3.2587499999999996</v>
      </c>
      <c r="I41" s="16">
        <v>3.2999999999999994</v>
      </c>
      <c r="J41" s="16">
        <v>3.3733333333333331</v>
      </c>
      <c r="P41" s="45"/>
      <c r="Q41" s="45"/>
      <c r="S41" s="55">
        <f ca="1">_xll.qlCalendarAdvance("Null",S40,"3M")</f>
        <v>42424</v>
      </c>
      <c r="T41" s="51">
        <f ca="1"/>
        <v>3.2323411645207349E-2</v>
      </c>
    </row>
    <row r="42" spans="1:20" x14ac:dyDescent="0.25">
      <c r="M42" s="14" t="s">
        <v>69</v>
      </c>
      <c r="N42" s="8" t="str">
        <f ca="1">_xll.qlEuribor(N44,N45,N46,,,TRUE)</f>
        <v>shibor3MIndex_New#0083</v>
      </c>
      <c r="P42" s="45"/>
      <c r="Q42" s="45"/>
      <c r="S42" s="55">
        <f ca="1">_xll.qlCalendarAdvance("Null",S41,"3M")</f>
        <v>42514</v>
      </c>
      <c r="T42" s="51">
        <f ca="1"/>
        <v>3.2287329302444212E-2</v>
      </c>
    </row>
    <row r="43" spans="1:20" ht="15.75" thickBot="1" x14ac:dyDescent="0.3">
      <c r="J43" s="15"/>
      <c r="M43" s="17" t="s">
        <v>70</v>
      </c>
      <c r="N43" s="9" t="s">
        <v>71</v>
      </c>
      <c r="P43" s="45"/>
      <c r="Q43" s="45"/>
      <c r="S43" s="55">
        <f ca="1">_xll.qlCalendarAdvance("Null",S42,"3M")</f>
        <v>42606</v>
      </c>
      <c r="T43" s="51">
        <f ca="1"/>
        <v>3.229989916433728E-2</v>
      </c>
    </row>
    <row r="44" spans="1:20" x14ac:dyDescent="0.25">
      <c r="J44" s="15"/>
      <c r="M44" s="14" t="s">
        <v>72</v>
      </c>
      <c r="N44" s="10" t="s">
        <v>97</v>
      </c>
      <c r="S44" s="55">
        <f ca="1">_xll.qlCalendarAdvance("Null",S43,"3M")</f>
        <v>42698</v>
      </c>
      <c r="T44" s="52">
        <f ca="1"/>
        <v>3.2319521851090938E-2</v>
      </c>
    </row>
    <row r="45" spans="1:20" x14ac:dyDescent="0.25">
      <c r="J45" s="15"/>
      <c r="M45" s="18" t="s">
        <v>73</v>
      </c>
      <c r="N45" s="11" t="str">
        <f>N4</f>
        <v>3M</v>
      </c>
      <c r="S45" s="55">
        <f ca="1">_xll.qlCalendarAdvance("Null",S44,"3M")</f>
        <v>42790</v>
      </c>
      <c r="T45" s="52">
        <f ca="1"/>
        <v>3.2337427322797943E-2</v>
      </c>
    </row>
    <row r="46" spans="1:20" x14ac:dyDescent="0.25">
      <c r="J46" s="15"/>
      <c r="M46" s="18" t="s">
        <v>74</v>
      </c>
      <c r="N46" s="11" t="str">
        <f ca="1">N27</f>
        <v>Swap_Curve_2012-8-24#0083</v>
      </c>
      <c r="S46" s="55">
        <f ca="1">_xll.qlCalendarAdvance("Null",S45,"3M")</f>
        <v>42879</v>
      </c>
      <c r="T46" s="52">
        <f ca="1"/>
        <v>3.2297426577216848E-2</v>
      </c>
    </row>
    <row r="47" spans="1:20" x14ac:dyDescent="0.25">
      <c r="J47" s="15"/>
      <c r="M47" s="18" t="s">
        <v>75</v>
      </c>
      <c r="N47" s="11"/>
      <c r="S47" s="55">
        <f ca="1">_xll.qlCalendarAdvance("Null",S46,"3M")</f>
        <v>42971</v>
      </c>
      <c r="T47" s="52">
        <f ca="1"/>
        <v>3.2314646265446847E-2</v>
      </c>
    </row>
    <row r="48" spans="1:20" ht="15.75" thickBot="1" x14ac:dyDescent="0.3">
      <c r="J48" s="15"/>
      <c r="M48" s="17" t="s">
        <v>76</v>
      </c>
      <c r="N48" s="12"/>
      <c r="S48" s="55">
        <f ca="1">_xll.qlCalendarAdvance("Null",S47,"3M")</f>
        <v>43063</v>
      </c>
      <c r="T48" s="52">
        <f ca="1"/>
        <v>3.2398699797496454E-2</v>
      </c>
    </row>
    <row r="49" spans="6:20" x14ac:dyDescent="0.2">
      <c r="J49" s="15"/>
      <c r="S49" s="55">
        <f ca="1">_xll.qlCalendarAdvance("Null",S48,"3M")</f>
        <v>43155</v>
      </c>
      <c r="T49" s="52">
        <f ca="1"/>
        <v>3.2478083070633795E-2</v>
      </c>
    </row>
    <row r="50" spans="6:20" ht="15.75" thickBot="1" x14ac:dyDescent="0.25">
      <c r="S50" s="55">
        <f ca="1">_xll.qlCalendarAdvance("Null",S49,"3M")</f>
        <v>43244</v>
      </c>
      <c r="T50" s="52">
        <f ca="1"/>
        <v>3.2502153528233914E-2</v>
      </c>
    </row>
    <row r="51" spans="6:20" x14ac:dyDescent="0.25">
      <c r="F51" s="14" t="s">
        <v>110</v>
      </c>
      <c r="G51" s="8" t="str">
        <f ca="1">_xll.qlSchedule(G53,G54,G55,G56,G57,G58,G59,G60,,,,,,TRUE)</f>
        <v>Fixed_Schedul#0082</v>
      </c>
      <c r="I51" s="14" t="s">
        <v>110</v>
      </c>
      <c r="J51" s="8" t="str">
        <f ca="1">_xll.qlSchedule(J53,J54,J55,J56,J57,J58,J59,J60,,,,,,TRUE)</f>
        <v>Ibor_Schedule#0082</v>
      </c>
      <c r="M51" s="14" t="s">
        <v>98</v>
      </c>
      <c r="N51" s="8" t="str">
        <f ca="1">_xll.qlIborLeg(N53,N54,N55,N56,N57,N58,N59,N60,N61,N62,N63,N64,N65,N66,TRUE)</f>
        <v>IborLeg#0082</v>
      </c>
      <c r="P51" s="14" t="s">
        <v>120</v>
      </c>
      <c r="Q51" s="8" t="str">
        <f ca="1">_xll.qlFixedRateLeg(Q53,Q54,Q55,Q56,Q57,Q58,Q59,Q59,TRUE)</f>
        <v>FixedLeg#0082</v>
      </c>
      <c r="S51" s="55">
        <f ca="1">_xll.qlCalendarAdvance("Null",S50,"3M")</f>
        <v>43336</v>
      </c>
      <c r="T51" s="52">
        <f ca="1"/>
        <v>3.2570610956495771E-2</v>
      </c>
    </row>
    <row r="52" spans="6:20" ht="15.75" thickBot="1" x14ac:dyDescent="0.3">
      <c r="F52" s="17" t="s">
        <v>70</v>
      </c>
      <c r="G52" s="9" t="s">
        <v>71</v>
      </c>
      <c r="I52" s="17" t="s">
        <v>70</v>
      </c>
      <c r="J52" s="9" t="s">
        <v>71</v>
      </c>
      <c r="M52" s="17" t="s">
        <v>70</v>
      </c>
      <c r="N52" s="9" t="s">
        <v>71</v>
      </c>
      <c r="P52" s="17" t="s">
        <v>70</v>
      </c>
      <c r="Q52" s="9" t="s">
        <v>71</v>
      </c>
      <c r="S52" s="55">
        <f ca="1">_xll.qlCalendarAdvance("Null",S51,"3M")</f>
        <v>43428</v>
      </c>
      <c r="T52" s="52">
        <f ca="1"/>
        <v>3.2633591790496665E-2</v>
      </c>
    </row>
    <row r="53" spans="6:20" x14ac:dyDescent="0.25">
      <c r="F53" s="14" t="s">
        <v>72</v>
      </c>
      <c r="G53" s="10" t="s">
        <v>123</v>
      </c>
      <c r="I53" s="14" t="s">
        <v>72</v>
      </c>
      <c r="J53" s="10" t="s">
        <v>119</v>
      </c>
      <c r="M53" s="14" t="s">
        <v>72</v>
      </c>
      <c r="N53" s="10" t="s">
        <v>109</v>
      </c>
      <c r="P53" s="14" t="s">
        <v>72</v>
      </c>
      <c r="Q53" s="10" t="s">
        <v>122</v>
      </c>
      <c r="S53" s="55">
        <f ca="1">_xll.qlCalendarAdvance("Null",S52,"3M")</f>
        <v>43520</v>
      </c>
      <c r="T53" s="52">
        <f ca="1"/>
        <v>3.2691727944959031E-2</v>
      </c>
    </row>
    <row r="54" spans="6:20" x14ac:dyDescent="0.25">
      <c r="F54" s="18" t="s">
        <v>111</v>
      </c>
      <c r="G54" s="20">
        <f ca="1">J54</f>
        <v>41149</v>
      </c>
      <c r="I54" s="18" t="s">
        <v>111</v>
      </c>
      <c r="J54" s="20">
        <f ca="1">_xll.qlCalendarAdvance("China",M12,"2D")</f>
        <v>41149</v>
      </c>
      <c r="M54" s="18" t="s">
        <v>99</v>
      </c>
      <c r="N54" s="11" t="str">
        <f>Q54</f>
        <v>Following</v>
      </c>
      <c r="P54" s="18" t="s">
        <v>99</v>
      </c>
      <c r="Q54" s="11" t="str">
        <f>N20</f>
        <v>Following</v>
      </c>
      <c r="S54" s="55">
        <f ca="1">_xll.qlCalendarAdvance("Null",S53,"3M")</f>
        <v>43609</v>
      </c>
      <c r="T54" s="52">
        <f ca="1"/>
        <v>3.2704319635717481E-2</v>
      </c>
    </row>
    <row r="55" spans="6:20" x14ac:dyDescent="0.25">
      <c r="F55" s="18" t="s">
        <v>112</v>
      </c>
      <c r="G55" s="20">
        <f ca="1">J55</f>
        <v>42975</v>
      </c>
      <c r="I55" s="18" t="s">
        <v>112</v>
      </c>
      <c r="J55" s="20">
        <f ca="1">_xll.qlCalendarAdvance("null",J54,"5Y","Following")</f>
        <v>42975</v>
      </c>
      <c r="M55" s="18" t="s">
        <v>100</v>
      </c>
      <c r="N55" s="21">
        <v>1000000</v>
      </c>
      <c r="P55" s="18" t="s">
        <v>100</v>
      </c>
      <c r="Q55" s="21">
        <v>1000000</v>
      </c>
      <c r="S55" s="55">
        <f ca="1">_xll.qlCalendarAdvance("Null",S54,"3M")</f>
        <v>43701</v>
      </c>
      <c r="T55" s="52">
        <f ca="1"/>
        <v>3.2755777213246066E-2</v>
      </c>
    </row>
    <row r="56" spans="6:20" x14ac:dyDescent="0.25">
      <c r="F56" s="18" t="s">
        <v>73</v>
      </c>
      <c r="G56" s="11" t="s">
        <v>151</v>
      </c>
      <c r="I56" s="18" t="s">
        <v>73</v>
      </c>
      <c r="J56" s="11" t="str">
        <f>N45</f>
        <v>3M</v>
      </c>
      <c r="M56" s="18" t="s">
        <v>101</v>
      </c>
      <c r="N56" s="11" t="str">
        <f ca="1">J51</f>
        <v>Ibor_Schedule#0082</v>
      </c>
      <c r="P56" s="18" t="s">
        <v>101</v>
      </c>
      <c r="Q56" s="11" t="str">
        <f ca="1">G51</f>
        <v>Fixed_Schedul#0082</v>
      </c>
      <c r="S56" s="55">
        <f ca="1">_xll.qlCalendarAdvance("Null",S55,"3M")</f>
        <v>43793</v>
      </c>
      <c r="T56" s="52">
        <f ca="1"/>
        <v>3.2855050861655216E-2</v>
      </c>
    </row>
    <row r="57" spans="6:20" x14ac:dyDescent="0.25">
      <c r="F57" s="18" t="s">
        <v>92</v>
      </c>
      <c r="G57" s="11" t="str">
        <f>N31</f>
        <v>NullCalendar</v>
      </c>
      <c r="I57" s="18" t="s">
        <v>92</v>
      </c>
      <c r="J57" s="11" t="str">
        <f>N31</f>
        <v>NullCalendar</v>
      </c>
      <c r="M57" s="18" t="s">
        <v>102</v>
      </c>
      <c r="N57" s="11"/>
      <c r="P57" s="18" t="s">
        <v>121</v>
      </c>
      <c r="Q57" s="37">
        <f ca="1">T17</f>
        <v>3.2587499999999998E-2</v>
      </c>
      <c r="S57" s="55">
        <f ca="1">_xll.qlCalendarAdvance("Null",S56,"3M")</f>
        <v>43885</v>
      </c>
      <c r="T57" s="52">
        <f ca="1"/>
        <v>3.2949963208065244E-2</v>
      </c>
    </row>
    <row r="58" spans="6:20" x14ac:dyDescent="0.25">
      <c r="F58" s="18" t="s">
        <v>113</v>
      </c>
      <c r="G58" s="58" t="str">
        <f>J58</f>
        <v>Following</v>
      </c>
      <c r="I58" s="18" t="s">
        <v>113</v>
      </c>
      <c r="J58" s="58" t="str">
        <f>Q54</f>
        <v>Following</v>
      </c>
      <c r="M58" s="18" t="s">
        <v>103</v>
      </c>
      <c r="N58" s="11"/>
      <c r="P58" s="18" t="s">
        <v>93</v>
      </c>
      <c r="Q58" s="11" t="str">
        <f>N21</f>
        <v>30/360 (Bond Basis)</v>
      </c>
      <c r="S58" s="55">
        <f ca="1">_xll.qlCalendarAdvance("Null",S57,"3M")</f>
        <v>43975</v>
      </c>
      <c r="T58" s="52">
        <f ca="1"/>
        <v>3.3013715416239847E-2</v>
      </c>
    </row>
    <row r="59" spans="6:20" x14ac:dyDescent="0.25">
      <c r="F59" s="18" t="s">
        <v>114</v>
      </c>
      <c r="G59" s="58" t="str">
        <f>J59</f>
        <v>Following</v>
      </c>
      <c r="I59" s="18" t="s">
        <v>114</v>
      </c>
      <c r="J59" s="58" t="str">
        <f>Q54</f>
        <v>Following</v>
      </c>
      <c r="M59" s="18" t="s">
        <v>93</v>
      </c>
      <c r="N59" s="11" t="s">
        <v>147</v>
      </c>
      <c r="P59" s="18" t="s">
        <v>75</v>
      </c>
      <c r="Q59" s="11"/>
      <c r="S59" s="55">
        <f ca="1">_xll.qlCalendarAdvance("Null",S58,"3M")</f>
        <v>44067</v>
      </c>
      <c r="T59" s="52">
        <f ca="1"/>
        <v>3.3097737473668495E-2</v>
      </c>
    </row>
    <row r="60" spans="6:20" ht="15.75" thickBot="1" x14ac:dyDescent="0.3">
      <c r="F60" s="18" t="s">
        <v>115</v>
      </c>
      <c r="G60" s="11" t="s">
        <v>153</v>
      </c>
      <c r="I60" s="18" t="s">
        <v>115</v>
      </c>
      <c r="J60" s="11" t="s">
        <v>153</v>
      </c>
      <c r="M60" s="18" t="s">
        <v>104</v>
      </c>
      <c r="N60" s="22"/>
      <c r="P60" s="17" t="s">
        <v>76</v>
      </c>
      <c r="Q60" s="12"/>
      <c r="S60" s="55">
        <f ca="1">_xll.qlCalendarAdvance("Null",S59,"3M")</f>
        <v>44159</v>
      </c>
      <c r="T60" s="52">
        <f ca="1"/>
        <v>3.317666728519237E-2</v>
      </c>
    </row>
    <row r="61" spans="6:20" x14ac:dyDescent="0.25">
      <c r="F61" s="18" t="s">
        <v>116</v>
      </c>
      <c r="G61" s="11"/>
      <c r="I61" s="18" t="s">
        <v>116</v>
      </c>
      <c r="J61" s="11"/>
      <c r="M61" s="18" t="s">
        <v>105</v>
      </c>
      <c r="N61" s="11"/>
      <c r="S61" s="55">
        <f ca="1">_xll.qlCalendarAdvance("Null",S60,"3M")</f>
        <v>44251</v>
      </c>
      <c r="T61" s="52">
        <f ca="1"/>
        <v>3.3250954166626608E-2</v>
      </c>
    </row>
    <row r="62" spans="6:20" x14ac:dyDescent="0.25">
      <c r="F62" s="18" t="s">
        <v>117</v>
      </c>
      <c r="G62" s="20"/>
      <c r="I62" s="18" t="s">
        <v>117</v>
      </c>
      <c r="J62" s="20"/>
      <c r="M62" s="18" t="s">
        <v>106</v>
      </c>
      <c r="N62" s="11" t="str">
        <f ca="1">N42</f>
        <v>shibor3MIndex_New#0083</v>
      </c>
      <c r="S62" s="55">
        <f ca="1">_xll.qlCalendarAdvance("Null",S61,"3M")</f>
        <v>44340</v>
      </c>
      <c r="T62" s="52">
        <f ca="1"/>
        <v>3.3287732958015556E-2</v>
      </c>
    </row>
    <row r="63" spans="6:20" x14ac:dyDescent="0.25">
      <c r="F63" s="18" t="s">
        <v>118</v>
      </c>
      <c r="G63" s="20"/>
      <c r="I63" s="18" t="s">
        <v>118</v>
      </c>
      <c r="J63" s="20"/>
      <c r="M63" s="18" t="s">
        <v>107</v>
      </c>
      <c r="N63" s="22"/>
      <c r="S63" s="55">
        <f ca="1">_xll.qlCalendarAdvance("Null",S62,"3M")</f>
        <v>44432</v>
      </c>
      <c r="T63" s="52">
        <f ca="1"/>
        <v>3.33548076329028E-2</v>
      </c>
    </row>
    <row r="64" spans="6:20" x14ac:dyDescent="0.25">
      <c r="F64" s="18" t="s">
        <v>75</v>
      </c>
      <c r="G64" s="11"/>
      <c r="I64" s="18" t="s">
        <v>75</v>
      </c>
      <c r="J64" s="11"/>
      <c r="M64" s="18" t="s">
        <v>108</v>
      </c>
      <c r="N64" s="22"/>
      <c r="S64" s="55">
        <f ca="1">_xll.qlCalendarAdvance("Null",S63,"3M")</f>
        <v>44524</v>
      </c>
      <c r="T64" s="52">
        <f ca="1"/>
        <v>3.3418256649688005E-2</v>
      </c>
    </row>
    <row r="65" spans="6:20" ht="15.75" thickBot="1" x14ac:dyDescent="0.3">
      <c r="F65" s="17" t="s">
        <v>76</v>
      </c>
      <c r="G65" s="12"/>
      <c r="I65" s="17" t="s">
        <v>76</v>
      </c>
      <c r="J65" s="12"/>
      <c r="M65" s="18" t="s">
        <v>75</v>
      </c>
      <c r="N65" s="11"/>
      <c r="S65" s="56">
        <f ca="1">_xll.qlCalendarAdvance("Null",S64,"3M")</f>
        <v>44616</v>
      </c>
      <c r="T65" s="53">
        <f ca="1"/>
        <v>3.3478366244537185E-2</v>
      </c>
    </row>
    <row r="66" spans="6:20" ht="15.75" thickBot="1" x14ac:dyDescent="0.3">
      <c r="M66" s="17" t="s">
        <v>76</v>
      </c>
      <c r="N66" s="12"/>
    </row>
    <row r="69" spans="6:20" ht="15.75" thickBot="1" x14ac:dyDescent="0.2"/>
    <row r="70" spans="6:20" x14ac:dyDescent="0.25">
      <c r="I70" s="14" t="s">
        <v>134</v>
      </c>
      <c r="J70" s="8" t="str">
        <f ca="1">_xll.qlSwap(J72,J73:K73,J74:K74,,,TRUE)</f>
        <v>swapByLegs#0082</v>
      </c>
      <c r="M70" s="14" t="s">
        <v>124</v>
      </c>
      <c r="N70" s="8" t="str">
        <f ca="1">_xll.qlVanillaSwap(N72,N73,N74,N75,N76,N21,N78,N42,N80,N59,J58,,,TRUE)</f>
        <v>VanillaSwap#0082</v>
      </c>
    </row>
    <row r="71" spans="6:20" ht="15.75" thickBot="1" x14ac:dyDescent="0.3">
      <c r="I71" s="17" t="s">
        <v>70</v>
      </c>
      <c r="J71" s="9" t="s">
        <v>71</v>
      </c>
      <c r="M71" s="17" t="s">
        <v>70</v>
      </c>
      <c r="N71" s="9" t="s">
        <v>71</v>
      </c>
    </row>
    <row r="72" spans="6:20" ht="15.75" thickBot="1" x14ac:dyDescent="0.3">
      <c r="I72" s="23" t="s">
        <v>72</v>
      </c>
      <c r="J72" s="24" t="s">
        <v>136</v>
      </c>
      <c r="M72" s="14" t="s">
        <v>72</v>
      </c>
      <c r="N72" s="10" t="s">
        <v>124</v>
      </c>
    </row>
    <row r="73" spans="6:20" x14ac:dyDescent="0.25">
      <c r="I73" s="25" t="s">
        <v>135</v>
      </c>
      <c r="J73" s="26" t="str">
        <f ca="1">Q51</f>
        <v>FixedLeg#0082</v>
      </c>
      <c r="K73" s="27" t="str">
        <f ca="1">N51</f>
        <v>IborLeg#0082</v>
      </c>
      <c r="M73" s="18" t="s">
        <v>125</v>
      </c>
      <c r="N73" s="11" t="s">
        <v>126</v>
      </c>
    </row>
    <row r="74" spans="6:20" ht="15.75" thickBot="1" x14ac:dyDescent="0.3">
      <c r="I74" s="25" t="s">
        <v>126</v>
      </c>
      <c r="J74" s="26" t="b">
        <v>1</v>
      </c>
      <c r="K74" s="28" t="b">
        <v>0</v>
      </c>
      <c r="M74" s="18" t="s">
        <v>127</v>
      </c>
      <c r="N74" s="21">
        <v>1000000</v>
      </c>
    </row>
    <row r="75" spans="6:20" x14ac:dyDescent="0.25">
      <c r="I75" s="25" t="s">
        <v>75</v>
      </c>
      <c r="J75" s="29"/>
      <c r="M75" s="18" t="s">
        <v>128</v>
      </c>
      <c r="N75" s="11" t="str">
        <f ca="1">G51</f>
        <v>Fixed_Schedul#0082</v>
      </c>
    </row>
    <row r="76" spans="6:20" ht="15.75" thickBot="1" x14ac:dyDescent="0.3">
      <c r="I76" s="30" t="s">
        <v>76</v>
      </c>
      <c r="J76" s="31"/>
      <c r="M76" s="18" t="s">
        <v>129</v>
      </c>
      <c r="N76" s="40">
        <f ca="1">Q57</f>
        <v>3.2587499999999998E-2</v>
      </c>
    </row>
    <row r="77" spans="6:20" ht="15.75" thickBot="1" x14ac:dyDescent="0.3">
      <c r="M77" s="18" t="s">
        <v>130</v>
      </c>
      <c r="N77" s="11" t="str">
        <f>N21</f>
        <v>30/360 (Bond Basis)</v>
      </c>
    </row>
    <row r="78" spans="6:20" x14ac:dyDescent="0.25">
      <c r="F78" s="14" t="s">
        <v>137</v>
      </c>
      <c r="G78" s="8" t="str">
        <f ca="1">_xll.qlDiscountingSwapEngine(G80,G81,,,,,,TRUE)</f>
        <v>DiscountEngine#0083</v>
      </c>
      <c r="M78" s="18" t="s">
        <v>131</v>
      </c>
      <c r="N78" s="11" t="str">
        <f ca="1">J51</f>
        <v>Ibor_Schedule#0082</v>
      </c>
    </row>
    <row r="79" spans="6:20" ht="15.75" thickBot="1" x14ac:dyDescent="0.3">
      <c r="F79" s="17" t="s">
        <v>70</v>
      </c>
      <c r="G79" s="9"/>
      <c r="M79" s="18" t="s">
        <v>106</v>
      </c>
      <c r="N79" s="11" t="str">
        <f ca="1">N42</f>
        <v>shibor3MIndex_New#0083</v>
      </c>
    </row>
    <row r="80" spans="6:20" x14ac:dyDescent="0.25">
      <c r="F80" s="14" t="s">
        <v>72</v>
      </c>
      <c r="G80" s="10" t="s">
        <v>138</v>
      </c>
      <c r="M80" s="18" t="s">
        <v>132</v>
      </c>
      <c r="N80" s="22">
        <v>0</v>
      </c>
    </row>
    <row r="81" spans="6:18" x14ac:dyDescent="0.25">
      <c r="F81" s="18" t="s">
        <v>74</v>
      </c>
      <c r="G81" s="11" t="str">
        <f ca="1">N27</f>
        <v>Swap_Curve_2012-8-24#0083</v>
      </c>
      <c r="M81" s="18" t="s">
        <v>133</v>
      </c>
      <c r="N81" s="11" t="str">
        <f>N59</f>
        <v>Actual/360</v>
      </c>
    </row>
    <row r="82" spans="6:18" x14ac:dyDescent="0.25">
      <c r="F82" s="18" t="s">
        <v>75</v>
      </c>
      <c r="G82" s="11"/>
      <c r="M82" s="18" t="s">
        <v>75</v>
      </c>
      <c r="N82" s="11"/>
      <c r="R82" s="36"/>
    </row>
    <row r="83" spans="6:18" ht="15.75" thickBot="1" x14ac:dyDescent="0.3">
      <c r="F83" s="17" t="s">
        <v>76</v>
      </c>
      <c r="G83" s="12"/>
      <c r="M83" s="17" t="s">
        <v>76</v>
      </c>
      <c r="N83" s="12"/>
    </row>
    <row r="85" spans="6:18" x14ac:dyDescent="0.25">
      <c r="I85" s="32" t="s">
        <v>139</v>
      </c>
      <c r="J85" s="32" t="b">
        <f ca="1">_xll.qlInstrumentSetPricingEngine(J70,G78)</f>
        <v>1</v>
      </c>
      <c r="M85" s="32" t="s">
        <v>139</v>
      </c>
      <c r="N85" s="32" t="b">
        <f ca="1">_xll.qlInstrumentSetPricingEngine(N70,G78)</f>
        <v>1</v>
      </c>
    </row>
    <row r="86" spans="6:18" x14ac:dyDescent="0.25">
      <c r="I86" s="32" t="s">
        <v>140</v>
      </c>
      <c r="J86" s="33">
        <f ca="1">_xll.qlInstrumentNPV(J70,J85)</f>
        <v>2.9234187381807715</v>
      </c>
      <c r="M86" s="32" t="s">
        <v>140</v>
      </c>
      <c r="N86" s="35">
        <f ca="1">_xll.qlInstrumentNPV(N70,N85)</f>
        <v>2.9234187381807715</v>
      </c>
    </row>
    <row r="87" spans="6:18" x14ac:dyDescent="0.25">
      <c r="J87" s="34"/>
      <c r="M87" s="32" t="s">
        <v>141</v>
      </c>
      <c r="N87" s="34">
        <f ca="1">_xll.qlVanillaSwapFairRate(N70,N85)</f>
        <v>3.2588138884784131E-2</v>
      </c>
    </row>
    <row r="88" spans="6:18" x14ac:dyDescent="0.25">
      <c r="M88" s="32" t="s">
        <v>142</v>
      </c>
      <c r="N88" s="34">
        <v>4.8678220436635597E-3</v>
      </c>
    </row>
    <row r="89" spans="6:18" x14ac:dyDescent="0.25">
      <c r="M89" s="32"/>
      <c r="N89" s="32"/>
    </row>
    <row r="90" spans="6:18" x14ac:dyDescent="0.25">
      <c r="M90" s="32"/>
      <c r="N90" s="38"/>
    </row>
    <row r="91" spans="6:18" x14ac:dyDescent="0.25">
      <c r="K91" s="15"/>
      <c r="M91" s="32"/>
      <c r="N91" s="39"/>
    </row>
    <row r="92" spans="6:18" x14ac:dyDescent="0.25">
      <c r="M92" s="32"/>
      <c r="N92" s="41"/>
      <c r="O92" s="42"/>
    </row>
    <row r="93" spans="6:18" x14ac:dyDescent="0.25">
      <c r="K93" s="15"/>
      <c r="M93" s="32"/>
      <c r="N93" s="41"/>
      <c r="O93" s="42"/>
    </row>
    <row r="94" spans="6:18" x14ac:dyDescent="0.25">
      <c r="M94" s="32"/>
      <c r="N94" s="41"/>
      <c r="O94" s="42"/>
    </row>
    <row r="95" spans="6:18" x14ac:dyDescent="0.25">
      <c r="M95" s="32"/>
      <c r="N95" s="41"/>
      <c r="O95" s="42"/>
    </row>
    <row r="96" spans="6:18" x14ac:dyDescent="0.25">
      <c r="M96" s="32"/>
      <c r="N96" s="41"/>
      <c r="O96" s="42"/>
    </row>
    <row r="97" spans="13:15" x14ac:dyDescent="0.25">
      <c r="M97" s="32"/>
      <c r="N97" s="41"/>
      <c r="O97" s="42"/>
    </row>
    <row r="98" spans="13:15" x14ac:dyDescent="0.25">
      <c r="M98" s="32"/>
      <c r="N98" s="41"/>
      <c r="O98" s="42"/>
    </row>
    <row r="99" spans="13:15" x14ac:dyDescent="0.25">
      <c r="M99" s="32"/>
      <c r="N99" s="41"/>
      <c r="O99" s="42"/>
    </row>
    <row r="100" spans="13:15" x14ac:dyDescent="0.15">
      <c r="N100" s="15"/>
      <c r="O100" s="42"/>
    </row>
    <row r="101" spans="13:15" x14ac:dyDescent="0.15">
      <c r="N101" s="15"/>
      <c r="O101" s="42"/>
    </row>
    <row r="102" spans="13:15" x14ac:dyDescent="0.15">
      <c r="N102" s="15"/>
    </row>
    <row r="107" spans="13:15" x14ac:dyDescent="0.15">
      <c r="M107" s="13">
        <v>1</v>
      </c>
    </row>
    <row r="108" spans="13:15" x14ac:dyDescent="0.15">
      <c r="N108" s="15"/>
    </row>
    <row r="109" spans="13:15" x14ac:dyDescent="0.15">
      <c r="N109" s="15"/>
    </row>
    <row r="110" spans="13:15" x14ac:dyDescent="0.15">
      <c r="N110" s="15"/>
    </row>
    <row r="111" spans="13:15" x14ac:dyDescent="0.15">
      <c r="N111" s="15"/>
    </row>
    <row r="112" spans="13:15" x14ac:dyDescent="0.15">
      <c r="N112" s="15"/>
    </row>
    <row r="113" spans="14:14" x14ac:dyDescent="0.15">
      <c r="N113" s="15"/>
    </row>
    <row r="114" spans="14:14" x14ac:dyDescent="0.15">
      <c r="N114" s="15"/>
    </row>
    <row r="115" spans="14:14" x14ac:dyDescent="0.15">
      <c r="N115" s="15"/>
    </row>
    <row r="116" spans="14:14" x14ac:dyDescent="0.15">
      <c r="N116" s="15"/>
    </row>
    <row r="117" spans="14:14" x14ac:dyDescent="0.15">
      <c r="N117" s="15"/>
    </row>
    <row r="118" spans="14:14" x14ac:dyDescent="0.15">
      <c r="N118" s="15"/>
    </row>
    <row r="119" spans="14:14" x14ac:dyDescent="0.15">
      <c r="N119" s="15"/>
    </row>
    <row r="120" spans="14:14" x14ac:dyDescent="0.15">
      <c r="N120" s="15"/>
    </row>
    <row r="121" spans="14:14" x14ac:dyDescent="0.15">
      <c r="N121" s="15"/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2</vt:i4>
      </vt:variant>
    </vt:vector>
  </HeadingPairs>
  <TitlesOfParts>
    <vt:vector size="6" baseType="lpstr">
      <vt:lpstr>透视图</vt:lpstr>
      <vt:lpstr>Wind资讯</vt:lpstr>
      <vt:lpstr>均值</vt:lpstr>
      <vt:lpstr>Sheet3</vt:lpstr>
      <vt:lpstr>curveDate</vt:lpstr>
      <vt:lpstr>evaDate</vt:lpstr>
    </vt:vector>
  </TitlesOfParts>
  <Company>Zhongda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Cheng Li</dc:creator>
  <cp:lastModifiedBy>Cheng Li</cp:lastModifiedBy>
  <dcterms:created xsi:type="dcterms:W3CDTF">2012-08-24T04:56:31Z</dcterms:created>
  <dcterms:modified xsi:type="dcterms:W3CDTF">2012-08-24T10:04:01Z</dcterms:modified>
</cp:coreProperties>
</file>